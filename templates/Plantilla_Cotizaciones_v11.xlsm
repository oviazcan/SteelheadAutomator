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7" codeName="{643B0D74-A683-FBA9-23B4-8A0AA6E0B6B9}"/>
  <workbookPr codeName="ThisWorkbook"/>
  <mc:AlternateContent xmlns:mc="http://schemas.openxmlformats.org/markup-compatibility/2006">
    <mc:Choice Requires="x15">
      <x15ac:absPath xmlns:x15ac="http://schemas.microsoft.com/office/spreadsheetml/2010/11/ac" url="https://d.docs.live.net/4a2b8cedd96f1340/Documents/Ecoplating/"/>
    </mc:Choice>
  </mc:AlternateContent>
  <xr:revisionPtr revIDLastSave="1" documentId="8_{E040EB4E-6EF7-B24D-9D3D-4498B18ECA38}" xr6:coauthVersionLast="47" xr6:coauthVersionMax="47" xr10:uidLastSave="{01F7CC95-74BD-2941-A9D5-2E10BD2461FA}"/>
  <bookViews>
    <workbookView xWindow="0" yWindow="680" windowWidth="34200" windowHeight="1934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507" i="1" l="1" a="1"/>
  <c r="W506" i="1" a="1"/>
  <c r="W505" i="1" a="1"/>
  <c r="W504" i="1" a="1"/>
  <c r="W503" i="1" a="1"/>
  <c r="W502" i="1" a="1"/>
  <c r="W501" i="1" a="1"/>
  <c r="W500" i="1" a="1"/>
  <c r="W499" i="1" a="1"/>
  <c r="W498" i="1" a="1"/>
  <c r="W497" i="1" a="1"/>
  <c r="W496" i="1" a="1"/>
  <c r="W495" i="1" a="1"/>
  <c r="W494" i="1" a="1"/>
  <c r="W493" i="1" a="1"/>
  <c r="W492" i="1" a="1"/>
  <c r="W491" i="1" a="1"/>
  <c r="W490" i="1" a="1"/>
  <c r="W489" i="1" a="1"/>
  <c r="W488" i="1" a="1"/>
  <c r="W487" i="1" a="1"/>
  <c r="W486" i="1" a="1"/>
  <c r="W485" i="1" a="1"/>
  <c r="W484" i="1" a="1"/>
  <c r="W483" i="1" a="1"/>
  <c r="W482" i="1" a="1"/>
  <c r="W481" i="1" a="1"/>
  <c r="W480" i="1" a="1"/>
  <c r="W479" i="1" a="1"/>
  <c r="W478" i="1" a="1"/>
  <c r="W477" i="1" a="1"/>
  <c r="W476" i="1" a="1"/>
  <c r="W475" i="1" a="1"/>
  <c r="W474" i="1" a="1"/>
  <c r="W473" i="1" a="1"/>
  <c r="W472" i="1" a="1"/>
  <c r="W471" i="1" a="1"/>
  <c r="W470" i="1" a="1"/>
  <c r="W469" i="1" a="1"/>
  <c r="W468" i="1" a="1"/>
  <c r="W467" i="1" a="1"/>
  <c r="W466" i="1" a="1"/>
  <c r="W465" i="1" a="1"/>
  <c r="W464" i="1" a="1"/>
  <c r="W463" i="1" a="1"/>
  <c r="W462" i="1" a="1"/>
  <c r="W461" i="1" a="1"/>
  <c r="W460" i="1" a="1"/>
  <c r="W459" i="1" a="1"/>
  <c r="W458" i="1" a="1"/>
  <c r="W457" i="1" a="1"/>
  <c r="W456" i="1" a="1"/>
  <c r="W455" i="1" a="1"/>
  <c r="W454" i="1" a="1"/>
  <c r="W453" i="1" a="1"/>
  <c r="W452" i="1" a="1"/>
  <c r="W451" i="1" a="1"/>
  <c r="W450" i="1" a="1"/>
  <c r="W449" i="1" a="1"/>
  <c r="W448" i="1" a="1"/>
  <c r="W447" i="1" a="1"/>
  <c r="W446" i="1" a="1"/>
  <c r="W445" i="1" a="1"/>
  <c r="W444" i="1" a="1"/>
  <c r="W443" i="1" a="1"/>
  <c r="W442" i="1" a="1"/>
  <c r="W441" i="1" a="1"/>
  <c r="W440" i="1" a="1"/>
  <c r="W439" i="1" a="1"/>
  <c r="W438" i="1" a="1"/>
  <c r="W437" i="1" a="1"/>
  <c r="W436" i="1" a="1"/>
  <c r="W435" i="1" a="1"/>
  <c r="W434" i="1" a="1"/>
  <c r="W433" i="1" a="1"/>
  <c r="W432" i="1" a="1"/>
  <c r="W431" i="1" a="1"/>
  <c r="W430" i="1" a="1"/>
  <c r="W429" i="1" a="1"/>
  <c r="W428" i="1" a="1"/>
  <c r="W427" i="1" a="1"/>
  <c r="W426" i="1" a="1"/>
  <c r="W425" i="1" a="1"/>
  <c r="W424" i="1" a="1"/>
  <c r="W423" i="1" a="1"/>
  <c r="W422" i="1" a="1"/>
  <c r="W421" i="1" a="1"/>
  <c r="W420" i="1" a="1"/>
  <c r="W419" i="1" a="1"/>
  <c r="W418" i="1" a="1"/>
  <c r="W417" i="1" a="1"/>
  <c r="W416" i="1" a="1"/>
  <c r="W415" i="1" a="1"/>
  <c r="W414" i="1" a="1"/>
  <c r="W413" i="1" a="1"/>
  <c r="W412" i="1" a="1"/>
  <c r="W411" i="1" a="1"/>
  <c r="W410" i="1" a="1"/>
  <c r="W409" i="1" a="1"/>
  <c r="W408" i="1" a="1"/>
  <c r="W407" i="1" a="1"/>
  <c r="W406" i="1" a="1"/>
  <c r="W405" i="1" a="1"/>
  <c r="W404" i="1" a="1"/>
  <c r="W403" i="1" a="1"/>
  <c r="W402" i="1" a="1"/>
  <c r="W401" i="1" a="1"/>
  <c r="W400" i="1" a="1"/>
  <c r="W399" i="1" a="1"/>
  <c r="W398" i="1" a="1"/>
  <c r="W397" i="1" a="1"/>
  <c r="W396" i="1" a="1"/>
  <c r="W395" i="1" a="1"/>
  <c r="W394" i="1" a="1"/>
  <c r="W393" i="1" a="1"/>
  <c r="W392" i="1" a="1"/>
  <c r="W391" i="1" a="1"/>
  <c r="W390" i="1" a="1"/>
  <c r="W389" i="1" a="1"/>
  <c r="W388" i="1" a="1"/>
  <c r="W387" i="1" a="1"/>
  <c r="W386" i="1" a="1"/>
  <c r="W385" i="1" a="1"/>
  <c r="W384" i="1" a="1"/>
  <c r="W383" i="1" a="1"/>
  <c r="W382" i="1" a="1"/>
  <c r="W381" i="1" a="1"/>
  <c r="W380" i="1" a="1"/>
  <c r="W379" i="1" a="1"/>
  <c r="W378" i="1" a="1"/>
  <c r="W377" i="1" a="1"/>
  <c r="W376" i="1" a="1"/>
  <c r="W375" i="1" a="1"/>
  <c r="W374" i="1" a="1"/>
  <c r="W373" i="1" a="1"/>
  <c r="W372" i="1" a="1"/>
  <c r="W371" i="1" a="1"/>
  <c r="W370" i="1" a="1"/>
  <c r="W369" i="1" a="1"/>
  <c r="W368" i="1" a="1"/>
  <c r="W367" i="1" a="1"/>
  <c r="W366" i="1" a="1"/>
  <c r="W365" i="1" a="1"/>
  <c r="W364" i="1" a="1"/>
  <c r="W363" i="1" a="1"/>
  <c r="W362" i="1" a="1"/>
  <c r="W361" i="1" a="1"/>
  <c r="W360" i="1" a="1"/>
  <c r="W359" i="1" a="1"/>
  <c r="W358" i="1" a="1"/>
  <c r="W357" i="1" a="1"/>
  <c r="W356" i="1" a="1"/>
  <c r="W355" i="1" a="1"/>
  <c r="W354" i="1" a="1"/>
  <c r="W353" i="1" a="1"/>
  <c r="W352" i="1" a="1"/>
  <c r="W351" i="1" a="1"/>
  <c r="W350" i="1" a="1"/>
  <c r="W349" i="1" a="1"/>
  <c r="W348" i="1" a="1"/>
  <c r="W347" i="1" a="1"/>
  <c r="W346" i="1" a="1"/>
  <c r="W345" i="1" a="1"/>
  <c r="W344" i="1" a="1"/>
  <c r="W343" i="1" a="1"/>
  <c r="W342" i="1" a="1"/>
  <c r="W341" i="1" a="1"/>
  <c r="W340" i="1" a="1"/>
  <c r="W339" i="1" a="1"/>
  <c r="W338" i="1" a="1"/>
  <c r="W337" i="1" a="1"/>
  <c r="W336" i="1" a="1"/>
  <c r="W335" i="1" a="1"/>
  <c r="W334" i="1" a="1"/>
  <c r="W333" i="1" a="1"/>
  <c r="W332" i="1" a="1"/>
  <c r="W331" i="1" a="1"/>
  <c r="W330" i="1" a="1"/>
  <c r="W329" i="1" a="1"/>
  <c r="W328" i="1" a="1"/>
  <c r="W327" i="1" a="1"/>
  <c r="W326" i="1" a="1"/>
  <c r="W325" i="1" a="1"/>
  <c r="W324" i="1" a="1"/>
  <c r="W323" i="1" a="1"/>
  <c r="W322" i="1" a="1"/>
  <c r="W321" i="1" a="1"/>
  <c r="W320" i="1" a="1"/>
  <c r="W319" i="1" a="1"/>
  <c r="W318" i="1" a="1"/>
  <c r="W317" i="1" a="1"/>
  <c r="W316" i="1" a="1"/>
  <c r="W315" i="1" a="1"/>
  <c r="W314" i="1" a="1"/>
  <c r="W313" i="1" a="1"/>
  <c r="W312" i="1" a="1"/>
  <c r="W311" i="1" a="1"/>
  <c r="W310" i="1" a="1"/>
  <c r="W309" i="1" a="1"/>
  <c r="W308" i="1" a="1"/>
  <c r="W307" i="1" a="1"/>
  <c r="W306" i="1" a="1"/>
  <c r="W305" i="1" a="1"/>
  <c r="W304" i="1" a="1"/>
  <c r="W303" i="1" a="1"/>
  <c r="W302" i="1" a="1"/>
  <c r="W301" i="1" a="1"/>
  <c r="W300" i="1" a="1"/>
  <c r="W299" i="1" a="1"/>
  <c r="W298" i="1" a="1"/>
  <c r="W297" i="1" a="1"/>
  <c r="W296" i="1" a="1"/>
  <c r="W295" i="1" a="1"/>
  <c r="W294" i="1" a="1"/>
  <c r="W293" i="1" a="1"/>
  <c r="W292" i="1" a="1"/>
  <c r="W291" i="1" a="1"/>
  <c r="W290" i="1" a="1"/>
  <c r="W289" i="1" a="1"/>
  <c r="W288" i="1" a="1"/>
  <c r="W287" i="1" a="1"/>
  <c r="W286" i="1" a="1"/>
  <c r="W285" i="1" a="1"/>
  <c r="W284" i="1" a="1"/>
  <c r="W283" i="1" a="1"/>
  <c r="W282" i="1" a="1"/>
  <c r="W281" i="1" a="1"/>
  <c r="W280" i="1" a="1"/>
  <c r="W279" i="1" a="1"/>
  <c r="W278" i="1" a="1"/>
  <c r="W277" i="1" a="1"/>
  <c r="W276" i="1" a="1"/>
  <c r="W275" i="1" a="1"/>
  <c r="W274" i="1" a="1"/>
  <c r="W273" i="1" a="1"/>
  <c r="W272" i="1" a="1"/>
  <c r="W271" i="1" a="1"/>
  <c r="W270" i="1" a="1"/>
  <c r="W269" i="1" a="1"/>
  <c r="W268" i="1" a="1"/>
  <c r="W267" i="1" a="1"/>
  <c r="W266" i="1" a="1"/>
  <c r="W265" i="1" a="1"/>
  <c r="W264" i="1" a="1"/>
  <c r="W263" i="1" a="1"/>
  <c r="W262" i="1" a="1"/>
  <c r="W261" i="1" a="1"/>
  <c r="W260" i="1" a="1"/>
  <c r="W259" i="1" a="1"/>
  <c r="W258" i="1" a="1"/>
  <c r="W257" i="1" a="1"/>
  <c r="W256" i="1" a="1"/>
  <c r="W255" i="1" a="1"/>
  <c r="W254" i="1" a="1"/>
  <c r="W253" i="1" a="1"/>
  <c r="W252" i="1" a="1"/>
  <c r="W251" i="1" a="1"/>
  <c r="W250" i="1" a="1"/>
  <c r="W249" i="1" a="1"/>
  <c r="W248" i="1" a="1"/>
  <c r="W247" i="1" a="1"/>
  <c r="W246" i="1" a="1"/>
  <c r="W245" i="1" a="1"/>
  <c r="W244" i="1" a="1"/>
  <c r="W243" i="1" a="1"/>
  <c r="W242" i="1" a="1"/>
  <c r="W241" i="1" a="1"/>
  <c r="W240" i="1" a="1"/>
  <c r="W239" i="1" a="1"/>
  <c r="W238" i="1" a="1"/>
  <c r="W237" i="1" a="1"/>
  <c r="W236" i="1" a="1"/>
  <c r="W235" i="1" a="1"/>
  <c r="W234" i="1" a="1"/>
  <c r="W233" i="1" a="1"/>
  <c r="W232" i="1" a="1"/>
  <c r="W231" i="1" a="1"/>
  <c r="W230" i="1" a="1"/>
  <c r="W229" i="1" a="1"/>
  <c r="W228" i="1" a="1"/>
  <c r="W227" i="1" a="1"/>
  <c r="W226" i="1" a="1"/>
  <c r="W225" i="1" a="1"/>
  <c r="W224" i="1" a="1"/>
  <c r="W223" i="1" a="1"/>
  <c r="W222" i="1" a="1"/>
  <c r="W221" i="1" a="1"/>
  <c r="W220" i="1" a="1"/>
  <c r="W219" i="1" a="1"/>
  <c r="W218" i="1" a="1"/>
  <c r="W217" i="1" a="1"/>
  <c r="W216" i="1" a="1"/>
  <c r="W215" i="1" a="1"/>
  <c r="W214" i="1" a="1"/>
  <c r="W213" i="1" a="1"/>
  <c r="W212" i="1" a="1"/>
  <c r="W211" i="1" a="1"/>
  <c r="W210" i="1" a="1"/>
  <c r="W209" i="1" a="1"/>
  <c r="W208" i="1" a="1"/>
  <c r="W207" i="1" a="1"/>
  <c r="W206" i="1" a="1"/>
  <c r="W205" i="1" a="1"/>
  <c r="W204" i="1" a="1"/>
  <c r="W203" i="1" a="1"/>
  <c r="W202" i="1" a="1"/>
  <c r="W201" i="1" a="1"/>
  <c r="W200" i="1" a="1"/>
  <c r="W199" i="1" a="1"/>
  <c r="W198" i="1" a="1"/>
  <c r="W197" i="1" a="1"/>
  <c r="W196" i="1" a="1"/>
  <c r="W195" i="1" a="1"/>
  <c r="W194" i="1" a="1"/>
  <c r="W193" i="1" a="1"/>
  <c r="W192" i="1" a="1"/>
  <c r="W191" i="1" a="1"/>
  <c r="W190" i="1" a="1"/>
  <c r="W189" i="1" a="1"/>
  <c r="W188" i="1" a="1"/>
  <c r="W187" i="1" a="1"/>
  <c r="W186" i="1" a="1"/>
  <c r="W185" i="1" a="1"/>
  <c r="W184" i="1" a="1"/>
  <c r="W183" i="1" a="1"/>
  <c r="W182" i="1" a="1"/>
  <c r="W181" i="1" a="1"/>
  <c r="W180" i="1" a="1"/>
  <c r="W179" i="1" a="1"/>
  <c r="W178" i="1" a="1"/>
  <c r="W177" i="1" a="1"/>
  <c r="W176" i="1" a="1"/>
  <c r="W175" i="1" a="1"/>
  <c r="W174" i="1" a="1"/>
  <c r="W173" i="1" a="1"/>
  <c r="W172" i="1" a="1"/>
  <c r="W171" i="1" a="1"/>
  <c r="W170" i="1" a="1"/>
  <c r="W169" i="1" a="1"/>
  <c r="W168" i="1" a="1"/>
  <c r="W167" i="1" a="1"/>
  <c r="W166" i="1" a="1"/>
  <c r="W165" i="1" a="1"/>
  <c r="W164" i="1" a="1"/>
  <c r="W163" i="1" a="1"/>
  <c r="W162" i="1" a="1"/>
  <c r="W161" i="1" a="1"/>
  <c r="W160" i="1" a="1"/>
  <c r="W159" i="1" a="1"/>
  <c r="W158" i="1" a="1"/>
  <c r="W157" i="1" a="1"/>
  <c r="W156" i="1" a="1"/>
  <c r="W155" i="1" a="1"/>
  <c r="W154" i="1" a="1"/>
  <c r="W153" i="1" a="1"/>
  <c r="W152" i="1" a="1"/>
  <c r="W151" i="1" a="1"/>
  <c r="W150" i="1" a="1"/>
  <c r="W149" i="1" a="1"/>
  <c r="W148" i="1" a="1"/>
  <c r="W147" i="1" a="1"/>
  <c r="W146" i="1" a="1"/>
  <c r="W145" i="1" a="1"/>
  <c r="W144" i="1" a="1"/>
  <c r="W143" i="1" a="1"/>
  <c r="W142" i="1" a="1"/>
  <c r="W141" i="1" a="1"/>
  <c r="W140" i="1" a="1"/>
  <c r="W139" i="1" a="1"/>
  <c r="W138" i="1" a="1"/>
  <c r="W137" i="1" a="1"/>
  <c r="W136" i="1" a="1"/>
  <c r="W135" i="1" a="1"/>
  <c r="W134" i="1" a="1"/>
  <c r="W133" i="1" a="1"/>
  <c r="W132" i="1" a="1"/>
  <c r="W131" i="1" a="1"/>
  <c r="W130" i="1" a="1"/>
  <c r="W129" i="1" a="1"/>
  <c r="W128" i="1" a="1"/>
  <c r="W127" i="1" a="1"/>
  <c r="W126" i="1" a="1"/>
  <c r="W125" i="1" a="1"/>
  <c r="W124" i="1" a="1"/>
  <c r="W123" i="1" a="1"/>
  <c r="W122" i="1" a="1"/>
  <c r="W121" i="1" a="1"/>
  <c r="W120" i="1" a="1"/>
  <c r="W119" i="1" a="1"/>
  <c r="W118" i="1" a="1"/>
  <c r="W117" i="1" a="1"/>
  <c r="W116" i="1" a="1"/>
  <c r="W115" i="1" a="1"/>
  <c r="W114" i="1" a="1"/>
  <c r="W113" i="1" a="1"/>
  <c r="W112" i="1" a="1"/>
  <c r="W111" i="1" a="1"/>
  <c r="W110" i="1" a="1"/>
  <c r="W109" i="1" a="1"/>
  <c r="W108" i="1" a="1"/>
  <c r="W107" i="1" a="1"/>
  <c r="W106" i="1" a="1"/>
  <c r="W105" i="1" a="1"/>
  <c r="W104" i="1" a="1"/>
  <c r="W103" i="1" a="1"/>
  <c r="W102" i="1" a="1"/>
  <c r="W101" i="1" a="1"/>
  <c r="W100" i="1" a="1"/>
  <c r="W99" i="1" a="1"/>
  <c r="W98" i="1" a="1"/>
  <c r="W97" i="1" a="1"/>
  <c r="W96" i="1" a="1"/>
  <c r="W95" i="1" a="1"/>
  <c r="W94" i="1" a="1"/>
  <c r="W93" i="1" a="1"/>
  <c r="W92" i="1" a="1"/>
  <c r="W91" i="1" a="1"/>
  <c r="W90" i="1" a="1"/>
  <c r="W89" i="1" a="1"/>
  <c r="W88" i="1" a="1"/>
  <c r="W87" i="1" a="1"/>
  <c r="W86" i="1" a="1"/>
  <c r="W85" i="1" a="1"/>
  <c r="W84" i="1" a="1"/>
  <c r="W83" i="1" a="1"/>
  <c r="W82" i="1" a="1"/>
  <c r="W81" i="1" a="1"/>
  <c r="W80" i="1" a="1"/>
  <c r="W79" i="1" a="1"/>
  <c r="W78" i="1" a="1"/>
  <c r="W77" i="1" a="1"/>
  <c r="W76" i="1" a="1"/>
  <c r="W75" i="1" a="1"/>
  <c r="W74" i="1" a="1"/>
  <c r="W73" i="1" a="1"/>
  <c r="W72" i="1" a="1"/>
  <c r="W71" i="1" a="1"/>
  <c r="W70" i="1" a="1"/>
  <c r="W69" i="1" a="1"/>
  <c r="W68" i="1" a="1"/>
  <c r="W67" i="1" a="1"/>
  <c r="W66" i="1" a="1"/>
  <c r="W65" i="1" a="1"/>
  <c r="W64" i="1" a="1"/>
  <c r="W63" i="1" a="1"/>
  <c r="W62" i="1" a="1"/>
  <c r="W61" i="1" a="1"/>
  <c r="W60" i="1" a="1"/>
  <c r="W59" i="1" a="1"/>
  <c r="W58" i="1" a="1"/>
  <c r="W57" i="1" a="1"/>
  <c r="W56" i="1" a="1"/>
  <c r="W55" i="1" a="1"/>
  <c r="W54" i="1" a="1"/>
  <c r="W53" i="1" a="1"/>
  <c r="W52" i="1" a="1"/>
  <c r="W51" i="1" a="1"/>
  <c r="W50" i="1" a="1"/>
  <c r="W49" i="1" a="1"/>
  <c r="W48" i="1" a="1"/>
  <c r="W47" i="1" a="1"/>
  <c r="W46" i="1" a="1"/>
  <c r="W45" i="1" a="1"/>
  <c r="W44" i="1" a="1"/>
  <c r="W43" i="1" a="1"/>
  <c r="W42" i="1" a="1"/>
  <c r="W41" i="1" a="1"/>
  <c r="W40" i="1" a="1"/>
  <c r="W39" i="1" a="1"/>
  <c r="W38" i="1" a="1"/>
  <c r="W37" i="1" a="1"/>
  <c r="W36" i="1" a="1"/>
  <c r="W35" i="1" a="1"/>
  <c r="W34" i="1" a="1"/>
  <c r="W33" i="1" a="1"/>
  <c r="W32" i="1" a="1"/>
  <c r="W31" i="1" a="1"/>
  <c r="W30" i="1" a="1"/>
  <c r="W29" i="1" a="1"/>
  <c r="W28" i="1" a="1"/>
  <c r="W27" i="1" a="1"/>
  <c r="W26" i="1" a="1"/>
  <c r="W25" i="1" a="1"/>
  <c r="W24" i="1" a="1"/>
  <c r="W23" i="1" a="1"/>
  <c r="W22" i="1" a="1"/>
  <c r="W21" i="1" a="1"/>
  <c r="W20" i="1" a="1"/>
  <c r="W19" i="1" a="1"/>
  <c r="W18" i="1" a="1"/>
  <c r="W17" i="1" a="1"/>
  <c r="W16" i="1" a="1"/>
  <c r="W15" i="1" a="1"/>
  <c r="W14" i="1" a="1"/>
  <c r="W13" i="1" a="1"/>
  <c r="W12" i="1" a="1"/>
  <c r="W11" i="1" a="1"/>
  <c r="W10" i="1" a="1"/>
  <c r="W9" i="1" a="1"/>
  <c r="E2" i="6" a="1"/>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9" i="6"/>
  <c r="W508" i="1" a="1"/>
  <c r="L2" i="5" a="1"/>
  <c r="J2" i="5" a="1"/>
  <c r="K2" i="5" a="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9" i="1"/>
  <c r="AK9" i="1"/>
  <c r="C20" i="3"/>
  <c r="P20" i="3" s="1"/>
  <c r="C21" i="3"/>
  <c r="P21" i="3" s="1"/>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P19" i="3" s="1"/>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M90" i="3" s="1"/>
  <c r="BF80" i="1" s="1"/>
  <c r="B90" i="3"/>
  <c r="A90" i="3"/>
  <c r="I89" i="3"/>
  <c r="H89" i="3"/>
  <c r="E89" i="3"/>
  <c r="D89" i="3"/>
  <c r="O89" i="3"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BE61" i="1"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B507" i="6" l="1"/>
  <c r="B451" i="6"/>
  <c r="B448" i="6"/>
  <c r="B441" i="6"/>
  <c r="B438" i="6"/>
  <c r="B427" i="6"/>
  <c r="B424" i="6"/>
  <c r="B419" i="6"/>
  <c r="B371" i="6"/>
  <c r="B365" i="6"/>
  <c r="B358" i="6"/>
  <c r="B502" i="6"/>
  <c r="B495" i="6"/>
  <c r="B492" i="6"/>
  <c r="B490" i="6"/>
  <c r="B488" i="6"/>
  <c r="B487" i="6"/>
  <c r="B483" i="6"/>
  <c r="B481" i="6"/>
  <c r="B479" i="6"/>
  <c r="B477" i="6"/>
  <c r="B475" i="6"/>
  <c r="B474" i="6"/>
  <c r="B472" i="6"/>
  <c r="B470" i="6"/>
  <c r="B468" i="6"/>
  <c r="B467" i="6"/>
  <c r="B403" i="6"/>
  <c r="B398" i="6"/>
  <c r="B397" i="6"/>
  <c r="B395" i="6"/>
  <c r="B386" i="6"/>
  <c r="B376" i="6"/>
  <c r="B368" i="6"/>
  <c r="B356" i="6"/>
  <c r="B501" i="6"/>
  <c r="B505" i="6"/>
  <c r="B504" i="6"/>
  <c r="B503" i="6"/>
  <c r="B454" i="6"/>
  <c r="B445" i="6"/>
  <c r="B436" i="6"/>
  <c r="B432" i="6"/>
  <c r="B428" i="6"/>
  <c r="B418" i="6"/>
  <c r="B393" i="6"/>
  <c r="B389" i="6"/>
  <c r="B383" i="6"/>
  <c r="B355" i="6"/>
  <c r="B506" i="6"/>
  <c r="B461" i="6"/>
  <c r="B458" i="6"/>
  <c r="B452" i="6"/>
  <c r="B449" i="6"/>
  <c r="B443" i="6"/>
  <c r="B439" i="6"/>
  <c r="B434" i="6"/>
  <c r="B430" i="6"/>
  <c r="B426" i="6"/>
  <c r="B422" i="6"/>
  <c r="B378" i="6"/>
  <c r="B374" i="6"/>
  <c r="B369" i="6"/>
  <c r="B366" i="6"/>
  <c r="B500" i="6"/>
  <c r="B455" i="6"/>
  <c r="B437" i="6"/>
  <c r="B435" i="6"/>
  <c r="B431" i="6"/>
  <c r="B425" i="6"/>
  <c r="B421" i="6"/>
  <c r="B417" i="6"/>
  <c r="B416" i="6"/>
  <c r="B415" i="6"/>
  <c r="B414" i="6"/>
  <c r="B413" i="6"/>
  <c r="B412" i="6"/>
  <c r="B411" i="6"/>
  <c r="B410" i="6"/>
  <c r="B409" i="6"/>
  <c r="B408" i="6"/>
  <c r="B407" i="6"/>
  <c r="B406" i="6"/>
  <c r="B405" i="6"/>
  <c r="B404" i="6"/>
  <c r="B402" i="6"/>
  <c r="B400" i="6"/>
  <c r="B396" i="6"/>
  <c r="B394" i="6"/>
  <c r="B391" i="6"/>
  <c r="B385" i="6"/>
  <c r="B384" i="6"/>
  <c r="B382" i="6"/>
  <c r="B377" i="6"/>
  <c r="B375" i="6"/>
  <c r="B373" i="6"/>
  <c r="B372" i="6"/>
  <c r="B499" i="6"/>
  <c r="B463" i="6"/>
  <c r="B459" i="6"/>
  <c r="B456" i="6"/>
  <c r="B446" i="6"/>
  <c r="B440" i="6"/>
  <c r="B401" i="6"/>
  <c r="B399" i="6"/>
  <c r="B392" i="6"/>
  <c r="B390" i="6"/>
  <c r="B388" i="6"/>
  <c r="B387" i="6"/>
  <c r="B381" i="6"/>
  <c r="B380" i="6"/>
  <c r="B363" i="6"/>
  <c r="B362" i="6"/>
  <c r="B361" i="6"/>
  <c r="B360" i="6"/>
  <c r="B354" i="6"/>
  <c r="B498" i="6"/>
  <c r="B497" i="6"/>
  <c r="B496" i="6"/>
  <c r="B494" i="6"/>
  <c r="B493" i="6"/>
  <c r="B491" i="6"/>
  <c r="B489" i="6"/>
  <c r="B486" i="6"/>
  <c r="B485" i="6"/>
  <c r="B484" i="6"/>
  <c r="B482" i="6"/>
  <c r="B480" i="6"/>
  <c r="B478" i="6"/>
  <c r="B476" i="6"/>
  <c r="B473" i="6"/>
  <c r="B471" i="6"/>
  <c r="B469" i="6"/>
  <c r="B466" i="6"/>
  <c r="B465" i="6"/>
  <c r="B464" i="6"/>
  <c r="B462" i="6"/>
  <c r="B460" i="6"/>
  <c r="B457" i="6"/>
  <c r="B453" i="6"/>
  <c r="B450" i="6"/>
  <c r="B447" i="6"/>
  <c r="B444" i="6"/>
  <c r="B442" i="6"/>
  <c r="B433" i="6"/>
  <c r="B429" i="6"/>
  <c r="B423" i="6"/>
  <c r="B420" i="6"/>
  <c r="B379" i="6"/>
  <c r="B370" i="6"/>
  <c r="B367" i="6"/>
  <c r="B364" i="6"/>
  <c r="B359" i="6"/>
  <c r="B357" i="6"/>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B353" i="6"/>
  <c r="B347" i="6"/>
  <c r="B344" i="6"/>
  <c r="B342" i="6"/>
  <c r="B340" i="6"/>
  <c r="B336" i="6"/>
  <c r="B332" i="6"/>
  <c r="B331" i="6"/>
  <c r="B328" i="6"/>
  <c r="B326" i="6"/>
  <c r="B323" i="6"/>
  <c r="B320" i="6"/>
  <c r="B319" i="6"/>
  <c r="B318" i="6"/>
  <c r="B316" i="6"/>
  <c r="B315" i="6"/>
  <c r="B314" i="6"/>
  <c r="B313" i="6"/>
  <c r="B312" i="6"/>
  <c r="B311" i="6"/>
  <c r="B309" i="6"/>
  <c r="B307" i="6"/>
  <c r="B305" i="6"/>
  <c r="B303" i="6"/>
  <c r="B300" i="6"/>
  <c r="B299" i="6"/>
  <c r="B296" i="6"/>
  <c r="B294" i="6"/>
  <c r="B291" i="6"/>
  <c r="B290" i="6"/>
  <c r="B278" i="6"/>
  <c r="B276" i="6"/>
  <c r="B264" i="6"/>
  <c r="B262" i="6"/>
  <c r="B260" i="6"/>
  <c r="B259" i="6"/>
  <c r="B258" i="6"/>
  <c r="B256" i="6"/>
  <c r="B253" i="6"/>
  <c r="B246" i="6"/>
  <c r="B242" i="6"/>
  <c r="B241" i="6"/>
  <c r="B240" i="6"/>
  <c r="B237" i="6"/>
  <c r="B236" i="6"/>
  <c r="B235" i="6"/>
  <c r="B234" i="6"/>
  <c r="B233" i="6"/>
  <c r="B232" i="6"/>
  <c r="B231" i="6"/>
  <c r="B228" i="6"/>
  <c r="B227" i="6"/>
  <c r="B226" i="6"/>
  <c r="B225" i="6"/>
  <c r="B224" i="6"/>
  <c r="B223" i="6"/>
  <c r="B222" i="6"/>
  <c r="B221" i="6"/>
  <c r="B220" i="6"/>
  <c r="B219" i="6"/>
  <c r="B218" i="6"/>
  <c r="B217" i="6"/>
  <c r="B201" i="6"/>
  <c r="B200" i="6"/>
  <c r="B199" i="6"/>
  <c r="B198" i="6"/>
  <c r="B197" i="6"/>
  <c r="B196" i="6"/>
  <c r="B195" i="6"/>
  <c r="B194" i="6"/>
  <c r="B193" i="6"/>
  <c r="B192" i="6"/>
  <c r="B191" i="6"/>
  <c r="B190" i="6"/>
  <c r="B189" i="6"/>
  <c r="B188" i="6"/>
  <c r="B187" i="6"/>
  <c r="B186" i="6"/>
  <c r="B185" i="6"/>
  <c r="B184" i="6"/>
  <c r="B183" i="6"/>
  <c r="B181" i="6"/>
  <c r="B180" i="6"/>
  <c r="B178" i="6"/>
  <c r="B177" i="6"/>
  <c r="B176" i="6"/>
  <c r="B175" i="6"/>
  <c r="B151" i="6"/>
  <c r="B148" i="6"/>
  <c r="B146" i="6"/>
  <c r="B145" i="6"/>
  <c r="B144" i="6"/>
  <c r="B136" i="6"/>
  <c r="B135" i="6"/>
  <c r="B128" i="6"/>
  <c r="B127" i="6"/>
  <c r="B126" i="6"/>
  <c r="B125" i="6"/>
  <c r="B124" i="6"/>
  <c r="B123" i="6"/>
  <c r="B122" i="6"/>
  <c r="B121" i="6"/>
  <c r="B120" i="6"/>
  <c r="B118" i="6"/>
  <c r="B117" i="6"/>
  <c r="B116" i="6"/>
  <c r="B115" i="6"/>
  <c r="B114" i="6"/>
  <c r="B112" i="6"/>
  <c r="B111" i="6"/>
  <c r="B110" i="6"/>
  <c r="B108" i="6"/>
  <c r="B107" i="6"/>
  <c r="B102" i="6"/>
  <c r="B64" i="6"/>
  <c r="B63" i="6"/>
  <c r="B62" i="6"/>
  <c r="B61" i="6"/>
  <c r="B60" i="6"/>
  <c r="B59" i="6"/>
  <c r="B58" i="6"/>
  <c r="B57" i="6"/>
  <c r="B56" i="6"/>
  <c r="B55" i="6"/>
  <c r="B54" i="6"/>
  <c r="B53" i="6"/>
  <c r="B52" i="6"/>
  <c r="B51" i="6"/>
  <c r="B50" i="6"/>
  <c r="B49" i="6"/>
  <c r="B48" i="6"/>
  <c r="B47" i="6"/>
  <c r="B46" i="6"/>
  <c r="B45" i="6"/>
  <c r="B44" i="6"/>
  <c r="B43" i="6"/>
  <c r="B42" i="6"/>
  <c r="B41" i="6"/>
  <c r="B40" i="6"/>
  <c r="B39" i="6"/>
  <c r="B33" i="6"/>
  <c r="B31" i="6"/>
  <c r="B29" i="6"/>
  <c r="B28" i="6"/>
  <c r="B26" i="6"/>
  <c r="B23" i="6"/>
  <c r="B20" i="6"/>
  <c r="B18" i="6"/>
  <c r="B12" i="6"/>
  <c r="B11" i="6"/>
  <c r="B10" i="6"/>
  <c r="B348" i="6"/>
  <c r="B346" i="6"/>
  <c r="B345" i="6"/>
  <c r="B343" i="6"/>
  <c r="B341" i="6"/>
  <c r="B339" i="6"/>
  <c r="B338" i="6"/>
  <c r="B337" i="6"/>
  <c r="B335" i="6"/>
  <c r="B334" i="6"/>
  <c r="B333" i="6"/>
  <c r="B330" i="6"/>
  <c r="B329" i="6"/>
  <c r="B327" i="6"/>
  <c r="B325" i="6"/>
  <c r="B324" i="6"/>
  <c r="B322" i="6"/>
  <c r="B321" i="6"/>
  <c r="B317" i="6"/>
  <c r="B310" i="6"/>
  <c r="B308" i="6"/>
  <c r="B306" i="6"/>
  <c r="B304" i="6"/>
  <c r="B302" i="6"/>
  <c r="B301" i="6"/>
  <c r="B298" i="6"/>
  <c r="B297" i="6"/>
  <c r="B295" i="6"/>
  <c r="B293" i="6"/>
  <c r="B292" i="6"/>
  <c r="B289" i="6"/>
  <c r="B288" i="6"/>
  <c r="B287" i="6"/>
  <c r="B286" i="6"/>
  <c r="B285" i="6"/>
  <c r="B284" i="6"/>
  <c r="B283" i="6"/>
  <c r="B282" i="6"/>
  <c r="B281" i="6"/>
  <c r="B280" i="6"/>
  <c r="B279" i="6"/>
  <c r="B277" i="6"/>
  <c r="B275" i="6"/>
  <c r="B274" i="6"/>
  <c r="B273" i="6"/>
  <c r="B272" i="6"/>
  <c r="B271" i="6"/>
  <c r="B270" i="6"/>
  <c r="B269" i="6"/>
  <c r="B268" i="6"/>
  <c r="B267" i="6"/>
  <c r="B266" i="6"/>
  <c r="B265" i="6"/>
  <c r="B263" i="6"/>
  <c r="B261" i="6"/>
  <c r="B257" i="6"/>
  <c r="B255" i="6"/>
  <c r="B254" i="6"/>
  <c r="B252" i="6"/>
  <c r="B251" i="6"/>
  <c r="B250" i="6"/>
  <c r="B249" i="6"/>
  <c r="B248" i="6"/>
  <c r="B247" i="6"/>
  <c r="B245" i="6"/>
  <c r="B244" i="6"/>
  <c r="B243" i="6"/>
  <c r="B239" i="6"/>
  <c r="B238" i="6"/>
  <c r="B230" i="6"/>
  <c r="B229" i="6"/>
  <c r="B216" i="6"/>
  <c r="B215" i="6"/>
  <c r="B214" i="6"/>
  <c r="B213" i="6"/>
  <c r="B212" i="6"/>
  <c r="B211" i="6"/>
  <c r="B210" i="6"/>
  <c r="B209" i="6"/>
  <c r="B208" i="6"/>
  <c r="B207" i="6"/>
  <c r="B206" i="6"/>
  <c r="B205" i="6"/>
  <c r="B204" i="6"/>
  <c r="B203" i="6"/>
  <c r="B202" i="6"/>
  <c r="B182" i="6"/>
  <c r="B179" i="6"/>
  <c r="B174" i="6"/>
  <c r="B173" i="6"/>
  <c r="B172" i="6"/>
  <c r="B171" i="6"/>
  <c r="B170" i="6"/>
  <c r="B169" i="6"/>
  <c r="B168" i="6"/>
  <c r="B167" i="6"/>
  <c r="B166" i="6"/>
  <c r="B165" i="6"/>
  <c r="B164" i="6"/>
  <c r="B163" i="6"/>
  <c r="B162" i="6"/>
  <c r="B161" i="6"/>
  <c r="B160" i="6"/>
  <c r="B159" i="6"/>
  <c r="B158" i="6"/>
  <c r="B157" i="6"/>
  <c r="B156" i="6"/>
  <c r="B155" i="6"/>
  <c r="B154" i="6"/>
  <c r="B153" i="6"/>
  <c r="B152" i="6"/>
  <c r="B150" i="6"/>
  <c r="B149" i="6"/>
  <c r="B147" i="6"/>
  <c r="B143" i="6"/>
  <c r="B142" i="6"/>
  <c r="B141" i="6"/>
  <c r="B140" i="6"/>
  <c r="B139" i="6"/>
  <c r="B138" i="6"/>
  <c r="B137" i="6"/>
  <c r="B134" i="6"/>
  <c r="B133" i="6"/>
  <c r="B132" i="6"/>
  <c r="B131" i="6"/>
  <c r="B130" i="6"/>
  <c r="B129" i="6"/>
  <c r="B119" i="6"/>
  <c r="B113" i="6"/>
  <c r="B109" i="6"/>
  <c r="B106" i="6"/>
  <c r="B105" i="6"/>
  <c r="B104" i="6"/>
  <c r="B103"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38" i="6"/>
  <c r="B37" i="6"/>
  <c r="B36" i="6"/>
  <c r="B35" i="6"/>
  <c r="B34" i="6"/>
  <c r="B32" i="6"/>
  <c r="B30" i="6"/>
  <c r="B27" i="6"/>
  <c r="B25" i="6"/>
  <c r="B24" i="6"/>
  <c r="B22" i="6"/>
  <c r="B21" i="6"/>
  <c r="B19" i="6"/>
  <c r="B17" i="6"/>
  <c r="B16" i="6"/>
  <c r="B15" i="6"/>
  <c r="B14" i="6"/>
  <c r="B13" i="6"/>
  <c r="B9" i="6"/>
  <c r="B349" i="6"/>
  <c r="B350" i="6"/>
  <c r="B351" i="6"/>
  <c r="B352" i="6"/>
  <c r="N2" i="5"/>
  <c r="F2" i="6"/>
  <c r="G2" i="6" s="1" a="1"/>
  <c r="R254" i="3"/>
  <c r="R251" i="3"/>
  <c r="R256" i="3"/>
  <c r="R20" i="3"/>
  <c r="R253" i="3"/>
  <c r="R250" i="3"/>
  <c r="R248" i="3"/>
  <c r="R245" i="3"/>
  <c r="R252" i="3"/>
  <c r="R249" i="3"/>
  <c r="R247" i="3"/>
  <c r="R255" i="3"/>
  <c r="R277" i="3"/>
  <c r="R276" i="3"/>
  <c r="R275" i="3"/>
  <c r="R274" i="3"/>
  <c r="R273" i="3"/>
  <c r="R272" i="3"/>
  <c r="R271" i="3"/>
  <c r="R270" i="3"/>
  <c r="R269" i="3"/>
  <c r="R268" i="3"/>
  <c r="R267" i="3"/>
  <c r="R266" i="3"/>
  <c r="R265" i="3"/>
  <c r="R264" i="3"/>
  <c r="R263" i="3"/>
  <c r="R262" i="3"/>
  <c r="R261" i="3"/>
  <c r="R259" i="3"/>
  <c r="R258" i="3"/>
  <c r="R257" i="3"/>
  <c r="R246" i="3"/>
  <c r="R244" i="3"/>
  <c r="X3" i="1"/>
  <c r="X2" i="1"/>
  <c r="K25" i="3"/>
  <c r="BD15" i="1" s="1"/>
  <c r="M2" i="5" a="1"/>
  <c r="F243" i="3"/>
  <c r="R243" i="3" s="1"/>
  <c r="F242" i="3"/>
  <c r="R242" i="3" s="1"/>
  <c r="F241" i="3"/>
  <c r="R241" i="3" s="1"/>
  <c r="F421" i="3"/>
  <c r="R421" i="3" s="1"/>
  <c r="F420" i="3"/>
  <c r="R420" i="3" s="1"/>
  <c r="F419" i="3"/>
  <c r="R419" i="3" s="1"/>
  <c r="F418" i="3"/>
  <c r="R418" i="3" s="1"/>
  <c r="F417" i="3"/>
  <c r="R417" i="3" s="1"/>
  <c r="F416" i="3"/>
  <c r="R416" i="3" s="1"/>
  <c r="F415" i="3"/>
  <c r="R415" i="3" s="1"/>
  <c r="F414" i="3"/>
  <c r="R414" i="3" s="1"/>
  <c r="F413" i="3"/>
  <c r="R413" i="3" s="1"/>
  <c r="F412" i="3"/>
  <c r="R412" i="3" s="1"/>
  <c r="F411" i="3"/>
  <c r="R411" i="3" s="1"/>
  <c r="F240" i="3"/>
  <c r="R240" i="3" s="1"/>
  <c r="F239" i="3"/>
  <c r="R239" i="3" s="1"/>
  <c r="F238" i="3"/>
  <c r="R238" i="3" s="1"/>
  <c r="F237" i="3"/>
  <c r="R237" i="3" s="1"/>
  <c r="F236" i="3"/>
  <c r="R236" i="3" s="1"/>
  <c r="F235" i="3"/>
  <c r="R235" i="3" s="1"/>
  <c r="F389" i="3"/>
  <c r="R389" i="3" s="1"/>
  <c r="F388" i="3"/>
  <c r="R388" i="3" s="1"/>
  <c r="F387" i="3"/>
  <c r="R387" i="3" s="1"/>
  <c r="F386" i="3"/>
  <c r="R386" i="3" s="1"/>
  <c r="F385" i="3"/>
  <c r="R385" i="3" s="1"/>
  <c r="F384" i="3"/>
  <c r="R384" i="3" s="1"/>
  <c r="F383" i="3"/>
  <c r="R383" i="3" s="1"/>
  <c r="F382" i="3"/>
  <c r="R382" i="3" s="1"/>
  <c r="F381" i="3"/>
  <c r="R381" i="3" s="1"/>
  <c r="F380" i="3"/>
  <c r="R380" i="3" s="1"/>
  <c r="F379" i="3"/>
  <c r="R379" i="3" s="1"/>
  <c r="F378" i="3"/>
  <c r="R378" i="3" s="1"/>
  <c r="F377" i="3"/>
  <c r="R377" i="3" s="1"/>
  <c r="F376" i="3"/>
  <c r="R376" i="3" s="1"/>
  <c r="F375" i="3"/>
  <c r="R375" i="3" s="1"/>
  <c r="F374" i="3"/>
  <c r="R374" i="3" s="1"/>
  <c r="F373" i="3"/>
  <c r="R373" i="3" s="1"/>
  <c r="F372" i="3"/>
  <c r="R372" i="3" s="1"/>
  <c r="F371" i="3"/>
  <c r="R371" i="3" s="1"/>
  <c r="F370" i="3"/>
  <c r="R370" i="3" s="1"/>
  <c r="F369" i="3"/>
  <c r="R369" i="3" s="1"/>
  <c r="F368" i="3"/>
  <c r="R368" i="3" s="1"/>
  <c r="F367" i="3"/>
  <c r="R367" i="3" s="1"/>
  <c r="F366" i="3"/>
  <c r="R366" i="3" s="1"/>
  <c r="F365" i="3"/>
  <c r="R365" i="3" s="1"/>
  <c r="F364" i="3"/>
  <c r="R364" i="3" s="1"/>
  <c r="F363" i="3"/>
  <c r="R363" i="3" s="1"/>
  <c r="F362" i="3"/>
  <c r="R362" i="3" s="1"/>
  <c r="F361" i="3"/>
  <c r="R361" i="3" s="1"/>
  <c r="F360" i="3"/>
  <c r="R360" i="3" s="1"/>
  <c r="F359" i="3"/>
  <c r="R359" i="3" s="1"/>
  <c r="F358" i="3"/>
  <c r="R358" i="3" s="1"/>
  <c r="F357" i="3"/>
  <c r="R357" i="3" s="1"/>
  <c r="F356" i="3"/>
  <c r="R356" i="3" s="1"/>
  <c r="F355" i="3"/>
  <c r="R355" i="3" s="1"/>
  <c r="F354" i="3"/>
  <c r="R354" i="3" s="1"/>
  <c r="G353" i="3"/>
  <c r="S353" i="3" s="1"/>
  <c r="F353" i="3"/>
  <c r="R353" i="3" s="1"/>
  <c r="G352" i="3"/>
  <c r="S352" i="3" s="1"/>
  <c r="F352" i="3"/>
  <c r="R352" i="3" s="1"/>
  <c r="G351" i="3"/>
  <c r="S351" i="3" s="1"/>
  <c r="F351" i="3"/>
  <c r="R351" i="3" s="1"/>
  <c r="G350" i="3"/>
  <c r="S350" i="3" s="1"/>
  <c r="F350" i="3"/>
  <c r="R350" i="3" s="1"/>
  <c r="G349" i="3"/>
  <c r="S349" i="3" s="1"/>
  <c r="F349" i="3"/>
  <c r="R349" i="3" s="1"/>
  <c r="G348" i="3"/>
  <c r="S348" i="3" s="1"/>
  <c r="F348" i="3"/>
  <c r="R348" i="3" s="1"/>
  <c r="G347" i="3"/>
  <c r="S347" i="3" s="1"/>
  <c r="F347" i="3"/>
  <c r="R347" i="3" s="1"/>
  <c r="G346" i="3"/>
  <c r="S346" i="3" s="1"/>
  <c r="F346" i="3"/>
  <c r="R346" i="3" s="1"/>
  <c r="G345" i="3"/>
  <c r="S345" i="3" s="1"/>
  <c r="F345" i="3"/>
  <c r="R345" i="3" s="1"/>
  <c r="G344" i="3"/>
  <c r="S344" i="3" s="1"/>
  <c r="F344" i="3"/>
  <c r="R344" i="3" s="1"/>
  <c r="G343" i="3"/>
  <c r="S343" i="3" s="1"/>
  <c r="F343" i="3"/>
  <c r="R343" i="3" s="1"/>
  <c r="G342" i="3"/>
  <c r="S342" i="3" s="1"/>
  <c r="F342" i="3"/>
  <c r="R342" i="3" s="1"/>
  <c r="G341" i="3"/>
  <c r="S341" i="3" s="1"/>
  <c r="F341" i="3"/>
  <c r="R341" i="3" s="1"/>
  <c r="G340" i="3"/>
  <c r="S340" i="3" s="1"/>
  <c r="F340" i="3"/>
  <c r="R340" i="3" s="1"/>
  <c r="G339" i="3"/>
  <c r="S339" i="3" s="1"/>
  <c r="F339" i="3"/>
  <c r="R339" i="3" s="1"/>
  <c r="G338" i="3"/>
  <c r="S338" i="3" s="1"/>
  <c r="F338" i="3"/>
  <c r="R338" i="3" s="1"/>
  <c r="G337" i="3"/>
  <c r="S337" i="3" s="1"/>
  <c r="F337" i="3"/>
  <c r="R337" i="3" s="1"/>
  <c r="G336" i="3"/>
  <c r="S336" i="3" s="1"/>
  <c r="F336" i="3"/>
  <c r="R336" i="3" s="1"/>
  <c r="G335" i="3"/>
  <c r="S335" i="3" s="1"/>
  <c r="F335" i="3"/>
  <c r="R335" i="3" s="1"/>
  <c r="G334" i="3"/>
  <c r="S334" i="3" s="1"/>
  <c r="F333" i="3"/>
  <c r="R333" i="3" s="1"/>
  <c r="G332" i="3"/>
  <c r="S332" i="3" s="1"/>
  <c r="F332" i="3"/>
  <c r="R332" i="3" s="1"/>
  <c r="G331" i="3"/>
  <c r="S331" i="3" s="1"/>
  <c r="F331" i="3"/>
  <c r="R331" i="3" s="1"/>
  <c r="G330" i="3"/>
  <c r="S330" i="3" s="1"/>
  <c r="F330" i="3"/>
  <c r="R330" i="3" s="1"/>
  <c r="G329" i="3"/>
  <c r="S329" i="3" s="1"/>
  <c r="F329" i="3"/>
  <c r="R329" i="3" s="1"/>
  <c r="G328" i="3"/>
  <c r="S328" i="3" s="1"/>
  <c r="F328" i="3"/>
  <c r="R328" i="3" s="1"/>
  <c r="G327" i="3"/>
  <c r="S327" i="3" s="1"/>
  <c r="F327" i="3"/>
  <c r="R327" i="3" s="1"/>
  <c r="G326" i="3"/>
  <c r="S326" i="3" s="1"/>
  <c r="F326" i="3"/>
  <c r="R326" i="3" s="1"/>
  <c r="G325" i="3"/>
  <c r="S325" i="3" s="1"/>
  <c r="F325" i="3"/>
  <c r="R325" i="3" s="1"/>
  <c r="G324" i="3"/>
  <c r="S324" i="3" s="1"/>
  <c r="F324" i="3"/>
  <c r="R324" i="3" s="1"/>
  <c r="G323" i="3"/>
  <c r="S323" i="3" s="1"/>
  <c r="F323" i="3"/>
  <c r="R323" i="3" s="1"/>
  <c r="G322" i="3"/>
  <c r="S322" i="3" s="1"/>
  <c r="F322" i="3"/>
  <c r="R322" i="3" s="1"/>
  <c r="G321" i="3"/>
  <c r="S321" i="3" s="1"/>
  <c r="F321" i="3"/>
  <c r="R321" i="3" s="1"/>
  <c r="G320" i="3"/>
  <c r="S320" i="3" s="1"/>
  <c r="G267" i="3"/>
  <c r="S267" i="3" s="1"/>
  <c r="G266" i="3"/>
  <c r="S266" i="3" s="1"/>
  <c r="G260" i="3"/>
  <c r="S260" i="3" s="1"/>
  <c r="G250" i="3"/>
  <c r="S250" i="3" s="1"/>
  <c r="G245" i="3"/>
  <c r="S245" i="3" s="1"/>
  <c r="G240" i="3"/>
  <c r="S240" i="3" s="1"/>
  <c r="G236" i="3"/>
  <c r="S236" i="3" s="1"/>
  <c r="F320" i="3"/>
  <c r="R320" i="3" s="1"/>
  <c r="G319" i="3"/>
  <c r="S319" i="3" s="1"/>
  <c r="F319" i="3"/>
  <c r="R319" i="3" s="1"/>
  <c r="G318" i="3"/>
  <c r="S318" i="3" s="1"/>
  <c r="F318" i="3"/>
  <c r="R318" i="3" s="1"/>
  <c r="G317" i="3"/>
  <c r="S317" i="3" s="1"/>
  <c r="F317" i="3"/>
  <c r="R317" i="3" s="1"/>
  <c r="G316" i="3"/>
  <c r="S316" i="3" s="1"/>
  <c r="F316" i="3"/>
  <c r="R316" i="3" s="1"/>
  <c r="G315" i="3"/>
  <c r="S315" i="3" s="1"/>
  <c r="F315" i="3"/>
  <c r="R315" i="3" s="1"/>
  <c r="G314" i="3"/>
  <c r="S314" i="3" s="1"/>
  <c r="F314" i="3"/>
  <c r="R314" i="3" s="1"/>
  <c r="G313" i="3"/>
  <c r="S313" i="3" s="1"/>
  <c r="F313" i="3"/>
  <c r="R313" i="3" s="1"/>
  <c r="G312" i="3"/>
  <c r="S312" i="3" s="1"/>
  <c r="F312" i="3"/>
  <c r="R312" i="3" s="1"/>
  <c r="G311" i="3"/>
  <c r="S311" i="3" s="1"/>
  <c r="F311" i="3"/>
  <c r="R311" i="3" s="1"/>
  <c r="G310" i="3"/>
  <c r="S310" i="3" s="1"/>
  <c r="F310" i="3"/>
  <c r="R310" i="3" s="1"/>
  <c r="G309" i="3"/>
  <c r="S309" i="3" s="1"/>
  <c r="F309" i="3"/>
  <c r="R309" i="3" s="1"/>
  <c r="G308" i="3"/>
  <c r="S308" i="3" s="1"/>
  <c r="F308" i="3"/>
  <c r="R308" i="3" s="1"/>
  <c r="G307" i="3"/>
  <c r="S307" i="3" s="1"/>
  <c r="F307" i="3"/>
  <c r="R307" i="3" s="1"/>
  <c r="G306" i="3"/>
  <c r="S306" i="3" s="1"/>
  <c r="F306" i="3"/>
  <c r="R306" i="3" s="1"/>
  <c r="G305" i="3"/>
  <c r="S305" i="3" s="1"/>
  <c r="F305" i="3"/>
  <c r="R305" i="3" s="1"/>
  <c r="G304" i="3"/>
  <c r="S304" i="3" s="1"/>
  <c r="F304" i="3"/>
  <c r="R304" i="3" s="1"/>
  <c r="G262" i="3"/>
  <c r="S262" i="3" s="1"/>
  <c r="G261" i="3"/>
  <c r="S261" i="3" s="1"/>
  <c r="G246" i="3"/>
  <c r="S246" i="3" s="1"/>
  <c r="G242" i="3"/>
  <c r="S242" i="3" s="1"/>
  <c r="G237" i="3"/>
  <c r="S237" i="3" s="1"/>
  <c r="F302" i="3"/>
  <c r="R302" i="3" s="1"/>
  <c r="F301" i="3"/>
  <c r="R301" i="3" s="1"/>
  <c r="F300" i="3"/>
  <c r="R300" i="3" s="1"/>
  <c r="G299" i="3"/>
  <c r="S299" i="3" s="1"/>
  <c r="G298" i="3"/>
  <c r="S298" i="3" s="1"/>
  <c r="G297" i="3"/>
  <c r="S297" i="3" s="1"/>
  <c r="F296" i="3"/>
  <c r="R296" i="3" s="1"/>
  <c r="F295" i="3"/>
  <c r="R295" i="3" s="1"/>
  <c r="F294" i="3"/>
  <c r="R294" i="3" s="1"/>
  <c r="F293" i="3"/>
  <c r="R293" i="3" s="1"/>
  <c r="F292" i="3"/>
  <c r="R292" i="3" s="1"/>
  <c r="F291" i="3"/>
  <c r="R291" i="3" s="1"/>
  <c r="G289" i="3"/>
  <c r="S289" i="3" s="1"/>
  <c r="F288" i="3"/>
  <c r="R288" i="3" s="1"/>
  <c r="F287" i="3"/>
  <c r="R287" i="3" s="1"/>
  <c r="F286" i="3"/>
  <c r="R286" i="3" s="1"/>
  <c r="F285" i="3"/>
  <c r="R285" i="3" s="1"/>
  <c r="G283" i="3"/>
  <c r="S283" i="3" s="1"/>
  <c r="F282" i="3"/>
  <c r="R282" i="3" s="1"/>
  <c r="F281" i="3"/>
  <c r="R281" i="3" s="1"/>
  <c r="F280" i="3"/>
  <c r="R280" i="3" s="1"/>
  <c r="F279" i="3"/>
  <c r="R279" i="3" s="1"/>
  <c r="F278" i="3"/>
  <c r="R278" i="3" s="1"/>
  <c r="G277" i="3"/>
  <c r="S277" i="3" s="1"/>
  <c r="G273" i="3"/>
  <c r="S273" i="3" s="1"/>
  <c r="G271" i="3"/>
  <c r="S271" i="3" s="1"/>
  <c r="G269" i="3"/>
  <c r="S269" i="3" s="1"/>
  <c r="G265" i="3"/>
  <c r="S265" i="3" s="1"/>
  <c r="G263" i="3"/>
  <c r="S263" i="3" s="1"/>
  <c r="G248" i="3"/>
  <c r="S248" i="3" s="1"/>
  <c r="G241" i="3"/>
  <c r="S241" i="3" s="1"/>
  <c r="G235" i="3"/>
  <c r="S235" i="3" s="1"/>
  <c r="F303" i="3"/>
  <c r="R303" i="3" s="1"/>
  <c r="F299" i="3"/>
  <c r="R299" i="3" s="1"/>
  <c r="F298" i="3"/>
  <c r="R298" i="3" s="1"/>
  <c r="F297" i="3"/>
  <c r="R297" i="3" s="1"/>
  <c r="G296" i="3"/>
  <c r="S296" i="3" s="1"/>
  <c r="G295" i="3"/>
  <c r="S295" i="3" s="1"/>
  <c r="G294" i="3"/>
  <c r="S294" i="3" s="1"/>
  <c r="G293" i="3"/>
  <c r="S293" i="3" s="1"/>
  <c r="G292" i="3"/>
  <c r="S292" i="3" s="1"/>
  <c r="G291" i="3"/>
  <c r="S291" i="3" s="1"/>
  <c r="G290" i="3"/>
  <c r="S290" i="3" s="1"/>
  <c r="F290" i="3"/>
  <c r="R290" i="3" s="1"/>
  <c r="F289" i="3"/>
  <c r="R289" i="3" s="1"/>
  <c r="G288" i="3"/>
  <c r="S288" i="3" s="1"/>
  <c r="G287" i="3"/>
  <c r="S287" i="3" s="1"/>
  <c r="G286" i="3"/>
  <c r="S286" i="3" s="1"/>
  <c r="G285" i="3"/>
  <c r="S285" i="3" s="1"/>
  <c r="G284" i="3"/>
  <c r="S284" i="3" s="1"/>
  <c r="F284" i="3"/>
  <c r="R284" i="3" s="1"/>
  <c r="F283" i="3"/>
  <c r="R283" i="3" s="1"/>
  <c r="G282" i="3"/>
  <c r="S282" i="3" s="1"/>
  <c r="G281" i="3"/>
  <c r="S281" i="3" s="1"/>
  <c r="G280" i="3"/>
  <c r="S280" i="3" s="1"/>
  <c r="G279" i="3"/>
  <c r="S279" i="3" s="1"/>
  <c r="G278" i="3"/>
  <c r="S278" i="3" s="1"/>
  <c r="G276" i="3"/>
  <c r="S276" i="3" s="1"/>
  <c r="G275" i="3"/>
  <c r="S275" i="3" s="1"/>
  <c r="G274" i="3"/>
  <c r="S274" i="3" s="1"/>
  <c r="G272" i="3"/>
  <c r="S272" i="3" s="1"/>
  <c r="G270" i="3"/>
  <c r="S270" i="3" s="1"/>
  <c r="G268" i="3"/>
  <c r="S268" i="3" s="1"/>
  <c r="G264" i="3"/>
  <c r="S264" i="3" s="1"/>
  <c r="G247" i="3"/>
  <c r="S247" i="3" s="1"/>
  <c r="G243" i="3"/>
  <c r="S243" i="3" s="1"/>
  <c r="G238" i="3"/>
  <c r="S238" i="3" s="1"/>
  <c r="F260" i="3"/>
  <c r="R260" i="3" s="1"/>
  <c r="G259" i="3"/>
  <c r="S259" i="3" s="1"/>
  <c r="G258" i="3"/>
  <c r="S258" i="3" s="1"/>
  <c r="G257" i="3"/>
  <c r="S257" i="3" s="1"/>
  <c r="G256" i="3"/>
  <c r="S256" i="3" s="1"/>
  <c r="G255" i="3"/>
  <c r="S255" i="3" s="1"/>
  <c r="G254" i="3"/>
  <c r="S254" i="3" s="1"/>
  <c r="G253" i="3"/>
  <c r="S253" i="3" s="1"/>
  <c r="G252" i="3"/>
  <c r="S252" i="3" s="1"/>
  <c r="G251" i="3"/>
  <c r="S251" i="3" s="1"/>
  <c r="G249" i="3"/>
  <c r="S249" i="3" s="1"/>
  <c r="G244" i="3"/>
  <c r="S244" i="3" s="1"/>
  <c r="G239" i="3"/>
  <c r="S239" i="3" s="1"/>
  <c r="G518" i="3"/>
  <c r="S518" i="3" s="1"/>
  <c r="F518" i="3"/>
  <c r="R518" i="3" s="1"/>
  <c r="G517" i="3"/>
  <c r="S517" i="3" s="1"/>
  <c r="F517" i="3"/>
  <c r="R517" i="3" s="1"/>
  <c r="G516" i="3"/>
  <c r="S516" i="3" s="1"/>
  <c r="F516" i="3"/>
  <c r="R516" i="3" s="1"/>
  <c r="G515" i="3"/>
  <c r="S515" i="3" s="1"/>
  <c r="F515" i="3"/>
  <c r="R515" i="3" s="1"/>
  <c r="G514" i="3"/>
  <c r="S514" i="3" s="1"/>
  <c r="F514" i="3"/>
  <c r="R514" i="3" s="1"/>
  <c r="G513" i="3"/>
  <c r="S513" i="3" s="1"/>
  <c r="F513" i="3"/>
  <c r="R513" i="3" s="1"/>
  <c r="G512" i="3"/>
  <c r="S512" i="3" s="1"/>
  <c r="F512" i="3"/>
  <c r="R512" i="3" s="1"/>
  <c r="G511" i="3"/>
  <c r="S511" i="3" s="1"/>
  <c r="F511" i="3"/>
  <c r="R511" i="3" s="1"/>
  <c r="G510" i="3"/>
  <c r="S510" i="3" s="1"/>
  <c r="F510" i="3"/>
  <c r="R510" i="3" s="1"/>
  <c r="G509" i="3"/>
  <c r="S509" i="3" s="1"/>
  <c r="F509" i="3"/>
  <c r="R509" i="3" s="1"/>
  <c r="G508" i="3"/>
  <c r="S508" i="3" s="1"/>
  <c r="F508" i="3"/>
  <c r="R508" i="3" s="1"/>
  <c r="G507" i="3"/>
  <c r="S507" i="3" s="1"/>
  <c r="F507" i="3"/>
  <c r="R507" i="3" s="1"/>
  <c r="G506" i="3"/>
  <c r="S506" i="3" s="1"/>
  <c r="F506" i="3"/>
  <c r="R506" i="3" s="1"/>
  <c r="G505" i="3"/>
  <c r="S505" i="3" s="1"/>
  <c r="F505" i="3"/>
  <c r="R505" i="3" s="1"/>
  <c r="G504" i="3"/>
  <c r="S504" i="3" s="1"/>
  <c r="F504" i="3"/>
  <c r="R504" i="3" s="1"/>
  <c r="G503" i="3"/>
  <c r="S503" i="3" s="1"/>
  <c r="F503" i="3"/>
  <c r="R503" i="3" s="1"/>
  <c r="G502" i="3"/>
  <c r="S502" i="3" s="1"/>
  <c r="F502" i="3"/>
  <c r="R502" i="3" s="1"/>
  <c r="G501" i="3"/>
  <c r="S501" i="3" s="1"/>
  <c r="F501" i="3"/>
  <c r="R501" i="3" s="1"/>
  <c r="G500" i="3"/>
  <c r="S500" i="3" s="1"/>
  <c r="F500" i="3"/>
  <c r="R500" i="3" s="1"/>
  <c r="G499" i="3"/>
  <c r="S499" i="3" s="1"/>
  <c r="F499" i="3"/>
  <c r="R499" i="3" s="1"/>
  <c r="G498" i="3"/>
  <c r="S498" i="3" s="1"/>
  <c r="F498" i="3"/>
  <c r="R498" i="3" s="1"/>
  <c r="G497" i="3"/>
  <c r="S497" i="3" s="1"/>
  <c r="F497" i="3"/>
  <c r="R497" i="3" s="1"/>
  <c r="G496" i="3"/>
  <c r="S496" i="3" s="1"/>
  <c r="F496" i="3"/>
  <c r="R496" i="3" s="1"/>
  <c r="G495" i="3"/>
  <c r="S495" i="3" s="1"/>
  <c r="F495" i="3"/>
  <c r="R495" i="3" s="1"/>
  <c r="G494" i="3"/>
  <c r="S494" i="3" s="1"/>
  <c r="F494" i="3"/>
  <c r="R494" i="3" s="1"/>
  <c r="G493" i="3"/>
  <c r="S493" i="3" s="1"/>
  <c r="F493" i="3"/>
  <c r="R493" i="3" s="1"/>
  <c r="G492" i="3"/>
  <c r="S492" i="3" s="1"/>
  <c r="F492" i="3"/>
  <c r="R492" i="3" s="1"/>
  <c r="G491" i="3"/>
  <c r="S491" i="3" s="1"/>
  <c r="F491" i="3"/>
  <c r="R491" i="3" s="1"/>
  <c r="G490" i="3"/>
  <c r="S490" i="3" s="1"/>
  <c r="F490" i="3"/>
  <c r="R490" i="3" s="1"/>
  <c r="G489" i="3"/>
  <c r="S489" i="3" s="1"/>
  <c r="F489" i="3"/>
  <c r="R489" i="3" s="1"/>
  <c r="G487" i="3"/>
  <c r="S487" i="3" s="1"/>
  <c r="F487" i="3"/>
  <c r="R487" i="3" s="1"/>
  <c r="G486" i="3"/>
  <c r="S486" i="3" s="1"/>
  <c r="F486" i="3"/>
  <c r="R486" i="3" s="1"/>
  <c r="G485" i="3"/>
  <c r="S485" i="3" s="1"/>
  <c r="F485" i="3"/>
  <c r="R485" i="3" s="1"/>
  <c r="G484" i="3"/>
  <c r="S484" i="3" s="1"/>
  <c r="F484" i="3"/>
  <c r="R484" i="3" s="1"/>
  <c r="G483" i="3"/>
  <c r="S483" i="3" s="1"/>
  <c r="F483" i="3"/>
  <c r="R483" i="3" s="1"/>
  <c r="G482" i="3"/>
  <c r="S482" i="3" s="1"/>
  <c r="F482" i="3"/>
  <c r="R482" i="3" s="1"/>
  <c r="G481" i="3"/>
  <c r="S481" i="3" s="1"/>
  <c r="F481" i="3"/>
  <c r="R481" i="3" s="1"/>
  <c r="G480" i="3"/>
  <c r="S480" i="3" s="1"/>
  <c r="F480" i="3"/>
  <c r="R480" i="3" s="1"/>
  <c r="G479" i="3"/>
  <c r="S479" i="3" s="1"/>
  <c r="F479" i="3"/>
  <c r="R479" i="3" s="1"/>
  <c r="G478" i="3"/>
  <c r="S478" i="3" s="1"/>
  <c r="F478" i="3"/>
  <c r="R478" i="3" s="1"/>
  <c r="G477" i="3"/>
  <c r="S477" i="3" s="1"/>
  <c r="F477" i="3"/>
  <c r="R477" i="3" s="1"/>
  <c r="G476" i="3"/>
  <c r="S476" i="3" s="1"/>
  <c r="F476" i="3"/>
  <c r="R476" i="3" s="1"/>
  <c r="G475" i="3"/>
  <c r="S475" i="3" s="1"/>
  <c r="F475" i="3"/>
  <c r="R475" i="3" s="1"/>
  <c r="G474" i="3"/>
  <c r="S474" i="3" s="1"/>
  <c r="F474" i="3"/>
  <c r="R474" i="3" s="1"/>
  <c r="G473" i="3"/>
  <c r="S473" i="3" s="1"/>
  <c r="F473" i="3"/>
  <c r="R473" i="3" s="1"/>
  <c r="G472" i="3"/>
  <c r="S472" i="3" s="1"/>
  <c r="F472" i="3"/>
  <c r="R472" i="3" s="1"/>
  <c r="G471" i="3"/>
  <c r="S471" i="3" s="1"/>
  <c r="F471" i="3"/>
  <c r="R471" i="3" s="1"/>
  <c r="G470" i="3"/>
  <c r="S470" i="3" s="1"/>
  <c r="F470" i="3"/>
  <c r="R470" i="3" s="1"/>
  <c r="G469" i="3"/>
  <c r="S469" i="3" s="1"/>
  <c r="F469" i="3"/>
  <c r="R469" i="3" s="1"/>
  <c r="G468" i="3"/>
  <c r="S468" i="3" s="1"/>
  <c r="F468" i="3"/>
  <c r="R468" i="3" s="1"/>
  <c r="G467" i="3"/>
  <c r="S467" i="3" s="1"/>
  <c r="F467" i="3"/>
  <c r="R467" i="3" s="1"/>
  <c r="G466" i="3"/>
  <c r="S466" i="3" s="1"/>
  <c r="F466" i="3"/>
  <c r="R466" i="3" s="1"/>
  <c r="G465" i="3"/>
  <c r="S465" i="3" s="1"/>
  <c r="F465" i="3"/>
  <c r="R465" i="3" s="1"/>
  <c r="G464" i="3"/>
  <c r="S464" i="3" s="1"/>
  <c r="F464" i="3"/>
  <c r="R464" i="3" s="1"/>
  <c r="G463" i="3"/>
  <c r="S463" i="3" s="1"/>
  <c r="F463" i="3"/>
  <c r="R463" i="3" s="1"/>
  <c r="G462" i="3"/>
  <c r="S462" i="3" s="1"/>
  <c r="F462" i="3"/>
  <c r="R462" i="3" s="1"/>
  <c r="G461" i="3"/>
  <c r="S461" i="3" s="1"/>
  <c r="F461" i="3"/>
  <c r="R461" i="3" s="1"/>
  <c r="G460" i="3"/>
  <c r="S460" i="3" s="1"/>
  <c r="F460" i="3"/>
  <c r="R460" i="3" s="1"/>
  <c r="G459" i="3"/>
  <c r="S459" i="3" s="1"/>
  <c r="F459" i="3"/>
  <c r="R459" i="3" s="1"/>
  <c r="G458" i="3"/>
  <c r="S458" i="3" s="1"/>
  <c r="F458" i="3"/>
  <c r="R458" i="3" s="1"/>
  <c r="G457" i="3"/>
  <c r="S457" i="3" s="1"/>
  <c r="F457" i="3"/>
  <c r="R457" i="3" s="1"/>
  <c r="G456" i="3"/>
  <c r="S456" i="3" s="1"/>
  <c r="F456" i="3"/>
  <c r="R456" i="3" s="1"/>
  <c r="G455" i="3"/>
  <c r="S455" i="3" s="1"/>
  <c r="F455" i="3"/>
  <c r="R455" i="3" s="1"/>
  <c r="G454" i="3"/>
  <c r="S454" i="3" s="1"/>
  <c r="F454" i="3"/>
  <c r="R454" i="3" s="1"/>
  <c r="G453" i="3"/>
  <c r="S453" i="3" s="1"/>
  <c r="F453" i="3"/>
  <c r="R453" i="3" s="1"/>
  <c r="G452" i="3"/>
  <c r="S452" i="3" s="1"/>
  <c r="F452" i="3"/>
  <c r="R452" i="3" s="1"/>
  <c r="G451" i="3"/>
  <c r="S451" i="3" s="1"/>
  <c r="F451" i="3"/>
  <c r="R451" i="3" s="1"/>
  <c r="G450" i="3"/>
  <c r="S450" i="3" s="1"/>
  <c r="F450" i="3"/>
  <c r="R450" i="3" s="1"/>
  <c r="G449" i="3"/>
  <c r="S449" i="3" s="1"/>
  <c r="F449" i="3"/>
  <c r="R449" i="3" s="1"/>
  <c r="G448" i="3"/>
  <c r="S448" i="3" s="1"/>
  <c r="F448" i="3"/>
  <c r="R448" i="3" s="1"/>
  <c r="F446" i="3"/>
  <c r="R446" i="3" s="1"/>
  <c r="G445" i="3"/>
  <c r="S445" i="3" s="1"/>
  <c r="F445" i="3"/>
  <c r="R445" i="3" s="1"/>
  <c r="G444" i="3"/>
  <c r="S444" i="3" s="1"/>
  <c r="F444" i="3"/>
  <c r="R444" i="3" s="1"/>
  <c r="G443" i="3"/>
  <c r="S443" i="3" s="1"/>
  <c r="F443" i="3"/>
  <c r="R443" i="3" s="1"/>
  <c r="G442" i="3"/>
  <c r="S442" i="3" s="1"/>
  <c r="F442" i="3"/>
  <c r="R442" i="3" s="1"/>
  <c r="G441" i="3"/>
  <c r="S441" i="3" s="1"/>
  <c r="F441" i="3"/>
  <c r="R441" i="3" s="1"/>
  <c r="G440" i="3"/>
  <c r="S440" i="3" s="1"/>
  <c r="F440" i="3"/>
  <c r="R440" i="3" s="1"/>
  <c r="G439" i="3"/>
  <c r="S439" i="3" s="1"/>
  <c r="F439" i="3"/>
  <c r="R439" i="3" s="1"/>
  <c r="G438" i="3"/>
  <c r="S438" i="3" s="1"/>
  <c r="F438" i="3"/>
  <c r="R438" i="3" s="1"/>
  <c r="G437" i="3"/>
  <c r="S437" i="3" s="1"/>
  <c r="F437" i="3"/>
  <c r="R437" i="3" s="1"/>
  <c r="G436" i="3"/>
  <c r="S436" i="3" s="1"/>
  <c r="F436" i="3"/>
  <c r="R436" i="3" s="1"/>
  <c r="G435" i="3"/>
  <c r="S435" i="3" s="1"/>
  <c r="F435" i="3"/>
  <c r="R435" i="3" s="1"/>
  <c r="G434" i="3"/>
  <c r="S434" i="3" s="1"/>
  <c r="F434" i="3"/>
  <c r="R434" i="3" s="1"/>
  <c r="G433" i="3"/>
  <c r="S433" i="3" s="1"/>
  <c r="F433" i="3"/>
  <c r="R433" i="3" s="1"/>
  <c r="G432" i="3"/>
  <c r="S432" i="3" s="1"/>
  <c r="F432" i="3"/>
  <c r="R432" i="3" s="1"/>
  <c r="G431" i="3"/>
  <c r="S431" i="3" s="1"/>
  <c r="F431" i="3"/>
  <c r="R431" i="3" s="1"/>
  <c r="G428" i="3"/>
  <c r="S428" i="3" s="1"/>
  <c r="F428" i="3"/>
  <c r="R428" i="3" s="1"/>
  <c r="G427" i="3"/>
  <c r="S427" i="3" s="1"/>
  <c r="F427" i="3"/>
  <c r="R427" i="3" s="1"/>
  <c r="G426" i="3"/>
  <c r="S426" i="3" s="1"/>
  <c r="F426" i="3"/>
  <c r="R426" i="3" s="1"/>
  <c r="G425" i="3"/>
  <c r="S425" i="3" s="1"/>
  <c r="F425" i="3"/>
  <c r="R425" i="3" s="1"/>
  <c r="G424" i="3"/>
  <c r="S424" i="3" s="1"/>
  <c r="F424" i="3"/>
  <c r="R424" i="3" s="1"/>
  <c r="G423" i="3"/>
  <c r="S423" i="3" s="1"/>
  <c r="F423" i="3"/>
  <c r="R423" i="3" s="1"/>
  <c r="F422" i="3"/>
  <c r="R422" i="3" s="1"/>
  <c r="G419" i="3"/>
  <c r="S419" i="3" s="1"/>
  <c r="G418" i="3"/>
  <c r="S418" i="3" s="1"/>
  <c r="G417" i="3"/>
  <c r="S417" i="3" s="1"/>
  <c r="G415" i="3"/>
  <c r="S415" i="3" s="1"/>
  <c r="G414" i="3"/>
  <c r="S414" i="3" s="1"/>
  <c r="G412" i="3"/>
  <c r="S412" i="3" s="1"/>
  <c r="G411" i="3"/>
  <c r="S411" i="3" s="1"/>
  <c r="G382" i="3"/>
  <c r="S382" i="3" s="1"/>
  <c r="G380" i="3"/>
  <c r="S380" i="3" s="1"/>
  <c r="G372" i="3"/>
  <c r="S372" i="3" s="1"/>
  <c r="G371" i="3"/>
  <c r="S371" i="3" s="1"/>
  <c r="G369" i="3"/>
  <c r="S369" i="3" s="1"/>
  <c r="G367" i="3"/>
  <c r="S367" i="3" s="1"/>
  <c r="G365" i="3"/>
  <c r="S365" i="3" s="1"/>
  <c r="G363" i="3"/>
  <c r="S363" i="3" s="1"/>
  <c r="G361" i="3"/>
  <c r="S361" i="3" s="1"/>
  <c r="G359" i="3"/>
  <c r="S359" i="3" s="1"/>
  <c r="G357" i="3"/>
  <c r="S357" i="3" s="1"/>
  <c r="G355" i="3"/>
  <c r="S355" i="3" s="1"/>
  <c r="G488" i="3"/>
  <c r="S488" i="3" s="1"/>
  <c r="F488" i="3"/>
  <c r="R488" i="3" s="1"/>
  <c r="G430" i="3"/>
  <c r="S430" i="3" s="1"/>
  <c r="F430" i="3"/>
  <c r="R430" i="3" s="1"/>
  <c r="G429" i="3"/>
  <c r="S429" i="3" s="1"/>
  <c r="F429" i="3"/>
  <c r="R429" i="3" s="1"/>
  <c r="G422" i="3"/>
  <c r="S422" i="3" s="1"/>
  <c r="G421" i="3"/>
  <c r="S421" i="3" s="1"/>
  <c r="G420" i="3"/>
  <c r="S420" i="3" s="1"/>
  <c r="G416" i="3"/>
  <c r="S416" i="3" s="1"/>
  <c r="G413" i="3"/>
  <c r="S413" i="3" s="1"/>
  <c r="G383" i="3"/>
  <c r="S383" i="3" s="1"/>
  <c r="G379" i="3"/>
  <c r="S379" i="3" s="1"/>
  <c r="G376" i="3"/>
  <c r="S376" i="3" s="1"/>
  <c r="G375" i="3"/>
  <c r="S375" i="3" s="1"/>
  <c r="G368" i="3"/>
  <c r="S368" i="3" s="1"/>
  <c r="G364" i="3"/>
  <c r="S364" i="3" s="1"/>
  <c r="G360" i="3"/>
  <c r="S360" i="3" s="1"/>
  <c r="G356" i="3"/>
  <c r="S356" i="3" s="1"/>
  <c r="G410" i="3"/>
  <c r="S410" i="3" s="1"/>
  <c r="F410" i="3"/>
  <c r="R410" i="3" s="1"/>
  <c r="G409" i="3"/>
  <c r="S409" i="3" s="1"/>
  <c r="F409" i="3"/>
  <c r="R409" i="3" s="1"/>
  <c r="G408" i="3"/>
  <c r="S408" i="3" s="1"/>
  <c r="F408" i="3"/>
  <c r="R408" i="3" s="1"/>
  <c r="G407" i="3"/>
  <c r="S407" i="3" s="1"/>
  <c r="F407" i="3"/>
  <c r="R407" i="3" s="1"/>
  <c r="G406" i="3"/>
  <c r="S406" i="3" s="1"/>
  <c r="F406" i="3"/>
  <c r="R406" i="3" s="1"/>
  <c r="G405" i="3"/>
  <c r="S405" i="3" s="1"/>
  <c r="F405" i="3"/>
  <c r="R405" i="3" s="1"/>
  <c r="G404" i="3"/>
  <c r="S404" i="3" s="1"/>
  <c r="F404" i="3"/>
  <c r="R404" i="3" s="1"/>
  <c r="G403" i="3"/>
  <c r="S403" i="3" s="1"/>
  <c r="F403" i="3"/>
  <c r="R403" i="3" s="1"/>
  <c r="G402" i="3"/>
  <c r="S402" i="3" s="1"/>
  <c r="F402" i="3"/>
  <c r="R402" i="3" s="1"/>
  <c r="G401" i="3"/>
  <c r="S401" i="3" s="1"/>
  <c r="F401" i="3"/>
  <c r="R401" i="3" s="1"/>
  <c r="G400" i="3"/>
  <c r="S400" i="3" s="1"/>
  <c r="F400" i="3"/>
  <c r="R400" i="3" s="1"/>
  <c r="G399" i="3"/>
  <c r="S399" i="3" s="1"/>
  <c r="F399" i="3"/>
  <c r="R399" i="3" s="1"/>
  <c r="G398" i="3"/>
  <c r="S398" i="3" s="1"/>
  <c r="F398" i="3"/>
  <c r="R398" i="3" s="1"/>
  <c r="G397" i="3"/>
  <c r="S397" i="3" s="1"/>
  <c r="F397" i="3"/>
  <c r="R397" i="3" s="1"/>
  <c r="G396" i="3"/>
  <c r="S396" i="3" s="1"/>
  <c r="F396" i="3"/>
  <c r="R396" i="3" s="1"/>
  <c r="G395" i="3"/>
  <c r="S395" i="3" s="1"/>
  <c r="F395" i="3"/>
  <c r="R395" i="3" s="1"/>
  <c r="G394" i="3"/>
  <c r="S394" i="3" s="1"/>
  <c r="F394" i="3"/>
  <c r="R394" i="3" s="1"/>
  <c r="G393" i="3"/>
  <c r="S393" i="3" s="1"/>
  <c r="F393" i="3"/>
  <c r="R393" i="3" s="1"/>
  <c r="G392" i="3"/>
  <c r="S392" i="3" s="1"/>
  <c r="F392" i="3"/>
  <c r="R392" i="3" s="1"/>
  <c r="G391" i="3"/>
  <c r="S391" i="3" s="1"/>
  <c r="F391" i="3"/>
  <c r="R391" i="3" s="1"/>
  <c r="G390" i="3"/>
  <c r="S390" i="3" s="1"/>
  <c r="F390" i="3"/>
  <c r="R390" i="3" s="1"/>
  <c r="G389" i="3"/>
  <c r="S389" i="3" s="1"/>
  <c r="G388" i="3"/>
  <c r="S388" i="3" s="1"/>
  <c r="G387" i="3"/>
  <c r="S387" i="3" s="1"/>
  <c r="G386" i="3"/>
  <c r="S386" i="3" s="1"/>
  <c r="G385" i="3"/>
  <c r="S385" i="3" s="1"/>
  <c r="G384" i="3"/>
  <c r="S384" i="3" s="1"/>
  <c r="G381" i="3"/>
  <c r="S381" i="3" s="1"/>
  <c r="G378" i="3"/>
  <c r="S378" i="3" s="1"/>
  <c r="G377" i="3"/>
  <c r="S377" i="3" s="1"/>
  <c r="G374" i="3"/>
  <c r="S374" i="3" s="1"/>
  <c r="G373" i="3"/>
  <c r="S373" i="3" s="1"/>
  <c r="G370" i="3"/>
  <c r="S370" i="3" s="1"/>
  <c r="G366" i="3"/>
  <c r="S366" i="3" s="1"/>
  <c r="G362" i="3"/>
  <c r="S362" i="3" s="1"/>
  <c r="G358" i="3"/>
  <c r="S358" i="3" s="1"/>
  <c r="F334" i="3"/>
  <c r="R334" i="3" s="1"/>
  <c r="G333" i="3"/>
  <c r="S333" i="3" s="1"/>
  <c r="G303" i="3"/>
  <c r="S303" i="3" s="1"/>
  <c r="G302" i="3"/>
  <c r="S302" i="3" s="1"/>
  <c r="G301" i="3"/>
  <c r="S301" i="3" s="1"/>
  <c r="G300" i="3"/>
  <c r="S300" i="3" s="1"/>
  <c r="O99" i="3"/>
  <c r="G234" i="3"/>
  <c r="S234" i="3" s="1"/>
  <c r="F234" i="3"/>
  <c r="R234" i="3" s="1"/>
  <c r="G233" i="3"/>
  <c r="S233" i="3" s="1"/>
  <c r="F233" i="3"/>
  <c r="R233" i="3" s="1"/>
  <c r="G232" i="3"/>
  <c r="S232" i="3" s="1"/>
  <c r="F232" i="3"/>
  <c r="R232" i="3" s="1"/>
  <c r="G231" i="3"/>
  <c r="S231" i="3" s="1"/>
  <c r="F231" i="3"/>
  <c r="R231" i="3" s="1"/>
  <c r="G230" i="3"/>
  <c r="S230" i="3" s="1"/>
  <c r="F230" i="3"/>
  <c r="R230" i="3" s="1"/>
  <c r="G229" i="3"/>
  <c r="S229" i="3" s="1"/>
  <c r="F229" i="3"/>
  <c r="R229" i="3" s="1"/>
  <c r="G228" i="3"/>
  <c r="S228" i="3" s="1"/>
  <c r="F228" i="3"/>
  <c r="R228" i="3" s="1"/>
  <c r="G227" i="3"/>
  <c r="S227" i="3" s="1"/>
  <c r="F227" i="3"/>
  <c r="R227" i="3" s="1"/>
  <c r="G226" i="3"/>
  <c r="S226" i="3" s="1"/>
  <c r="F226" i="3"/>
  <c r="R226" i="3" s="1"/>
  <c r="G225" i="3"/>
  <c r="S225" i="3" s="1"/>
  <c r="F225" i="3"/>
  <c r="R225" i="3" s="1"/>
  <c r="G224" i="3"/>
  <c r="S224" i="3" s="1"/>
  <c r="F224" i="3"/>
  <c r="R224" i="3" s="1"/>
  <c r="G223" i="3"/>
  <c r="S223" i="3" s="1"/>
  <c r="F223" i="3"/>
  <c r="R223" i="3" s="1"/>
  <c r="G222" i="3"/>
  <c r="S222" i="3" s="1"/>
  <c r="F222" i="3"/>
  <c r="R222" i="3" s="1"/>
  <c r="G221" i="3"/>
  <c r="S221" i="3" s="1"/>
  <c r="F221" i="3"/>
  <c r="R221" i="3" s="1"/>
  <c r="G220" i="3"/>
  <c r="S220" i="3" s="1"/>
  <c r="F220" i="3"/>
  <c r="R220" i="3" s="1"/>
  <c r="G219" i="3"/>
  <c r="S219" i="3" s="1"/>
  <c r="F219" i="3"/>
  <c r="R219" i="3" s="1"/>
  <c r="G218" i="3"/>
  <c r="S218" i="3" s="1"/>
  <c r="F218" i="3"/>
  <c r="R218" i="3" s="1"/>
  <c r="G217" i="3"/>
  <c r="S217" i="3" s="1"/>
  <c r="F217" i="3"/>
  <c r="R217" i="3" s="1"/>
  <c r="G216" i="3"/>
  <c r="S216" i="3" s="1"/>
  <c r="F216" i="3"/>
  <c r="R216" i="3" s="1"/>
  <c r="G215" i="3"/>
  <c r="S215" i="3" s="1"/>
  <c r="F215" i="3"/>
  <c r="R215" i="3" s="1"/>
  <c r="G214" i="3"/>
  <c r="S214" i="3" s="1"/>
  <c r="F214" i="3"/>
  <c r="R214" i="3" s="1"/>
  <c r="G213" i="3"/>
  <c r="S213" i="3" s="1"/>
  <c r="F213" i="3"/>
  <c r="R213" i="3" s="1"/>
  <c r="G212" i="3"/>
  <c r="S212" i="3" s="1"/>
  <c r="F212" i="3"/>
  <c r="R212" i="3" s="1"/>
  <c r="G211" i="3"/>
  <c r="S211" i="3" s="1"/>
  <c r="F211" i="3"/>
  <c r="R211" i="3" s="1"/>
  <c r="G210" i="3"/>
  <c r="S210" i="3" s="1"/>
  <c r="F210" i="3"/>
  <c r="R210" i="3" s="1"/>
  <c r="G209" i="3"/>
  <c r="S209" i="3" s="1"/>
  <c r="F209" i="3"/>
  <c r="R209" i="3" s="1"/>
  <c r="G208" i="3"/>
  <c r="S208" i="3" s="1"/>
  <c r="F208" i="3"/>
  <c r="R208" i="3" s="1"/>
  <c r="G207" i="3"/>
  <c r="S207" i="3" s="1"/>
  <c r="F207" i="3"/>
  <c r="R207" i="3" s="1"/>
  <c r="G206" i="3"/>
  <c r="S206" i="3" s="1"/>
  <c r="F206" i="3"/>
  <c r="R206" i="3" s="1"/>
  <c r="G205" i="3"/>
  <c r="S205" i="3" s="1"/>
  <c r="F205" i="3"/>
  <c r="R205" i="3" s="1"/>
  <c r="G204" i="3"/>
  <c r="S204" i="3" s="1"/>
  <c r="F204" i="3"/>
  <c r="R204" i="3" s="1"/>
  <c r="G203" i="3"/>
  <c r="S203" i="3" s="1"/>
  <c r="F203" i="3"/>
  <c r="R203" i="3" s="1"/>
  <c r="G202" i="3"/>
  <c r="S202" i="3" s="1"/>
  <c r="F202" i="3"/>
  <c r="R202" i="3" s="1"/>
  <c r="G201" i="3"/>
  <c r="S201" i="3" s="1"/>
  <c r="F201" i="3"/>
  <c r="R201" i="3" s="1"/>
  <c r="G200" i="3"/>
  <c r="S200" i="3" s="1"/>
  <c r="F200" i="3"/>
  <c r="R200" i="3" s="1"/>
  <c r="G199" i="3"/>
  <c r="S199" i="3" s="1"/>
  <c r="F199" i="3"/>
  <c r="R199" i="3" s="1"/>
  <c r="G198" i="3"/>
  <c r="S198" i="3" s="1"/>
  <c r="F198" i="3"/>
  <c r="R198" i="3" s="1"/>
  <c r="G197" i="3"/>
  <c r="S197" i="3" s="1"/>
  <c r="F197" i="3"/>
  <c r="R197" i="3" s="1"/>
  <c r="G196" i="3"/>
  <c r="S196" i="3" s="1"/>
  <c r="F196" i="3"/>
  <c r="R196" i="3" s="1"/>
  <c r="G195" i="3"/>
  <c r="S195" i="3" s="1"/>
  <c r="F195" i="3"/>
  <c r="R195" i="3" s="1"/>
  <c r="G194" i="3"/>
  <c r="S194" i="3" s="1"/>
  <c r="F194" i="3"/>
  <c r="R194" i="3" s="1"/>
  <c r="G193" i="3"/>
  <c r="S193" i="3" s="1"/>
  <c r="F193" i="3"/>
  <c r="R193" i="3" s="1"/>
  <c r="G192" i="3"/>
  <c r="S192" i="3" s="1"/>
  <c r="F192" i="3"/>
  <c r="R192" i="3" s="1"/>
  <c r="G191" i="3"/>
  <c r="S191" i="3" s="1"/>
  <c r="F191" i="3"/>
  <c r="R191" i="3" s="1"/>
  <c r="G190" i="3"/>
  <c r="S190" i="3" s="1"/>
  <c r="F190" i="3"/>
  <c r="R190" i="3" s="1"/>
  <c r="G189" i="3"/>
  <c r="S189" i="3" s="1"/>
  <c r="F189" i="3"/>
  <c r="R189" i="3" s="1"/>
  <c r="G188" i="3"/>
  <c r="S188" i="3" s="1"/>
  <c r="F188" i="3"/>
  <c r="R188" i="3" s="1"/>
  <c r="G187" i="3"/>
  <c r="S187" i="3" s="1"/>
  <c r="F187" i="3"/>
  <c r="R187" i="3" s="1"/>
  <c r="G186" i="3"/>
  <c r="S186" i="3" s="1"/>
  <c r="F186" i="3"/>
  <c r="R186" i="3" s="1"/>
  <c r="G185" i="3"/>
  <c r="S185" i="3" s="1"/>
  <c r="F185" i="3"/>
  <c r="R185" i="3" s="1"/>
  <c r="G184" i="3"/>
  <c r="S184" i="3" s="1"/>
  <c r="F184" i="3"/>
  <c r="R184" i="3" s="1"/>
  <c r="G183" i="3"/>
  <c r="S183" i="3" s="1"/>
  <c r="F183" i="3"/>
  <c r="R183" i="3" s="1"/>
  <c r="G182" i="3"/>
  <c r="S182" i="3" s="1"/>
  <c r="F182" i="3"/>
  <c r="R182" i="3" s="1"/>
  <c r="G181" i="3"/>
  <c r="S181" i="3" s="1"/>
  <c r="F181" i="3"/>
  <c r="R181" i="3" s="1"/>
  <c r="G180" i="3"/>
  <c r="S180" i="3" s="1"/>
  <c r="F180" i="3"/>
  <c r="R180" i="3" s="1"/>
  <c r="G179" i="3"/>
  <c r="S179" i="3" s="1"/>
  <c r="F179" i="3"/>
  <c r="R179" i="3" s="1"/>
  <c r="G178" i="3"/>
  <c r="S178" i="3" s="1"/>
  <c r="F178" i="3"/>
  <c r="R178" i="3" s="1"/>
  <c r="G177" i="3"/>
  <c r="S177" i="3" s="1"/>
  <c r="F177" i="3"/>
  <c r="R177" i="3" s="1"/>
  <c r="G176" i="3"/>
  <c r="S176" i="3" s="1"/>
  <c r="F176" i="3"/>
  <c r="R176" i="3" s="1"/>
  <c r="G175" i="3"/>
  <c r="S175" i="3" s="1"/>
  <c r="F175" i="3"/>
  <c r="R175" i="3" s="1"/>
  <c r="G174" i="3"/>
  <c r="S174" i="3" s="1"/>
  <c r="F174" i="3"/>
  <c r="R174" i="3" s="1"/>
  <c r="G173" i="3"/>
  <c r="S173" i="3" s="1"/>
  <c r="F173" i="3"/>
  <c r="R173" i="3" s="1"/>
  <c r="G172" i="3"/>
  <c r="S172" i="3" s="1"/>
  <c r="F172" i="3"/>
  <c r="R172" i="3" s="1"/>
  <c r="G171" i="3"/>
  <c r="S171" i="3" s="1"/>
  <c r="F171" i="3"/>
  <c r="R171" i="3" s="1"/>
  <c r="G170" i="3"/>
  <c r="S170" i="3" s="1"/>
  <c r="F170" i="3"/>
  <c r="R170" i="3" s="1"/>
  <c r="G169" i="3"/>
  <c r="S169" i="3" s="1"/>
  <c r="F169" i="3"/>
  <c r="R169" i="3" s="1"/>
  <c r="G168" i="3"/>
  <c r="S168" i="3" s="1"/>
  <c r="F168" i="3"/>
  <c r="R168" i="3" s="1"/>
  <c r="G167" i="3"/>
  <c r="S167" i="3" s="1"/>
  <c r="F167" i="3"/>
  <c r="R167" i="3" s="1"/>
  <c r="Q71" i="3"/>
  <c r="Q72" i="3"/>
  <c r="Q73" i="3"/>
  <c r="Q74" i="3"/>
  <c r="Q75" i="3"/>
  <c r="Q76" i="3"/>
  <c r="Q77" i="3"/>
  <c r="Q78" i="3"/>
  <c r="Q79" i="3"/>
  <c r="Q80" i="3"/>
  <c r="Q177" i="3"/>
  <c r="Q178" i="3"/>
  <c r="Q179" i="3"/>
  <c r="Q180" i="3"/>
  <c r="Q181" i="3"/>
  <c r="Q182" i="3"/>
  <c r="Q183" i="3"/>
  <c r="Q184" i="3"/>
  <c r="Q185" i="3"/>
  <c r="Q186" i="3"/>
  <c r="Q187" i="3"/>
  <c r="Q188" i="3"/>
  <c r="Q189" i="3"/>
  <c r="Q190" i="3"/>
  <c r="Q191" i="3"/>
  <c r="Q192" i="3"/>
  <c r="Q193" i="3"/>
  <c r="Q194" i="3"/>
  <c r="Q195" i="3"/>
  <c r="Q196" i="3"/>
  <c r="Q197" i="3"/>
  <c r="Q198" i="3"/>
  <c r="Q199" i="3"/>
  <c r="Q200" i="3"/>
  <c r="Q201" i="3"/>
  <c r="Q202" i="3"/>
  <c r="Q203" i="3"/>
  <c r="Q204" i="3"/>
  <c r="Q205" i="3"/>
  <c r="Q206" i="3"/>
  <c r="Q207" i="3"/>
  <c r="Q208" i="3"/>
  <c r="Q209" i="3"/>
  <c r="Q210" i="3"/>
  <c r="Q211" i="3"/>
  <c r="Q212" i="3"/>
  <c r="Q213" i="3"/>
  <c r="Q214" i="3"/>
  <c r="Q215" i="3"/>
  <c r="Q216" i="3"/>
  <c r="Q217" i="3"/>
  <c r="Q218" i="3"/>
  <c r="Q219" i="3"/>
  <c r="Q220" i="3"/>
  <c r="Q221" i="3"/>
  <c r="Q222" i="3"/>
  <c r="Q223" i="3"/>
  <c r="Q224" i="3"/>
  <c r="Q225" i="3"/>
  <c r="Q226" i="3"/>
  <c r="Q227" i="3"/>
  <c r="Q228" i="3"/>
  <c r="Q229" i="3"/>
  <c r="Q230" i="3"/>
  <c r="Q231" i="3"/>
  <c r="Q232" i="3"/>
  <c r="Q233" i="3"/>
  <c r="Q234" i="3"/>
  <c r="Q350" i="3"/>
  <c r="Q351" i="3"/>
  <c r="Q352" i="3"/>
  <c r="Q353" i="3"/>
  <c r="Q354" i="3"/>
  <c r="Q355" i="3"/>
  <c r="Q99" i="3"/>
  <c r="Q132" i="3"/>
  <c r="Q134" i="3"/>
  <c r="Q137" i="3"/>
  <c r="Q140" i="3"/>
  <c r="Q144" i="3"/>
  <c r="Q145" i="3"/>
  <c r="Q148" i="3"/>
  <c r="Q150" i="3"/>
  <c r="Q153" i="3"/>
  <c r="Q156" i="3"/>
  <c r="Q157" i="3"/>
  <c r="Q159" i="3"/>
  <c r="Q162" i="3"/>
  <c r="Q167" i="3"/>
  <c r="Q169" i="3"/>
  <c r="Q172" i="3"/>
  <c r="Q175" i="3"/>
  <c r="Q235" i="3"/>
  <c r="Q236" i="3"/>
  <c r="Q237" i="3"/>
  <c r="Q238" i="3"/>
  <c r="Q239" i="3"/>
  <c r="Q240" i="3"/>
  <c r="Q241" i="3"/>
  <c r="Q242" i="3"/>
  <c r="Q243" i="3"/>
  <c r="Q245" i="3"/>
  <c r="Q247" i="3"/>
  <c r="Q249" i="3"/>
  <c r="Q250" i="3"/>
  <c r="Q251" i="3"/>
  <c r="Q252" i="3"/>
  <c r="Q253" i="3"/>
  <c r="Q256" i="3"/>
  <c r="Q257" i="3"/>
  <c r="Q259" i="3"/>
  <c r="Q261" i="3"/>
  <c r="Q262" i="3"/>
  <c r="Q264" i="3"/>
  <c r="Q266" i="3"/>
  <c r="Q268" i="3"/>
  <c r="Q270" i="3"/>
  <c r="Q271" i="3"/>
  <c r="Q274" i="3"/>
  <c r="Q277" i="3"/>
  <c r="Q278" i="3"/>
  <c r="Q280" i="3"/>
  <c r="Q281" i="3"/>
  <c r="Q283" i="3"/>
  <c r="Q284" i="3"/>
  <c r="Q285" i="3"/>
  <c r="Q287" i="3"/>
  <c r="Q289" i="3"/>
  <c r="Q291" i="3"/>
  <c r="Q295" i="3"/>
  <c r="Q296" i="3"/>
  <c r="Q300" i="3"/>
  <c r="Q302" i="3"/>
  <c r="Q305" i="3"/>
  <c r="Q307" i="3"/>
  <c r="Q310" i="3"/>
  <c r="Q313" i="3"/>
  <c r="Q314" i="3"/>
  <c r="Q316" i="3"/>
  <c r="Q319" i="3"/>
  <c r="Q322" i="3"/>
  <c r="Q326" i="3"/>
  <c r="Q328" i="3"/>
  <c r="Q333" i="3"/>
  <c r="Q335" i="3"/>
  <c r="Q337" i="3"/>
  <c r="Q340" i="3"/>
  <c r="Q343" i="3"/>
  <c r="Q346" i="3"/>
  <c r="Q348" i="3"/>
  <c r="Q358" i="3"/>
  <c r="Q360" i="3"/>
  <c r="Q364" i="3"/>
  <c r="Q368" i="3"/>
  <c r="Q370" i="3"/>
  <c r="Q372" i="3"/>
  <c r="Q374" i="3"/>
  <c r="Q375" i="3"/>
  <c r="Q376" i="3"/>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8" i="3"/>
  <c r="Q69" i="3"/>
  <c r="Q70" i="3"/>
  <c r="Q136" i="3"/>
  <c r="Q141" i="3"/>
  <c r="Q143" i="3"/>
  <c r="Q146" i="3"/>
  <c r="Q149" i="3"/>
  <c r="Q152" i="3"/>
  <c r="Q155" i="3"/>
  <c r="Q160" i="3"/>
  <c r="Q163" i="3"/>
  <c r="Q166" i="3"/>
  <c r="Q170" i="3"/>
  <c r="Q173" i="3"/>
  <c r="Q176" i="3"/>
  <c r="Q309" i="3"/>
  <c r="Q311" i="3"/>
  <c r="Q315" i="3"/>
  <c r="Q317" i="3"/>
  <c r="Q321" i="3"/>
  <c r="Q324" i="3"/>
  <c r="Q327" i="3"/>
  <c r="Q329" i="3"/>
  <c r="Q331" i="3"/>
  <c r="Q332" i="3"/>
  <c r="Q336" i="3"/>
  <c r="Q339" i="3"/>
  <c r="Q341" i="3"/>
  <c r="Q344" i="3"/>
  <c r="Q347" i="3"/>
  <c r="Q356" i="3"/>
  <c r="Q357" i="3"/>
  <c r="Q359" i="3"/>
  <c r="Q363" i="3"/>
  <c r="Q365" i="3"/>
  <c r="Q366" i="3"/>
  <c r="Q367" i="3"/>
  <c r="Q377" i="3"/>
  <c r="Q378" i="3"/>
  <c r="Q379" i="3"/>
  <c r="Q380" i="3"/>
  <c r="Q381" i="3"/>
  <c r="Q382" i="3"/>
  <c r="Q383" i="3"/>
  <c r="Q384" i="3"/>
  <c r="Q385" i="3"/>
  <c r="Q386" i="3"/>
  <c r="Q387" i="3"/>
  <c r="Q388" i="3"/>
  <c r="Q389" i="3"/>
  <c r="Q390" i="3"/>
  <c r="Q391" i="3"/>
  <c r="Q392" i="3"/>
  <c r="Q393" i="3"/>
  <c r="Q394" i="3"/>
  <c r="Q395" i="3"/>
  <c r="Q396" i="3"/>
  <c r="Q397" i="3"/>
  <c r="Q398" i="3"/>
  <c r="Q399" i="3"/>
  <c r="Q400" i="3"/>
  <c r="Q401" i="3"/>
  <c r="Q402" i="3"/>
  <c r="Q403" i="3"/>
  <c r="Q404" i="3"/>
  <c r="Q405" i="3"/>
  <c r="Q406" i="3"/>
  <c r="Q407" i="3"/>
  <c r="Q408" i="3"/>
  <c r="Q409" i="3"/>
  <c r="Q410" i="3"/>
  <c r="Q411" i="3"/>
  <c r="Q412" i="3"/>
  <c r="Q413" i="3"/>
  <c r="Q414" i="3"/>
  <c r="Q415" i="3"/>
  <c r="Q416" i="3"/>
  <c r="Q417" i="3"/>
  <c r="Q418" i="3"/>
  <c r="Q419" i="3"/>
  <c r="Q420" i="3"/>
  <c r="Q421" i="3"/>
  <c r="Q422" i="3"/>
  <c r="Q423" i="3"/>
  <c r="Q424" i="3"/>
  <c r="Q425" i="3"/>
  <c r="Q426" i="3"/>
  <c r="Q427" i="3"/>
  <c r="Q428" i="3"/>
  <c r="Q429" i="3"/>
  <c r="Q430" i="3"/>
  <c r="Q431" i="3"/>
  <c r="Q432" i="3"/>
  <c r="Q433" i="3"/>
  <c r="Q434" i="3"/>
  <c r="Q435" i="3"/>
  <c r="Q436" i="3"/>
  <c r="Q437" i="3"/>
  <c r="Q438" i="3"/>
  <c r="Q439" i="3"/>
  <c r="Q440" i="3"/>
  <c r="Q441" i="3"/>
  <c r="Q442" i="3"/>
  <c r="Q443" i="3"/>
  <c r="Q444" i="3"/>
  <c r="Q445" i="3"/>
  <c r="Q446" i="3"/>
  <c r="Q447" i="3"/>
  <c r="Q448" i="3"/>
  <c r="Q449" i="3"/>
  <c r="Q450" i="3"/>
  <c r="Q451" i="3"/>
  <c r="Q452" i="3"/>
  <c r="Q453" i="3"/>
  <c r="Q454" i="3"/>
  <c r="Q455" i="3"/>
  <c r="Q456" i="3"/>
  <c r="Q457" i="3"/>
  <c r="Q458" i="3"/>
  <c r="Q459" i="3"/>
  <c r="Q460" i="3"/>
  <c r="Q461" i="3"/>
  <c r="Q462" i="3"/>
  <c r="Q463" i="3"/>
  <c r="Q464" i="3"/>
  <c r="Q465" i="3"/>
  <c r="Q466" i="3"/>
  <c r="Q467" i="3"/>
  <c r="Q468" i="3"/>
  <c r="Q469" i="3"/>
  <c r="Q470" i="3"/>
  <c r="Q471" i="3"/>
  <c r="Q472" i="3"/>
  <c r="Q473" i="3"/>
  <c r="Q474" i="3"/>
  <c r="Q475" i="3"/>
  <c r="Q476" i="3"/>
  <c r="Q477" i="3"/>
  <c r="Q478" i="3"/>
  <c r="Q479" i="3"/>
  <c r="Q480" i="3"/>
  <c r="Q481" i="3"/>
  <c r="Q482" i="3"/>
  <c r="Q483" i="3"/>
  <c r="Q484" i="3"/>
  <c r="Q485" i="3"/>
  <c r="Q486" i="3"/>
  <c r="Q487" i="3"/>
  <c r="Q488" i="3"/>
  <c r="Q489" i="3"/>
  <c r="Q490" i="3"/>
  <c r="Q491" i="3"/>
  <c r="Q492" i="3"/>
  <c r="Q493" i="3"/>
  <c r="Q494" i="3"/>
  <c r="Q495" i="3"/>
  <c r="Q496" i="3"/>
  <c r="Q497" i="3"/>
  <c r="Q498" i="3"/>
  <c r="Q499" i="3"/>
  <c r="Q500" i="3"/>
  <c r="Q501" i="3"/>
  <c r="Q502" i="3"/>
  <c r="Q503" i="3"/>
  <c r="Q504" i="3"/>
  <c r="Q505" i="3"/>
  <c r="Q506" i="3"/>
  <c r="Q507" i="3"/>
  <c r="Q508" i="3"/>
  <c r="Q509" i="3"/>
  <c r="Q510" i="3"/>
  <c r="Q511" i="3"/>
  <c r="Q512" i="3"/>
  <c r="Q513" i="3"/>
  <c r="Q514" i="3"/>
  <c r="Q515" i="3"/>
  <c r="Q516" i="3"/>
  <c r="Q517" i="3"/>
  <c r="Q518" i="3"/>
  <c r="Q19"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2"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 r="P302" i="3"/>
  <c r="P303" i="3"/>
  <c r="P304" i="3"/>
  <c r="P305" i="3"/>
  <c r="P306" i="3"/>
  <c r="P307" i="3"/>
  <c r="P308" i="3"/>
  <c r="P309" i="3"/>
  <c r="P310" i="3"/>
  <c r="P311" i="3"/>
  <c r="P312" i="3"/>
  <c r="P313" i="3"/>
  <c r="P314" i="3"/>
  <c r="P315" i="3"/>
  <c r="P316" i="3"/>
  <c r="P317" i="3"/>
  <c r="P318" i="3"/>
  <c r="P319" i="3"/>
  <c r="P320" i="3"/>
  <c r="P321" i="3"/>
  <c r="P322" i="3"/>
  <c r="P323" i="3"/>
  <c r="P324" i="3"/>
  <c r="P325" i="3"/>
  <c r="P326" i="3"/>
  <c r="P327" i="3"/>
  <c r="P328" i="3"/>
  <c r="P329" i="3"/>
  <c r="P330" i="3"/>
  <c r="P331" i="3"/>
  <c r="P332" i="3"/>
  <c r="P333" i="3"/>
  <c r="P334" i="3"/>
  <c r="P335" i="3"/>
  <c r="P336" i="3"/>
  <c r="P337" i="3"/>
  <c r="P338" i="3"/>
  <c r="P339" i="3"/>
  <c r="P340" i="3"/>
  <c r="P341" i="3"/>
  <c r="P342" i="3"/>
  <c r="P343" i="3"/>
  <c r="P344" i="3"/>
  <c r="P345" i="3"/>
  <c r="P346" i="3"/>
  <c r="P347" i="3"/>
  <c r="P348" i="3"/>
  <c r="P349" i="3"/>
  <c r="P350" i="3"/>
  <c r="P351" i="3"/>
  <c r="P352" i="3"/>
  <c r="P353" i="3"/>
  <c r="P354" i="3"/>
  <c r="P355" i="3"/>
  <c r="P356" i="3"/>
  <c r="P357" i="3"/>
  <c r="P358" i="3"/>
  <c r="P359" i="3"/>
  <c r="P360" i="3"/>
  <c r="P361" i="3"/>
  <c r="P362" i="3"/>
  <c r="P363" i="3"/>
  <c r="P364" i="3"/>
  <c r="P365" i="3"/>
  <c r="P366" i="3"/>
  <c r="P367" i="3"/>
  <c r="P368" i="3"/>
  <c r="P369" i="3"/>
  <c r="P370" i="3"/>
  <c r="P371" i="3"/>
  <c r="P372" i="3"/>
  <c r="P373" i="3"/>
  <c r="P374" i="3"/>
  <c r="P375" i="3"/>
  <c r="P376" i="3"/>
  <c r="P377" i="3"/>
  <c r="P378" i="3"/>
  <c r="P379" i="3"/>
  <c r="P380" i="3"/>
  <c r="P381" i="3"/>
  <c r="P382" i="3"/>
  <c r="P383" i="3"/>
  <c r="P384" i="3"/>
  <c r="P385" i="3"/>
  <c r="P386" i="3"/>
  <c r="P387" i="3"/>
  <c r="P388" i="3"/>
  <c r="P389" i="3"/>
  <c r="P390" i="3"/>
  <c r="P391" i="3"/>
  <c r="P392" i="3"/>
  <c r="P393" i="3"/>
  <c r="P394" i="3"/>
  <c r="P395" i="3"/>
  <c r="P396" i="3"/>
  <c r="P397" i="3"/>
  <c r="P398" i="3"/>
  <c r="P399" i="3"/>
  <c r="P400" i="3"/>
  <c r="P401" i="3"/>
  <c r="P402" i="3"/>
  <c r="P403" i="3"/>
  <c r="P404" i="3"/>
  <c r="P405" i="3"/>
  <c r="P406" i="3"/>
  <c r="P407" i="3"/>
  <c r="P408" i="3"/>
  <c r="P409" i="3"/>
  <c r="P410" i="3"/>
  <c r="P411" i="3"/>
  <c r="P412" i="3"/>
  <c r="P413" i="3"/>
  <c r="P414" i="3"/>
  <c r="P415" i="3"/>
  <c r="P416" i="3"/>
  <c r="P417" i="3"/>
  <c r="P418" i="3"/>
  <c r="P419" i="3"/>
  <c r="P420" i="3"/>
  <c r="P421" i="3"/>
  <c r="P422" i="3"/>
  <c r="P423" i="3"/>
  <c r="P424" i="3"/>
  <c r="P425" i="3"/>
  <c r="P426" i="3"/>
  <c r="P427" i="3"/>
  <c r="P428" i="3"/>
  <c r="P429" i="3"/>
  <c r="P430" i="3"/>
  <c r="P431" i="3"/>
  <c r="P432" i="3"/>
  <c r="P433" i="3"/>
  <c r="P434" i="3"/>
  <c r="P435" i="3"/>
  <c r="P436" i="3"/>
  <c r="P437" i="3"/>
  <c r="P438" i="3"/>
  <c r="P439" i="3"/>
  <c r="P440" i="3"/>
  <c r="P441" i="3"/>
  <c r="P442" i="3"/>
  <c r="P443" i="3"/>
  <c r="P444" i="3"/>
  <c r="P445" i="3"/>
  <c r="P446" i="3"/>
  <c r="P447" i="3"/>
  <c r="P448" i="3"/>
  <c r="P449" i="3"/>
  <c r="P450" i="3"/>
  <c r="P451" i="3"/>
  <c r="P452" i="3"/>
  <c r="P453" i="3"/>
  <c r="P454" i="3"/>
  <c r="P455" i="3"/>
  <c r="P456" i="3"/>
  <c r="P457" i="3"/>
  <c r="P458" i="3"/>
  <c r="P459" i="3"/>
  <c r="P460" i="3"/>
  <c r="P461" i="3"/>
  <c r="P462" i="3"/>
  <c r="P463" i="3"/>
  <c r="P464" i="3"/>
  <c r="P465" i="3"/>
  <c r="P466" i="3"/>
  <c r="P467" i="3"/>
  <c r="P468" i="3"/>
  <c r="P469" i="3"/>
  <c r="P470" i="3"/>
  <c r="P471" i="3"/>
  <c r="P472" i="3"/>
  <c r="P473" i="3"/>
  <c r="P474" i="3"/>
  <c r="P475" i="3"/>
  <c r="P476" i="3"/>
  <c r="P477" i="3"/>
  <c r="P478" i="3"/>
  <c r="P479" i="3"/>
  <c r="P480" i="3"/>
  <c r="P481" i="3"/>
  <c r="P482" i="3"/>
  <c r="P483" i="3"/>
  <c r="P484" i="3"/>
  <c r="P485" i="3"/>
  <c r="P486" i="3"/>
  <c r="P487" i="3"/>
  <c r="P488" i="3"/>
  <c r="P489" i="3"/>
  <c r="P490" i="3"/>
  <c r="P491" i="3"/>
  <c r="P492" i="3"/>
  <c r="P493" i="3"/>
  <c r="P494" i="3"/>
  <c r="P495" i="3"/>
  <c r="P496" i="3"/>
  <c r="P497" i="3"/>
  <c r="P498" i="3"/>
  <c r="P499" i="3"/>
  <c r="P500" i="3"/>
  <c r="P501" i="3"/>
  <c r="P502" i="3"/>
  <c r="P503" i="3"/>
  <c r="P504" i="3"/>
  <c r="P505" i="3"/>
  <c r="P506" i="3"/>
  <c r="P507" i="3"/>
  <c r="P508" i="3"/>
  <c r="P509" i="3"/>
  <c r="P510" i="3"/>
  <c r="P511" i="3"/>
  <c r="P512" i="3"/>
  <c r="P513" i="3"/>
  <c r="P514" i="3"/>
  <c r="P515" i="3"/>
  <c r="P516" i="3"/>
  <c r="P517" i="3"/>
  <c r="P518" i="3"/>
  <c r="G447" i="3"/>
  <c r="S447" i="3" s="1"/>
  <c r="F447" i="3"/>
  <c r="R447" i="3" s="1"/>
  <c r="G446" i="3"/>
  <c r="S446" i="3" s="1"/>
  <c r="G354" i="3"/>
  <c r="S354" i="3" s="1"/>
  <c r="G166" i="3"/>
  <c r="S166" i="3" s="1"/>
  <c r="F166" i="3"/>
  <c r="R166" i="3" s="1"/>
  <c r="G165" i="3"/>
  <c r="S165" i="3" s="1"/>
  <c r="F165" i="3"/>
  <c r="R165" i="3" s="1"/>
  <c r="G164" i="3"/>
  <c r="S164" i="3" s="1"/>
  <c r="F164" i="3"/>
  <c r="R164" i="3" s="1"/>
  <c r="G163" i="3"/>
  <c r="S163" i="3" s="1"/>
  <c r="F163" i="3"/>
  <c r="R163" i="3" s="1"/>
  <c r="G162" i="3"/>
  <c r="S162" i="3" s="1"/>
  <c r="F162" i="3"/>
  <c r="R162" i="3" s="1"/>
  <c r="G161" i="3"/>
  <c r="S161" i="3" s="1"/>
  <c r="F161" i="3"/>
  <c r="R161" i="3" s="1"/>
  <c r="G160" i="3"/>
  <c r="S160" i="3" s="1"/>
  <c r="F160" i="3"/>
  <c r="R160" i="3" s="1"/>
  <c r="G159" i="3"/>
  <c r="S159" i="3" s="1"/>
  <c r="F159" i="3"/>
  <c r="R159" i="3" s="1"/>
  <c r="G158" i="3"/>
  <c r="S158" i="3" s="1"/>
  <c r="F158" i="3"/>
  <c r="R158" i="3" s="1"/>
  <c r="G157" i="3"/>
  <c r="S157" i="3" s="1"/>
  <c r="F157" i="3"/>
  <c r="R157" i="3" s="1"/>
  <c r="G156" i="3"/>
  <c r="S156" i="3" s="1"/>
  <c r="F156" i="3"/>
  <c r="R156" i="3" s="1"/>
  <c r="G155" i="3"/>
  <c r="S155" i="3" s="1"/>
  <c r="F155" i="3"/>
  <c r="R155" i="3" s="1"/>
  <c r="G154" i="3"/>
  <c r="S154" i="3" s="1"/>
  <c r="F154" i="3"/>
  <c r="R154" i="3" s="1"/>
  <c r="G153" i="3"/>
  <c r="S153" i="3" s="1"/>
  <c r="F153" i="3"/>
  <c r="R153" i="3" s="1"/>
  <c r="G152" i="3"/>
  <c r="S152" i="3" s="1"/>
  <c r="F152" i="3"/>
  <c r="R152" i="3" s="1"/>
  <c r="G151" i="3"/>
  <c r="S151" i="3" s="1"/>
  <c r="F151" i="3"/>
  <c r="R151" i="3" s="1"/>
  <c r="G150" i="3"/>
  <c r="S150" i="3" s="1"/>
  <c r="F150" i="3"/>
  <c r="R150" i="3" s="1"/>
  <c r="G149" i="3"/>
  <c r="S149" i="3" s="1"/>
  <c r="F149" i="3"/>
  <c r="R149" i="3" s="1"/>
  <c r="G148" i="3"/>
  <c r="S148" i="3" s="1"/>
  <c r="F148" i="3"/>
  <c r="R148" i="3" s="1"/>
  <c r="G147" i="3"/>
  <c r="S147" i="3" s="1"/>
  <c r="F147" i="3"/>
  <c r="R147" i="3" s="1"/>
  <c r="G146" i="3"/>
  <c r="S146" i="3" s="1"/>
  <c r="F146" i="3"/>
  <c r="R146" i="3" s="1"/>
  <c r="G145" i="3"/>
  <c r="S145" i="3" s="1"/>
  <c r="F145" i="3"/>
  <c r="R145" i="3" s="1"/>
  <c r="G144" i="3"/>
  <c r="S144" i="3" s="1"/>
  <c r="F144" i="3"/>
  <c r="R144" i="3" s="1"/>
  <c r="G143" i="3"/>
  <c r="S143" i="3" s="1"/>
  <c r="F143" i="3"/>
  <c r="R143" i="3" s="1"/>
  <c r="G142" i="3"/>
  <c r="S142" i="3" s="1"/>
  <c r="F142" i="3"/>
  <c r="R142" i="3" s="1"/>
  <c r="G141" i="3"/>
  <c r="S141" i="3" s="1"/>
  <c r="F141" i="3"/>
  <c r="R141" i="3" s="1"/>
  <c r="G140" i="3"/>
  <c r="S140" i="3" s="1"/>
  <c r="F140" i="3"/>
  <c r="R140" i="3" s="1"/>
  <c r="G139" i="3"/>
  <c r="S139" i="3" s="1"/>
  <c r="F139" i="3"/>
  <c r="R139" i="3" s="1"/>
  <c r="G138" i="3"/>
  <c r="S138" i="3" s="1"/>
  <c r="F138" i="3"/>
  <c r="R138" i="3" s="1"/>
  <c r="G137" i="3"/>
  <c r="S137" i="3" s="1"/>
  <c r="F137" i="3"/>
  <c r="R137" i="3" s="1"/>
  <c r="G136" i="3"/>
  <c r="S136" i="3" s="1"/>
  <c r="F136" i="3"/>
  <c r="R136" i="3" s="1"/>
  <c r="G135" i="3"/>
  <c r="S135" i="3" s="1"/>
  <c r="F135" i="3"/>
  <c r="R135" i="3" s="1"/>
  <c r="G134" i="3"/>
  <c r="S134" i="3" s="1"/>
  <c r="F134" i="3"/>
  <c r="R134" i="3" s="1"/>
  <c r="G133" i="3"/>
  <c r="S133" i="3" s="1"/>
  <c r="F133" i="3"/>
  <c r="R133" i="3" s="1"/>
  <c r="G132" i="3"/>
  <c r="S132" i="3" s="1"/>
  <c r="F132" i="3"/>
  <c r="R132" i="3" s="1"/>
  <c r="G131" i="3"/>
  <c r="S131" i="3" s="1"/>
  <c r="F131" i="3"/>
  <c r="R131" i="3" s="1"/>
  <c r="G130" i="3"/>
  <c r="S130" i="3" s="1"/>
  <c r="F130" i="3"/>
  <c r="R130" i="3" s="1"/>
  <c r="G129" i="3"/>
  <c r="S129" i="3" s="1"/>
  <c r="F129" i="3"/>
  <c r="R129" i="3" s="1"/>
  <c r="G128" i="3"/>
  <c r="S128" i="3" s="1"/>
  <c r="F128" i="3"/>
  <c r="R128" i="3" s="1"/>
  <c r="G127" i="3"/>
  <c r="S127" i="3" s="1"/>
  <c r="F127" i="3"/>
  <c r="R127" i="3" s="1"/>
  <c r="G126" i="3"/>
  <c r="S126" i="3" s="1"/>
  <c r="F126" i="3"/>
  <c r="R126" i="3" s="1"/>
  <c r="G125" i="3"/>
  <c r="S125" i="3" s="1"/>
  <c r="F125" i="3"/>
  <c r="R125" i="3" s="1"/>
  <c r="G124" i="3"/>
  <c r="S124" i="3" s="1"/>
  <c r="F124" i="3"/>
  <c r="R124" i="3" s="1"/>
  <c r="G123" i="3"/>
  <c r="S123" i="3" s="1"/>
  <c r="F123" i="3"/>
  <c r="R123" i="3" s="1"/>
  <c r="G122" i="3"/>
  <c r="S122" i="3" s="1"/>
  <c r="F122" i="3"/>
  <c r="R122" i="3" s="1"/>
  <c r="G121" i="3"/>
  <c r="S121" i="3" s="1"/>
  <c r="F121" i="3"/>
  <c r="R121" i="3" s="1"/>
  <c r="G120" i="3"/>
  <c r="S120" i="3" s="1"/>
  <c r="F120" i="3"/>
  <c r="R120" i="3" s="1"/>
  <c r="G119" i="3"/>
  <c r="S119" i="3" s="1"/>
  <c r="F119" i="3"/>
  <c r="R119" i="3" s="1"/>
  <c r="G118" i="3"/>
  <c r="S118" i="3" s="1"/>
  <c r="F118" i="3"/>
  <c r="R118" i="3" s="1"/>
  <c r="G117" i="3"/>
  <c r="S117" i="3" s="1"/>
  <c r="F117" i="3"/>
  <c r="R117" i="3" s="1"/>
  <c r="G116" i="3"/>
  <c r="S116" i="3" s="1"/>
  <c r="F116" i="3"/>
  <c r="R116" i="3" s="1"/>
  <c r="G115" i="3"/>
  <c r="S115" i="3" s="1"/>
  <c r="F115" i="3"/>
  <c r="R115" i="3" s="1"/>
  <c r="G114" i="3"/>
  <c r="S114" i="3" s="1"/>
  <c r="F114" i="3"/>
  <c r="R114" i="3" s="1"/>
  <c r="G113" i="3"/>
  <c r="S113" i="3" s="1"/>
  <c r="F113" i="3"/>
  <c r="R113" i="3" s="1"/>
  <c r="G112" i="3"/>
  <c r="S112" i="3" s="1"/>
  <c r="F112" i="3"/>
  <c r="R112" i="3" s="1"/>
  <c r="G111" i="3"/>
  <c r="S111" i="3" s="1"/>
  <c r="F111" i="3"/>
  <c r="R111" i="3" s="1"/>
  <c r="G110" i="3"/>
  <c r="S110" i="3" s="1"/>
  <c r="F110" i="3"/>
  <c r="R110" i="3" s="1"/>
  <c r="G109" i="3"/>
  <c r="S109" i="3" s="1"/>
  <c r="F109" i="3"/>
  <c r="R109" i="3" s="1"/>
  <c r="G108" i="3"/>
  <c r="S108" i="3" s="1"/>
  <c r="F108" i="3"/>
  <c r="R108" i="3" s="1"/>
  <c r="G107" i="3"/>
  <c r="S107" i="3" s="1"/>
  <c r="F107" i="3"/>
  <c r="R107" i="3" s="1"/>
  <c r="G106" i="3"/>
  <c r="S106" i="3" s="1"/>
  <c r="F106" i="3"/>
  <c r="R106" i="3" s="1"/>
  <c r="G105" i="3"/>
  <c r="S105" i="3" s="1"/>
  <c r="F105" i="3"/>
  <c r="R105" i="3" s="1"/>
  <c r="G104" i="3"/>
  <c r="S104" i="3" s="1"/>
  <c r="F104" i="3"/>
  <c r="R104" i="3" s="1"/>
  <c r="G103" i="3"/>
  <c r="S103" i="3" s="1"/>
  <c r="F103" i="3"/>
  <c r="R103" i="3" s="1"/>
  <c r="G102" i="3"/>
  <c r="S102" i="3" s="1"/>
  <c r="F102" i="3"/>
  <c r="R102" i="3" s="1"/>
  <c r="G101" i="3"/>
  <c r="S101" i="3" s="1"/>
  <c r="F101" i="3"/>
  <c r="R101" i="3" s="1"/>
  <c r="G100" i="3"/>
  <c r="S100" i="3" s="1"/>
  <c r="F100" i="3"/>
  <c r="R100" i="3" s="1"/>
  <c r="G99" i="3"/>
  <c r="S99" i="3" s="1"/>
  <c r="F99" i="3"/>
  <c r="R99" i="3" s="1"/>
  <c r="G98" i="3"/>
  <c r="S98" i="3" s="1"/>
  <c r="F98" i="3"/>
  <c r="R98" i="3" s="1"/>
  <c r="G97" i="3"/>
  <c r="S97" i="3" s="1"/>
  <c r="F97" i="3"/>
  <c r="R97" i="3" s="1"/>
  <c r="G96" i="3"/>
  <c r="S96" i="3" s="1"/>
  <c r="F96" i="3"/>
  <c r="R96" i="3" s="1"/>
  <c r="G95" i="3"/>
  <c r="S95" i="3" s="1"/>
  <c r="F95" i="3"/>
  <c r="R95" i="3" s="1"/>
  <c r="G94" i="3"/>
  <c r="S94" i="3" s="1"/>
  <c r="F94" i="3"/>
  <c r="R94" i="3" s="1"/>
  <c r="G93" i="3"/>
  <c r="S93" i="3" s="1"/>
  <c r="F93" i="3"/>
  <c r="R93" i="3" s="1"/>
  <c r="G92" i="3"/>
  <c r="S92" i="3" s="1"/>
  <c r="F92" i="3"/>
  <c r="R92" i="3" s="1"/>
  <c r="G91" i="3"/>
  <c r="S91" i="3" s="1"/>
  <c r="F91" i="3"/>
  <c r="R91" i="3" s="1"/>
  <c r="G90" i="3"/>
  <c r="S90" i="3" s="1"/>
  <c r="F90" i="3"/>
  <c r="R90" i="3" s="1"/>
  <c r="G89" i="3"/>
  <c r="S89" i="3" s="1"/>
  <c r="F89" i="3"/>
  <c r="R89" i="3" s="1"/>
  <c r="G88" i="3"/>
  <c r="S88" i="3" s="1"/>
  <c r="F88" i="3"/>
  <c r="R88" i="3" s="1"/>
  <c r="G87" i="3"/>
  <c r="S87" i="3" s="1"/>
  <c r="F87" i="3"/>
  <c r="R87" i="3" s="1"/>
  <c r="G86" i="3"/>
  <c r="S86" i="3" s="1"/>
  <c r="F86" i="3"/>
  <c r="R86" i="3" s="1"/>
  <c r="G85" i="3"/>
  <c r="S85" i="3" s="1"/>
  <c r="F85" i="3"/>
  <c r="R85" i="3" s="1"/>
  <c r="G84" i="3"/>
  <c r="S84" i="3" s="1"/>
  <c r="F84" i="3"/>
  <c r="R84" i="3" s="1"/>
  <c r="G83" i="3"/>
  <c r="S83" i="3" s="1"/>
  <c r="F83" i="3"/>
  <c r="R83" i="3" s="1"/>
  <c r="G82" i="3"/>
  <c r="S82" i="3" s="1"/>
  <c r="F82" i="3"/>
  <c r="R82" i="3" s="1"/>
  <c r="G81" i="3"/>
  <c r="S81" i="3" s="1"/>
  <c r="F81" i="3"/>
  <c r="R81" i="3" s="1"/>
  <c r="G80" i="3"/>
  <c r="S80" i="3" s="1"/>
  <c r="F80" i="3"/>
  <c r="R80" i="3" s="1"/>
  <c r="G79" i="3"/>
  <c r="S79" i="3" s="1"/>
  <c r="F79" i="3"/>
  <c r="R79" i="3" s="1"/>
  <c r="G78" i="3"/>
  <c r="S78" i="3" s="1"/>
  <c r="F78" i="3"/>
  <c r="R78" i="3" s="1"/>
  <c r="G77" i="3"/>
  <c r="S77" i="3" s="1"/>
  <c r="F77" i="3"/>
  <c r="R77" i="3" s="1"/>
  <c r="G76" i="3"/>
  <c r="S76" i="3" s="1"/>
  <c r="F76" i="3"/>
  <c r="R76" i="3" s="1"/>
  <c r="G75" i="3"/>
  <c r="S75" i="3" s="1"/>
  <c r="F75" i="3"/>
  <c r="R75" i="3" s="1"/>
  <c r="G74" i="3"/>
  <c r="S74" i="3" s="1"/>
  <c r="F74" i="3"/>
  <c r="R74" i="3" s="1"/>
  <c r="G73" i="3"/>
  <c r="S73" i="3" s="1"/>
  <c r="F73" i="3"/>
  <c r="R73" i="3" s="1"/>
  <c r="G72" i="3"/>
  <c r="S72" i="3" s="1"/>
  <c r="F72" i="3"/>
  <c r="R72" i="3" s="1"/>
  <c r="G71" i="3"/>
  <c r="S71" i="3" s="1"/>
  <c r="F71" i="3"/>
  <c r="R71" i="3" s="1"/>
  <c r="G70" i="3"/>
  <c r="S70" i="3" s="1"/>
  <c r="F70" i="3"/>
  <c r="R70" i="3" s="1"/>
  <c r="G69" i="3"/>
  <c r="S69" i="3" s="1"/>
  <c r="F69" i="3"/>
  <c r="R69" i="3" s="1"/>
  <c r="G68" i="3"/>
  <c r="S68" i="3" s="1"/>
  <c r="F68" i="3"/>
  <c r="R68" i="3" s="1"/>
  <c r="G67" i="3"/>
  <c r="S67" i="3" s="1"/>
  <c r="F67" i="3"/>
  <c r="R67" i="3" s="1"/>
  <c r="G66" i="3"/>
  <c r="S66" i="3" s="1"/>
  <c r="F66" i="3"/>
  <c r="R66" i="3" s="1"/>
  <c r="G65" i="3"/>
  <c r="S65" i="3" s="1"/>
  <c r="F65" i="3"/>
  <c r="R65" i="3" s="1"/>
  <c r="G64" i="3"/>
  <c r="S64" i="3" s="1"/>
  <c r="F64" i="3"/>
  <c r="R64" i="3" s="1"/>
  <c r="G63" i="3"/>
  <c r="S63" i="3" s="1"/>
  <c r="F63" i="3"/>
  <c r="R63" i="3" s="1"/>
  <c r="G62" i="3"/>
  <c r="S62" i="3" s="1"/>
  <c r="F62" i="3"/>
  <c r="R62" i="3" s="1"/>
  <c r="G61" i="3"/>
  <c r="S61" i="3" s="1"/>
  <c r="F61" i="3"/>
  <c r="R61" i="3" s="1"/>
  <c r="G60" i="3"/>
  <c r="S60" i="3" s="1"/>
  <c r="F60" i="3"/>
  <c r="R60" i="3" s="1"/>
  <c r="G59" i="3"/>
  <c r="S59" i="3" s="1"/>
  <c r="F59" i="3"/>
  <c r="R59" i="3" s="1"/>
  <c r="G58" i="3"/>
  <c r="S58" i="3" s="1"/>
  <c r="F58" i="3"/>
  <c r="R58" i="3" s="1"/>
  <c r="G57" i="3"/>
  <c r="S57" i="3" s="1"/>
  <c r="F57" i="3"/>
  <c r="R57" i="3" s="1"/>
  <c r="G56" i="3"/>
  <c r="S56" i="3" s="1"/>
  <c r="F56" i="3"/>
  <c r="R56" i="3" s="1"/>
  <c r="G55" i="3"/>
  <c r="S55" i="3" s="1"/>
  <c r="F55" i="3"/>
  <c r="R55" i="3" s="1"/>
  <c r="G54" i="3"/>
  <c r="S54" i="3" s="1"/>
  <c r="F54" i="3"/>
  <c r="R54" i="3" s="1"/>
  <c r="G53" i="3"/>
  <c r="S53" i="3" s="1"/>
  <c r="F53" i="3"/>
  <c r="R53" i="3" s="1"/>
  <c r="G52" i="3"/>
  <c r="S52" i="3" s="1"/>
  <c r="F52" i="3"/>
  <c r="R52" i="3" s="1"/>
  <c r="G51" i="3"/>
  <c r="S51" i="3" s="1"/>
  <c r="F51" i="3"/>
  <c r="R51" i="3" s="1"/>
  <c r="G50" i="3"/>
  <c r="S50" i="3" s="1"/>
  <c r="F50" i="3"/>
  <c r="R50" i="3" s="1"/>
  <c r="G49" i="3"/>
  <c r="S49" i="3" s="1"/>
  <c r="F49" i="3"/>
  <c r="R49" i="3" s="1"/>
  <c r="G48" i="3"/>
  <c r="S48" i="3" s="1"/>
  <c r="F48" i="3"/>
  <c r="R48" i="3" s="1"/>
  <c r="G47" i="3"/>
  <c r="S47" i="3" s="1"/>
  <c r="F47" i="3"/>
  <c r="R47" i="3" s="1"/>
  <c r="G46" i="3"/>
  <c r="S46" i="3" s="1"/>
  <c r="F46" i="3"/>
  <c r="R46" i="3" s="1"/>
  <c r="G45" i="3"/>
  <c r="S45" i="3" s="1"/>
  <c r="F45" i="3"/>
  <c r="R45" i="3" s="1"/>
  <c r="G44" i="3"/>
  <c r="S44" i="3" s="1"/>
  <c r="F44" i="3"/>
  <c r="R44" i="3" s="1"/>
  <c r="G43" i="3"/>
  <c r="S43" i="3" s="1"/>
  <c r="F43" i="3"/>
  <c r="R43" i="3" s="1"/>
  <c r="G42" i="3"/>
  <c r="S42" i="3" s="1"/>
  <c r="F42" i="3"/>
  <c r="R42" i="3" s="1"/>
  <c r="G41" i="3"/>
  <c r="S41" i="3" s="1"/>
  <c r="F41" i="3"/>
  <c r="R41" i="3" s="1"/>
  <c r="G40" i="3"/>
  <c r="S40" i="3" s="1"/>
  <c r="F40" i="3"/>
  <c r="R40" i="3" s="1"/>
  <c r="G39" i="3"/>
  <c r="S39" i="3" s="1"/>
  <c r="F39" i="3"/>
  <c r="R39" i="3" s="1"/>
  <c r="G38" i="3"/>
  <c r="S38" i="3" s="1"/>
  <c r="F38" i="3"/>
  <c r="R38" i="3" s="1"/>
  <c r="G37" i="3"/>
  <c r="S37" i="3" s="1"/>
  <c r="F37" i="3"/>
  <c r="R37" i="3" s="1"/>
  <c r="G36" i="3"/>
  <c r="S36" i="3" s="1"/>
  <c r="F36" i="3"/>
  <c r="R36" i="3" s="1"/>
  <c r="G35" i="3"/>
  <c r="S35" i="3" s="1"/>
  <c r="F35" i="3"/>
  <c r="R35" i="3" s="1"/>
  <c r="G34" i="3"/>
  <c r="S34" i="3" s="1"/>
  <c r="F34" i="3"/>
  <c r="R34" i="3" s="1"/>
  <c r="G33" i="3"/>
  <c r="S33" i="3" s="1"/>
  <c r="F33" i="3"/>
  <c r="R33" i="3" s="1"/>
  <c r="G32" i="3"/>
  <c r="S32" i="3" s="1"/>
  <c r="F32" i="3"/>
  <c r="R32" i="3" s="1"/>
  <c r="G31" i="3"/>
  <c r="S31" i="3" s="1"/>
  <c r="F31" i="3"/>
  <c r="R31" i="3" s="1"/>
  <c r="G30" i="3"/>
  <c r="S30" i="3" s="1"/>
  <c r="F30" i="3"/>
  <c r="R30" i="3" s="1"/>
  <c r="G29" i="3"/>
  <c r="S29" i="3" s="1"/>
  <c r="F29" i="3"/>
  <c r="R29" i="3" s="1"/>
  <c r="G28" i="3"/>
  <c r="S28" i="3" s="1"/>
  <c r="F28" i="3"/>
  <c r="R28" i="3" s="1"/>
  <c r="G27" i="3"/>
  <c r="S27" i="3" s="1"/>
  <c r="F27" i="3"/>
  <c r="R27" i="3" s="1"/>
  <c r="G26" i="3"/>
  <c r="S26" i="3" s="1"/>
  <c r="F26" i="3"/>
  <c r="R26" i="3" s="1"/>
  <c r="G25" i="3"/>
  <c r="S25" i="3" s="1"/>
  <c r="F25" i="3"/>
  <c r="R25" i="3" s="1"/>
  <c r="G24" i="3"/>
  <c r="S24" i="3" s="1"/>
  <c r="F24" i="3"/>
  <c r="R24" i="3" s="1"/>
  <c r="G23" i="3"/>
  <c r="S23" i="3" s="1"/>
  <c r="F23" i="3"/>
  <c r="R23" i="3" s="1"/>
  <c r="G22" i="3"/>
  <c r="S22" i="3" s="1"/>
  <c r="F22" i="3"/>
  <c r="R22" i="3" s="1"/>
  <c r="G21" i="3"/>
  <c r="S21" i="3" s="1"/>
  <c r="F21" i="3"/>
  <c r="R21" i="3" s="1"/>
  <c r="G20" i="3"/>
  <c r="S20" i="3" s="1"/>
  <c r="G19" i="3"/>
  <c r="S19" i="3" s="1"/>
  <c r="F19" i="3"/>
  <c r="R19" i="3" s="1"/>
  <c r="Q244" i="3"/>
  <c r="Q246" i="3"/>
  <c r="Q248" i="3"/>
  <c r="Q254" i="3"/>
  <c r="Q255" i="3"/>
  <c r="Q258" i="3"/>
  <c r="Q260" i="3"/>
  <c r="Q263" i="3"/>
  <c r="Q265" i="3"/>
  <c r="Q267" i="3"/>
  <c r="Q269" i="3"/>
  <c r="Q272" i="3"/>
  <c r="Q273" i="3"/>
  <c r="Q275" i="3"/>
  <c r="Q276" i="3"/>
  <c r="Q279" i="3"/>
  <c r="Q282" i="3"/>
  <c r="Q286" i="3"/>
  <c r="Q288" i="3"/>
  <c r="Q290" i="3"/>
  <c r="Q292" i="3"/>
  <c r="Q293" i="3"/>
  <c r="Q294" i="3"/>
  <c r="Q297" i="3"/>
  <c r="Q298" i="3"/>
  <c r="Q299" i="3"/>
  <c r="Q301" i="3"/>
  <c r="Q303" i="3"/>
  <c r="Q304" i="3"/>
  <c r="Q306" i="3"/>
  <c r="Q308" i="3"/>
  <c r="Q312" i="3"/>
  <c r="Q318" i="3"/>
  <c r="Q320" i="3"/>
  <c r="Q323" i="3"/>
  <c r="Q325" i="3"/>
  <c r="Q330" i="3"/>
  <c r="Q334" i="3"/>
  <c r="Q338" i="3"/>
  <c r="Q342" i="3"/>
  <c r="Q345" i="3"/>
  <c r="Q349" i="3"/>
  <c r="Q361" i="3"/>
  <c r="Q362" i="3"/>
  <c r="Q369" i="3"/>
  <c r="Q371" i="3"/>
  <c r="Q373" i="3"/>
  <c r="Q81" i="3"/>
  <c r="Q82" i="3"/>
  <c r="Q83" i="3"/>
  <c r="Q84" i="3"/>
  <c r="Q85" i="3"/>
  <c r="Q86" i="3"/>
  <c r="Q87" i="3"/>
  <c r="Q88" i="3"/>
  <c r="Q89" i="3"/>
  <c r="Q90" i="3"/>
  <c r="Q91" i="3"/>
  <c r="Q92" i="3"/>
  <c r="Q93" i="3"/>
  <c r="Q94" i="3"/>
  <c r="Q95" i="3"/>
  <c r="Q96" i="3"/>
  <c r="Q97" i="3"/>
  <c r="Q98" i="3"/>
  <c r="Q100" i="3"/>
  <c r="Q101" i="3"/>
  <c r="Q102" i="3"/>
  <c r="Q103" i="3"/>
  <c r="Q104" i="3"/>
  <c r="Q105" i="3"/>
  <c r="Q106" i="3"/>
  <c r="Q107" i="3"/>
  <c r="Q108" i="3"/>
  <c r="Q109" i="3"/>
  <c r="Q110" i="3"/>
  <c r="Q111" i="3"/>
  <c r="Q112" i="3"/>
  <c r="Q113" i="3"/>
  <c r="Q114" i="3"/>
  <c r="Q115" i="3"/>
  <c r="Q116" i="3"/>
  <c r="Q117" i="3"/>
  <c r="Q118" i="3"/>
  <c r="Q119" i="3"/>
  <c r="Q120" i="3"/>
  <c r="Q121" i="3"/>
  <c r="Q122" i="3"/>
  <c r="Q123" i="3"/>
  <c r="Q124" i="3"/>
  <c r="Q125" i="3"/>
  <c r="Q126" i="3"/>
  <c r="Q127" i="3"/>
  <c r="Q128" i="3"/>
  <c r="Q129" i="3"/>
  <c r="Q130" i="3"/>
  <c r="Q131" i="3"/>
  <c r="Q133" i="3"/>
  <c r="Q135" i="3"/>
  <c r="Q138" i="3"/>
  <c r="Q139" i="3"/>
  <c r="Q142" i="3"/>
  <c r="Q147" i="3"/>
  <c r="Q151" i="3"/>
  <c r="Q154" i="3"/>
  <c r="Q158" i="3"/>
  <c r="Q161" i="3"/>
  <c r="Q164" i="3"/>
  <c r="Q165" i="3"/>
  <c r="Q168" i="3"/>
  <c r="Q171" i="3"/>
  <c r="Q174" i="3"/>
  <c r="N110" i="3"/>
  <c r="BG100" i="1" s="1"/>
  <c r="BH79" i="1"/>
  <c r="BK508" i="1"/>
  <c r="O518" i="3"/>
  <c r="N518" i="3"/>
  <c r="BG508" i="1" s="1"/>
  <c r="M518" i="3"/>
  <c r="BF508" i="1" s="1"/>
  <c r="L518" i="3"/>
  <c r="BE508" i="1" s="1"/>
  <c r="K518" i="3"/>
  <c r="BD508" i="1" s="1"/>
  <c r="BK507" i="1"/>
  <c r="O517" i="3"/>
  <c r="N517" i="3"/>
  <c r="BG507" i="1" s="1"/>
  <c r="M517" i="3"/>
  <c r="BF507" i="1" s="1"/>
  <c r="L517" i="3"/>
  <c r="BE507" i="1" s="1"/>
  <c r="K517" i="3"/>
  <c r="BD507" i="1" s="1"/>
  <c r="O516" i="3"/>
  <c r="N516" i="3"/>
  <c r="BG506" i="1" s="1"/>
  <c r="M516" i="3"/>
  <c r="BF506" i="1" s="1"/>
  <c r="L516" i="3"/>
  <c r="BE506" i="1" s="1"/>
  <c r="K516" i="3"/>
  <c r="BD506" i="1" s="1"/>
  <c r="O515" i="3"/>
  <c r="N515" i="3"/>
  <c r="BG505" i="1" s="1"/>
  <c r="M515" i="3"/>
  <c r="BF505" i="1" s="1"/>
  <c r="L515" i="3"/>
  <c r="BE505" i="1" s="1"/>
  <c r="K515" i="3"/>
  <c r="BD505" i="1" s="1"/>
  <c r="O514" i="3"/>
  <c r="N514" i="3"/>
  <c r="BG504" i="1" s="1"/>
  <c r="M514" i="3"/>
  <c r="BF504" i="1" s="1"/>
  <c r="L514" i="3"/>
  <c r="BE504" i="1" s="1"/>
  <c r="K514" i="3"/>
  <c r="BD504" i="1" s="1"/>
  <c r="O513" i="3"/>
  <c r="N513" i="3"/>
  <c r="BG503" i="1" s="1"/>
  <c r="M513" i="3"/>
  <c r="BF503" i="1" s="1"/>
  <c r="L513" i="3"/>
  <c r="BE503" i="1" s="1"/>
  <c r="K513" i="3"/>
  <c r="BD503" i="1" s="1"/>
  <c r="O512" i="3"/>
  <c r="N512" i="3"/>
  <c r="BG502" i="1" s="1"/>
  <c r="M512" i="3"/>
  <c r="BF502" i="1" s="1"/>
  <c r="L512" i="3"/>
  <c r="BE502" i="1" s="1"/>
  <c r="K512" i="3"/>
  <c r="BD502" i="1" s="1"/>
  <c r="O511" i="3"/>
  <c r="N511" i="3"/>
  <c r="BG501" i="1" s="1"/>
  <c r="M511" i="3"/>
  <c r="BF501" i="1" s="1"/>
  <c r="L511" i="3"/>
  <c r="BE501" i="1" s="1"/>
  <c r="K511" i="3"/>
  <c r="BD501" i="1" s="1"/>
  <c r="O510" i="3"/>
  <c r="N510" i="3"/>
  <c r="BG500" i="1" s="1"/>
  <c r="M510" i="3"/>
  <c r="BF500" i="1" s="1"/>
  <c r="L510" i="3"/>
  <c r="BE500" i="1" s="1"/>
  <c r="K510" i="3"/>
  <c r="BD500" i="1" s="1"/>
  <c r="O509" i="3"/>
  <c r="N509" i="3"/>
  <c r="BG499" i="1" s="1"/>
  <c r="M509" i="3"/>
  <c r="BF499" i="1" s="1"/>
  <c r="L509" i="3"/>
  <c r="BE499" i="1" s="1"/>
  <c r="K509" i="3"/>
  <c r="BD499" i="1" s="1"/>
  <c r="O508" i="3"/>
  <c r="N508" i="3"/>
  <c r="BG498" i="1" s="1"/>
  <c r="M508" i="3"/>
  <c r="BF498" i="1" s="1"/>
  <c r="L508" i="3"/>
  <c r="BE498" i="1" s="1"/>
  <c r="K508" i="3"/>
  <c r="BD498" i="1" s="1"/>
  <c r="O507" i="3"/>
  <c r="N507" i="3"/>
  <c r="BG497" i="1" s="1"/>
  <c r="M507" i="3"/>
  <c r="BF497" i="1" s="1"/>
  <c r="L507" i="3"/>
  <c r="BE497" i="1" s="1"/>
  <c r="K507" i="3"/>
  <c r="BD497" i="1" s="1"/>
  <c r="O506" i="3"/>
  <c r="N506" i="3"/>
  <c r="BG496" i="1" s="1"/>
  <c r="M506" i="3"/>
  <c r="BF496" i="1" s="1"/>
  <c r="L506" i="3"/>
  <c r="BE496" i="1" s="1"/>
  <c r="K506" i="3"/>
  <c r="BD496" i="1" s="1"/>
  <c r="O505" i="3"/>
  <c r="N505" i="3"/>
  <c r="BG495" i="1" s="1"/>
  <c r="M505" i="3"/>
  <c r="BF495" i="1" s="1"/>
  <c r="L505" i="3"/>
  <c r="BE495" i="1" s="1"/>
  <c r="K505" i="3"/>
  <c r="BD495" i="1" s="1"/>
  <c r="O504" i="3"/>
  <c r="N504" i="3"/>
  <c r="BG494" i="1" s="1"/>
  <c r="M504" i="3"/>
  <c r="BF494" i="1" s="1"/>
  <c r="L504" i="3"/>
  <c r="BE494" i="1" s="1"/>
  <c r="K504" i="3"/>
  <c r="BD494" i="1" s="1"/>
  <c r="O503" i="3"/>
  <c r="N503" i="3"/>
  <c r="BG493" i="1" s="1"/>
  <c r="M503" i="3"/>
  <c r="BF493" i="1" s="1"/>
  <c r="L503" i="3"/>
  <c r="BE493" i="1" s="1"/>
  <c r="K503" i="3"/>
  <c r="BD493" i="1" s="1"/>
  <c r="O502" i="3"/>
  <c r="N502" i="3"/>
  <c r="BG492" i="1" s="1"/>
  <c r="M502" i="3"/>
  <c r="BF492" i="1" s="1"/>
  <c r="L502" i="3"/>
  <c r="BE492" i="1" s="1"/>
  <c r="K502" i="3"/>
  <c r="BD492" i="1" s="1"/>
  <c r="O501" i="3"/>
  <c r="N501" i="3"/>
  <c r="BG491" i="1" s="1"/>
  <c r="M501" i="3"/>
  <c r="BF491" i="1" s="1"/>
  <c r="L501" i="3"/>
  <c r="BE491" i="1" s="1"/>
  <c r="K501" i="3"/>
  <c r="BD491" i="1" s="1"/>
  <c r="O500" i="3"/>
  <c r="N500" i="3"/>
  <c r="BG490" i="1" s="1"/>
  <c r="M500" i="3"/>
  <c r="BF490" i="1" s="1"/>
  <c r="L500" i="3"/>
  <c r="BE490" i="1" s="1"/>
  <c r="K500" i="3"/>
  <c r="BD490" i="1" s="1"/>
  <c r="O499" i="3"/>
  <c r="N499" i="3"/>
  <c r="BG489" i="1" s="1"/>
  <c r="M499" i="3"/>
  <c r="BF489" i="1" s="1"/>
  <c r="L499" i="3"/>
  <c r="BE489" i="1" s="1"/>
  <c r="K499" i="3"/>
  <c r="BD489" i="1" s="1"/>
  <c r="O498" i="3"/>
  <c r="N498" i="3"/>
  <c r="BG488" i="1" s="1"/>
  <c r="M498" i="3"/>
  <c r="BF488" i="1" s="1"/>
  <c r="L498" i="3"/>
  <c r="BE488" i="1" s="1"/>
  <c r="K498" i="3"/>
  <c r="BD488" i="1" s="1"/>
  <c r="O497" i="3"/>
  <c r="N497" i="3"/>
  <c r="BG487" i="1" s="1"/>
  <c r="M497" i="3"/>
  <c r="BF487" i="1" s="1"/>
  <c r="L497" i="3"/>
  <c r="BE487" i="1" s="1"/>
  <c r="K497" i="3"/>
  <c r="BD487" i="1" s="1"/>
  <c r="M496" i="3"/>
  <c r="BF486" i="1" s="1"/>
  <c r="N496" i="3"/>
  <c r="BG486" i="1" s="1"/>
  <c r="O496" i="3"/>
  <c r="L496" i="3"/>
  <c r="BE486" i="1" s="1"/>
  <c r="K496" i="3"/>
  <c r="BD486" i="1" s="1"/>
  <c r="O495" i="3"/>
  <c r="N495" i="3"/>
  <c r="BG485" i="1" s="1"/>
  <c r="M495" i="3"/>
  <c r="BF485" i="1" s="1"/>
  <c r="L495" i="3"/>
  <c r="BE485" i="1" s="1"/>
  <c r="K495" i="3"/>
  <c r="BD485" i="1" s="1"/>
  <c r="O494" i="3"/>
  <c r="N494" i="3"/>
  <c r="BG484" i="1" s="1"/>
  <c r="M494" i="3"/>
  <c r="BF484" i="1" s="1"/>
  <c r="L494" i="3"/>
  <c r="BE484" i="1" s="1"/>
  <c r="K494" i="3"/>
  <c r="BD484" i="1" s="1"/>
  <c r="O493" i="3"/>
  <c r="N493" i="3"/>
  <c r="BG483" i="1" s="1"/>
  <c r="M493" i="3"/>
  <c r="BF483" i="1" s="1"/>
  <c r="L493" i="3"/>
  <c r="BE483" i="1" s="1"/>
  <c r="K493" i="3"/>
  <c r="BD483" i="1" s="1"/>
  <c r="O492" i="3"/>
  <c r="N492" i="3"/>
  <c r="BG482" i="1" s="1"/>
  <c r="M492" i="3"/>
  <c r="BF482" i="1" s="1"/>
  <c r="L492" i="3"/>
  <c r="BE482" i="1" s="1"/>
  <c r="K492" i="3"/>
  <c r="BD482" i="1" s="1"/>
  <c r="O491" i="3"/>
  <c r="N491" i="3"/>
  <c r="BG481" i="1" s="1"/>
  <c r="M491" i="3"/>
  <c r="BF481" i="1" s="1"/>
  <c r="L491" i="3"/>
  <c r="BE481" i="1" s="1"/>
  <c r="K491" i="3"/>
  <c r="BD481" i="1" s="1"/>
  <c r="K490" i="3"/>
  <c r="BD480" i="1" s="1"/>
  <c r="N490" i="3"/>
  <c r="BG480" i="1" s="1"/>
  <c r="M490" i="3"/>
  <c r="BF480" i="1" s="1"/>
  <c r="L490" i="3"/>
  <c r="BE480" i="1" s="1"/>
  <c r="O490" i="3"/>
  <c r="O489" i="3"/>
  <c r="N489" i="3"/>
  <c r="BG479" i="1" s="1"/>
  <c r="M489" i="3"/>
  <c r="BF479" i="1" s="1"/>
  <c r="L489" i="3"/>
  <c r="BE479" i="1" s="1"/>
  <c r="K489" i="3"/>
  <c r="BD479" i="1" s="1"/>
  <c r="O488" i="3"/>
  <c r="N488" i="3"/>
  <c r="BG478" i="1" s="1"/>
  <c r="M488" i="3"/>
  <c r="BF478" i="1" s="1"/>
  <c r="L488" i="3"/>
  <c r="BE478" i="1" s="1"/>
  <c r="K488" i="3"/>
  <c r="BD478" i="1" s="1"/>
  <c r="K487" i="3"/>
  <c r="BD477" i="1" s="1"/>
  <c r="N487" i="3"/>
  <c r="BG477" i="1" s="1"/>
  <c r="M487" i="3"/>
  <c r="BF477" i="1" s="1"/>
  <c r="L487" i="3"/>
  <c r="BE477" i="1" s="1"/>
  <c r="O487" i="3"/>
  <c r="O486" i="3"/>
  <c r="N486" i="3"/>
  <c r="BG476" i="1" s="1"/>
  <c r="M486" i="3"/>
  <c r="BF476" i="1" s="1"/>
  <c r="L486" i="3"/>
  <c r="BE476" i="1" s="1"/>
  <c r="K486" i="3"/>
  <c r="BD476" i="1" s="1"/>
  <c r="O485" i="3"/>
  <c r="N485" i="3"/>
  <c r="BG475" i="1" s="1"/>
  <c r="M485" i="3"/>
  <c r="BF475" i="1" s="1"/>
  <c r="L485" i="3"/>
  <c r="BE475" i="1" s="1"/>
  <c r="K485" i="3"/>
  <c r="BD475" i="1" s="1"/>
  <c r="O484" i="3"/>
  <c r="N484" i="3"/>
  <c r="BG474" i="1" s="1"/>
  <c r="M484" i="3"/>
  <c r="BF474" i="1" s="1"/>
  <c r="L484" i="3"/>
  <c r="BE474" i="1" s="1"/>
  <c r="K484" i="3"/>
  <c r="BD474" i="1" s="1"/>
  <c r="N483" i="3"/>
  <c r="BG473" i="1" s="1"/>
  <c r="O483" i="3"/>
  <c r="M483" i="3"/>
  <c r="BF473" i="1" s="1"/>
  <c r="L483" i="3"/>
  <c r="BE473" i="1" s="1"/>
  <c r="K483" i="3"/>
  <c r="BD473" i="1" s="1"/>
  <c r="O482" i="3"/>
  <c r="N482" i="3"/>
  <c r="BG472" i="1" s="1"/>
  <c r="M482" i="3"/>
  <c r="BF472" i="1" s="1"/>
  <c r="L482" i="3"/>
  <c r="BE472" i="1" s="1"/>
  <c r="K482" i="3"/>
  <c r="BD472" i="1" s="1"/>
  <c r="O481" i="3"/>
  <c r="N481" i="3"/>
  <c r="BG471" i="1" s="1"/>
  <c r="M481" i="3"/>
  <c r="BF471" i="1" s="1"/>
  <c r="L481" i="3"/>
  <c r="BE471" i="1" s="1"/>
  <c r="K481" i="3"/>
  <c r="BD471" i="1" s="1"/>
  <c r="O480" i="3"/>
  <c r="N480" i="3"/>
  <c r="BG470" i="1" s="1"/>
  <c r="M480" i="3"/>
  <c r="BF470" i="1" s="1"/>
  <c r="L480" i="3"/>
  <c r="BE470" i="1" s="1"/>
  <c r="K480" i="3"/>
  <c r="BD470" i="1" s="1"/>
  <c r="O479" i="3"/>
  <c r="N479" i="3"/>
  <c r="BG469" i="1" s="1"/>
  <c r="M479" i="3"/>
  <c r="BF469" i="1" s="1"/>
  <c r="L479" i="3"/>
  <c r="BE469" i="1" s="1"/>
  <c r="K479" i="3"/>
  <c r="BD469" i="1" s="1"/>
  <c r="O478" i="3"/>
  <c r="N478" i="3"/>
  <c r="BG468" i="1" s="1"/>
  <c r="M478" i="3"/>
  <c r="BF468" i="1" s="1"/>
  <c r="L478" i="3"/>
  <c r="BE468" i="1" s="1"/>
  <c r="K478" i="3"/>
  <c r="BD468" i="1" s="1"/>
  <c r="L477" i="3"/>
  <c r="BE467" i="1" s="1"/>
  <c r="N477" i="3"/>
  <c r="BG467" i="1" s="1"/>
  <c r="M477" i="3"/>
  <c r="BF467" i="1" s="1"/>
  <c r="O477" i="3"/>
  <c r="K477" i="3"/>
  <c r="BD467" i="1" s="1"/>
  <c r="O476" i="3"/>
  <c r="N476" i="3"/>
  <c r="BG466" i="1" s="1"/>
  <c r="M476" i="3"/>
  <c r="BF466" i="1" s="1"/>
  <c r="L476" i="3"/>
  <c r="BE466" i="1" s="1"/>
  <c r="K476" i="3"/>
  <c r="BD466" i="1" s="1"/>
  <c r="O475" i="3"/>
  <c r="N475" i="3"/>
  <c r="BG465" i="1" s="1"/>
  <c r="M475" i="3"/>
  <c r="BF465" i="1" s="1"/>
  <c r="L475" i="3"/>
  <c r="BE465" i="1" s="1"/>
  <c r="K475" i="3"/>
  <c r="BD465" i="1" s="1"/>
  <c r="L474" i="3"/>
  <c r="BE464" i="1" s="1"/>
  <c r="N474" i="3"/>
  <c r="BG464" i="1" s="1"/>
  <c r="M474" i="3"/>
  <c r="BF464" i="1" s="1"/>
  <c r="O474" i="3"/>
  <c r="K474" i="3"/>
  <c r="BD464" i="1" s="1"/>
  <c r="O473" i="3"/>
  <c r="N473" i="3"/>
  <c r="BG463" i="1" s="1"/>
  <c r="M473" i="3"/>
  <c r="BF463" i="1" s="1"/>
  <c r="L473" i="3"/>
  <c r="BE463" i="1" s="1"/>
  <c r="K473" i="3"/>
  <c r="BD463" i="1" s="1"/>
  <c r="O472" i="3"/>
  <c r="N472" i="3"/>
  <c r="BG462" i="1" s="1"/>
  <c r="M472" i="3"/>
  <c r="BF462" i="1" s="1"/>
  <c r="L472" i="3"/>
  <c r="BE462" i="1" s="1"/>
  <c r="K472" i="3"/>
  <c r="BD462" i="1" s="1"/>
  <c r="O471" i="3"/>
  <c r="N471" i="3"/>
  <c r="BG461" i="1" s="1"/>
  <c r="M471" i="3"/>
  <c r="BF461" i="1" s="1"/>
  <c r="L471" i="3"/>
  <c r="BE461" i="1" s="1"/>
  <c r="K471" i="3"/>
  <c r="BD461" i="1" s="1"/>
  <c r="O470" i="3"/>
  <c r="N470" i="3"/>
  <c r="BG460" i="1" s="1"/>
  <c r="M470" i="3"/>
  <c r="BF460" i="1" s="1"/>
  <c r="L470" i="3"/>
  <c r="BE460" i="1" s="1"/>
  <c r="K470" i="3"/>
  <c r="BD460" i="1" s="1"/>
  <c r="O469" i="3"/>
  <c r="N469" i="3"/>
  <c r="BG459" i="1" s="1"/>
  <c r="M469" i="3"/>
  <c r="BF459" i="1" s="1"/>
  <c r="L469" i="3"/>
  <c r="BE459" i="1" s="1"/>
  <c r="K469" i="3"/>
  <c r="BD459" i="1" s="1"/>
  <c r="O468" i="3"/>
  <c r="N468" i="3"/>
  <c r="BG458" i="1" s="1"/>
  <c r="M468" i="3"/>
  <c r="BF458" i="1" s="1"/>
  <c r="L468" i="3"/>
  <c r="BE458" i="1" s="1"/>
  <c r="K468" i="3"/>
  <c r="BD458" i="1" s="1"/>
  <c r="O467" i="3"/>
  <c r="N467" i="3"/>
  <c r="BG457" i="1" s="1"/>
  <c r="M467" i="3"/>
  <c r="BF457" i="1" s="1"/>
  <c r="L467" i="3"/>
  <c r="BE457" i="1" s="1"/>
  <c r="K467" i="3"/>
  <c r="BD457" i="1" s="1"/>
  <c r="O466" i="3"/>
  <c r="N466" i="3"/>
  <c r="BG456" i="1" s="1"/>
  <c r="M466" i="3"/>
  <c r="BF456" i="1" s="1"/>
  <c r="L466" i="3"/>
  <c r="BE456" i="1" s="1"/>
  <c r="K466" i="3"/>
  <c r="BD456" i="1" s="1"/>
  <c r="O465" i="3"/>
  <c r="N465" i="3"/>
  <c r="BG455" i="1" s="1"/>
  <c r="M465" i="3"/>
  <c r="BF455" i="1" s="1"/>
  <c r="L465" i="3"/>
  <c r="BE455" i="1" s="1"/>
  <c r="K465" i="3"/>
  <c r="BD455" i="1" s="1"/>
  <c r="M464" i="3"/>
  <c r="BF454" i="1" s="1"/>
  <c r="N464" i="3"/>
  <c r="BG454" i="1" s="1"/>
  <c r="O464" i="3"/>
  <c r="L464" i="3"/>
  <c r="BE454" i="1" s="1"/>
  <c r="K464" i="3"/>
  <c r="BD454" i="1" s="1"/>
  <c r="O463" i="3"/>
  <c r="N463" i="3"/>
  <c r="BG453" i="1" s="1"/>
  <c r="M463" i="3"/>
  <c r="BF453" i="1" s="1"/>
  <c r="L463" i="3"/>
  <c r="BE453" i="1" s="1"/>
  <c r="K463" i="3"/>
  <c r="BD453" i="1" s="1"/>
  <c r="O462" i="3"/>
  <c r="N462" i="3"/>
  <c r="BG452" i="1" s="1"/>
  <c r="M462" i="3"/>
  <c r="BF452" i="1" s="1"/>
  <c r="L462" i="3"/>
  <c r="BE452" i="1" s="1"/>
  <c r="K462" i="3"/>
  <c r="BD452" i="1" s="1"/>
  <c r="L461" i="3"/>
  <c r="BE451" i="1" s="1"/>
  <c r="N461" i="3"/>
  <c r="BG451" i="1" s="1"/>
  <c r="M461" i="3"/>
  <c r="BF451" i="1" s="1"/>
  <c r="O461" i="3"/>
  <c r="K461" i="3"/>
  <c r="BD451" i="1" s="1"/>
  <c r="O460" i="3"/>
  <c r="N460" i="3"/>
  <c r="BG450" i="1" s="1"/>
  <c r="M460" i="3"/>
  <c r="BF450" i="1" s="1"/>
  <c r="L460" i="3"/>
  <c r="BE450" i="1" s="1"/>
  <c r="K460" i="3"/>
  <c r="BD450" i="1" s="1"/>
  <c r="O459" i="3"/>
  <c r="N459" i="3"/>
  <c r="BG449" i="1" s="1"/>
  <c r="M459" i="3"/>
  <c r="BF449" i="1" s="1"/>
  <c r="L459" i="3"/>
  <c r="BE449" i="1" s="1"/>
  <c r="K459" i="3"/>
  <c r="BD449" i="1" s="1"/>
  <c r="O458" i="3"/>
  <c r="N458" i="3"/>
  <c r="BG448" i="1" s="1"/>
  <c r="M458" i="3"/>
  <c r="BF448" i="1" s="1"/>
  <c r="L458" i="3"/>
  <c r="BE448" i="1" s="1"/>
  <c r="K458" i="3"/>
  <c r="BD448" i="1" s="1"/>
  <c r="O457" i="3"/>
  <c r="N457" i="3"/>
  <c r="BG447" i="1" s="1"/>
  <c r="M457" i="3"/>
  <c r="BF447" i="1" s="1"/>
  <c r="L457" i="3"/>
  <c r="BE447" i="1" s="1"/>
  <c r="K457" i="3"/>
  <c r="BD447" i="1" s="1"/>
  <c r="O456" i="3"/>
  <c r="N456" i="3"/>
  <c r="BG446" i="1" s="1"/>
  <c r="M456" i="3"/>
  <c r="BF446" i="1" s="1"/>
  <c r="L456" i="3"/>
  <c r="BE446" i="1" s="1"/>
  <c r="K456" i="3"/>
  <c r="BD446" i="1" s="1"/>
  <c r="O455" i="3"/>
  <c r="N455" i="3"/>
  <c r="BG445" i="1" s="1"/>
  <c r="M455" i="3"/>
  <c r="BF445" i="1" s="1"/>
  <c r="L455" i="3"/>
  <c r="BE445" i="1" s="1"/>
  <c r="K455" i="3"/>
  <c r="BD445" i="1" s="1"/>
  <c r="O454" i="3"/>
  <c r="N454" i="3"/>
  <c r="BG444" i="1" s="1"/>
  <c r="M454" i="3"/>
  <c r="BF444" i="1" s="1"/>
  <c r="L454" i="3"/>
  <c r="BE444" i="1" s="1"/>
  <c r="K454" i="3"/>
  <c r="BD444" i="1" s="1"/>
  <c r="O453" i="3"/>
  <c r="N453" i="3"/>
  <c r="BG443" i="1" s="1"/>
  <c r="M453" i="3"/>
  <c r="BF443" i="1" s="1"/>
  <c r="L453" i="3"/>
  <c r="BE443" i="1" s="1"/>
  <c r="K453" i="3"/>
  <c r="BD443" i="1" s="1"/>
  <c r="O452" i="3"/>
  <c r="N452" i="3"/>
  <c r="BG442" i="1" s="1"/>
  <c r="M452" i="3"/>
  <c r="BF442" i="1" s="1"/>
  <c r="L452" i="3"/>
  <c r="BE442" i="1" s="1"/>
  <c r="K452" i="3"/>
  <c r="BD442" i="1" s="1"/>
  <c r="O451" i="3"/>
  <c r="N451" i="3"/>
  <c r="BG441" i="1" s="1"/>
  <c r="M451" i="3"/>
  <c r="BF441" i="1" s="1"/>
  <c r="L451" i="3"/>
  <c r="BE441" i="1" s="1"/>
  <c r="K451" i="3"/>
  <c r="BD441" i="1" s="1"/>
  <c r="O450" i="3"/>
  <c r="N450" i="3"/>
  <c r="BG440" i="1" s="1"/>
  <c r="M450" i="3"/>
  <c r="BF440" i="1" s="1"/>
  <c r="L450" i="3"/>
  <c r="BE440" i="1" s="1"/>
  <c r="K450" i="3"/>
  <c r="BD440" i="1" s="1"/>
  <c r="O449" i="3"/>
  <c r="N449" i="3"/>
  <c r="BG439" i="1" s="1"/>
  <c r="M449" i="3"/>
  <c r="BF439" i="1" s="1"/>
  <c r="L449" i="3"/>
  <c r="BE439" i="1" s="1"/>
  <c r="K449" i="3"/>
  <c r="BD439" i="1" s="1"/>
  <c r="O448" i="3"/>
  <c r="N448" i="3"/>
  <c r="BG438" i="1" s="1"/>
  <c r="M448" i="3"/>
  <c r="BF438" i="1" s="1"/>
  <c r="L448" i="3"/>
  <c r="BE438" i="1" s="1"/>
  <c r="K448" i="3"/>
  <c r="BD438" i="1" s="1"/>
  <c r="O447" i="3"/>
  <c r="N447" i="3"/>
  <c r="BG437" i="1" s="1"/>
  <c r="M447" i="3"/>
  <c r="BF437" i="1" s="1"/>
  <c r="L447" i="3"/>
  <c r="BE437" i="1" s="1"/>
  <c r="K447" i="3"/>
  <c r="BD437" i="1" s="1"/>
  <c r="O446" i="3"/>
  <c r="N446" i="3"/>
  <c r="BG436" i="1" s="1"/>
  <c r="M446" i="3"/>
  <c r="BF436" i="1" s="1"/>
  <c r="L446" i="3"/>
  <c r="BE436" i="1" s="1"/>
  <c r="K446" i="3"/>
  <c r="BD436" i="1" s="1"/>
  <c r="L445" i="3"/>
  <c r="BE435" i="1" s="1"/>
  <c r="N445" i="3"/>
  <c r="BG435" i="1" s="1"/>
  <c r="M445" i="3"/>
  <c r="BF435" i="1" s="1"/>
  <c r="O445" i="3"/>
  <c r="K445" i="3"/>
  <c r="BD435" i="1" s="1"/>
  <c r="O444" i="3"/>
  <c r="N444" i="3"/>
  <c r="BG434" i="1" s="1"/>
  <c r="M444" i="3"/>
  <c r="BF434" i="1" s="1"/>
  <c r="L444" i="3"/>
  <c r="BE434" i="1" s="1"/>
  <c r="K444" i="3"/>
  <c r="BD434" i="1" s="1"/>
  <c r="O443" i="3"/>
  <c r="N443" i="3"/>
  <c r="BG433" i="1" s="1"/>
  <c r="M443" i="3"/>
  <c r="BF433" i="1" s="1"/>
  <c r="L443" i="3"/>
  <c r="BE433" i="1" s="1"/>
  <c r="K443" i="3"/>
  <c r="BD433" i="1" s="1"/>
  <c r="O442" i="3"/>
  <c r="N442" i="3"/>
  <c r="BG432" i="1" s="1"/>
  <c r="M442" i="3"/>
  <c r="BF432" i="1" s="1"/>
  <c r="L442" i="3"/>
  <c r="BE432" i="1" s="1"/>
  <c r="K442" i="3"/>
  <c r="BD432" i="1" s="1"/>
  <c r="O441" i="3"/>
  <c r="N441" i="3"/>
  <c r="BG431" i="1" s="1"/>
  <c r="M441" i="3"/>
  <c r="BF431" i="1" s="1"/>
  <c r="L441" i="3"/>
  <c r="BE431" i="1" s="1"/>
  <c r="K441" i="3"/>
  <c r="BD431" i="1" s="1"/>
  <c r="O440" i="3"/>
  <c r="N440" i="3"/>
  <c r="BG430" i="1" s="1"/>
  <c r="M440" i="3"/>
  <c r="BF430" i="1" s="1"/>
  <c r="L440" i="3"/>
  <c r="BE430" i="1" s="1"/>
  <c r="K440" i="3"/>
  <c r="BD430" i="1" s="1"/>
  <c r="K439" i="3"/>
  <c r="BD429" i="1" s="1"/>
  <c r="N439" i="3"/>
  <c r="BG429" i="1" s="1"/>
  <c r="M439" i="3"/>
  <c r="BF429" i="1" s="1"/>
  <c r="L439" i="3"/>
  <c r="BE429" i="1" s="1"/>
  <c r="O439" i="3"/>
  <c r="O438" i="3"/>
  <c r="N438" i="3"/>
  <c r="BG428" i="1" s="1"/>
  <c r="M438" i="3"/>
  <c r="BF428" i="1" s="1"/>
  <c r="L438" i="3"/>
  <c r="BE428" i="1" s="1"/>
  <c r="K438" i="3"/>
  <c r="BD428" i="1" s="1"/>
  <c r="O437" i="3"/>
  <c r="N437" i="3"/>
  <c r="BG427" i="1" s="1"/>
  <c r="M437" i="3"/>
  <c r="BF427" i="1" s="1"/>
  <c r="L437" i="3"/>
  <c r="BE427" i="1" s="1"/>
  <c r="K437" i="3"/>
  <c r="BD427" i="1" s="1"/>
  <c r="K436" i="3"/>
  <c r="BD426" i="1" s="1"/>
  <c r="N436" i="3"/>
  <c r="BG426" i="1" s="1"/>
  <c r="M436" i="3"/>
  <c r="BF426" i="1" s="1"/>
  <c r="L436" i="3"/>
  <c r="BE426" i="1" s="1"/>
  <c r="O436" i="3"/>
  <c r="O435" i="3"/>
  <c r="N435" i="3"/>
  <c r="BG425" i="1" s="1"/>
  <c r="M435" i="3"/>
  <c r="BF425" i="1" s="1"/>
  <c r="L435" i="3"/>
  <c r="BE425" i="1" s="1"/>
  <c r="K435" i="3"/>
  <c r="BD425" i="1" s="1"/>
  <c r="O434" i="3"/>
  <c r="N434" i="3"/>
  <c r="BG424" i="1" s="1"/>
  <c r="M434" i="3"/>
  <c r="BF424" i="1" s="1"/>
  <c r="L434" i="3"/>
  <c r="BE424" i="1" s="1"/>
  <c r="K434" i="3"/>
  <c r="BD424" i="1" s="1"/>
  <c r="O433" i="3"/>
  <c r="N433" i="3"/>
  <c r="BG423" i="1" s="1"/>
  <c r="M433" i="3"/>
  <c r="BF423" i="1" s="1"/>
  <c r="L433" i="3"/>
  <c r="BE423" i="1" s="1"/>
  <c r="K433" i="3"/>
  <c r="BD423" i="1" s="1"/>
  <c r="L432" i="3"/>
  <c r="BE422" i="1" s="1"/>
  <c r="N432" i="3"/>
  <c r="BG422" i="1" s="1"/>
  <c r="M432" i="3"/>
  <c r="BF422" i="1" s="1"/>
  <c r="O432" i="3"/>
  <c r="K432" i="3"/>
  <c r="BD422" i="1" s="1"/>
  <c r="O431" i="3"/>
  <c r="N431" i="3"/>
  <c r="BG421" i="1" s="1"/>
  <c r="M431" i="3"/>
  <c r="BF421" i="1" s="1"/>
  <c r="L431" i="3"/>
  <c r="BE421" i="1" s="1"/>
  <c r="K431" i="3"/>
  <c r="BD421" i="1" s="1"/>
  <c r="O430" i="3"/>
  <c r="N430" i="3"/>
  <c r="BG420" i="1" s="1"/>
  <c r="M430" i="3"/>
  <c r="BF420" i="1" s="1"/>
  <c r="L430" i="3"/>
  <c r="BE420" i="1" s="1"/>
  <c r="K430" i="3"/>
  <c r="BD420" i="1" s="1"/>
  <c r="O429" i="3"/>
  <c r="N429" i="3"/>
  <c r="BG419" i="1" s="1"/>
  <c r="M429" i="3"/>
  <c r="BF419" i="1" s="1"/>
  <c r="L429" i="3"/>
  <c r="BE419" i="1" s="1"/>
  <c r="K429" i="3"/>
  <c r="BD419" i="1" s="1"/>
  <c r="O428" i="3"/>
  <c r="N428" i="3"/>
  <c r="BG418" i="1" s="1"/>
  <c r="M428" i="3"/>
  <c r="BF418" i="1" s="1"/>
  <c r="L428" i="3"/>
  <c r="BE418" i="1" s="1"/>
  <c r="K428" i="3"/>
  <c r="BD418" i="1" s="1"/>
  <c r="O427" i="3"/>
  <c r="N427" i="3"/>
  <c r="BG417" i="1" s="1"/>
  <c r="M427" i="3"/>
  <c r="BF417" i="1" s="1"/>
  <c r="L427" i="3"/>
  <c r="BE417" i="1" s="1"/>
  <c r="K427" i="3"/>
  <c r="BD417" i="1" s="1"/>
  <c r="O426" i="3"/>
  <c r="N426" i="3"/>
  <c r="BG416" i="1" s="1"/>
  <c r="M426" i="3"/>
  <c r="BF416" i="1" s="1"/>
  <c r="L426" i="3"/>
  <c r="BE416" i="1" s="1"/>
  <c r="K426" i="3"/>
  <c r="BD416" i="1" s="1"/>
  <c r="O425" i="3"/>
  <c r="N425" i="3"/>
  <c r="BG415" i="1" s="1"/>
  <c r="M425" i="3"/>
  <c r="BF415" i="1" s="1"/>
  <c r="L425" i="3"/>
  <c r="BE415" i="1" s="1"/>
  <c r="K425" i="3"/>
  <c r="BD415" i="1" s="1"/>
  <c r="O424" i="3"/>
  <c r="N424" i="3"/>
  <c r="BG414" i="1" s="1"/>
  <c r="M424" i="3"/>
  <c r="BF414" i="1" s="1"/>
  <c r="L424" i="3"/>
  <c r="BE414" i="1" s="1"/>
  <c r="K424" i="3"/>
  <c r="BD414" i="1" s="1"/>
  <c r="O423" i="3"/>
  <c r="N423" i="3"/>
  <c r="BG413" i="1" s="1"/>
  <c r="M423" i="3"/>
  <c r="BF413" i="1" s="1"/>
  <c r="L423" i="3"/>
  <c r="BE413" i="1" s="1"/>
  <c r="K423" i="3"/>
  <c r="BD413" i="1" s="1"/>
  <c r="O422" i="3"/>
  <c r="N422" i="3"/>
  <c r="BG412" i="1" s="1"/>
  <c r="M422" i="3"/>
  <c r="BF412" i="1" s="1"/>
  <c r="L422" i="3"/>
  <c r="BE412" i="1" s="1"/>
  <c r="K422" i="3"/>
  <c r="BD412" i="1" s="1"/>
  <c r="O421" i="3"/>
  <c r="N421" i="3"/>
  <c r="BG411" i="1" s="1"/>
  <c r="M421" i="3"/>
  <c r="BF411" i="1" s="1"/>
  <c r="L421" i="3"/>
  <c r="BE411" i="1" s="1"/>
  <c r="K421" i="3"/>
  <c r="BD411" i="1" s="1"/>
  <c r="O420" i="3"/>
  <c r="N420" i="3"/>
  <c r="BG410" i="1" s="1"/>
  <c r="M420" i="3"/>
  <c r="BF410" i="1" s="1"/>
  <c r="L420" i="3"/>
  <c r="BE410" i="1" s="1"/>
  <c r="K420" i="3"/>
  <c r="BD410" i="1" s="1"/>
  <c r="O419" i="3"/>
  <c r="N419" i="3"/>
  <c r="BG409" i="1" s="1"/>
  <c r="M419" i="3"/>
  <c r="BF409" i="1" s="1"/>
  <c r="L419" i="3"/>
  <c r="BE409" i="1" s="1"/>
  <c r="K419" i="3"/>
  <c r="BD409" i="1" s="1"/>
  <c r="O418" i="3"/>
  <c r="N418" i="3"/>
  <c r="BG408" i="1" s="1"/>
  <c r="M418" i="3"/>
  <c r="BF408" i="1" s="1"/>
  <c r="L418" i="3"/>
  <c r="BE408" i="1" s="1"/>
  <c r="K418" i="3"/>
  <c r="BD408" i="1" s="1"/>
  <c r="O417" i="3"/>
  <c r="N417" i="3"/>
  <c r="BG407" i="1" s="1"/>
  <c r="M417" i="3"/>
  <c r="BF407" i="1" s="1"/>
  <c r="L417" i="3"/>
  <c r="BE407" i="1" s="1"/>
  <c r="K417" i="3"/>
  <c r="BD407" i="1" s="1"/>
  <c r="O416" i="3"/>
  <c r="N416" i="3"/>
  <c r="BG406" i="1" s="1"/>
  <c r="M416" i="3"/>
  <c r="BF406" i="1" s="1"/>
  <c r="L416" i="3"/>
  <c r="BE406" i="1" s="1"/>
  <c r="K416" i="3"/>
  <c r="BD406" i="1" s="1"/>
  <c r="O415" i="3"/>
  <c r="N415" i="3"/>
  <c r="BG405" i="1" s="1"/>
  <c r="M415" i="3"/>
  <c r="BF405" i="1" s="1"/>
  <c r="L415" i="3"/>
  <c r="BE405" i="1" s="1"/>
  <c r="K415" i="3"/>
  <c r="BD405" i="1" s="1"/>
  <c r="O414" i="3"/>
  <c r="N414" i="3"/>
  <c r="BG404" i="1" s="1"/>
  <c r="M414" i="3"/>
  <c r="BF404" i="1" s="1"/>
  <c r="L414" i="3"/>
  <c r="BE404" i="1" s="1"/>
  <c r="K414" i="3"/>
  <c r="BD404" i="1" s="1"/>
  <c r="O413" i="3"/>
  <c r="N413" i="3"/>
  <c r="BG403" i="1" s="1"/>
  <c r="M413" i="3"/>
  <c r="BF403" i="1" s="1"/>
  <c r="L413" i="3"/>
  <c r="BE403" i="1" s="1"/>
  <c r="K413" i="3"/>
  <c r="BD403" i="1" s="1"/>
  <c r="O412" i="3"/>
  <c r="N412" i="3"/>
  <c r="BG402" i="1" s="1"/>
  <c r="M412" i="3"/>
  <c r="BF402" i="1" s="1"/>
  <c r="L412" i="3"/>
  <c r="BE402" i="1" s="1"/>
  <c r="K412" i="3"/>
  <c r="BD402" i="1" s="1"/>
  <c r="O411" i="3"/>
  <c r="N411" i="3"/>
  <c r="BG401" i="1" s="1"/>
  <c r="M411" i="3"/>
  <c r="BF401" i="1" s="1"/>
  <c r="L411" i="3"/>
  <c r="BE401" i="1" s="1"/>
  <c r="K411" i="3"/>
  <c r="BD401" i="1" s="1"/>
  <c r="O410" i="3"/>
  <c r="N410" i="3"/>
  <c r="BG400" i="1" s="1"/>
  <c r="M410" i="3"/>
  <c r="BF400" i="1" s="1"/>
  <c r="L410" i="3"/>
  <c r="BE400" i="1" s="1"/>
  <c r="K410" i="3"/>
  <c r="BD400" i="1" s="1"/>
  <c r="O409" i="3"/>
  <c r="N409" i="3"/>
  <c r="BG399" i="1" s="1"/>
  <c r="M409" i="3"/>
  <c r="BF399" i="1" s="1"/>
  <c r="L409" i="3"/>
  <c r="BE399" i="1" s="1"/>
  <c r="K409" i="3"/>
  <c r="BD399" i="1" s="1"/>
  <c r="O408" i="3"/>
  <c r="N408" i="3"/>
  <c r="BG398" i="1" s="1"/>
  <c r="M408" i="3"/>
  <c r="BF398" i="1" s="1"/>
  <c r="L408" i="3"/>
  <c r="BE398" i="1" s="1"/>
  <c r="K408" i="3"/>
  <c r="BD398" i="1" s="1"/>
  <c r="O407" i="3"/>
  <c r="N407" i="3"/>
  <c r="BG397" i="1" s="1"/>
  <c r="M407" i="3"/>
  <c r="BF397" i="1" s="1"/>
  <c r="L407" i="3"/>
  <c r="BE397" i="1" s="1"/>
  <c r="K407" i="3"/>
  <c r="BD397" i="1" s="1"/>
  <c r="N406" i="3"/>
  <c r="BG396" i="1" s="1"/>
  <c r="O406" i="3"/>
  <c r="M406" i="3"/>
  <c r="BF396" i="1" s="1"/>
  <c r="L406" i="3"/>
  <c r="BE396" i="1" s="1"/>
  <c r="K406" i="3"/>
  <c r="BD396" i="1" s="1"/>
  <c r="O405" i="3"/>
  <c r="N405" i="3"/>
  <c r="BG395" i="1" s="1"/>
  <c r="M405" i="3"/>
  <c r="BF395" i="1" s="1"/>
  <c r="L405" i="3"/>
  <c r="BE395" i="1" s="1"/>
  <c r="K405" i="3"/>
  <c r="BD395" i="1" s="1"/>
  <c r="O404" i="3"/>
  <c r="N404" i="3"/>
  <c r="BG394" i="1" s="1"/>
  <c r="M404" i="3"/>
  <c r="BF394" i="1" s="1"/>
  <c r="L404" i="3"/>
  <c r="BE394" i="1" s="1"/>
  <c r="K404" i="3"/>
  <c r="BD394" i="1" s="1"/>
  <c r="O403" i="3"/>
  <c r="N403" i="3"/>
  <c r="BG393" i="1" s="1"/>
  <c r="M403" i="3"/>
  <c r="BF393" i="1" s="1"/>
  <c r="L403" i="3"/>
  <c r="BE393" i="1" s="1"/>
  <c r="K403" i="3"/>
  <c r="BD393" i="1" s="1"/>
  <c r="O402" i="3"/>
  <c r="N402" i="3"/>
  <c r="BG392" i="1" s="1"/>
  <c r="M402" i="3"/>
  <c r="BF392" i="1" s="1"/>
  <c r="L402" i="3"/>
  <c r="BE392" i="1" s="1"/>
  <c r="K402" i="3"/>
  <c r="BD392" i="1" s="1"/>
  <c r="O401" i="3"/>
  <c r="N401" i="3"/>
  <c r="BG391" i="1" s="1"/>
  <c r="M401" i="3"/>
  <c r="BF391" i="1" s="1"/>
  <c r="L401" i="3"/>
  <c r="BE391" i="1" s="1"/>
  <c r="K401" i="3"/>
  <c r="BD391" i="1" s="1"/>
  <c r="O400" i="3"/>
  <c r="N400" i="3"/>
  <c r="BG390" i="1" s="1"/>
  <c r="M400" i="3"/>
  <c r="BF390" i="1" s="1"/>
  <c r="L400" i="3"/>
  <c r="BE390" i="1" s="1"/>
  <c r="K400" i="3"/>
  <c r="BD390" i="1" s="1"/>
  <c r="O399" i="3"/>
  <c r="N399" i="3"/>
  <c r="BG389" i="1" s="1"/>
  <c r="M399" i="3"/>
  <c r="BF389" i="1" s="1"/>
  <c r="L399" i="3"/>
  <c r="BE389" i="1" s="1"/>
  <c r="K399" i="3"/>
  <c r="BD389" i="1" s="1"/>
  <c r="O398" i="3"/>
  <c r="N398" i="3"/>
  <c r="BG388" i="1" s="1"/>
  <c r="M398" i="3"/>
  <c r="BF388" i="1" s="1"/>
  <c r="L398" i="3"/>
  <c r="BE388" i="1" s="1"/>
  <c r="K398" i="3"/>
  <c r="BD388" i="1" s="1"/>
  <c r="O397" i="3"/>
  <c r="N397" i="3"/>
  <c r="BG387" i="1" s="1"/>
  <c r="M397" i="3"/>
  <c r="BF387" i="1" s="1"/>
  <c r="L397" i="3"/>
  <c r="BE387" i="1" s="1"/>
  <c r="K397" i="3"/>
  <c r="BD387" i="1" s="1"/>
  <c r="O396" i="3"/>
  <c r="N396" i="3"/>
  <c r="BG386" i="1" s="1"/>
  <c r="M396" i="3"/>
  <c r="BF386" i="1" s="1"/>
  <c r="L396" i="3"/>
  <c r="BE386" i="1" s="1"/>
  <c r="K396" i="3"/>
  <c r="BD386" i="1" s="1"/>
  <c r="O395" i="3"/>
  <c r="N395" i="3"/>
  <c r="BG385" i="1" s="1"/>
  <c r="M395" i="3"/>
  <c r="BF385" i="1" s="1"/>
  <c r="L395" i="3"/>
  <c r="BE385" i="1" s="1"/>
  <c r="K395" i="3"/>
  <c r="BD385" i="1" s="1"/>
  <c r="K394" i="3"/>
  <c r="BD384" i="1" s="1"/>
  <c r="N394" i="3"/>
  <c r="BG384" i="1" s="1"/>
  <c r="M394" i="3"/>
  <c r="BF384" i="1" s="1"/>
  <c r="L394" i="3"/>
  <c r="BE384" i="1" s="1"/>
  <c r="O394" i="3"/>
  <c r="O393" i="3"/>
  <c r="N393" i="3"/>
  <c r="BG383" i="1" s="1"/>
  <c r="M393" i="3"/>
  <c r="BF383" i="1" s="1"/>
  <c r="L393" i="3"/>
  <c r="BE383" i="1" s="1"/>
  <c r="K393" i="3"/>
  <c r="BD383" i="1" s="1"/>
  <c r="O392" i="3"/>
  <c r="N392" i="3"/>
  <c r="BG382" i="1" s="1"/>
  <c r="M392" i="3"/>
  <c r="BF382" i="1" s="1"/>
  <c r="L392" i="3"/>
  <c r="BE382" i="1" s="1"/>
  <c r="K392" i="3"/>
  <c r="BD382" i="1" s="1"/>
  <c r="O391" i="3"/>
  <c r="N391" i="3"/>
  <c r="BG381" i="1" s="1"/>
  <c r="M391" i="3"/>
  <c r="BF381" i="1" s="1"/>
  <c r="L391" i="3"/>
  <c r="BE381" i="1" s="1"/>
  <c r="K391" i="3"/>
  <c r="BD381" i="1" s="1"/>
  <c r="O390" i="3"/>
  <c r="N390" i="3"/>
  <c r="BG380" i="1" s="1"/>
  <c r="M390" i="3"/>
  <c r="BF380" i="1" s="1"/>
  <c r="L390" i="3"/>
  <c r="BE380" i="1" s="1"/>
  <c r="K390" i="3"/>
  <c r="BD380" i="1" s="1"/>
  <c r="O389" i="3"/>
  <c r="N389" i="3"/>
  <c r="BG379" i="1" s="1"/>
  <c r="M389" i="3"/>
  <c r="BF379" i="1" s="1"/>
  <c r="L389" i="3"/>
  <c r="BE379" i="1" s="1"/>
  <c r="K389" i="3"/>
  <c r="BD379" i="1" s="1"/>
  <c r="K388" i="3"/>
  <c r="BD378" i="1" s="1"/>
  <c r="N388" i="3"/>
  <c r="BG378" i="1" s="1"/>
  <c r="M388" i="3"/>
  <c r="BF378" i="1" s="1"/>
  <c r="L388" i="3"/>
  <c r="BE378" i="1" s="1"/>
  <c r="O388" i="3"/>
  <c r="O387" i="3"/>
  <c r="N387" i="3"/>
  <c r="BG377" i="1" s="1"/>
  <c r="M387" i="3"/>
  <c r="BF377" i="1" s="1"/>
  <c r="L387" i="3"/>
  <c r="BE377" i="1" s="1"/>
  <c r="K387" i="3"/>
  <c r="BD377" i="1" s="1"/>
  <c r="O386" i="3"/>
  <c r="N386" i="3"/>
  <c r="BG376" i="1" s="1"/>
  <c r="M386" i="3"/>
  <c r="BF376" i="1" s="1"/>
  <c r="L386" i="3"/>
  <c r="BE376" i="1" s="1"/>
  <c r="K386" i="3"/>
  <c r="BD376" i="1" s="1"/>
  <c r="K385" i="3"/>
  <c r="BD375" i="1" s="1"/>
  <c r="N385" i="3"/>
  <c r="BG375" i="1" s="1"/>
  <c r="M385" i="3"/>
  <c r="BF375" i="1" s="1"/>
  <c r="L385" i="3"/>
  <c r="BE375" i="1" s="1"/>
  <c r="O385" i="3"/>
  <c r="O384" i="3"/>
  <c r="N384" i="3"/>
  <c r="BG374" i="1" s="1"/>
  <c r="M384" i="3"/>
  <c r="BF374" i="1" s="1"/>
  <c r="L384" i="3"/>
  <c r="BE374" i="1" s="1"/>
  <c r="K384" i="3"/>
  <c r="BD374" i="1" s="1"/>
  <c r="O383" i="3"/>
  <c r="N383" i="3"/>
  <c r="BG373" i="1" s="1"/>
  <c r="M383" i="3"/>
  <c r="BF373" i="1" s="1"/>
  <c r="L383" i="3"/>
  <c r="BE373" i="1" s="1"/>
  <c r="K383" i="3"/>
  <c r="BD373" i="1" s="1"/>
  <c r="O382" i="3"/>
  <c r="N382" i="3"/>
  <c r="BG372" i="1" s="1"/>
  <c r="M382" i="3"/>
  <c r="BF372" i="1" s="1"/>
  <c r="L382" i="3"/>
  <c r="BE372" i="1" s="1"/>
  <c r="K382" i="3"/>
  <c r="BD372" i="1" s="1"/>
  <c r="K381" i="3"/>
  <c r="BD371" i="1" s="1"/>
  <c r="N381" i="3"/>
  <c r="BG371" i="1" s="1"/>
  <c r="M381" i="3"/>
  <c r="BF371" i="1" s="1"/>
  <c r="L381" i="3"/>
  <c r="BE371" i="1" s="1"/>
  <c r="O381" i="3"/>
  <c r="O380" i="3"/>
  <c r="N380" i="3"/>
  <c r="BG370" i="1" s="1"/>
  <c r="M380" i="3"/>
  <c r="BF370" i="1" s="1"/>
  <c r="L380" i="3"/>
  <c r="BE370" i="1" s="1"/>
  <c r="K380" i="3"/>
  <c r="BD370" i="1" s="1"/>
  <c r="O379" i="3"/>
  <c r="N379" i="3"/>
  <c r="BG369" i="1" s="1"/>
  <c r="M379" i="3"/>
  <c r="BF369" i="1" s="1"/>
  <c r="L379" i="3"/>
  <c r="BE369" i="1" s="1"/>
  <c r="K379" i="3"/>
  <c r="BD369" i="1" s="1"/>
  <c r="O378" i="3"/>
  <c r="N378" i="3"/>
  <c r="BG368" i="1" s="1"/>
  <c r="M378" i="3"/>
  <c r="BF368" i="1" s="1"/>
  <c r="L378" i="3"/>
  <c r="BE368" i="1" s="1"/>
  <c r="K378" i="3"/>
  <c r="BD368" i="1" s="1"/>
  <c r="O377" i="3"/>
  <c r="N377" i="3"/>
  <c r="BG367" i="1" s="1"/>
  <c r="M377" i="3"/>
  <c r="BF367" i="1" s="1"/>
  <c r="L377" i="3"/>
  <c r="BE367" i="1" s="1"/>
  <c r="K377" i="3"/>
  <c r="BD367" i="1" s="1"/>
  <c r="O376" i="3"/>
  <c r="N376" i="3"/>
  <c r="BG366" i="1" s="1"/>
  <c r="M376" i="3"/>
  <c r="BF366" i="1" s="1"/>
  <c r="L376" i="3"/>
  <c r="BE366" i="1" s="1"/>
  <c r="K376" i="3"/>
  <c r="BD366" i="1" s="1"/>
  <c r="O375" i="3"/>
  <c r="N375" i="3"/>
  <c r="BG365" i="1" s="1"/>
  <c r="M375" i="3"/>
  <c r="BF365" i="1" s="1"/>
  <c r="L375" i="3"/>
  <c r="BE365" i="1" s="1"/>
  <c r="K375" i="3"/>
  <c r="BD365" i="1" s="1"/>
  <c r="O374" i="3"/>
  <c r="N374" i="3"/>
  <c r="BG364" i="1" s="1"/>
  <c r="M374" i="3"/>
  <c r="BF364" i="1" s="1"/>
  <c r="L374" i="3"/>
  <c r="BE364" i="1" s="1"/>
  <c r="K374" i="3"/>
  <c r="BD364" i="1" s="1"/>
  <c r="O373" i="3"/>
  <c r="N373" i="3"/>
  <c r="BG363" i="1" s="1"/>
  <c r="M373" i="3"/>
  <c r="BF363" i="1" s="1"/>
  <c r="L373" i="3"/>
  <c r="BE363" i="1" s="1"/>
  <c r="K373" i="3"/>
  <c r="BD363" i="1" s="1"/>
  <c r="O372" i="3"/>
  <c r="N372" i="3"/>
  <c r="BG362" i="1" s="1"/>
  <c r="M372" i="3"/>
  <c r="BF362" i="1" s="1"/>
  <c r="L372" i="3"/>
  <c r="BE362" i="1" s="1"/>
  <c r="K372" i="3"/>
  <c r="BD362" i="1" s="1"/>
  <c r="O371" i="3"/>
  <c r="N371" i="3"/>
  <c r="BG361" i="1" s="1"/>
  <c r="M371" i="3"/>
  <c r="BF361" i="1" s="1"/>
  <c r="L371" i="3"/>
  <c r="BE361" i="1" s="1"/>
  <c r="K371" i="3"/>
  <c r="BD361" i="1" s="1"/>
  <c r="O370" i="3"/>
  <c r="N370" i="3"/>
  <c r="BG360" i="1" s="1"/>
  <c r="M370" i="3"/>
  <c r="BF360" i="1" s="1"/>
  <c r="L370" i="3"/>
  <c r="BE360" i="1" s="1"/>
  <c r="K370" i="3"/>
  <c r="BD360" i="1" s="1"/>
  <c r="O369" i="3"/>
  <c r="N369" i="3"/>
  <c r="BG359" i="1" s="1"/>
  <c r="M369" i="3"/>
  <c r="BF359" i="1" s="1"/>
  <c r="L369" i="3"/>
  <c r="BE359" i="1" s="1"/>
  <c r="K369" i="3"/>
  <c r="BD359" i="1" s="1"/>
  <c r="O368" i="3"/>
  <c r="N368" i="3"/>
  <c r="BG358" i="1" s="1"/>
  <c r="M368" i="3"/>
  <c r="BF358" i="1" s="1"/>
  <c r="L368" i="3"/>
  <c r="BE358" i="1" s="1"/>
  <c r="K368" i="3"/>
  <c r="BD358" i="1" s="1"/>
  <c r="O367" i="3"/>
  <c r="N367" i="3"/>
  <c r="BG357" i="1" s="1"/>
  <c r="M367" i="3"/>
  <c r="BF357" i="1" s="1"/>
  <c r="L367" i="3"/>
  <c r="BE357" i="1" s="1"/>
  <c r="K367" i="3"/>
  <c r="BD357" i="1" s="1"/>
  <c r="O366" i="3"/>
  <c r="N366" i="3"/>
  <c r="BG356" i="1" s="1"/>
  <c r="M366" i="3"/>
  <c r="BF356" i="1" s="1"/>
  <c r="L366" i="3"/>
  <c r="BE356" i="1" s="1"/>
  <c r="K366" i="3"/>
  <c r="BD356" i="1" s="1"/>
  <c r="O365" i="3"/>
  <c r="N365" i="3"/>
  <c r="BG355" i="1" s="1"/>
  <c r="M365" i="3"/>
  <c r="BF355" i="1" s="1"/>
  <c r="L365" i="3"/>
  <c r="BE355" i="1" s="1"/>
  <c r="K365" i="3"/>
  <c r="BD355" i="1" s="1"/>
  <c r="O364" i="3"/>
  <c r="N364" i="3"/>
  <c r="BG354" i="1" s="1"/>
  <c r="M364" i="3"/>
  <c r="BF354" i="1" s="1"/>
  <c r="L364" i="3"/>
  <c r="BE354" i="1" s="1"/>
  <c r="K364" i="3"/>
  <c r="BD354" i="1" s="1"/>
  <c r="O363" i="3"/>
  <c r="N363" i="3"/>
  <c r="BG353" i="1" s="1"/>
  <c r="M363" i="3"/>
  <c r="BF353" i="1" s="1"/>
  <c r="L363" i="3"/>
  <c r="BE353" i="1" s="1"/>
  <c r="K363" i="3"/>
  <c r="BD353" i="1" s="1"/>
  <c r="O362" i="3"/>
  <c r="N362" i="3"/>
  <c r="BG352" i="1" s="1"/>
  <c r="M362" i="3"/>
  <c r="BF352" i="1" s="1"/>
  <c r="L362" i="3"/>
  <c r="BE352" i="1" s="1"/>
  <c r="K362" i="3"/>
  <c r="BD352" i="1" s="1"/>
  <c r="O361" i="3"/>
  <c r="N361" i="3"/>
  <c r="BG351" i="1" s="1"/>
  <c r="M361" i="3"/>
  <c r="BF351" i="1" s="1"/>
  <c r="L361" i="3"/>
  <c r="BE351" i="1" s="1"/>
  <c r="K361" i="3"/>
  <c r="BD351" i="1" s="1"/>
  <c r="O360" i="3"/>
  <c r="N360" i="3"/>
  <c r="BG350" i="1" s="1"/>
  <c r="M360" i="3"/>
  <c r="BF350" i="1" s="1"/>
  <c r="L360" i="3"/>
  <c r="BE350" i="1" s="1"/>
  <c r="K360" i="3"/>
  <c r="BD350" i="1" s="1"/>
  <c r="O359" i="3"/>
  <c r="N359" i="3"/>
  <c r="BG349" i="1" s="1"/>
  <c r="M359" i="3"/>
  <c r="BF349" i="1" s="1"/>
  <c r="L359" i="3"/>
  <c r="BE349" i="1" s="1"/>
  <c r="K359" i="3"/>
  <c r="BD349" i="1" s="1"/>
  <c r="O358" i="3"/>
  <c r="N358" i="3"/>
  <c r="BG348" i="1" s="1"/>
  <c r="M358" i="3"/>
  <c r="BF348" i="1" s="1"/>
  <c r="L358" i="3"/>
  <c r="BE348" i="1" s="1"/>
  <c r="K358" i="3"/>
  <c r="BD348" i="1" s="1"/>
  <c r="O357" i="3"/>
  <c r="N357" i="3"/>
  <c r="BG347" i="1" s="1"/>
  <c r="M357" i="3"/>
  <c r="BF347" i="1" s="1"/>
  <c r="L357" i="3"/>
  <c r="BE347" i="1" s="1"/>
  <c r="K357" i="3"/>
  <c r="BD347" i="1" s="1"/>
  <c r="O356" i="3"/>
  <c r="N356" i="3"/>
  <c r="BG346" i="1" s="1"/>
  <c r="M356" i="3"/>
  <c r="BF346" i="1" s="1"/>
  <c r="L356" i="3"/>
  <c r="BE346" i="1" s="1"/>
  <c r="K356" i="3"/>
  <c r="BD346" i="1" s="1"/>
  <c r="L355" i="3"/>
  <c r="BE345" i="1" s="1"/>
  <c r="N355" i="3"/>
  <c r="BG345" i="1" s="1"/>
  <c r="M355" i="3"/>
  <c r="BF345" i="1" s="1"/>
  <c r="O355" i="3"/>
  <c r="K355" i="3"/>
  <c r="BD345" i="1" s="1"/>
  <c r="O354" i="3"/>
  <c r="N354" i="3"/>
  <c r="BG344" i="1" s="1"/>
  <c r="M354" i="3"/>
  <c r="BF344" i="1" s="1"/>
  <c r="L354" i="3"/>
  <c r="BE344" i="1" s="1"/>
  <c r="K354" i="3"/>
  <c r="BD344" i="1" s="1"/>
  <c r="O353" i="3"/>
  <c r="N353" i="3"/>
  <c r="BG343" i="1" s="1"/>
  <c r="M353" i="3"/>
  <c r="BF343" i="1" s="1"/>
  <c r="L353" i="3"/>
  <c r="BE343" i="1" s="1"/>
  <c r="K353" i="3"/>
  <c r="BD343" i="1" s="1"/>
  <c r="O352" i="3"/>
  <c r="N352" i="3"/>
  <c r="BG342" i="1" s="1"/>
  <c r="M352" i="3"/>
  <c r="BF342" i="1" s="1"/>
  <c r="L352" i="3"/>
  <c r="BE342" i="1" s="1"/>
  <c r="K352" i="3"/>
  <c r="BD342" i="1" s="1"/>
  <c r="O351" i="3"/>
  <c r="N351" i="3"/>
  <c r="BG341" i="1" s="1"/>
  <c r="M351" i="3"/>
  <c r="BF341" i="1" s="1"/>
  <c r="L351" i="3"/>
  <c r="BE341" i="1" s="1"/>
  <c r="K351" i="3"/>
  <c r="BD341" i="1" s="1"/>
  <c r="O350" i="3"/>
  <c r="N350" i="3"/>
  <c r="BG340" i="1" s="1"/>
  <c r="M350" i="3"/>
  <c r="BF340" i="1" s="1"/>
  <c r="L350" i="3"/>
  <c r="BE340" i="1" s="1"/>
  <c r="K350" i="3"/>
  <c r="BD340" i="1" s="1"/>
  <c r="L349" i="3"/>
  <c r="BE339" i="1" s="1"/>
  <c r="N349" i="3"/>
  <c r="BG339" i="1" s="1"/>
  <c r="M349" i="3"/>
  <c r="BF339" i="1" s="1"/>
  <c r="O349" i="3"/>
  <c r="K349" i="3"/>
  <c r="BD339" i="1" s="1"/>
  <c r="O348" i="3"/>
  <c r="N348" i="3"/>
  <c r="BG338" i="1" s="1"/>
  <c r="M348" i="3"/>
  <c r="BF338" i="1" s="1"/>
  <c r="L348" i="3"/>
  <c r="BE338" i="1" s="1"/>
  <c r="K348" i="3"/>
  <c r="BD338" i="1" s="1"/>
  <c r="O347" i="3"/>
  <c r="N347" i="3"/>
  <c r="BG337" i="1" s="1"/>
  <c r="M347" i="3"/>
  <c r="BF337" i="1" s="1"/>
  <c r="L347" i="3"/>
  <c r="BE337" i="1" s="1"/>
  <c r="K347" i="3"/>
  <c r="BD337" i="1" s="1"/>
  <c r="L346" i="3"/>
  <c r="BE336" i="1" s="1"/>
  <c r="N346" i="3"/>
  <c r="BG336" i="1" s="1"/>
  <c r="M346" i="3"/>
  <c r="BF336" i="1" s="1"/>
  <c r="O346" i="3"/>
  <c r="K346" i="3"/>
  <c r="BD336" i="1" s="1"/>
  <c r="O345" i="3"/>
  <c r="N345" i="3"/>
  <c r="BG335" i="1" s="1"/>
  <c r="M345" i="3"/>
  <c r="BF335" i="1" s="1"/>
  <c r="L345" i="3"/>
  <c r="BE335" i="1" s="1"/>
  <c r="K345" i="3"/>
  <c r="BD335" i="1" s="1"/>
  <c r="O344" i="3"/>
  <c r="N344" i="3"/>
  <c r="BG334" i="1" s="1"/>
  <c r="M344" i="3"/>
  <c r="BF334" i="1" s="1"/>
  <c r="L344" i="3"/>
  <c r="BE334" i="1" s="1"/>
  <c r="K344" i="3"/>
  <c r="BD334" i="1" s="1"/>
  <c r="O343" i="3"/>
  <c r="N343" i="3"/>
  <c r="BG333" i="1" s="1"/>
  <c r="M343" i="3"/>
  <c r="BF333" i="1" s="1"/>
  <c r="L343" i="3"/>
  <c r="BE333" i="1" s="1"/>
  <c r="K343" i="3"/>
  <c r="BD333" i="1" s="1"/>
  <c r="O342" i="3"/>
  <c r="N342" i="3"/>
  <c r="BG332" i="1" s="1"/>
  <c r="M342" i="3"/>
  <c r="BF332" i="1" s="1"/>
  <c r="L342" i="3"/>
  <c r="BE332" i="1" s="1"/>
  <c r="K342" i="3"/>
  <c r="BD332" i="1" s="1"/>
  <c r="O341" i="3"/>
  <c r="N341" i="3"/>
  <c r="BG331" i="1" s="1"/>
  <c r="M341" i="3"/>
  <c r="BF331" i="1" s="1"/>
  <c r="L341" i="3"/>
  <c r="BE331" i="1" s="1"/>
  <c r="K341" i="3"/>
  <c r="BD331" i="1" s="1"/>
  <c r="O340" i="3"/>
  <c r="N340" i="3"/>
  <c r="BG330" i="1" s="1"/>
  <c r="M340" i="3"/>
  <c r="BF330" i="1" s="1"/>
  <c r="L340" i="3"/>
  <c r="BE330" i="1" s="1"/>
  <c r="K340" i="3"/>
  <c r="BD330" i="1" s="1"/>
  <c r="O339" i="3"/>
  <c r="N339" i="3"/>
  <c r="BG329" i="1" s="1"/>
  <c r="M339" i="3"/>
  <c r="BF329" i="1" s="1"/>
  <c r="L339" i="3"/>
  <c r="BE329" i="1" s="1"/>
  <c r="K339" i="3"/>
  <c r="BD329" i="1" s="1"/>
  <c r="O338" i="3"/>
  <c r="N338" i="3"/>
  <c r="BG328" i="1" s="1"/>
  <c r="M338" i="3"/>
  <c r="BF328" i="1" s="1"/>
  <c r="L338" i="3"/>
  <c r="BE328" i="1" s="1"/>
  <c r="K338" i="3"/>
  <c r="BD328" i="1" s="1"/>
  <c r="O337" i="3"/>
  <c r="N337" i="3"/>
  <c r="BG327" i="1" s="1"/>
  <c r="M337" i="3"/>
  <c r="BF327" i="1" s="1"/>
  <c r="L337" i="3"/>
  <c r="BE327" i="1" s="1"/>
  <c r="K337" i="3"/>
  <c r="BD327" i="1" s="1"/>
  <c r="M336" i="3"/>
  <c r="BF326" i="1" s="1"/>
  <c r="N336" i="3"/>
  <c r="BG326" i="1" s="1"/>
  <c r="O336" i="3"/>
  <c r="L336" i="3"/>
  <c r="BE326" i="1" s="1"/>
  <c r="K336" i="3"/>
  <c r="BD326" i="1" s="1"/>
  <c r="O335" i="3"/>
  <c r="N335" i="3"/>
  <c r="BG325" i="1" s="1"/>
  <c r="M335" i="3"/>
  <c r="BF325" i="1" s="1"/>
  <c r="L335" i="3"/>
  <c r="BE325" i="1" s="1"/>
  <c r="K335" i="3"/>
  <c r="BD325" i="1" s="1"/>
  <c r="O334" i="3"/>
  <c r="N334" i="3"/>
  <c r="BG324" i="1" s="1"/>
  <c r="M334" i="3"/>
  <c r="BF324" i="1" s="1"/>
  <c r="L334" i="3"/>
  <c r="BE324" i="1" s="1"/>
  <c r="K334" i="3"/>
  <c r="BD324" i="1" s="1"/>
  <c r="L333" i="3"/>
  <c r="BE323" i="1" s="1"/>
  <c r="N333" i="3"/>
  <c r="BG323" i="1" s="1"/>
  <c r="M333" i="3"/>
  <c r="BF323" i="1" s="1"/>
  <c r="O333" i="3"/>
  <c r="K333" i="3"/>
  <c r="BD323" i="1" s="1"/>
  <c r="O332" i="3"/>
  <c r="N332" i="3"/>
  <c r="BG322" i="1" s="1"/>
  <c r="M332" i="3"/>
  <c r="BF322" i="1" s="1"/>
  <c r="L332" i="3"/>
  <c r="BE322" i="1" s="1"/>
  <c r="K332" i="3"/>
  <c r="BD322" i="1" s="1"/>
  <c r="O331" i="3"/>
  <c r="N331" i="3"/>
  <c r="BG321" i="1" s="1"/>
  <c r="M331" i="3"/>
  <c r="BF321" i="1" s="1"/>
  <c r="L331" i="3"/>
  <c r="BE321" i="1" s="1"/>
  <c r="K331" i="3"/>
  <c r="BD321" i="1" s="1"/>
  <c r="O330" i="3"/>
  <c r="N330" i="3"/>
  <c r="BG320" i="1" s="1"/>
  <c r="M330" i="3"/>
  <c r="BF320" i="1" s="1"/>
  <c r="L330" i="3"/>
  <c r="BE320" i="1" s="1"/>
  <c r="K330" i="3"/>
  <c r="BD320" i="1" s="1"/>
  <c r="O329" i="3"/>
  <c r="N329" i="3"/>
  <c r="BG319" i="1" s="1"/>
  <c r="M329" i="3"/>
  <c r="BF319" i="1" s="1"/>
  <c r="L329" i="3"/>
  <c r="BE319" i="1" s="1"/>
  <c r="K329" i="3"/>
  <c r="BD319" i="1" s="1"/>
  <c r="O328" i="3"/>
  <c r="N328" i="3"/>
  <c r="BG318" i="1" s="1"/>
  <c r="M328" i="3"/>
  <c r="BF318" i="1" s="1"/>
  <c r="L328" i="3"/>
  <c r="BE318" i="1" s="1"/>
  <c r="K328" i="3"/>
  <c r="BD318" i="1" s="1"/>
  <c r="O327" i="3"/>
  <c r="N327" i="3"/>
  <c r="BG317" i="1" s="1"/>
  <c r="M327" i="3"/>
  <c r="BF317" i="1" s="1"/>
  <c r="L327" i="3"/>
  <c r="BE317" i="1" s="1"/>
  <c r="K327" i="3"/>
  <c r="BD317" i="1" s="1"/>
  <c r="O326" i="3"/>
  <c r="N326" i="3"/>
  <c r="BG316" i="1" s="1"/>
  <c r="M326" i="3"/>
  <c r="BF316" i="1" s="1"/>
  <c r="L326" i="3"/>
  <c r="BE316" i="1" s="1"/>
  <c r="K326" i="3"/>
  <c r="BD316" i="1" s="1"/>
  <c r="O325" i="3"/>
  <c r="N325" i="3"/>
  <c r="BG315" i="1" s="1"/>
  <c r="M325" i="3"/>
  <c r="BF315" i="1" s="1"/>
  <c r="L325" i="3"/>
  <c r="BE315" i="1" s="1"/>
  <c r="K325" i="3"/>
  <c r="BD315" i="1" s="1"/>
  <c r="O324" i="3"/>
  <c r="N324" i="3"/>
  <c r="BG314" i="1" s="1"/>
  <c r="M324" i="3"/>
  <c r="BF314" i="1" s="1"/>
  <c r="L324" i="3"/>
  <c r="BE314" i="1" s="1"/>
  <c r="K324" i="3"/>
  <c r="BD314" i="1" s="1"/>
  <c r="O323" i="3"/>
  <c r="N323" i="3"/>
  <c r="BG313" i="1" s="1"/>
  <c r="M323" i="3"/>
  <c r="BF313" i="1" s="1"/>
  <c r="L323" i="3"/>
  <c r="BE313" i="1" s="1"/>
  <c r="K323" i="3"/>
  <c r="BD313" i="1" s="1"/>
  <c r="O322" i="3"/>
  <c r="N322" i="3"/>
  <c r="BG312" i="1" s="1"/>
  <c r="M322" i="3"/>
  <c r="BF312" i="1" s="1"/>
  <c r="L322" i="3"/>
  <c r="BE312" i="1" s="1"/>
  <c r="K322" i="3"/>
  <c r="BD312" i="1" s="1"/>
  <c r="O321" i="3"/>
  <c r="N321" i="3"/>
  <c r="BG311" i="1" s="1"/>
  <c r="M321" i="3"/>
  <c r="BF311" i="1" s="1"/>
  <c r="L321" i="3"/>
  <c r="BE311" i="1" s="1"/>
  <c r="K321" i="3"/>
  <c r="BD311" i="1" s="1"/>
  <c r="O320" i="3"/>
  <c r="N320" i="3"/>
  <c r="BG310" i="1" s="1"/>
  <c r="M320" i="3"/>
  <c r="BF310" i="1" s="1"/>
  <c r="L320" i="3"/>
  <c r="BE310" i="1" s="1"/>
  <c r="K320" i="3"/>
  <c r="BD310" i="1" s="1"/>
  <c r="O319" i="3"/>
  <c r="N319" i="3"/>
  <c r="BG309" i="1" s="1"/>
  <c r="M319" i="3"/>
  <c r="BF309" i="1" s="1"/>
  <c r="L319" i="3"/>
  <c r="BE309" i="1" s="1"/>
  <c r="K319" i="3"/>
  <c r="BD309" i="1" s="1"/>
  <c r="O318" i="3"/>
  <c r="N318" i="3"/>
  <c r="BG308" i="1" s="1"/>
  <c r="M318" i="3"/>
  <c r="BF308" i="1" s="1"/>
  <c r="L318" i="3"/>
  <c r="BE308" i="1" s="1"/>
  <c r="K318" i="3"/>
  <c r="BD308" i="1" s="1"/>
  <c r="O317" i="3"/>
  <c r="N317" i="3"/>
  <c r="BG307" i="1" s="1"/>
  <c r="M317" i="3"/>
  <c r="BF307" i="1" s="1"/>
  <c r="L317" i="3"/>
  <c r="BE307" i="1" s="1"/>
  <c r="K317" i="3"/>
  <c r="BD307" i="1" s="1"/>
  <c r="O316" i="3"/>
  <c r="N316" i="3"/>
  <c r="BG306" i="1" s="1"/>
  <c r="M316" i="3"/>
  <c r="BF306" i="1" s="1"/>
  <c r="L316" i="3"/>
  <c r="BE306" i="1" s="1"/>
  <c r="K316" i="3"/>
  <c r="BD306" i="1" s="1"/>
  <c r="O315" i="3"/>
  <c r="N315" i="3"/>
  <c r="BG305" i="1" s="1"/>
  <c r="M315" i="3"/>
  <c r="BF305" i="1" s="1"/>
  <c r="L315" i="3"/>
  <c r="BE305" i="1" s="1"/>
  <c r="K315" i="3"/>
  <c r="BD305" i="1" s="1"/>
  <c r="O314" i="3"/>
  <c r="N314" i="3"/>
  <c r="BG304" i="1" s="1"/>
  <c r="M314" i="3"/>
  <c r="BF304" i="1" s="1"/>
  <c r="L314" i="3"/>
  <c r="BE304" i="1" s="1"/>
  <c r="K314" i="3"/>
  <c r="BD304" i="1" s="1"/>
  <c r="O313" i="3"/>
  <c r="N313" i="3"/>
  <c r="BG303" i="1" s="1"/>
  <c r="M313" i="3"/>
  <c r="BF303" i="1" s="1"/>
  <c r="L313" i="3"/>
  <c r="BE303" i="1" s="1"/>
  <c r="K313" i="3"/>
  <c r="BD303" i="1" s="1"/>
  <c r="O312" i="3"/>
  <c r="N312" i="3"/>
  <c r="BG302" i="1" s="1"/>
  <c r="M312" i="3"/>
  <c r="BF302" i="1" s="1"/>
  <c r="L312" i="3"/>
  <c r="BE302" i="1" s="1"/>
  <c r="K312" i="3"/>
  <c r="BD302" i="1" s="1"/>
  <c r="O311" i="3"/>
  <c r="N311" i="3"/>
  <c r="BG301" i="1" s="1"/>
  <c r="M311" i="3"/>
  <c r="BF301" i="1" s="1"/>
  <c r="L311" i="3"/>
  <c r="BE301" i="1" s="1"/>
  <c r="K311" i="3"/>
  <c r="BD301" i="1" s="1"/>
  <c r="O310" i="3"/>
  <c r="N310" i="3"/>
  <c r="BG300" i="1" s="1"/>
  <c r="M310" i="3"/>
  <c r="BF300" i="1" s="1"/>
  <c r="L310" i="3"/>
  <c r="BE300" i="1" s="1"/>
  <c r="K310" i="3"/>
  <c r="BD300" i="1" s="1"/>
  <c r="O309" i="3"/>
  <c r="N309" i="3"/>
  <c r="BG299" i="1" s="1"/>
  <c r="M309" i="3"/>
  <c r="BF299" i="1" s="1"/>
  <c r="L309" i="3"/>
  <c r="BE299" i="1" s="1"/>
  <c r="K309" i="3"/>
  <c r="BD299" i="1" s="1"/>
  <c r="O308" i="3"/>
  <c r="N308" i="3"/>
  <c r="BG298" i="1" s="1"/>
  <c r="M308" i="3"/>
  <c r="BF298" i="1" s="1"/>
  <c r="L308" i="3"/>
  <c r="BE298" i="1" s="1"/>
  <c r="K308" i="3"/>
  <c r="BD298" i="1" s="1"/>
  <c r="O307" i="3"/>
  <c r="N307" i="3"/>
  <c r="BG297" i="1" s="1"/>
  <c r="M307" i="3"/>
  <c r="BF297" i="1" s="1"/>
  <c r="L307" i="3"/>
  <c r="BE297" i="1" s="1"/>
  <c r="K307" i="3"/>
  <c r="BD297" i="1" s="1"/>
  <c r="O306" i="3"/>
  <c r="N306" i="3"/>
  <c r="BG296" i="1" s="1"/>
  <c r="M306" i="3"/>
  <c r="BF296" i="1" s="1"/>
  <c r="L306" i="3"/>
  <c r="BE296" i="1" s="1"/>
  <c r="K306" i="3"/>
  <c r="BD296" i="1" s="1"/>
  <c r="O305" i="3"/>
  <c r="N305" i="3"/>
  <c r="BG295" i="1" s="1"/>
  <c r="M305" i="3"/>
  <c r="BF295" i="1" s="1"/>
  <c r="L305" i="3"/>
  <c r="BE295" i="1" s="1"/>
  <c r="K305" i="3"/>
  <c r="BD295" i="1" s="1"/>
  <c r="O304" i="3"/>
  <c r="N304" i="3"/>
  <c r="BG294" i="1" s="1"/>
  <c r="M304" i="3"/>
  <c r="BF294" i="1" s="1"/>
  <c r="L304" i="3"/>
  <c r="BE294" i="1" s="1"/>
  <c r="K304" i="3"/>
  <c r="BD294" i="1" s="1"/>
  <c r="N303" i="3"/>
  <c r="BG293" i="1" s="1"/>
  <c r="L303" i="3"/>
  <c r="BE293" i="1" s="1"/>
  <c r="O303" i="3"/>
  <c r="M303" i="3"/>
  <c r="BF293" i="1" s="1"/>
  <c r="K303" i="3"/>
  <c r="BD293" i="1" s="1"/>
  <c r="N302" i="3"/>
  <c r="BG292" i="1" s="1"/>
  <c r="K302" i="3"/>
  <c r="BD292" i="1" s="1"/>
  <c r="O302" i="3"/>
  <c r="L302" i="3"/>
  <c r="BE292" i="1" s="1"/>
  <c r="M302" i="3"/>
  <c r="BF292" i="1" s="1"/>
  <c r="K301" i="3"/>
  <c r="BD291" i="1" s="1"/>
  <c r="M301" i="3"/>
  <c r="BF291" i="1" s="1"/>
  <c r="L301" i="3"/>
  <c r="BE291" i="1" s="1"/>
  <c r="N301" i="3"/>
  <c r="BG291" i="1" s="1"/>
  <c r="O301" i="3"/>
  <c r="O300" i="3"/>
  <c r="N300" i="3"/>
  <c r="BG290" i="1" s="1"/>
  <c r="M300" i="3"/>
  <c r="BF290" i="1" s="1"/>
  <c r="L300" i="3"/>
  <c r="BE290" i="1" s="1"/>
  <c r="K300" i="3"/>
  <c r="BD290" i="1" s="1"/>
  <c r="L299" i="3"/>
  <c r="BE289" i="1" s="1"/>
  <c r="N299" i="3"/>
  <c r="BG289" i="1" s="1"/>
  <c r="M299" i="3"/>
  <c r="BF289" i="1" s="1"/>
  <c r="K299" i="3"/>
  <c r="BD289" i="1" s="1"/>
  <c r="O299" i="3"/>
  <c r="L298" i="3"/>
  <c r="BE288" i="1" s="1"/>
  <c r="N298" i="3"/>
  <c r="BG288" i="1" s="1"/>
  <c r="O298" i="3"/>
  <c r="K298" i="3"/>
  <c r="BD288" i="1" s="1"/>
  <c r="M298" i="3"/>
  <c r="BF288" i="1" s="1"/>
  <c r="K297" i="3"/>
  <c r="BD287" i="1" s="1"/>
  <c r="L297" i="3"/>
  <c r="BE287" i="1" s="1"/>
  <c r="M297" i="3"/>
  <c r="BF287" i="1" s="1"/>
  <c r="O297" i="3"/>
  <c r="N297" i="3"/>
  <c r="BG287" i="1" s="1"/>
  <c r="O296" i="3"/>
  <c r="N296" i="3"/>
  <c r="BG286" i="1" s="1"/>
  <c r="M296" i="3"/>
  <c r="BF286" i="1" s="1"/>
  <c r="L296" i="3"/>
  <c r="BE286" i="1" s="1"/>
  <c r="K296" i="3"/>
  <c r="BD286" i="1" s="1"/>
  <c r="M295" i="3"/>
  <c r="BF285" i="1" s="1"/>
  <c r="L295" i="3"/>
  <c r="BE285" i="1" s="1"/>
  <c r="K295" i="3"/>
  <c r="BD285" i="1" s="1"/>
  <c r="O295" i="3"/>
  <c r="N295" i="3"/>
  <c r="BG285" i="1" s="1"/>
  <c r="M294" i="3"/>
  <c r="BF284" i="1" s="1"/>
  <c r="N294" i="3"/>
  <c r="BG284" i="1" s="1"/>
  <c r="L294" i="3"/>
  <c r="BE284" i="1" s="1"/>
  <c r="K294" i="3"/>
  <c r="BD284" i="1" s="1"/>
  <c r="O294" i="3"/>
  <c r="K293" i="3"/>
  <c r="BD283" i="1" s="1"/>
  <c r="L293" i="3"/>
  <c r="BE283" i="1" s="1"/>
  <c r="N293" i="3"/>
  <c r="BG283" i="1" s="1"/>
  <c r="M293" i="3"/>
  <c r="BF283" i="1" s="1"/>
  <c r="O293" i="3"/>
  <c r="O292" i="3"/>
  <c r="N292" i="3"/>
  <c r="BG282" i="1" s="1"/>
  <c r="L292" i="3"/>
  <c r="BE282" i="1" s="1"/>
  <c r="K292" i="3"/>
  <c r="BD282" i="1" s="1"/>
  <c r="M292" i="3"/>
  <c r="BF282" i="1" s="1"/>
  <c r="N291" i="3"/>
  <c r="BG281" i="1" s="1"/>
  <c r="O291" i="3"/>
  <c r="L291" i="3"/>
  <c r="BE281" i="1" s="1"/>
  <c r="M291" i="3"/>
  <c r="BF281" i="1" s="1"/>
  <c r="K291" i="3"/>
  <c r="BD281" i="1" s="1"/>
  <c r="M290" i="3"/>
  <c r="BF280" i="1" s="1"/>
  <c r="N290" i="3"/>
  <c r="BG280" i="1" s="1"/>
  <c r="O290" i="3"/>
  <c r="K290" i="3"/>
  <c r="BD280" i="1" s="1"/>
  <c r="L290" i="3"/>
  <c r="BE280" i="1" s="1"/>
  <c r="M289" i="3"/>
  <c r="BF279" i="1" s="1"/>
  <c r="K289" i="3"/>
  <c r="BD279" i="1" s="1"/>
  <c r="L289" i="3"/>
  <c r="BE279" i="1" s="1"/>
  <c r="N289" i="3"/>
  <c r="BG279" i="1" s="1"/>
  <c r="O289" i="3"/>
  <c r="L288" i="3"/>
  <c r="BE278" i="1" s="1"/>
  <c r="M288" i="3"/>
  <c r="BF278" i="1" s="1"/>
  <c r="N288" i="3"/>
  <c r="BG278" i="1" s="1"/>
  <c r="O288" i="3"/>
  <c r="K288" i="3"/>
  <c r="BD278" i="1" s="1"/>
  <c r="L287" i="3"/>
  <c r="BE277" i="1" s="1"/>
  <c r="M287" i="3"/>
  <c r="BF277" i="1" s="1"/>
  <c r="O287" i="3"/>
  <c r="N287" i="3"/>
  <c r="BG277" i="1" s="1"/>
  <c r="K287" i="3"/>
  <c r="BD277" i="1" s="1"/>
  <c r="L286" i="3"/>
  <c r="BE276" i="1" s="1"/>
  <c r="O286" i="3"/>
  <c r="N286" i="3"/>
  <c r="BG276" i="1" s="1"/>
  <c r="M286" i="3"/>
  <c r="BF276" i="1" s="1"/>
  <c r="K286" i="3"/>
  <c r="BD276" i="1" s="1"/>
  <c r="M285" i="3"/>
  <c r="BF275" i="1" s="1"/>
  <c r="K285" i="3"/>
  <c r="BD275" i="1" s="1"/>
  <c r="N285" i="3"/>
  <c r="BG275" i="1" s="1"/>
  <c r="O285" i="3"/>
  <c r="L285" i="3"/>
  <c r="BE275" i="1" s="1"/>
  <c r="O284" i="3"/>
  <c r="L284" i="3"/>
  <c r="BE274" i="1" s="1"/>
  <c r="N284" i="3"/>
  <c r="BG274" i="1" s="1"/>
  <c r="K284" i="3"/>
  <c r="BD274" i="1" s="1"/>
  <c r="M284" i="3"/>
  <c r="BF274" i="1" s="1"/>
  <c r="M283" i="3"/>
  <c r="BF273" i="1" s="1"/>
  <c r="K283" i="3"/>
  <c r="BD273" i="1" s="1"/>
  <c r="L283" i="3"/>
  <c r="BE273" i="1" s="1"/>
  <c r="O283" i="3"/>
  <c r="N283" i="3"/>
  <c r="BG273" i="1" s="1"/>
  <c r="O282" i="3"/>
  <c r="K282" i="3"/>
  <c r="BD272" i="1" s="1"/>
  <c r="N282" i="3"/>
  <c r="BG272" i="1" s="1"/>
  <c r="M282" i="3"/>
  <c r="BF272" i="1" s="1"/>
  <c r="L282" i="3"/>
  <c r="BE272" i="1" s="1"/>
  <c r="O281" i="3"/>
  <c r="N281" i="3"/>
  <c r="BG271" i="1" s="1"/>
  <c r="K281" i="3"/>
  <c r="BD271" i="1" s="1"/>
  <c r="L281" i="3"/>
  <c r="BE271" i="1" s="1"/>
  <c r="M281" i="3"/>
  <c r="BF271" i="1" s="1"/>
  <c r="M280" i="3"/>
  <c r="BF270" i="1" s="1"/>
  <c r="O280" i="3"/>
  <c r="N280" i="3"/>
  <c r="BG270" i="1" s="1"/>
  <c r="L280" i="3"/>
  <c r="BE270" i="1" s="1"/>
  <c r="K280" i="3"/>
  <c r="BD270" i="1" s="1"/>
  <c r="N279" i="3"/>
  <c r="BG269" i="1" s="1"/>
  <c r="M279" i="3"/>
  <c r="BF269" i="1" s="1"/>
  <c r="L279" i="3"/>
  <c r="BE269" i="1" s="1"/>
  <c r="K279" i="3"/>
  <c r="BD269" i="1" s="1"/>
  <c r="O279" i="3"/>
  <c r="N278" i="3"/>
  <c r="BG268" i="1" s="1"/>
  <c r="K278" i="3"/>
  <c r="BD268" i="1" s="1"/>
  <c r="L278" i="3"/>
  <c r="BE268" i="1" s="1"/>
  <c r="M278" i="3"/>
  <c r="BF268" i="1" s="1"/>
  <c r="O278" i="3"/>
  <c r="L277" i="3"/>
  <c r="BE267" i="1" s="1"/>
  <c r="N277" i="3"/>
  <c r="BG267" i="1" s="1"/>
  <c r="O277" i="3"/>
  <c r="M277" i="3"/>
  <c r="BF267" i="1" s="1"/>
  <c r="K277" i="3"/>
  <c r="BD267" i="1" s="1"/>
  <c r="N276" i="3"/>
  <c r="BG266" i="1" s="1"/>
  <c r="K276" i="3"/>
  <c r="BD266" i="1" s="1"/>
  <c r="M276" i="3"/>
  <c r="BF266" i="1" s="1"/>
  <c r="L276" i="3"/>
  <c r="BE266" i="1" s="1"/>
  <c r="O276" i="3"/>
  <c r="K275" i="3"/>
  <c r="BD265" i="1" s="1"/>
  <c r="L275" i="3"/>
  <c r="BE265" i="1" s="1"/>
  <c r="M275" i="3"/>
  <c r="BF265" i="1" s="1"/>
  <c r="N275" i="3"/>
  <c r="BG265" i="1" s="1"/>
  <c r="O275" i="3"/>
  <c r="L274" i="3"/>
  <c r="BE264" i="1" s="1"/>
  <c r="M274" i="3"/>
  <c r="BF264" i="1" s="1"/>
  <c r="N274" i="3"/>
  <c r="BG264" i="1" s="1"/>
  <c r="K274" i="3"/>
  <c r="BD264" i="1" s="1"/>
  <c r="O274" i="3"/>
  <c r="M273" i="3"/>
  <c r="BF263" i="1" s="1"/>
  <c r="L273" i="3"/>
  <c r="BE263" i="1" s="1"/>
  <c r="N273" i="3"/>
  <c r="BG263" i="1" s="1"/>
  <c r="K273" i="3"/>
  <c r="BD263" i="1" s="1"/>
  <c r="O273" i="3"/>
  <c r="L272" i="3"/>
  <c r="BE262" i="1" s="1"/>
  <c r="K272" i="3"/>
  <c r="BD262" i="1" s="1"/>
  <c r="N272" i="3"/>
  <c r="BG262" i="1" s="1"/>
  <c r="M272" i="3"/>
  <c r="BF262" i="1" s="1"/>
  <c r="O272" i="3"/>
  <c r="N271" i="3"/>
  <c r="BG261" i="1" s="1"/>
  <c r="M271" i="3"/>
  <c r="BF261" i="1" s="1"/>
  <c r="L271" i="3"/>
  <c r="BE261" i="1" s="1"/>
  <c r="O271" i="3"/>
  <c r="K271" i="3"/>
  <c r="BD261" i="1" s="1"/>
  <c r="M270" i="3"/>
  <c r="BF260" i="1" s="1"/>
  <c r="K270" i="3"/>
  <c r="BD260" i="1" s="1"/>
  <c r="N270" i="3"/>
  <c r="BG260" i="1" s="1"/>
  <c r="O270" i="3"/>
  <c r="L270" i="3"/>
  <c r="BE260" i="1" s="1"/>
  <c r="O269" i="3"/>
  <c r="N269" i="3"/>
  <c r="BG259" i="1" s="1"/>
  <c r="L269" i="3"/>
  <c r="BE259" i="1" s="1"/>
  <c r="M269" i="3"/>
  <c r="BF259" i="1" s="1"/>
  <c r="K269" i="3"/>
  <c r="BD259" i="1" s="1"/>
  <c r="M268" i="3"/>
  <c r="BF258" i="1" s="1"/>
  <c r="L268" i="3"/>
  <c r="BE258" i="1" s="1"/>
  <c r="N268" i="3"/>
  <c r="BG258" i="1" s="1"/>
  <c r="O268" i="3"/>
  <c r="K268" i="3"/>
  <c r="BD258" i="1" s="1"/>
  <c r="L267" i="3"/>
  <c r="BE257" i="1" s="1"/>
  <c r="N267" i="3"/>
  <c r="BG257" i="1" s="1"/>
  <c r="O267" i="3"/>
  <c r="M267" i="3"/>
  <c r="BF257" i="1" s="1"/>
  <c r="K267" i="3"/>
  <c r="BD257" i="1" s="1"/>
  <c r="N266" i="3"/>
  <c r="BG256" i="1" s="1"/>
  <c r="M266" i="3"/>
  <c r="BF256" i="1" s="1"/>
  <c r="L266" i="3"/>
  <c r="BE256" i="1" s="1"/>
  <c r="O266" i="3"/>
  <c r="K266" i="3"/>
  <c r="BD256" i="1" s="1"/>
  <c r="K265" i="3"/>
  <c r="BD255" i="1" s="1"/>
  <c r="L265" i="3"/>
  <c r="BE255" i="1" s="1"/>
  <c r="N265" i="3"/>
  <c r="BG255" i="1" s="1"/>
  <c r="O265" i="3"/>
  <c r="M265" i="3"/>
  <c r="BF255" i="1" s="1"/>
  <c r="L264" i="3"/>
  <c r="BE254" i="1" s="1"/>
  <c r="N264" i="3"/>
  <c r="BG254" i="1" s="1"/>
  <c r="M264" i="3"/>
  <c r="BF254" i="1" s="1"/>
  <c r="K264" i="3"/>
  <c r="BD254" i="1" s="1"/>
  <c r="O264" i="3"/>
  <c r="L263" i="3"/>
  <c r="BE253" i="1" s="1"/>
  <c r="O263" i="3"/>
  <c r="N263" i="3"/>
  <c r="BG253" i="1" s="1"/>
  <c r="K263" i="3"/>
  <c r="BD253" i="1" s="1"/>
  <c r="M263" i="3"/>
  <c r="BF253" i="1" s="1"/>
  <c r="M262" i="3"/>
  <c r="BF252" i="1" s="1"/>
  <c r="O262" i="3"/>
  <c r="L262" i="3"/>
  <c r="BE252" i="1" s="1"/>
  <c r="K262" i="3"/>
  <c r="BD252" i="1" s="1"/>
  <c r="N262" i="3"/>
  <c r="BG252" i="1" s="1"/>
  <c r="O261" i="3"/>
  <c r="N261" i="3"/>
  <c r="BG251" i="1" s="1"/>
  <c r="M261" i="3"/>
  <c r="BF251" i="1" s="1"/>
  <c r="L261" i="3"/>
  <c r="BE251" i="1" s="1"/>
  <c r="K261" i="3"/>
  <c r="BD251" i="1" s="1"/>
  <c r="L260" i="3"/>
  <c r="BE250" i="1" s="1"/>
  <c r="N260" i="3"/>
  <c r="BG250" i="1" s="1"/>
  <c r="O260" i="3"/>
  <c r="M260" i="3"/>
  <c r="BF250" i="1" s="1"/>
  <c r="K260" i="3"/>
  <c r="BD250" i="1" s="1"/>
  <c r="N259" i="3"/>
  <c r="BG249" i="1" s="1"/>
  <c r="K259" i="3"/>
  <c r="BD249" i="1" s="1"/>
  <c r="M259" i="3"/>
  <c r="BF249" i="1" s="1"/>
  <c r="O259" i="3"/>
  <c r="L259" i="3"/>
  <c r="BE249" i="1" s="1"/>
  <c r="N258" i="3"/>
  <c r="BG248" i="1" s="1"/>
  <c r="K258" i="3"/>
  <c r="BD248" i="1" s="1"/>
  <c r="L258" i="3"/>
  <c r="BE248" i="1" s="1"/>
  <c r="O258" i="3"/>
  <c r="M258" i="3"/>
  <c r="BF248" i="1" s="1"/>
  <c r="M257" i="3"/>
  <c r="BF247" i="1" s="1"/>
  <c r="L257" i="3"/>
  <c r="BE247" i="1" s="1"/>
  <c r="N257" i="3"/>
  <c r="BG247" i="1" s="1"/>
  <c r="O257" i="3"/>
  <c r="K257" i="3"/>
  <c r="BD247" i="1" s="1"/>
  <c r="L256" i="3"/>
  <c r="BE246" i="1" s="1"/>
  <c r="N256" i="3"/>
  <c r="BG246" i="1" s="1"/>
  <c r="M256" i="3"/>
  <c r="BF246" i="1" s="1"/>
  <c r="K256" i="3"/>
  <c r="BD246" i="1" s="1"/>
  <c r="O256" i="3"/>
  <c r="K255" i="3"/>
  <c r="BD245" i="1" s="1"/>
  <c r="N255" i="3"/>
  <c r="BG245" i="1" s="1"/>
  <c r="M255" i="3"/>
  <c r="BF245" i="1" s="1"/>
  <c r="O255" i="3"/>
  <c r="L255" i="3"/>
  <c r="BE245" i="1" s="1"/>
  <c r="BK244" i="1"/>
  <c r="M254" i="3"/>
  <c r="BF244" i="1" s="1"/>
  <c r="O254" i="3"/>
  <c r="N254" i="3"/>
  <c r="BG244" i="1" s="1"/>
  <c r="L254" i="3"/>
  <c r="BE244" i="1" s="1"/>
  <c r="K254" i="3"/>
  <c r="BD244" i="1" s="1"/>
  <c r="L253" i="3"/>
  <c r="BE243" i="1" s="1"/>
  <c r="M253" i="3"/>
  <c r="BF243" i="1" s="1"/>
  <c r="K253" i="3"/>
  <c r="BD243" i="1" s="1"/>
  <c r="N253" i="3"/>
  <c r="BG243" i="1" s="1"/>
  <c r="O253" i="3"/>
  <c r="N252" i="3"/>
  <c r="BG242" i="1" s="1"/>
  <c r="K252" i="3"/>
  <c r="BD242" i="1" s="1"/>
  <c r="L252" i="3"/>
  <c r="BE242" i="1" s="1"/>
  <c r="M252" i="3"/>
  <c r="BF242" i="1" s="1"/>
  <c r="O252" i="3"/>
  <c r="K251" i="3"/>
  <c r="BD241" i="1" s="1"/>
  <c r="L251" i="3"/>
  <c r="BE241" i="1" s="1"/>
  <c r="O251" i="3"/>
  <c r="M251" i="3"/>
  <c r="BF241" i="1" s="1"/>
  <c r="N251" i="3"/>
  <c r="BG241" i="1" s="1"/>
  <c r="M250" i="3"/>
  <c r="BF240" i="1" s="1"/>
  <c r="N250" i="3"/>
  <c r="BG240" i="1" s="1"/>
  <c r="K250" i="3"/>
  <c r="BD240" i="1" s="1"/>
  <c r="O250" i="3"/>
  <c r="L250" i="3"/>
  <c r="BE240" i="1" s="1"/>
  <c r="L249" i="3"/>
  <c r="BE239" i="1" s="1"/>
  <c r="O249" i="3"/>
  <c r="M249" i="3"/>
  <c r="BF239" i="1" s="1"/>
  <c r="N249" i="3"/>
  <c r="BG239" i="1" s="1"/>
  <c r="K249" i="3"/>
  <c r="BD239" i="1" s="1"/>
  <c r="N248" i="3"/>
  <c r="BG238" i="1" s="1"/>
  <c r="M248" i="3"/>
  <c r="BF238" i="1" s="1"/>
  <c r="K248" i="3"/>
  <c r="BD238" i="1" s="1"/>
  <c r="O248" i="3"/>
  <c r="L248" i="3"/>
  <c r="BE238" i="1" s="1"/>
  <c r="L247" i="3"/>
  <c r="BE237" i="1" s="1"/>
  <c r="M247" i="3"/>
  <c r="BF237" i="1" s="1"/>
  <c r="O247" i="3"/>
  <c r="N247" i="3"/>
  <c r="BG237" i="1" s="1"/>
  <c r="K247" i="3"/>
  <c r="BD237" i="1" s="1"/>
  <c r="K246" i="3"/>
  <c r="BD236" i="1" s="1"/>
  <c r="O246" i="3"/>
  <c r="N246" i="3"/>
  <c r="BG236" i="1" s="1"/>
  <c r="M246" i="3"/>
  <c r="BF236" i="1" s="1"/>
  <c r="L246" i="3"/>
  <c r="BE236" i="1" s="1"/>
  <c r="K245" i="3"/>
  <c r="BD235" i="1" s="1"/>
  <c r="O245" i="3"/>
  <c r="N245" i="3"/>
  <c r="BG235" i="1" s="1"/>
  <c r="M245" i="3"/>
  <c r="BF235" i="1" s="1"/>
  <c r="L245" i="3"/>
  <c r="BE235" i="1" s="1"/>
  <c r="L244" i="3"/>
  <c r="BE234" i="1" s="1"/>
  <c r="M244" i="3"/>
  <c r="BF234" i="1" s="1"/>
  <c r="K244" i="3"/>
  <c r="BD234" i="1" s="1"/>
  <c r="N244" i="3"/>
  <c r="BG234" i="1" s="1"/>
  <c r="O244" i="3"/>
  <c r="M243" i="3"/>
  <c r="BF233" i="1" s="1"/>
  <c r="N243" i="3"/>
  <c r="BG233" i="1" s="1"/>
  <c r="L243" i="3"/>
  <c r="BE233" i="1" s="1"/>
  <c r="O243" i="3"/>
  <c r="K243" i="3"/>
  <c r="BD233" i="1" s="1"/>
  <c r="L242" i="3"/>
  <c r="BE232" i="1" s="1"/>
  <c r="K242" i="3"/>
  <c r="BD232" i="1" s="1"/>
  <c r="M242" i="3"/>
  <c r="BF232" i="1" s="1"/>
  <c r="N242" i="3"/>
  <c r="BG232" i="1" s="1"/>
  <c r="O242" i="3"/>
  <c r="M241" i="3"/>
  <c r="BF231" i="1" s="1"/>
  <c r="N241" i="3"/>
  <c r="BG231" i="1" s="1"/>
  <c r="K241" i="3"/>
  <c r="BD231" i="1" s="1"/>
  <c r="O241" i="3"/>
  <c r="L241" i="3"/>
  <c r="BE231" i="1" s="1"/>
  <c r="O240" i="3"/>
  <c r="K240" i="3"/>
  <c r="BD230" i="1" s="1"/>
  <c r="N240" i="3"/>
  <c r="BG230" i="1" s="1"/>
  <c r="M240" i="3"/>
  <c r="BF230" i="1" s="1"/>
  <c r="L240" i="3"/>
  <c r="BE230" i="1" s="1"/>
  <c r="N239" i="3"/>
  <c r="BG229" i="1" s="1"/>
  <c r="O239" i="3"/>
  <c r="M239" i="3"/>
  <c r="BF229" i="1" s="1"/>
  <c r="K239" i="3"/>
  <c r="BD229" i="1" s="1"/>
  <c r="L239" i="3"/>
  <c r="BE229" i="1" s="1"/>
  <c r="K238" i="3"/>
  <c r="BD228" i="1" s="1"/>
  <c r="O238" i="3"/>
  <c r="L238" i="3"/>
  <c r="BE228" i="1" s="1"/>
  <c r="M238" i="3"/>
  <c r="BF228" i="1" s="1"/>
  <c r="N238" i="3"/>
  <c r="BG228" i="1" s="1"/>
  <c r="L237" i="3"/>
  <c r="BE227" i="1" s="1"/>
  <c r="M237" i="3"/>
  <c r="BF227" i="1" s="1"/>
  <c r="O237" i="3"/>
  <c r="K237" i="3"/>
  <c r="BD227" i="1" s="1"/>
  <c r="N237" i="3"/>
  <c r="BG227" i="1" s="1"/>
  <c r="N236" i="3"/>
  <c r="BG226" i="1" s="1"/>
  <c r="M236" i="3"/>
  <c r="BF226" i="1" s="1"/>
  <c r="K236" i="3"/>
  <c r="BD226" i="1" s="1"/>
  <c r="O236" i="3"/>
  <c r="L236" i="3"/>
  <c r="BE226" i="1" s="1"/>
  <c r="N235" i="3"/>
  <c r="BG225" i="1" s="1"/>
  <c r="O235" i="3"/>
  <c r="M235" i="3"/>
  <c r="BF225" i="1" s="1"/>
  <c r="K235" i="3"/>
  <c r="BD225" i="1" s="1"/>
  <c r="L235" i="3"/>
  <c r="BE225" i="1" s="1"/>
  <c r="L234" i="3"/>
  <c r="BE224" i="1" s="1"/>
  <c r="N234" i="3"/>
  <c r="BG224" i="1" s="1"/>
  <c r="M234" i="3"/>
  <c r="BF224" i="1" s="1"/>
  <c r="O234" i="3"/>
  <c r="K234" i="3"/>
  <c r="BD224" i="1" s="1"/>
  <c r="L233" i="3"/>
  <c r="BE223" i="1" s="1"/>
  <c r="M233" i="3"/>
  <c r="BF223" i="1" s="1"/>
  <c r="N233" i="3"/>
  <c r="BG223" i="1" s="1"/>
  <c r="O233" i="3"/>
  <c r="K233" i="3"/>
  <c r="BD223" i="1" s="1"/>
  <c r="L232" i="3"/>
  <c r="BE222" i="1" s="1"/>
  <c r="M232" i="3"/>
  <c r="BF222" i="1" s="1"/>
  <c r="N232" i="3"/>
  <c r="BG222" i="1" s="1"/>
  <c r="O232" i="3"/>
  <c r="K232" i="3"/>
  <c r="BD222" i="1" s="1"/>
  <c r="M231" i="3"/>
  <c r="BF221" i="1" s="1"/>
  <c r="O231" i="3"/>
  <c r="L231" i="3"/>
  <c r="BE221" i="1" s="1"/>
  <c r="K231" i="3"/>
  <c r="BD221" i="1" s="1"/>
  <c r="N231" i="3"/>
  <c r="BG221" i="1" s="1"/>
  <c r="O230" i="3"/>
  <c r="K230" i="3"/>
  <c r="BD220" i="1" s="1"/>
  <c r="N230" i="3"/>
  <c r="BG220" i="1" s="1"/>
  <c r="M230" i="3"/>
  <c r="BF220" i="1" s="1"/>
  <c r="L230" i="3"/>
  <c r="BE220" i="1" s="1"/>
  <c r="M229" i="3"/>
  <c r="BF219" i="1" s="1"/>
  <c r="N229" i="3"/>
  <c r="BG219" i="1" s="1"/>
  <c r="K229" i="3"/>
  <c r="BD219" i="1" s="1"/>
  <c r="O229" i="3"/>
  <c r="L229" i="3"/>
  <c r="BE219" i="1" s="1"/>
  <c r="L228" i="3"/>
  <c r="BE218" i="1" s="1"/>
  <c r="M228" i="3"/>
  <c r="BF218" i="1" s="1"/>
  <c r="O228" i="3"/>
  <c r="N228" i="3"/>
  <c r="BG218" i="1" s="1"/>
  <c r="K228" i="3"/>
  <c r="BD218" i="1" s="1"/>
  <c r="N227" i="3"/>
  <c r="BG217" i="1" s="1"/>
  <c r="O227" i="3"/>
  <c r="M227" i="3"/>
  <c r="BF217" i="1" s="1"/>
  <c r="K227" i="3"/>
  <c r="BD217" i="1" s="1"/>
  <c r="L227" i="3"/>
  <c r="BE217" i="1" s="1"/>
  <c r="O226" i="3"/>
  <c r="K226" i="3"/>
  <c r="BD216" i="1" s="1"/>
  <c r="M226" i="3"/>
  <c r="BF216" i="1" s="1"/>
  <c r="L226" i="3"/>
  <c r="BE216" i="1" s="1"/>
  <c r="N226" i="3"/>
  <c r="BG216" i="1" s="1"/>
  <c r="N225" i="3"/>
  <c r="BG215" i="1" s="1"/>
  <c r="O225" i="3"/>
  <c r="K225" i="3"/>
  <c r="BD215" i="1" s="1"/>
  <c r="M225" i="3"/>
  <c r="BF215" i="1" s="1"/>
  <c r="L225" i="3"/>
  <c r="BE215" i="1" s="1"/>
  <c r="M224" i="3"/>
  <c r="BF214" i="1" s="1"/>
  <c r="O224" i="3"/>
  <c r="N224" i="3"/>
  <c r="BG214" i="1" s="1"/>
  <c r="L224" i="3"/>
  <c r="BE214" i="1" s="1"/>
  <c r="K224" i="3"/>
  <c r="BD214" i="1" s="1"/>
  <c r="L223" i="3"/>
  <c r="BE213" i="1" s="1"/>
  <c r="M223" i="3"/>
  <c r="BF213" i="1" s="1"/>
  <c r="N223" i="3"/>
  <c r="BG213" i="1" s="1"/>
  <c r="O223" i="3"/>
  <c r="K223" i="3"/>
  <c r="BD213" i="1" s="1"/>
  <c r="M222" i="3"/>
  <c r="BF212" i="1" s="1"/>
  <c r="L222" i="3"/>
  <c r="BE212" i="1" s="1"/>
  <c r="K222" i="3"/>
  <c r="BD212" i="1" s="1"/>
  <c r="N222" i="3"/>
  <c r="BG212" i="1" s="1"/>
  <c r="O222" i="3"/>
  <c r="L221" i="3"/>
  <c r="BE211" i="1" s="1"/>
  <c r="N221" i="3"/>
  <c r="BG211" i="1" s="1"/>
  <c r="O221" i="3"/>
  <c r="K221" i="3"/>
  <c r="BD211" i="1" s="1"/>
  <c r="M221" i="3"/>
  <c r="BF211" i="1" s="1"/>
  <c r="M220" i="3"/>
  <c r="BF210" i="1" s="1"/>
  <c r="O220" i="3"/>
  <c r="L220" i="3"/>
  <c r="BE210" i="1" s="1"/>
  <c r="K220" i="3"/>
  <c r="BD210" i="1" s="1"/>
  <c r="N220" i="3"/>
  <c r="BG210" i="1" s="1"/>
  <c r="K219" i="3"/>
  <c r="BD209" i="1" s="1"/>
  <c r="M219" i="3"/>
  <c r="BF209" i="1" s="1"/>
  <c r="N219" i="3"/>
  <c r="BG209" i="1" s="1"/>
  <c r="L219" i="3"/>
  <c r="BE209" i="1" s="1"/>
  <c r="O219" i="3"/>
  <c r="L218" i="3"/>
  <c r="BE208" i="1" s="1"/>
  <c r="K218" i="3"/>
  <c r="BD208" i="1" s="1"/>
  <c r="N218" i="3"/>
  <c r="BG208" i="1" s="1"/>
  <c r="M218" i="3"/>
  <c r="BF208" i="1" s="1"/>
  <c r="O218" i="3"/>
  <c r="L217" i="3"/>
  <c r="BE207" i="1" s="1"/>
  <c r="M217" i="3"/>
  <c r="BF207" i="1" s="1"/>
  <c r="O217" i="3"/>
  <c r="N217" i="3"/>
  <c r="BG207" i="1" s="1"/>
  <c r="K217" i="3"/>
  <c r="BD207" i="1" s="1"/>
  <c r="K216" i="3"/>
  <c r="BD206" i="1" s="1"/>
  <c r="M216" i="3"/>
  <c r="BF206" i="1" s="1"/>
  <c r="O216" i="3"/>
  <c r="N216" i="3"/>
  <c r="BG206" i="1" s="1"/>
  <c r="L216" i="3"/>
  <c r="BE206" i="1" s="1"/>
  <c r="M215" i="3"/>
  <c r="BF205" i="1" s="1"/>
  <c r="N215" i="3"/>
  <c r="BG205" i="1" s="1"/>
  <c r="O215" i="3"/>
  <c r="L215" i="3"/>
  <c r="BE205" i="1" s="1"/>
  <c r="K215" i="3"/>
  <c r="BD205" i="1" s="1"/>
  <c r="M214" i="3"/>
  <c r="BF204" i="1" s="1"/>
  <c r="L214" i="3"/>
  <c r="BE204" i="1" s="1"/>
  <c r="O214" i="3"/>
  <c r="N214" i="3"/>
  <c r="BG204" i="1" s="1"/>
  <c r="K214" i="3"/>
  <c r="BD204" i="1" s="1"/>
  <c r="K213" i="3"/>
  <c r="BD203" i="1" s="1"/>
  <c r="N213" i="3"/>
  <c r="BG203" i="1" s="1"/>
  <c r="L213" i="3"/>
  <c r="BE203" i="1" s="1"/>
  <c r="O213" i="3"/>
  <c r="M213" i="3"/>
  <c r="BF203" i="1" s="1"/>
  <c r="M212" i="3"/>
  <c r="BF202" i="1" s="1"/>
  <c r="O212" i="3"/>
  <c r="K212" i="3"/>
  <c r="BD202" i="1" s="1"/>
  <c r="N212" i="3"/>
  <c r="BG202" i="1" s="1"/>
  <c r="L212" i="3"/>
  <c r="BE202" i="1" s="1"/>
  <c r="L211" i="3"/>
  <c r="BE201" i="1" s="1"/>
  <c r="N211" i="3"/>
  <c r="BG201" i="1" s="1"/>
  <c r="K211" i="3"/>
  <c r="BD201" i="1" s="1"/>
  <c r="M211" i="3"/>
  <c r="BF201" i="1" s="1"/>
  <c r="O211" i="3"/>
  <c r="O210" i="3"/>
  <c r="K210" i="3"/>
  <c r="BD200" i="1" s="1"/>
  <c r="N210" i="3"/>
  <c r="BG200" i="1" s="1"/>
  <c r="M210" i="3"/>
  <c r="BF200" i="1" s="1"/>
  <c r="L210" i="3"/>
  <c r="BE200" i="1" s="1"/>
  <c r="O209" i="3"/>
  <c r="M209" i="3"/>
  <c r="BF199" i="1" s="1"/>
  <c r="L209" i="3"/>
  <c r="BE199" i="1" s="1"/>
  <c r="N209" i="3"/>
  <c r="BG199" i="1" s="1"/>
  <c r="K209" i="3"/>
  <c r="BD199" i="1" s="1"/>
  <c r="M208" i="3"/>
  <c r="BF198" i="1" s="1"/>
  <c r="N208" i="3"/>
  <c r="BG198" i="1" s="1"/>
  <c r="O208" i="3"/>
  <c r="L208" i="3"/>
  <c r="BE198" i="1" s="1"/>
  <c r="K208" i="3"/>
  <c r="BD198" i="1" s="1"/>
  <c r="L207" i="3"/>
  <c r="BE197" i="1" s="1"/>
  <c r="O207" i="3"/>
  <c r="M207" i="3"/>
  <c r="BF197" i="1" s="1"/>
  <c r="N207" i="3"/>
  <c r="BG197" i="1" s="1"/>
  <c r="K207" i="3"/>
  <c r="BD197" i="1" s="1"/>
  <c r="K206" i="3"/>
  <c r="BD196" i="1" s="1"/>
  <c r="N206" i="3"/>
  <c r="BG196" i="1" s="1"/>
  <c r="M206" i="3"/>
  <c r="BF196" i="1" s="1"/>
  <c r="L206" i="3"/>
  <c r="BE196" i="1" s="1"/>
  <c r="O206" i="3"/>
  <c r="O205" i="3"/>
  <c r="M205" i="3"/>
  <c r="BF195" i="1" s="1"/>
  <c r="N205" i="3"/>
  <c r="BG195" i="1" s="1"/>
  <c r="L205" i="3"/>
  <c r="BE195" i="1" s="1"/>
  <c r="K205" i="3"/>
  <c r="BD195" i="1" s="1"/>
  <c r="O204" i="3"/>
  <c r="M204" i="3"/>
  <c r="BF194" i="1" s="1"/>
  <c r="K204" i="3"/>
  <c r="BD194" i="1" s="1"/>
  <c r="L204" i="3"/>
  <c r="BE194" i="1" s="1"/>
  <c r="N204" i="3"/>
  <c r="BG194" i="1" s="1"/>
  <c r="K203" i="3"/>
  <c r="BD193" i="1" s="1"/>
  <c r="L203" i="3"/>
  <c r="BE193" i="1" s="1"/>
  <c r="M203" i="3"/>
  <c r="BF193" i="1" s="1"/>
  <c r="O203" i="3"/>
  <c r="N203" i="3"/>
  <c r="BG193" i="1" s="1"/>
  <c r="O202" i="3"/>
  <c r="L202" i="3"/>
  <c r="BE192" i="1" s="1"/>
  <c r="M202" i="3"/>
  <c r="BF192" i="1" s="1"/>
  <c r="K202" i="3"/>
  <c r="BD192" i="1" s="1"/>
  <c r="N202" i="3"/>
  <c r="BG192" i="1" s="1"/>
  <c r="O201" i="3"/>
  <c r="N201" i="3"/>
  <c r="BG191" i="1" s="1"/>
  <c r="M201" i="3"/>
  <c r="BF191" i="1" s="1"/>
  <c r="K201" i="3"/>
  <c r="BD191" i="1" s="1"/>
  <c r="L201" i="3"/>
  <c r="BE191" i="1" s="1"/>
  <c r="M200" i="3"/>
  <c r="BF190" i="1" s="1"/>
  <c r="L200" i="3"/>
  <c r="BE190" i="1" s="1"/>
  <c r="O200" i="3"/>
  <c r="N200" i="3"/>
  <c r="BG190" i="1" s="1"/>
  <c r="K200" i="3"/>
  <c r="BD190" i="1" s="1"/>
  <c r="N199" i="3"/>
  <c r="BG189" i="1" s="1"/>
  <c r="L199" i="3"/>
  <c r="BE189" i="1" s="1"/>
  <c r="O199" i="3"/>
  <c r="M199" i="3"/>
  <c r="BF189" i="1" s="1"/>
  <c r="K199" i="3"/>
  <c r="BD189" i="1" s="1"/>
  <c r="K198" i="3"/>
  <c r="BD188" i="1" s="1"/>
  <c r="L198" i="3"/>
  <c r="BE188" i="1" s="1"/>
  <c r="O198" i="3"/>
  <c r="M198" i="3"/>
  <c r="BF188" i="1" s="1"/>
  <c r="N198" i="3"/>
  <c r="BG188" i="1" s="1"/>
  <c r="L197" i="3"/>
  <c r="BE187" i="1" s="1"/>
  <c r="M197" i="3"/>
  <c r="BF187" i="1" s="1"/>
  <c r="K197" i="3"/>
  <c r="BD187" i="1" s="1"/>
  <c r="O197" i="3"/>
  <c r="N197" i="3"/>
  <c r="BG187" i="1" s="1"/>
  <c r="O196" i="3"/>
  <c r="L196" i="3"/>
  <c r="BE186" i="1" s="1"/>
  <c r="M196" i="3"/>
  <c r="BF186" i="1" s="1"/>
  <c r="K196" i="3"/>
  <c r="BD186" i="1" s="1"/>
  <c r="N196" i="3"/>
  <c r="BG186" i="1" s="1"/>
  <c r="O195" i="3"/>
  <c r="N195" i="3"/>
  <c r="BG185" i="1" s="1"/>
  <c r="L195" i="3"/>
  <c r="BE185" i="1" s="1"/>
  <c r="K195" i="3"/>
  <c r="BD185" i="1" s="1"/>
  <c r="M195" i="3"/>
  <c r="BF185" i="1" s="1"/>
  <c r="L194" i="3"/>
  <c r="BE184" i="1" s="1"/>
  <c r="O194" i="3"/>
  <c r="M194" i="3"/>
  <c r="BF184" i="1" s="1"/>
  <c r="K194" i="3"/>
  <c r="BD184" i="1" s="1"/>
  <c r="N194" i="3"/>
  <c r="BG184" i="1" s="1"/>
  <c r="K193" i="3"/>
  <c r="BD183" i="1" s="1"/>
  <c r="L193" i="3"/>
  <c r="BE183" i="1" s="1"/>
  <c r="N193" i="3"/>
  <c r="BG183" i="1" s="1"/>
  <c r="O193" i="3"/>
  <c r="M193" i="3"/>
  <c r="BF183" i="1" s="1"/>
  <c r="K192" i="3"/>
  <c r="BD182" i="1" s="1"/>
  <c r="M192" i="3"/>
  <c r="BF182" i="1" s="1"/>
  <c r="L192" i="3"/>
  <c r="BE182" i="1" s="1"/>
  <c r="N192" i="3"/>
  <c r="BG182" i="1" s="1"/>
  <c r="O192" i="3"/>
  <c r="N191" i="3"/>
  <c r="BG181" i="1" s="1"/>
  <c r="K191" i="3"/>
  <c r="BD181" i="1" s="1"/>
  <c r="M191" i="3"/>
  <c r="BF181" i="1" s="1"/>
  <c r="L191" i="3"/>
  <c r="BE181" i="1" s="1"/>
  <c r="O191" i="3"/>
  <c r="L190" i="3"/>
  <c r="BE180" i="1" s="1"/>
  <c r="N190" i="3"/>
  <c r="BG180" i="1" s="1"/>
  <c r="M190" i="3"/>
  <c r="BF180" i="1" s="1"/>
  <c r="O190" i="3"/>
  <c r="K190" i="3"/>
  <c r="BD180" i="1" s="1"/>
  <c r="K189" i="3"/>
  <c r="BD179" i="1" s="1"/>
  <c r="O189" i="3"/>
  <c r="M189" i="3"/>
  <c r="BF179" i="1" s="1"/>
  <c r="N189" i="3"/>
  <c r="BG179" i="1" s="1"/>
  <c r="L189" i="3"/>
  <c r="BE179" i="1" s="1"/>
  <c r="K188" i="3"/>
  <c r="BD178" i="1" s="1"/>
  <c r="N188" i="3"/>
  <c r="BG178" i="1" s="1"/>
  <c r="M188" i="3"/>
  <c r="BF178" i="1" s="1"/>
  <c r="L188" i="3"/>
  <c r="BE178" i="1" s="1"/>
  <c r="O188" i="3"/>
  <c r="M187" i="3"/>
  <c r="BF177" i="1" s="1"/>
  <c r="N187" i="3"/>
  <c r="BG177" i="1" s="1"/>
  <c r="O187" i="3"/>
  <c r="L187" i="3"/>
  <c r="BE177" i="1" s="1"/>
  <c r="K187" i="3"/>
  <c r="BD177" i="1" s="1"/>
  <c r="N186" i="3"/>
  <c r="BG176" i="1" s="1"/>
  <c r="M186" i="3"/>
  <c r="BF176" i="1" s="1"/>
  <c r="O186" i="3"/>
  <c r="L186" i="3"/>
  <c r="BE176" i="1" s="1"/>
  <c r="K186" i="3"/>
  <c r="BD176" i="1" s="1"/>
  <c r="O185" i="3"/>
  <c r="M185" i="3"/>
  <c r="BF175" i="1" s="1"/>
  <c r="L185" i="3"/>
  <c r="BE175" i="1" s="1"/>
  <c r="N185" i="3"/>
  <c r="BG175" i="1" s="1"/>
  <c r="K185" i="3"/>
  <c r="BD175" i="1" s="1"/>
  <c r="N184" i="3"/>
  <c r="BG174" i="1" s="1"/>
  <c r="K184" i="3"/>
  <c r="BD174" i="1" s="1"/>
  <c r="O184" i="3"/>
  <c r="M184" i="3"/>
  <c r="BF174" i="1" s="1"/>
  <c r="L184" i="3"/>
  <c r="BE174" i="1" s="1"/>
  <c r="M183" i="3"/>
  <c r="BF173" i="1" s="1"/>
  <c r="O183" i="3"/>
  <c r="L183" i="3"/>
  <c r="BE173" i="1" s="1"/>
  <c r="K183" i="3"/>
  <c r="BD173" i="1" s="1"/>
  <c r="N183" i="3"/>
  <c r="BG173" i="1" s="1"/>
  <c r="M182" i="3"/>
  <c r="BF172" i="1" s="1"/>
  <c r="K182" i="3"/>
  <c r="BD172" i="1" s="1"/>
  <c r="L182" i="3"/>
  <c r="BE172" i="1" s="1"/>
  <c r="N182" i="3"/>
  <c r="BG172" i="1" s="1"/>
  <c r="O182" i="3"/>
  <c r="O181" i="3"/>
  <c r="N181" i="3"/>
  <c r="BG171" i="1" s="1"/>
  <c r="M181" i="3"/>
  <c r="BF171" i="1" s="1"/>
  <c r="L181" i="3"/>
  <c r="BE171" i="1" s="1"/>
  <c r="K181" i="3"/>
  <c r="BD171" i="1" s="1"/>
  <c r="N180" i="3"/>
  <c r="BG170" i="1" s="1"/>
  <c r="K180" i="3"/>
  <c r="BD170" i="1" s="1"/>
  <c r="O180" i="3"/>
  <c r="M180" i="3"/>
  <c r="BF170" i="1" s="1"/>
  <c r="L180" i="3"/>
  <c r="BE170" i="1" s="1"/>
  <c r="O179" i="3"/>
  <c r="L179" i="3"/>
  <c r="BE169" i="1" s="1"/>
  <c r="N179" i="3"/>
  <c r="BG169" i="1" s="1"/>
  <c r="M179" i="3"/>
  <c r="BF169" i="1" s="1"/>
  <c r="K179" i="3"/>
  <c r="BD169" i="1" s="1"/>
  <c r="K178" i="3"/>
  <c r="BD168" i="1" s="1"/>
  <c r="O178" i="3"/>
  <c r="N178" i="3"/>
  <c r="BG168" i="1" s="1"/>
  <c r="M178" i="3"/>
  <c r="BF168" i="1" s="1"/>
  <c r="L178" i="3"/>
  <c r="BE168" i="1" s="1"/>
  <c r="L177" i="3"/>
  <c r="BE167" i="1" s="1"/>
  <c r="O177" i="3"/>
  <c r="K177" i="3"/>
  <c r="BD167" i="1" s="1"/>
  <c r="N177" i="3"/>
  <c r="BG167" i="1" s="1"/>
  <c r="M177" i="3"/>
  <c r="BF167" i="1" s="1"/>
  <c r="N176" i="3"/>
  <c r="BG166" i="1" s="1"/>
  <c r="O176" i="3"/>
  <c r="L176" i="3"/>
  <c r="BE166" i="1" s="1"/>
  <c r="K176" i="3"/>
  <c r="BD166" i="1" s="1"/>
  <c r="M176" i="3"/>
  <c r="BF166" i="1" s="1"/>
  <c r="O175" i="3"/>
  <c r="L175" i="3"/>
  <c r="BE165" i="1" s="1"/>
  <c r="N175" i="3"/>
  <c r="BG165" i="1" s="1"/>
  <c r="K175" i="3"/>
  <c r="BD165" i="1" s="1"/>
  <c r="M175" i="3"/>
  <c r="BF165" i="1" s="1"/>
  <c r="K174" i="3"/>
  <c r="BD164" i="1" s="1"/>
  <c r="L174" i="3"/>
  <c r="BE164" i="1" s="1"/>
  <c r="N174" i="3"/>
  <c r="BG164" i="1" s="1"/>
  <c r="O174" i="3"/>
  <c r="M174" i="3"/>
  <c r="BF164" i="1" s="1"/>
  <c r="K173" i="3"/>
  <c r="BD163" i="1" s="1"/>
  <c r="M173" i="3"/>
  <c r="BF163" i="1" s="1"/>
  <c r="L173" i="3"/>
  <c r="BE163" i="1" s="1"/>
  <c r="O173" i="3"/>
  <c r="N173" i="3"/>
  <c r="BG163" i="1" s="1"/>
  <c r="N172" i="3"/>
  <c r="BG162" i="1" s="1"/>
  <c r="O172" i="3"/>
  <c r="K172" i="3"/>
  <c r="BD162" i="1" s="1"/>
  <c r="L172" i="3"/>
  <c r="BE162" i="1" s="1"/>
  <c r="M172" i="3"/>
  <c r="BF162" i="1" s="1"/>
  <c r="K171" i="3"/>
  <c r="BD161" i="1" s="1"/>
  <c r="O171" i="3"/>
  <c r="L171" i="3"/>
  <c r="BE161" i="1" s="1"/>
  <c r="N171" i="3"/>
  <c r="BG161" i="1" s="1"/>
  <c r="M171" i="3"/>
  <c r="BF161" i="1" s="1"/>
  <c r="O170" i="3"/>
  <c r="K170" i="3"/>
  <c r="BD160" i="1" s="1"/>
  <c r="M170" i="3"/>
  <c r="BF160" i="1" s="1"/>
  <c r="L170" i="3"/>
  <c r="BE160" i="1" s="1"/>
  <c r="N170" i="3"/>
  <c r="BG160" i="1" s="1"/>
  <c r="O169" i="3"/>
  <c r="L169" i="3"/>
  <c r="BE159" i="1" s="1"/>
  <c r="N169" i="3"/>
  <c r="BG159" i="1" s="1"/>
  <c r="K169" i="3"/>
  <c r="BD159" i="1" s="1"/>
  <c r="M169" i="3"/>
  <c r="BF159" i="1" s="1"/>
  <c r="O168" i="3"/>
  <c r="N168" i="3"/>
  <c r="BG158" i="1" s="1"/>
  <c r="L168" i="3"/>
  <c r="BE158" i="1" s="1"/>
  <c r="M168" i="3"/>
  <c r="BF158" i="1" s="1"/>
  <c r="K168" i="3"/>
  <c r="BD158" i="1" s="1"/>
  <c r="O167" i="3"/>
  <c r="L167" i="3"/>
  <c r="BE157" i="1" s="1"/>
  <c r="M167" i="3"/>
  <c r="BF157" i="1" s="1"/>
  <c r="K167" i="3"/>
  <c r="BD157" i="1" s="1"/>
  <c r="N167" i="3"/>
  <c r="BG157" i="1" s="1"/>
  <c r="N166" i="3"/>
  <c r="BG156" i="1" s="1"/>
  <c r="O166" i="3"/>
  <c r="L166" i="3"/>
  <c r="BE156" i="1" s="1"/>
  <c r="K166" i="3"/>
  <c r="BD156" i="1" s="1"/>
  <c r="M166" i="3"/>
  <c r="BF156" i="1" s="1"/>
  <c r="N165" i="3"/>
  <c r="BG155" i="1" s="1"/>
  <c r="M165" i="3"/>
  <c r="BF155" i="1" s="1"/>
  <c r="O165" i="3"/>
  <c r="L165" i="3"/>
  <c r="BE155" i="1" s="1"/>
  <c r="K165" i="3"/>
  <c r="BD155" i="1" s="1"/>
  <c r="M164" i="3"/>
  <c r="BF154" i="1" s="1"/>
  <c r="K164" i="3"/>
  <c r="BD154" i="1" s="1"/>
  <c r="N164" i="3"/>
  <c r="BG154" i="1" s="1"/>
  <c r="O164" i="3"/>
  <c r="L164" i="3"/>
  <c r="BE154" i="1" s="1"/>
  <c r="N163" i="3"/>
  <c r="BG153" i="1" s="1"/>
  <c r="O163" i="3"/>
  <c r="K163" i="3"/>
  <c r="BD153" i="1" s="1"/>
  <c r="L163" i="3"/>
  <c r="BE153" i="1" s="1"/>
  <c r="M163" i="3"/>
  <c r="BF153" i="1" s="1"/>
  <c r="K162" i="3"/>
  <c r="BD152" i="1" s="1"/>
  <c r="O162" i="3"/>
  <c r="L162" i="3"/>
  <c r="BE152" i="1" s="1"/>
  <c r="M162" i="3"/>
  <c r="BF152" i="1" s="1"/>
  <c r="N162" i="3"/>
  <c r="BG152" i="1" s="1"/>
  <c r="O161" i="3"/>
  <c r="K161" i="3"/>
  <c r="BD151" i="1" s="1"/>
  <c r="N161" i="3"/>
  <c r="BG151" i="1" s="1"/>
  <c r="L161" i="3"/>
  <c r="BE151" i="1" s="1"/>
  <c r="M161" i="3"/>
  <c r="BF151" i="1" s="1"/>
  <c r="O160" i="3"/>
  <c r="L160" i="3"/>
  <c r="BE150" i="1" s="1"/>
  <c r="N160" i="3"/>
  <c r="BG150" i="1" s="1"/>
  <c r="K160" i="3"/>
  <c r="BD150" i="1" s="1"/>
  <c r="M160" i="3"/>
  <c r="BF150" i="1" s="1"/>
  <c r="M159" i="3"/>
  <c r="BF149" i="1" s="1"/>
  <c r="K159" i="3"/>
  <c r="BD149" i="1" s="1"/>
  <c r="N159" i="3"/>
  <c r="BG149" i="1" s="1"/>
  <c r="L159" i="3"/>
  <c r="BE149" i="1" s="1"/>
  <c r="O159" i="3"/>
  <c r="K158" i="3"/>
  <c r="BD148" i="1" s="1"/>
  <c r="L158" i="3"/>
  <c r="BE148" i="1" s="1"/>
  <c r="N158" i="3"/>
  <c r="BG148" i="1" s="1"/>
  <c r="M158" i="3"/>
  <c r="BF148" i="1" s="1"/>
  <c r="O158" i="3"/>
  <c r="O157" i="3"/>
  <c r="M157" i="3"/>
  <c r="BF147" i="1" s="1"/>
  <c r="K157" i="3"/>
  <c r="BD147" i="1" s="1"/>
  <c r="N157" i="3"/>
  <c r="BG147" i="1" s="1"/>
  <c r="L157" i="3"/>
  <c r="BE147" i="1" s="1"/>
  <c r="L156" i="3"/>
  <c r="BE146" i="1" s="1"/>
  <c r="N156" i="3"/>
  <c r="BG146" i="1" s="1"/>
  <c r="M156" i="3"/>
  <c r="BF146" i="1" s="1"/>
  <c r="O156" i="3"/>
  <c r="K156" i="3"/>
  <c r="BD146" i="1" s="1"/>
  <c r="M155" i="3"/>
  <c r="BF145" i="1" s="1"/>
  <c r="O155" i="3"/>
  <c r="N155" i="3"/>
  <c r="BG145" i="1" s="1"/>
  <c r="K155" i="3"/>
  <c r="BD145" i="1" s="1"/>
  <c r="L155" i="3"/>
  <c r="BE145" i="1" s="1"/>
  <c r="O154" i="3"/>
  <c r="K154" i="3"/>
  <c r="BD144" i="1" s="1"/>
  <c r="M154" i="3"/>
  <c r="BF144" i="1" s="1"/>
  <c r="L154" i="3"/>
  <c r="BE144" i="1" s="1"/>
  <c r="N154" i="3"/>
  <c r="BG144" i="1" s="1"/>
  <c r="N153" i="3"/>
  <c r="BG143" i="1" s="1"/>
  <c r="K153" i="3"/>
  <c r="BD143" i="1" s="1"/>
  <c r="M153" i="3"/>
  <c r="BF143" i="1" s="1"/>
  <c r="L153" i="3"/>
  <c r="BE143" i="1" s="1"/>
  <c r="O153" i="3"/>
  <c r="O152" i="3"/>
  <c r="K152" i="3"/>
  <c r="BD142" i="1" s="1"/>
  <c r="L152" i="3"/>
  <c r="BE142" i="1" s="1"/>
  <c r="N152" i="3"/>
  <c r="BG142" i="1" s="1"/>
  <c r="M152" i="3"/>
  <c r="BF142" i="1" s="1"/>
  <c r="M151" i="3"/>
  <c r="BF141" i="1" s="1"/>
  <c r="O151" i="3"/>
  <c r="L151" i="3"/>
  <c r="BE141" i="1" s="1"/>
  <c r="K151" i="3"/>
  <c r="BD141" i="1" s="1"/>
  <c r="N151" i="3"/>
  <c r="BG141" i="1" s="1"/>
  <c r="L150" i="3"/>
  <c r="BE140" i="1" s="1"/>
  <c r="O150" i="3"/>
  <c r="M150" i="3"/>
  <c r="BF140" i="1" s="1"/>
  <c r="N150" i="3"/>
  <c r="BG140" i="1" s="1"/>
  <c r="K150" i="3"/>
  <c r="BD140" i="1" s="1"/>
  <c r="K149" i="3"/>
  <c r="BD139" i="1" s="1"/>
  <c r="M149" i="3"/>
  <c r="BF139" i="1" s="1"/>
  <c r="L149" i="3"/>
  <c r="BE139" i="1" s="1"/>
  <c r="N149" i="3"/>
  <c r="BG139" i="1" s="1"/>
  <c r="O149" i="3"/>
  <c r="N148" i="3"/>
  <c r="BG138" i="1" s="1"/>
  <c r="O148" i="3"/>
  <c r="M148" i="3"/>
  <c r="BF138" i="1" s="1"/>
  <c r="L148" i="3"/>
  <c r="BE138" i="1" s="1"/>
  <c r="K148" i="3"/>
  <c r="BD138" i="1" s="1"/>
  <c r="L147" i="3"/>
  <c r="BE137" i="1" s="1"/>
  <c r="O147" i="3"/>
  <c r="K147" i="3"/>
  <c r="BD137" i="1" s="1"/>
  <c r="N147" i="3"/>
  <c r="BG137" i="1" s="1"/>
  <c r="M147" i="3"/>
  <c r="BF137" i="1" s="1"/>
  <c r="K146" i="3"/>
  <c r="BD136" i="1" s="1"/>
  <c r="N146" i="3"/>
  <c r="BG136" i="1" s="1"/>
  <c r="L146" i="3"/>
  <c r="BE136" i="1" s="1"/>
  <c r="M146" i="3"/>
  <c r="BF136" i="1" s="1"/>
  <c r="O146" i="3"/>
  <c r="N145" i="3"/>
  <c r="BG135" i="1" s="1"/>
  <c r="K145" i="3"/>
  <c r="BD135" i="1" s="1"/>
  <c r="M145" i="3"/>
  <c r="BF135" i="1" s="1"/>
  <c r="O145" i="3"/>
  <c r="L145" i="3"/>
  <c r="BE135" i="1" s="1"/>
  <c r="N144" i="3"/>
  <c r="BG134" i="1" s="1"/>
  <c r="K144" i="3"/>
  <c r="BD134" i="1" s="1"/>
  <c r="M144" i="3"/>
  <c r="BF134" i="1" s="1"/>
  <c r="O144" i="3"/>
  <c r="L144" i="3"/>
  <c r="BE134" i="1" s="1"/>
  <c r="M143" i="3"/>
  <c r="BF133" i="1" s="1"/>
  <c r="N143" i="3"/>
  <c r="BG133" i="1" s="1"/>
  <c r="O143" i="3"/>
  <c r="L143" i="3"/>
  <c r="BE133" i="1" s="1"/>
  <c r="K143" i="3"/>
  <c r="BD133" i="1" s="1"/>
  <c r="L142" i="3"/>
  <c r="BE132" i="1" s="1"/>
  <c r="K142" i="3"/>
  <c r="BD132" i="1" s="1"/>
  <c r="M142" i="3"/>
  <c r="BF132" i="1" s="1"/>
  <c r="N142" i="3"/>
  <c r="BG132" i="1" s="1"/>
  <c r="O142" i="3"/>
  <c r="K141" i="3"/>
  <c r="BD131" i="1" s="1"/>
  <c r="L141" i="3"/>
  <c r="BE131" i="1" s="1"/>
  <c r="O141" i="3"/>
  <c r="N141" i="3"/>
  <c r="BG131" i="1" s="1"/>
  <c r="M141" i="3"/>
  <c r="BF131" i="1" s="1"/>
  <c r="L140" i="3"/>
  <c r="BE130" i="1" s="1"/>
  <c r="K140" i="3"/>
  <c r="BD130" i="1" s="1"/>
  <c r="M140" i="3"/>
  <c r="BF130" i="1" s="1"/>
  <c r="O140" i="3"/>
  <c r="N140" i="3"/>
  <c r="BG130" i="1" s="1"/>
  <c r="K139" i="3"/>
  <c r="BD129" i="1" s="1"/>
  <c r="N139" i="3"/>
  <c r="BG129" i="1" s="1"/>
  <c r="O139" i="3"/>
  <c r="M139" i="3"/>
  <c r="BF129" i="1" s="1"/>
  <c r="L139" i="3"/>
  <c r="BE129" i="1" s="1"/>
  <c r="O138" i="3"/>
  <c r="M138" i="3"/>
  <c r="BF128" i="1" s="1"/>
  <c r="N138" i="3"/>
  <c r="BG128" i="1" s="1"/>
  <c r="L138" i="3"/>
  <c r="BE128" i="1" s="1"/>
  <c r="K138" i="3"/>
  <c r="BD128" i="1" s="1"/>
  <c r="N137" i="3"/>
  <c r="BG127" i="1" s="1"/>
  <c r="M137" i="3"/>
  <c r="BF127" i="1" s="1"/>
  <c r="O137" i="3"/>
  <c r="K137" i="3"/>
  <c r="BD127" i="1" s="1"/>
  <c r="L137" i="3"/>
  <c r="BE127" i="1" s="1"/>
  <c r="O136" i="3"/>
  <c r="L136" i="3"/>
  <c r="BE126" i="1" s="1"/>
  <c r="N136" i="3"/>
  <c r="BG126" i="1" s="1"/>
  <c r="M136" i="3"/>
  <c r="BF126" i="1" s="1"/>
  <c r="K136" i="3"/>
  <c r="BD126" i="1" s="1"/>
  <c r="L135" i="3"/>
  <c r="BE125" i="1" s="1"/>
  <c r="M135" i="3"/>
  <c r="BF125" i="1" s="1"/>
  <c r="N135" i="3"/>
  <c r="BG125" i="1" s="1"/>
  <c r="K135" i="3"/>
  <c r="BD125" i="1" s="1"/>
  <c r="O135" i="3"/>
  <c r="N134" i="3"/>
  <c r="BG124" i="1" s="1"/>
  <c r="O134" i="3"/>
  <c r="L134" i="3"/>
  <c r="BE124" i="1" s="1"/>
  <c r="M134" i="3"/>
  <c r="BF124" i="1" s="1"/>
  <c r="K134" i="3"/>
  <c r="BD124" i="1" s="1"/>
  <c r="N133" i="3"/>
  <c r="BG123" i="1" s="1"/>
  <c r="K133" i="3"/>
  <c r="BD123" i="1" s="1"/>
  <c r="L133" i="3"/>
  <c r="BE123" i="1" s="1"/>
  <c r="M133" i="3"/>
  <c r="BF123" i="1" s="1"/>
  <c r="O133" i="3"/>
  <c r="L132" i="3"/>
  <c r="BE122" i="1" s="1"/>
  <c r="N132" i="3"/>
  <c r="BG122" i="1" s="1"/>
  <c r="O132" i="3"/>
  <c r="M132" i="3"/>
  <c r="BF122" i="1" s="1"/>
  <c r="K132" i="3"/>
  <c r="BD122" i="1" s="1"/>
  <c r="O131" i="3"/>
  <c r="K131" i="3"/>
  <c r="BD121" i="1" s="1"/>
  <c r="N131" i="3"/>
  <c r="BG121" i="1" s="1"/>
  <c r="M131" i="3"/>
  <c r="BF121" i="1" s="1"/>
  <c r="L131" i="3"/>
  <c r="BE121" i="1" s="1"/>
  <c r="M130" i="3"/>
  <c r="BF120" i="1" s="1"/>
  <c r="K130" i="3"/>
  <c r="BD120" i="1" s="1"/>
  <c r="L130" i="3"/>
  <c r="BE120" i="1" s="1"/>
  <c r="O130" i="3"/>
  <c r="N130" i="3"/>
  <c r="BG120" i="1" s="1"/>
  <c r="K129" i="3"/>
  <c r="BD119" i="1" s="1"/>
  <c r="N129" i="3"/>
  <c r="BG119" i="1" s="1"/>
  <c r="O129" i="3"/>
  <c r="L129" i="3"/>
  <c r="BE119" i="1" s="1"/>
  <c r="M129" i="3"/>
  <c r="BF119" i="1" s="1"/>
  <c r="O128" i="3"/>
  <c r="L128" i="3"/>
  <c r="BE118" i="1" s="1"/>
  <c r="M128" i="3"/>
  <c r="BF118" i="1" s="1"/>
  <c r="N128" i="3"/>
  <c r="BG118" i="1" s="1"/>
  <c r="K128" i="3"/>
  <c r="BD118" i="1" s="1"/>
  <c r="M127" i="3"/>
  <c r="BF117" i="1" s="1"/>
  <c r="K127" i="3"/>
  <c r="BD117" i="1" s="1"/>
  <c r="O127" i="3"/>
  <c r="N127" i="3"/>
  <c r="BG117" i="1" s="1"/>
  <c r="L127" i="3"/>
  <c r="BE117" i="1" s="1"/>
  <c r="M126" i="3"/>
  <c r="BF116" i="1" s="1"/>
  <c r="N126" i="3"/>
  <c r="BG116" i="1" s="1"/>
  <c r="L126" i="3"/>
  <c r="BE116" i="1" s="1"/>
  <c r="K126" i="3"/>
  <c r="BD116" i="1" s="1"/>
  <c r="O126" i="3"/>
  <c r="O125" i="3"/>
  <c r="L125" i="3"/>
  <c r="BE115" i="1" s="1"/>
  <c r="K125" i="3"/>
  <c r="BD115" i="1" s="1"/>
  <c r="N125" i="3"/>
  <c r="BG115" i="1" s="1"/>
  <c r="M125" i="3"/>
  <c r="BF115" i="1" s="1"/>
  <c r="L124" i="3"/>
  <c r="BE114" i="1" s="1"/>
  <c r="M124" i="3"/>
  <c r="BF114" i="1" s="1"/>
  <c r="O124" i="3"/>
  <c r="N124" i="3"/>
  <c r="BG114" i="1" s="1"/>
  <c r="K124" i="3"/>
  <c r="BD114" i="1" s="1"/>
  <c r="M123" i="3"/>
  <c r="BF113" i="1" s="1"/>
  <c r="O123" i="3"/>
  <c r="L123" i="3"/>
  <c r="BE113" i="1" s="1"/>
  <c r="K123" i="3"/>
  <c r="BD113" i="1" s="1"/>
  <c r="N123" i="3"/>
  <c r="BG113" i="1" s="1"/>
  <c r="O122" i="3"/>
  <c r="K122" i="3"/>
  <c r="BD112" i="1" s="1"/>
  <c r="N122" i="3"/>
  <c r="BG112" i="1" s="1"/>
  <c r="L122" i="3"/>
  <c r="BE112" i="1" s="1"/>
  <c r="M122" i="3"/>
  <c r="BF112" i="1" s="1"/>
  <c r="N121" i="3"/>
  <c r="BG111" i="1" s="1"/>
  <c r="M121" i="3"/>
  <c r="BF111" i="1" s="1"/>
  <c r="O121" i="3"/>
  <c r="K121" i="3"/>
  <c r="BD111" i="1" s="1"/>
  <c r="L121" i="3"/>
  <c r="BE111" i="1" s="1"/>
  <c r="O120" i="3"/>
  <c r="M120" i="3"/>
  <c r="BF110" i="1" s="1"/>
  <c r="N120" i="3"/>
  <c r="BG110" i="1" s="1"/>
  <c r="L120" i="3"/>
  <c r="BE110" i="1" s="1"/>
  <c r="K120" i="3"/>
  <c r="BD110" i="1" s="1"/>
  <c r="K119" i="3"/>
  <c r="BD109" i="1" s="1"/>
  <c r="L119" i="3"/>
  <c r="BE109" i="1" s="1"/>
  <c r="O119" i="3"/>
  <c r="M119" i="3"/>
  <c r="BF109" i="1" s="1"/>
  <c r="N119" i="3"/>
  <c r="BG109" i="1" s="1"/>
  <c r="L118" i="3"/>
  <c r="BE108" i="1" s="1"/>
  <c r="M118" i="3"/>
  <c r="BF108" i="1" s="1"/>
  <c r="O118" i="3"/>
  <c r="N118" i="3"/>
  <c r="BG108" i="1" s="1"/>
  <c r="K118" i="3"/>
  <c r="BD108" i="1" s="1"/>
  <c r="M117" i="3"/>
  <c r="BF107" i="1" s="1"/>
  <c r="K117" i="3"/>
  <c r="BD107" i="1" s="1"/>
  <c r="L117" i="3"/>
  <c r="BE107" i="1" s="1"/>
  <c r="N117" i="3"/>
  <c r="BG107" i="1" s="1"/>
  <c r="O117" i="3"/>
  <c r="M116" i="3"/>
  <c r="BF106" i="1" s="1"/>
  <c r="N116" i="3"/>
  <c r="BG106" i="1" s="1"/>
  <c r="K116" i="3"/>
  <c r="BD106" i="1" s="1"/>
  <c r="L116" i="3"/>
  <c r="BE106" i="1" s="1"/>
  <c r="O116" i="3"/>
  <c r="K115" i="3"/>
  <c r="BD105" i="1" s="1"/>
  <c r="L115" i="3"/>
  <c r="BE105" i="1" s="1"/>
  <c r="N115" i="3"/>
  <c r="BG105" i="1" s="1"/>
  <c r="M115" i="3"/>
  <c r="BF105" i="1" s="1"/>
  <c r="O115" i="3"/>
  <c r="K114" i="3"/>
  <c r="BD104" i="1" s="1"/>
  <c r="L114" i="3"/>
  <c r="BE104" i="1" s="1"/>
  <c r="M114" i="3"/>
  <c r="BF104" i="1" s="1"/>
  <c r="O114" i="3"/>
  <c r="N114" i="3"/>
  <c r="BG104" i="1" s="1"/>
  <c r="L113" i="3"/>
  <c r="BE103" i="1" s="1"/>
  <c r="K113" i="3"/>
  <c r="BD103" i="1" s="1"/>
  <c r="M113" i="3"/>
  <c r="BF103" i="1" s="1"/>
  <c r="N113" i="3"/>
  <c r="BG103" i="1" s="1"/>
  <c r="O113" i="3"/>
  <c r="N112" i="3"/>
  <c r="BG102" i="1" s="1"/>
  <c r="K112" i="3"/>
  <c r="BD102" i="1" s="1"/>
  <c r="L112" i="3"/>
  <c r="BE102" i="1" s="1"/>
  <c r="M112" i="3"/>
  <c r="BF102" i="1" s="1"/>
  <c r="O112" i="3"/>
  <c r="M111" i="3"/>
  <c r="BF101" i="1" s="1"/>
  <c r="O111" i="3"/>
  <c r="N111" i="3"/>
  <c r="BG101" i="1" s="1"/>
  <c r="L111" i="3"/>
  <c r="BE101" i="1" s="1"/>
  <c r="K111" i="3"/>
  <c r="BD101" i="1" s="1"/>
  <c r="O110" i="3"/>
  <c r="M110" i="3"/>
  <c r="BF100" i="1" s="1"/>
  <c r="K110" i="3"/>
  <c r="BD100" i="1" s="1"/>
  <c r="L110" i="3"/>
  <c r="BE100" i="1" s="1"/>
  <c r="N109" i="3"/>
  <c r="BG99" i="1" s="1"/>
  <c r="O109" i="3"/>
  <c r="K109" i="3"/>
  <c r="BD99" i="1" s="1"/>
  <c r="L109" i="3"/>
  <c r="BE99" i="1" s="1"/>
  <c r="M109" i="3"/>
  <c r="BF99" i="1" s="1"/>
  <c r="M108" i="3"/>
  <c r="BF98" i="1" s="1"/>
  <c r="K108" i="3"/>
  <c r="BD98" i="1" s="1"/>
  <c r="N108" i="3"/>
  <c r="BG98" i="1" s="1"/>
  <c r="O108" i="3"/>
  <c r="L108" i="3"/>
  <c r="BE98" i="1" s="1"/>
  <c r="L107" i="3"/>
  <c r="BE97" i="1" s="1"/>
  <c r="M107" i="3"/>
  <c r="BF97" i="1" s="1"/>
  <c r="K107" i="3"/>
  <c r="BD97" i="1" s="1"/>
  <c r="N107" i="3"/>
  <c r="BG97" i="1" s="1"/>
  <c r="O107" i="3"/>
  <c r="M106" i="3"/>
  <c r="BF96" i="1" s="1"/>
  <c r="L106" i="3"/>
  <c r="BE96" i="1" s="1"/>
  <c r="K106" i="3"/>
  <c r="BD96" i="1" s="1"/>
  <c r="O106" i="3"/>
  <c r="N106" i="3"/>
  <c r="BG96" i="1" s="1"/>
  <c r="O105" i="3"/>
  <c r="N105" i="3"/>
  <c r="BG95" i="1" s="1"/>
  <c r="M105" i="3"/>
  <c r="BF95" i="1" s="1"/>
  <c r="L105" i="3"/>
  <c r="BE95" i="1" s="1"/>
  <c r="K105" i="3"/>
  <c r="BD95" i="1" s="1"/>
  <c r="N104" i="3"/>
  <c r="BG94" i="1" s="1"/>
  <c r="K104" i="3"/>
  <c r="BD94" i="1" s="1"/>
  <c r="M104" i="3"/>
  <c r="BF94" i="1" s="1"/>
  <c r="L104" i="3"/>
  <c r="BE94" i="1" s="1"/>
  <c r="O104" i="3"/>
  <c r="M103" i="3"/>
  <c r="BF93" i="1" s="1"/>
  <c r="K103" i="3"/>
  <c r="BD93" i="1" s="1"/>
  <c r="L103" i="3"/>
  <c r="BE93" i="1" s="1"/>
  <c r="N103" i="3"/>
  <c r="BG93" i="1" s="1"/>
  <c r="O103" i="3"/>
  <c r="N102" i="3"/>
  <c r="BG92" i="1" s="1"/>
  <c r="M102" i="3"/>
  <c r="BF92" i="1" s="1"/>
  <c r="O102" i="3"/>
  <c r="L102" i="3"/>
  <c r="BE92" i="1" s="1"/>
  <c r="K102" i="3"/>
  <c r="BD92" i="1" s="1"/>
  <c r="N101" i="3"/>
  <c r="BG91" i="1" s="1"/>
  <c r="O101" i="3"/>
  <c r="K101" i="3"/>
  <c r="BD91" i="1" s="1"/>
  <c r="L101" i="3"/>
  <c r="BE91" i="1" s="1"/>
  <c r="M101" i="3"/>
  <c r="BF91" i="1" s="1"/>
  <c r="N100" i="3"/>
  <c r="BG90" i="1" s="1"/>
  <c r="K100" i="3"/>
  <c r="BD90" i="1" s="1"/>
  <c r="O100" i="3"/>
  <c r="L100" i="3"/>
  <c r="BE90" i="1" s="1"/>
  <c r="M100" i="3"/>
  <c r="BF90" i="1" s="1"/>
  <c r="N99" i="3"/>
  <c r="BG89" i="1" s="1"/>
  <c r="M99" i="3"/>
  <c r="BF89" i="1" s="1"/>
  <c r="L99" i="3"/>
  <c r="BE89" i="1" s="1"/>
  <c r="K99" i="3"/>
  <c r="BD89" i="1" s="1"/>
  <c r="N98" i="3"/>
  <c r="BG88" i="1" s="1"/>
  <c r="O98" i="3"/>
  <c r="L98" i="3"/>
  <c r="BE88" i="1" s="1"/>
  <c r="M98" i="3"/>
  <c r="BF88" i="1" s="1"/>
  <c r="K98" i="3"/>
  <c r="BD88" i="1" s="1"/>
  <c r="L97" i="3"/>
  <c r="BE87" i="1" s="1"/>
  <c r="N97" i="3"/>
  <c r="BG87" i="1" s="1"/>
  <c r="K97" i="3"/>
  <c r="BD87" i="1" s="1"/>
  <c r="M97" i="3"/>
  <c r="BF87" i="1" s="1"/>
  <c r="O97" i="3"/>
  <c r="N96" i="3"/>
  <c r="BG86" i="1" s="1"/>
  <c r="O96" i="3"/>
  <c r="K96" i="3"/>
  <c r="BD86" i="1" s="1"/>
  <c r="M96" i="3"/>
  <c r="BF86" i="1" s="1"/>
  <c r="L96" i="3"/>
  <c r="BE86" i="1" s="1"/>
  <c r="O95" i="3"/>
  <c r="N95" i="3"/>
  <c r="BG85" i="1" s="1"/>
  <c r="L95" i="3"/>
  <c r="BE85" i="1" s="1"/>
  <c r="M95" i="3"/>
  <c r="BF85" i="1" s="1"/>
  <c r="K95" i="3"/>
  <c r="BD85" i="1" s="1"/>
  <c r="M94" i="3"/>
  <c r="BF84" i="1" s="1"/>
  <c r="N94" i="3"/>
  <c r="BG84" i="1" s="1"/>
  <c r="O94" i="3"/>
  <c r="K94" i="3"/>
  <c r="BD84" i="1" s="1"/>
  <c r="L94" i="3"/>
  <c r="BE84" i="1" s="1"/>
  <c r="L93" i="3"/>
  <c r="BE83" i="1" s="1"/>
  <c r="K93" i="3"/>
  <c r="BD83" i="1" s="1"/>
  <c r="O93" i="3"/>
  <c r="M93" i="3"/>
  <c r="BF83" i="1" s="1"/>
  <c r="N93" i="3"/>
  <c r="BG83" i="1" s="1"/>
  <c r="L92" i="3"/>
  <c r="BE82" i="1" s="1"/>
  <c r="K92" i="3"/>
  <c r="BD82" i="1" s="1"/>
  <c r="M92" i="3"/>
  <c r="BF82" i="1" s="1"/>
  <c r="N92" i="3"/>
  <c r="BG82" i="1" s="1"/>
  <c r="O92" i="3"/>
  <c r="M91" i="3"/>
  <c r="BF81" i="1" s="1"/>
  <c r="L91" i="3"/>
  <c r="BE81" i="1" s="1"/>
  <c r="O91" i="3"/>
  <c r="K91" i="3"/>
  <c r="BD81" i="1" s="1"/>
  <c r="N91" i="3"/>
  <c r="BG81" i="1" s="1"/>
  <c r="K90" i="3"/>
  <c r="BD80" i="1" s="1"/>
  <c r="L90" i="3"/>
  <c r="BE80" i="1" s="1"/>
  <c r="O90" i="3"/>
  <c r="N90" i="3"/>
  <c r="BG80" i="1" s="1"/>
  <c r="L89" i="3"/>
  <c r="BE79" i="1" s="1"/>
  <c r="M89" i="3"/>
  <c r="BF79" i="1" s="1"/>
  <c r="K89" i="3"/>
  <c r="BD79" i="1" s="1"/>
  <c r="N89" i="3"/>
  <c r="BG79" i="1" s="1"/>
  <c r="N88" i="3"/>
  <c r="BG78" i="1" s="1"/>
  <c r="O88" i="3"/>
  <c r="K88" i="3"/>
  <c r="BD78" i="1" s="1"/>
  <c r="L88" i="3"/>
  <c r="BE78" i="1" s="1"/>
  <c r="M88" i="3"/>
  <c r="BF78" i="1" s="1"/>
  <c r="M87" i="3"/>
  <c r="BF77" i="1" s="1"/>
  <c r="K87" i="3"/>
  <c r="BD77" i="1" s="1"/>
  <c r="N87" i="3"/>
  <c r="BG77" i="1" s="1"/>
  <c r="L87" i="3"/>
  <c r="BE77" i="1" s="1"/>
  <c r="O87" i="3"/>
  <c r="M86" i="3"/>
  <c r="BF76" i="1" s="1"/>
  <c r="K86" i="3"/>
  <c r="BD76" i="1" s="1"/>
  <c r="L86" i="3"/>
  <c r="BE76" i="1" s="1"/>
  <c r="N86" i="3"/>
  <c r="BG76" i="1" s="1"/>
  <c r="O86" i="3"/>
  <c r="O85" i="3"/>
  <c r="N85" i="3"/>
  <c r="BG75" i="1" s="1"/>
  <c r="M85" i="3"/>
  <c r="BF75" i="1" s="1"/>
  <c r="L85" i="3"/>
  <c r="BE75" i="1" s="1"/>
  <c r="K85" i="3"/>
  <c r="BD75" i="1" s="1"/>
  <c r="N84" i="3"/>
  <c r="BG74" i="1" s="1"/>
  <c r="M84" i="3"/>
  <c r="BF74" i="1" s="1"/>
  <c r="O84" i="3"/>
  <c r="L84" i="3"/>
  <c r="BE74" i="1" s="1"/>
  <c r="K84" i="3"/>
  <c r="BD74" i="1" s="1"/>
  <c r="O83" i="3"/>
  <c r="K83" i="3"/>
  <c r="BD73" i="1" s="1"/>
  <c r="M83" i="3"/>
  <c r="BF73" i="1" s="1"/>
  <c r="L83" i="3"/>
  <c r="BE73" i="1" s="1"/>
  <c r="N83" i="3"/>
  <c r="BG73" i="1" s="1"/>
  <c r="K82" i="3"/>
  <c r="BD72" i="1" s="1"/>
  <c r="L82" i="3"/>
  <c r="BE72" i="1" s="1"/>
  <c r="M82" i="3"/>
  <c r="BF72" i="1" s="1"/>
  <c r="N82" i="3"/>
  <c r="BG72" i="1" s="1"/>
  <c r="O82" i="3"/>
  <c r="K81" i="3"/>
  <c r="BD71" i="1" s="1"/>
  <c r="L81" i="3"/>
  <c r="BE71" i="1" s="1"/>
  <c r="M81" i="3"/>
  <c r="BF71" i="1" s="1"/>
  <c r="N81" i="3"/>
  <c r="BG71" i="1" s="1"/>
  <c r="O81" i="3"/>
  <c r="K80" i="3"/>
  <c r="BD70" i="1" s="1"/>
  <c r="L80" i="3"/>
  <c r="BE70" i="1" s="1"/>
  <c r="O80" i="3"/>
  <c r="M80" i="3"/>
  <c r="BF70" i="1" s="1"/>
  <c r="N80" i="3"/>
  <c r="BG70" i="1" s="1"/>
  <c r="K79" i="3"/>
  <c r="BD69" i="1" s="1"/>
  <c r="L79" i="3"/>
  <c r="BE69" i="1" s="1"/>
  <c r="M79" i="3"/>
  <c r="BF69" i="1" s="1"/>
  <c r="N79" i="3"/>
  <c r="BG69" i="1" s="1"/>
  <c r="O79" i="3"/>
  <c r="M78" i="3"/>
  <c r="BF68" i="1" s="1"/>
  <c r="O78" i="3"/>
  <c r="K78" i="3"/>
  <c r="BD68" i="1" s="1"/>
  <c r="N78" i="3"/>
  <c r="BG68" i="1" s="1"/>
  <c r="L78" i="3"/>
  <c r="BE68" i="1" s="1"/>
  <c r="L77" i="3"/>
  <c r="BE67" i="1" s="1"/>
  <c r="M77" i="3"/>
  <c r="BF67" i="1" s="1"/>
  <c r="N77" i="3"/>
  <c r="BG67" i="1" s="1"/>
  <c r="O77" i="3"/>
  <c r="K77" i="3"/>
  <c r="BD67" i="1" s="1"/>
  <c r="O76" i="3"/>
  <c r="K76" i="3"/>
  <c r="BD66" i="1" s="1"/>
  <c r="L76" i="3"/>
  <c r="BE66" i="1" s="1"/>
  <c r="M76" i="3"/>
  <c r="BF66" i="1" s="1"/>
  <c r="N76" i="3"/>
  <c r="BG66" i="1" s="1"/>
  <c r="L75" i="3"/>
  <c r="BE65" i="1" s="1"/>
  <c r="M75" i="3"/>
  <c r="BF65" i="1" s="1"/>
  <c r="N75" i="3"/>
  <c r="BG65" i="1" s="1"/>
  <c r="O75" i="3"/>
  <c r="K75" i="3"/>
  <c r="BD65" i="1" s="1"/>
  <c r="N74" i="3"/>
  <c r="BG64" i="1" s="1"/>
  <c r="M74" i="3"/>
  <c r="BF64" i="1" s="1"/>
  <c r="O74" i="3"/>
  <c r="L74" i="3"/>
  <c r="BE64" i="1" s="1"/>
  <c r="K74" i="3"/>
  <c r="BD64" i="1" s="1"/>
  <c r="O73" i="3"/>
  <c r="N73" i="3"/>
  <c r="BG63" i="1" s="1"/>
  <c r="M73" i="3"/>
  <c r="BF63" i="1" s="1"/>
  <c r="L73" i="3"/>
  <c r="BE63" i="1" s="1"/>
  <c r="K73" i="3"/>
  <c r="BD63" i="1" s="1"/>
  <c r="L72" i="3"/>
  <c r="BE62" i="1" s="1"/>
  <c r="M72" i="3"/>
  <c r="BF62" i="1" s="1"/>
  <c r="K72" i="3"/>
  <c r="BD62" i="1" s="1"/>
  <c r="O72" i="3"/>
  <c r="N72" i="3"/>
  <c r="BG62" i="1" s="1"/>
  <c r="M71" i="3"/>
  <c r="BF61" i="1" s="1"/>
  <c r="N71" i="3"/>
  <c r="BG61" i="1" s="1"/>
  <c r="O71" i="3"/>
  <c r="K71" i="3"/>
  <c r="BD61" i="1" s="1"/>
  <c r="L70" i="3"/>
  <c r="BE60" i="1" s="1"/>
  <c r="K70" i="3"/>
  <c r="BD60" i="1" s="1"/>
  <c r="O70" i="3"/>
  <c r="M70" i="3"/>
  <c r="BF60" i="1" s="1"/>
  <c r="N70" i="3"/>
  <c r="BG60" i="1" s="1"/>
  <c r="N69" i="3"/>
  <c r="BG59" i="1" s="1"/>
  <c r="O69" i="3"/>
  <c r="K69" i="3"/>
  <c r="BD59" i="1" s="1"/>
  <c r="M69" i="3"/>
  <c r="BF59" i="1" s="1"/>
  <c r="L69" i="3"/>
  <c r="BE59" i="1" s="1"/>
  <c r="O68" i="3"/>
  <c r="M68" i="3"/>
  <c r="BF58" i="1" s="1"/>
  <c r="K68" i="3"/>
  <c r="BD58" i="1" s="1"/>
  <c r="L68" i="3"/>
  <c r="BE58" i="1" s="1"/>
  <c r="N68" i="3"/>
  <c r="BG58" i="1" s="1"/>
  <c r="M67" i="3"/>
  <c r="BF57" i="1" s="1"/>
  <c r="N67" i="3"/>
  <c r="BG57" i="1" s="1"/>
  <c r="O67" i="3"/>
  <c r="K67" i="3"/>
  <c r="BD57" i="1" s="1"/>
  <c r="L67" i="3"/>
  <c r="BE57" i="1" s="1"/>
  <c r="N66" i="3"/>
  <c r="BG56" i="1" s="1"/>
  <c r="M66" i="3"/>
  <c r="BF56" i="1" s="1"/>
  <c r="L66" i="3"/>
  <c r="BE56" i="1" s="1"/>
  <c r="K66" i="3"/>
  <c r="BD56" i="1" s="1"/>
  <c r="O66" i="3"/>
  <c r="L65" i="3"/>
  <c r="BE55" i="1" s="1"/>
  <c r="O65" i="3"/>
  <c r="N65" i="3"/>
  <c r="BG55" i="1" s="1"/>
  <c r="M65" i="3"/>
  <c r="BF55" i="1" s="1"/>
  <c r="K65" i="3"/>
  <c r="BD55" i="1" s="1"/>
  <c r="O64" i="3"/>
  <c r="N64" i="3"/>
  <c r="BG54" i="1" s="1"/>
  <c r="M64" i="3"/>
  <c r="BF54" i="1" s="1"/>
  <c r="K64" i="3"/>
  <c r="BD54" i="1" s="1"/>
  <c r="L64" i="3"/>
  <c r="BE54" i="1" s="1"/>
  <c r="N63" i="3"/>
  <c r="BG53" i="1" s="1"/>
  <c r="K63" i="3"/>
  <c r="BD53" i="1" s="1"/>
  <c r="L63" i="3"/>
  <c r="BE53" i="1" s="1"/>
  <c r="M63" i="3"/>
  <c r="BF53" i="1" s="1"/>
  <c r="O63" i="3"/>
  <c r="M62" i="3"/>
  <c r="BF52" i="1" s="1"/>
  <c r="O62" i="3"/>
  <c r="L62" i="3"/>
  <c r="BE52" i="1" s="1"/>
  <c r="K62" i="3"/>
  <c r="BD52" i="1" s="1"/>
  <c r="N62" i="3"/>
  <c r="BG52" i="1" s="1"/>
  <c r="L61" i="3"/>
  <c r="BE51" i="1" s="1"/>
  <c r="O61" i="3"/>
  <c r="N61" i="3"/>
  <c r="BG51" i="1" s="1"/>
  <c r="K61" i="3"/>
  <c r="BD51" i="1" s="1"/>
  <c r="M61" i="3"/>
  <c r="BF51" i="1" s="1"/>
  <c r="L60" i="3"/>
  <c r="BE50" i="1" s="1"/>
  <c r="K60" i="3"/>
  <c r="BD50" i="1" s="1"/>
  <c r="M60" i="3"/>
  <c r="BF50" i="1" s="1"/>
  <c r="N60" i="3"/>
  <c r="BG50" i="1" s="1"/>
  <c r="O60" i="3"/>
  <c r="L59" i="3"/>
  <c r="BE49" i="1" s="1"/>
  <c r="N59" i="3"/>
  <c r="BG49" i="1" s="1"/>
  <c r="K59" i="3"/>
  <c r="BD49" i="1" s="1"/>
  <c r="O59" i="3"/>
  <c r="M59" i="3"/>
  <c r="BF49" i="1" s="1"/>
  <c r="N58" i="3"/>
  <c r="BG48" i="1" s="1"/>
  <c r="K58" i="3"/>
  <c r="BD48" i="1" s="1"/>
  <c r="M58" i="3"/>
  <c r="BF48" i="1" s="1"/>
  <c r="O58" i="3"/>
  <c r="L58" i="3"/>
  <c r="BE48" i="1" s="1"/>
  <c r="N57" i="3"/>
  <c r="BG47" i="1" s="1"/>
  <c r="K57" i="3"/>
  <c r="BD47" i="1" s="1"/>
  <c r="L57" i="3"/>
  <c r="BE47" i="1" s="1"/>
  <c r="M57" i="3"/>
  <c r="BF47" i="1" s="1"/>
  <c r="O57" i="3"/>
  <c r="L56" i="3"/>
  <c r="BE46" i="1" s="1"/>
  <c r="M56" i="3"/>
  <c r="BF46" i="1" s="1"/>
  <c r="O56" i="3"/>
  <c r="K56" i="3"/>
  <c r="BD46" i="1" s="1"/>
  <c r="N56" i="3"/>
  <c r="BG46" i="1" s="1"/>
  <c r="O55" i="3"/>
  <c r="N55" i="3"/>
  <c r="BG45" i="1" s="1"/>
  <c r="M55" i="3"/>
  <c r="BF45" i="1" s="1"/>
  <c r="L55" i="3"/>
  <c r="BE45" i="1" s="1"/>
  <c r="K55" i="3"/>
  <c r="BD45" i="1" s="1"/>
  <c r="M54" i="3"/>
  <c r="BF44" i="1" s="1"/>
  <c r="L54" i="3"/>
  <c r="BE44" i="1" s="1"/>
  <c r="N54" i="3"/>
  <c r="BG44" i="1" s="1"/>
  <c r="O54" i="3"/>
  <c r="K54" i="3"/>
  <c r="BD44" i="1" s="1"/>
  <c r="N53" i="3"/>
  <c r="BG43" i="1" s="1"/>
  <c r="M53" i="3"/>
  <c r="BF43" i="1" s="1"/>
  <c r="K53" i="3"/>
  <c r="BD43" i="1" s="1"/>
  <c r="L53" i="3"/>
  <c r="BE43" i="1" s="1"/>
  <c r="O53" i="3"/>
  <c r="K52" i="3"/>
  <c r="BD42" i="1" s="1"/>
  <c r="L52" i="3"/>
  <c r="BE42" i="1" s="1"/>
  <c r="O52" i="3"/>
  <c r="N52" i="3"/>
  <c r="BG42" i="1" s="1"/>
  <c r="M52" i="3"/>
  <c r="BF42" i="1" s="1"/>
  <c r="L51" i="3"/>
  <c r="BE41" i="1" s="1"/>
  <c r="K51" i="3"/>
  <c r="BD41" i="1" s="1"/>
  <c r="M51" i="3"/>
  <c r="BF41" i="1" s="1"/>
  <c r="N51" i="3"/>
  <c r="BG41" i="1" s="1"/>
  <c r="O51" i="3"/>
  <c r="K50" i="3"/>
  <c r="BD40" i="1" s="1"/>
  <c r="M50" i="3"/>
  <c r="BF40" i="1" s="1"/>
  <c r="L50" i="3"/>
  <c r="BE40" i="1" s="1"/>
  <c r="N50" i="3"/>
  <c r="BG40" i="1" s="1"/>
  <c r="O50" i="3"/>
  <c r="K49" i="3"/>
  <c r="BD39" i="1" s="1"/>
  <c r="O49" i="3"/>
  <c r="N49" i="3"/>
  <c r="BG39" i="1" s="1"/>
  <c r="M49" i="3"/>
  <c r="BF39" i="1" s="1"/>
  <c r="L49" i="3"/>
  <c r="BE39" i="1" s="1"/>
  <c r="M48" i="3"/>
  <c r="BF38" i="1" s="1"/>
  <c r="O48" i="3"/>
  <c r="N48" i="3"/>
  <c r="BG38" i="1" s="1"/>
  <c r="L48" i="3"/>
  <c r="BE38" i="1" s="1"/>
  <c r="K48" i="3"/>
  <c r="BD38" i="1" s="1"/>
  <c r="N47" i="3"/>
  <c r="BG37" i="1" s="1"/>
  <c r="L47" i="3"/>
  <c r="BE37" i="1" s="1"/>
  <c r="K47" i="3"/>
  <c r="BD37" i="1" s="1"/>
  <c r="M47" i="3"/>
  <c r="BF37" i="1" s="1"/>
  <c r="O47" i="3"/>
  <c r="K46" i="3"/>
  <c r="BD36" i="1" s="1"/>
  <c r="N46" i="3"/>
  <c r="BG36" i="1" s="1"/>
  <c r="L46" i="3"/>
  <c r="BE36" i="1" s="1"/>
  <c r="M46" i="3"/>
  <c r="BF36" i="1" s="1"/>
  <c r="O46" i="3"/>
  <c r="O45" i="3"/>
  <c r="N45" i="3"/>
  <c r="BG35" i="1" s="1"/>
  <c r="M45" i="3"/>
  <c r="BF35" i="1" s="1"/>
  <c r="K45" i="3"/>
  <c r="BD35" i="1" s="1"/>
  <c r="L45" i="3"/>
  <c r="BE35" i="1" s="1"/>
  <c r="O44" i="3"/>
  <c r="K44" i="3"/>
  <c r="BD34" i="1" s="1"/>
  <c r="M44" i="3"/>
  <c r="BF34" i="1" s="1"/>
  <c r="L44" i="3"/>
  <c r="BE34" i="1" s="1"/>
  <c r="N44" i="3"/>
  <c r="BG34" i="1" s="1"/>
  <c r="N43" i="3"/>
  <c r="BG33" i="1" s="1"/>
  <c r="M43" i="3"/>
  <c r="BF33" i="1" s="1"/>
  <c r="K43" i="3"/>
  <c r="BD33" i="1" s="1"/>
  <c r="O43" i="3"/>
  <c r="L43" i="3"/>
  <c r="BE33" i="1" s="1"/>
  <c r="K42" i="3"/>
  <c r="BD32" i="1" s="1"/>
  <c r="O42" i="3"/>
  <c r="N42" i="3"/>
  <c r="BG32" i="1" s="1"/>
  <c r="M42" i="3"/>
  <c r="BF32" i="1" s="1"/>
  <c r="L42" i="3"/>
  <c r="BE32" i="1" s="1"/>
  <c r="L41" i="3"/>
  <c r="BE31" i="1" s="1"/>
  <c r="O41" i="3"/>
  <c r="M41" i="3"/>
  <c r="BF31" i="1" s="1"/>
  <c r="K41" i="3"/>
  <c r="BD31" i="1" s="1"/>
  <c r="N41" i="3"/>
  <c r="BG31" i="1" s="1"/>
  <c r="K40" i="3"/>
  <c r="BD30" i="1" s="1"/>
  <c r="O40" i="3"/>
  <c r="M40" i="3"/>
  <c r="BF30" i="1" s="1"/>
  <c r="N40" i="3"/>
  <c r="BG30" i="1" s="1"/>
  <c r="L40" i="3"/>
  <c r="BE30" i="1" s="1"/>
  <c r="N39" i="3"/>
  <c r="BG29" i="1" s="1"/>
  <c r="K39" i="3"/>
  <c r="BD29" i="1" s="1"/>
  <c r="O39" i="3"/>
  <c r="L39" i="3"/>
  <c r="BE29" i="1" s="1"/>
  <c r="M39" i="3"/>
  <c r="BF29" i="1" s="1"/>
  <c r="M38" i="3"/>
  <c r="BF28" i="1" s="1"/>
  <c r="N38" i="3"/>
  <c r="BG28" i="1" s="1"/>
  <c r="L38" i="3"/>
  <c r="BE28" i="1" s="1"/>
  <c r="O38" i="3"/>
  <c r="K38" i="3"/>
  <c r="BD28" i="1" s="1"/>
  <c r="O37" i="3"/>
  <c r="K37" i="3"/>
  <c r="BD27" i="1" s="1"/>
  <c r="L37" i="3"/>
  <c r="BE27" i="1" s="1"/>
  <c r="N37" i="3"/>
  <c r="BG27" i="1" s="1"/>
  <c r="M37" i="3"/>
  <c r="BF27" i="1" s="1"/>
  <c r="L36" i="3"/>
  <c r="BE26" i="1" s="1"/>
  <c r="K36" i="3"/>
  <c r="BD26" i="1" s="1"/>
  <c r="N36" i="3"/>
  <c r="BG26" i="1" s="1"/>
  <c r="M36" i="3"/>
  <c r="BF26" i="1" s="1"/>
  <c r="O36" i="3"/>
  <c r="O35" i="3"/>
  <c r="K35" i="3"/>
  <c r="BD25" i="1" s="1"/>
  <c r="N35" i="3"/>
  <c r="BG25" i="1" s="1"/>
  <c r="M35" i="3"/>
  <c r="BF25" i="1" s="1"/>
  <c r="L35" i="3"/>
  <c r="BE25" i="1" s="1"/>
  <c r="M34" i="3"/>
  <c r="BF24" i="1" s="1"/>
  <c r="L34" i="3"/>
  <c r="BE24" i="1" s="1"/>
  <c r="K34" i="3"/>
  <c r="BD24" i="1" s="1"/>
  <c r="N34" i="3"/>
  <c r="BG24" i="1" s="1"/>
  <c r="O34" i="3"/>
  <c r="K33" i="3"/>
  <c r="BD23" i="1" s="1"/>
  <c r="O33" i="3"/>
  <c r="N33" i="3"/>
  <c r="BG23" i="1" s="1"/>
  <c r="M33" i="3"/>
  <c r="BF23" i="1" s="1"/>
  <c r="L33" i="3"/>
  <c r="BE23" i="1" s="1"/>
  <c r="L32" i="3"/>
  <c r="BE22" i="1" s="1"/>
  <c r="O32" i="3"/>
  <c r="N32" i="3"/>
  <c r="BG22" i="1" s="1"/>
  <c r="K32" i="3"/>
  <c r="BD22" i="1" s="1"/>
  <c r="M32" i="3"/>
  <c r="BF22" i="1" s="1"/>
  <c r="N31" i="3"/>
  <c r="BG21" i="1" s="1"/>
  <c r="O31" i="3"/>
  <c r="M31" i="3"/>
  <c r="BF21" i="1" s="1"/>
  <c r="L31" i="3"/>
  <c r="BE21" i="1" s="1"/>
  <c r="K31" i="3"/>
  <c r="BD21" i="1" s="1"/>
  <c r="O30" i="3"/>
  <c r="N30" i="3"/>
  <c r="BG20" i="1" s="1"/>
  <c r="M30" i="3"/>
  <c r="BF20" i="1" s="1"/>
  <c r="L30" i="3"/>
  <c r="BE20" i="1" s="1"/>
  <c r="K30" i="3"/>
  <c r="BD20" i="1" s="1"/>
  <c r="M29" i="3"/>
  <c r="BF19" i="1" s="1"/>
  <c r="N29" i="3"/>
  <c r="BG19" i="1" s="1"/>
  <c r="O29" i="3"/>
  <c r="L29" i="3"/>
  <c r="BE19" i="1" s="1"/>
  <c r="K29" i="3"/>
  <c r="BD19" i="1" s="1"/>
  <c r="M28" i="3"/>
  <c r="BF18" i="1" s="1"/>
  <c r="K28" i="3"/>
  <c r="BD18" i="1" s="1"/>
  <c r="N28" i="3"/>
  <c r="BG18" i="1" s="1"/>
  <c r="O28" i="3"/>
  <c r="L28" i="3"/>
  <c r="BE18" i="1" s="1"/>
  <c r="K27" i="3"/>
  <c r="BD17" i="1" s="1"/>
  <c r="L27" i="3"/>
  <c r="BE17" i="1" s="1"/>
  <c r="O27" i="3"/>
  <c r="N27" i="3"/>
  <c r="BG17" i="1" s="1"/>
  <c r="M27" i="3"/>
  <c r="BF17" i="1" s="1"/>
  <c r="O26" i="3"/>
  <c r="N26" i="3"/>
  <c r="BG16" i="1" s="1"/>
  <c r="M26" i="3"/>
  <c r="BF16" i="1" s="1"/>
  <c r="L26" i="3"/>
  <c r="BE16" i="1" s="1"/>
  <c r="K26" i="3"/>
  <c r="BD16" i="1" s="1"/>
  <c r="M25" i="3"/>
  <c r="BF15" i="1" s="1"/>
  <c r="N25" i="3"/>
  <c r="BG15" i="1" s="1"/>
  <c r="L25" i="3"/>
  <c r="BE15" i="1" s="1"/>
  <c r="O25" i="3"/>
  <c r="L24" i="3"/>
  <c r="BE14" i="1" s="1"/>
  <c r="O24" i="3"/>
  <c r="N24" i="3"/>
  <c r="BG14" i="1" s="1"/>
  <c r="M24" i="3"/>
  <c r="BF14" i="1" s="1"/>
  <c r="K24" i="3"/>
  <c r="BD14" i="1" s="1"/>
  <c r="K23" i="3"/>
  <c r="BD13" i="1" s="1"/>
  <c r="L23" i="3"/>
  <c r="BE13" i="1" s="1"/>
  <c r="M23" i="3"/>
  <c r="BF13" i="1" s="1"/>
  <c r="N23" i="3"/>
  <c r="BG13" i="1" s="1"/>
  <c r="O23" i="3"/>
  <c r="M22" i="3"/>
  <c r="BF12" i="1" s="1"/>
  <c r="K22" i="3"/>
  <c r="BD12" i="1" s="1"/>
  <c r="L22" i="3"/>
  <c r="BE12" i="1" s="1"/>
  <c r="O22" i="3"/>
  <c r="N22" i="3"/>
  <c r="BG12" i="1" s="1"/>
  <c r="M21" i="3"/>
  <c r="BF11" i="1" s="1"/>
  <c r="L21" i="3"/>
  <c r="BE11" i="1" s="1"/>
  <c r="N21" i="3"/>
  <c r="BG11" i="1" s="1"/>
  <c r="O21" i="3"/>
  <c r="K21" i="3"/>
  <c r="BD11" i="1" s="1"/>
  <c r="K20" i="3"/>
  <c r="BD10" i="1" s="1"/>
  <c r="L20" i="3"/>
  <c r="BE10" i="1" s="1"/>
  <c r="M20" i="3"/>
  <c r="BF10" i="1" s="1"/>
  <c r="N20" i="3"/>
  <c r="BG10" i="1" s="1"/>
  <c r="O20" i="3"/>
  <c r="M19" i="3"/>
  <c r="BF9" i="1" s="1"/>
  <c r="N19" i="3"/>
  <c r="BG9" i="1" s="1"/>
  <c r="O19" i="3"/>
  <c r="L19" i="3"/>
  <c r="BE9" i="1" s="1"/>
  <c r="K19" i="3" l="1"/>
  <c r="BD9" i="1" s="1"/>
  <c r="O2" i="5" a="1"/>
  <c r="BK406" i="1"/>
  <c r="BK405" i="1"/>
  <c r="BK404" i="1"/>
  <c r="BK403" i="1"/>
  <c r="BK402" i="1"/>
  <c r="BK401" i="1"/>
  <c r="BK379" i="1"/>
  <c r="BK378" i="1"/>
  <c r="BK377" i="1"/>
  <c r="BK376" i="1"/>
  <c r="BK375" i="1"/>
  <c r="BK374" i="1"/>
  <c r="BK373" i="1"/>
  <c r="BK372" i="1"/>
  <c r="BK371" i="1"/>
  <c r="BK370" i="1"/>
  <c r="BK369" i="1"/>
  <c r="BK368" i="1"/>
  <c r="BK367" i="1"/>
  <c r="BK366" i="1"/>
  <c r="BK365" i="1"/>
  <c r="BK364" i="1"/>
  <c r="BK363" i="1"/>
  <c r="BK362" i="1"/>
  <c r="BK361" i="1"/>
  <c r="BK360" i="1"/>
  <c r="BK359" i="1"/>
  <c r="BK358" i="1"/>
  <c r="BK357" i="1"/>
  <c r="BK356" i="1"/>
  <c r="BK355" i="1"/>
  <c r="BK354" i="1"/>
  <c r="BK353" i="1"/>
  <c r="BK352" i="1"/>
  <c r="BK351" i="1"/>
  <c r="BK350" i="1"/>
  <c r="BK349" i="1"/>
  <c r="BK348" i="1"/>
  <c r="BK347" i="1"/>
  <c r="BK346" i="1"/>
  <c r="BK345" i="1"/>
  <c r="BK344" i="1"/>
  <c r="BK343" i="1"/>
  <c r="BK342" i="1"/>
  <c r="BK341" i="1"/>
  <c r="BK340" i="1"/>
  <c r="BK339" i="1"/>
  <c r="BK338" i="1"/>
  <c r="BK243" i="1"/>
  <c r="BK242" i="1"/>
  <c r="BK241" i="1"/>
  <c r="BK240" i="1"/>
  <c r="BK239" i="1"/>
  <c r="BK238" i="1"/>
  <c r="BK237" i="1"/>
  <c r="BK236" i="1"/>
  <c r="BK235" i="1"/>
  <c r="BK232" i="1"/>
  <c r="BK230" i="1"/>
  <c r="BK228" i="1"/>
  <c r="BK226" i="1"/>
  <c r="BK10" i="1"/>
  <c r="BK267" i="1"/>
  <c r="BK266" i="1"/>
  <c r="BK265" i="1"/>
  <c r="BK264" i="1"/>
  <c r="BK263" i="1"/>
  <c r="BK262" i="1"/>
  <c r="BK261" i="1"/>
  <c r="BK260" i="1"/>
  <c r="BK259" i="1"/>
  <c r="BK258" i="1"/>
  <c r="BK257" i="1"/>
  <c r="BK256" i="1"/>
  <c r="BK255" i="1"/>
  <c r="BK254" i="1"/>
  <c r="BK253" i="1"/>
  <c r="BK252" i="1"/>
  <c r="BK251" i="1"/>
  <c r="BK249" i="1"/>
  <c r="BK248" i="1"/>
  <c r="BK247" i="1"/>
  <c r="BK246" i="1"/>
  <c r="BK245" i="1"/>
  <c r="BK234" i="1"/>
  <c r="BK233" i="1"/>
  <c r="BK231" i="1"/>
  <c r="BK229" i="1"/>
  <c r="BK227" i="1"/>
  <c r="BK225" i="1"/>
  <c r="X1" i="1"/>
  <c r="BK411" i="1"/>
  <c r="BK410" i="1"/>
  <c r="BK409" i="1"/>
  <c r="BK408" i="1"/>
  <c r="BK407" i="1"/>
  <c r="BK337" i="1"/>
  <c r="BK336" i="1"/>
  <c r="BK335" i="1"/>
  <c r="BK176" i="1"/>
  <c r="BK175" i="1"/>
  <c r="BK174" i="1"/>
  <c r="BK334" i="1"/>
  <c r="BK333" i="1"/>
  <c r="BK332" i="1"/>
  <c r="BK331" i="1"/>
  <c r="BK330" i="1"/>
  <c r="BK183" i="1"/>
  <c r="BK182" i="1"/>
  <c r="BK181" i="1"/>
  <c r="BK180" i="1"/>
  <c r="BK179" i="1"/>
  <c r="BK178" i="1"/>
  <c r="BK177" i="1"/>
  <c r="BK173" i="1"/>
  <c r="BK329" i="1"/>
  <c r="BK328" i="1"/>
  <c r="BK327" i="1"/>
  <c r="BK326" i="1"/>
  <c r="BK325" i="1"/>
  <c r="BK323" i="1"/>
  <c r="BK322" i="1"/>
  <c r="BK321" i="1"/>
  <c r="BK320" i="1"/>
  <c r="BK319" i="1"/>
  <c r="BK318" i="1"/>
  <c r="BK317" i="1"/>
  <c r="BK316" i="1"/>
  <c r="BK315" i="1"/>
  <c r="BK314" i="1"/>
  <c r="BK313" i="1"/>
  <c r="BK312" i="1"/>
  <c r="BK311" i="1"/>
  <c r="BK310" i="1"/>
  <c r="BK309" i="1"/>
  <c r="BK308" i="1"/>
  <c r="BK307" i="1"/>
  <c r="BK306" i="1"/>
  <c r="BK305" i="1"/>
  <c r="BK304" i="1"/>
  <c r="BK303" i="1"/>
  <c r="BK302" i="1"/>
  <c r="BK301" i="1"/>
  <c r="BK300" i="1"/>
  <c r="BK299" i="1"/>
  <c r="BK298" i="1"/>
  <c r="BK297" i="1"/>
  <c r="BK296" i="1"/>
  <c r="BK295" i="1"/>
  <c r="BK294" i="1"/>
  <c r="BK293" i="1"/>
  <c r="BK292" i="1"/>
  <c r="BK291" i="1"/>
  <c r="BK290" i="1"/>
  <c r="BK289" i="1"/>
  <c r="BK288" i="1"/>
  <c r="BK287" i="1"/>
  <c r="BK286" i="1"/>
  <c r="BK285" i="1"/>
  <c r="BK284" i="1"/>
  <c r="BK283" i="1"/>
  <c r="BK282" i="1"/>
  <c r="BK281" i="1"/>
  <c r="BK280" i="1"/>
  <c r="BK279" i="1"/>
  <c r="BK278" i="1"/>
  <c r="BK277" i="1"/>
  <c r="BK276" i="1"/>
  <c r="BK275" i="1"/>
  <c r="BK274" i="1"/>
  <c r="BK273" i="1"/>
  <c r="BK272" i="1"/>
  <c r="BK271" i="1"/>
  <c r="BK270" i="1"/>
  <c r="BK269" i="1"/>
  <c r="BK268" i="1"/>
  <c r="BK250" i="1"/>
  <c r="BK172" i="1"/>
  <c r="BK171" i="1"/>
  <c r="BK170" i="1"/>
  <c r="BK169" i="1"/>
  <c r="BK168" i="1"/>
  <c r="BK167" i="1"/>
  <c r="BK166" i="1"/>
  <c r="BK33" i="1"/>
  <c r="BK32" i="1"/>
  <c r="BK31" i="1"/>
  <c r="BK30" i="1"/>
  <c r="BK29" i="1"/>
  <c r="BK28" i="1"/>
  <c r="BK27" i="1"/>
  <c r="BK26" i="1"/>
  <c r="BK25" i="1"/>
  <c r="BK24" i="1"/>
  <c r="BK23" i="1"/>
  <c r="BK22" i="1"/>
  <c r="BK21" i="1"/>
  <c r="BK20" i="1"/>
  <c r="BK19" i="1"/>
  <c r="BK18" i="1"/>
  <c r="BK17" i="1"/>
  <c r="BK16" i="1"/>
  <c r="BK15" i="1"/>
  <c r="BK14" i="1"/>
  <c r="BK13" i="1"/>
  <c r="BK12" i="1"/>
  <c r="BK11" i="1"/>
  <c r="BK9" i="1"/>
  <c r="BH89" i="1"/>
  <c r="BK506" i="1"/>
  <c r="BK505" i="1"/>
  <c r="BK504" i="1"/>
  <c r="BK503" i="1"/>
  <c r="BK502" i="1"/>
  <c r="BK501" i="1"/>
  <c r="BK500" i="1"/>
  <c r="BK499" i="1"/>
  <c r="BK498" i="1"/>
  <c r="BK497" i="1"/>
  <c r="BK496" i="1"/>
  <c r="BK495" i="1"/>
  <c r="BK494" i="1"/>
  <c r="BK493" i="1"/>
  <c r="BK492" i="1"/>
  <c r="BK491" i="1"/>
  <c r="BK490" i="1"/>
  <c r="BK489" i="1"/>
  <c r="BK488" i="1"/>
  <c r="BK487" i="1"/>
  <c r="BK486" i="1"/>
  <c r="BK485" i="1"/>
  <c r="BK484" i="1"/>
  <c r="BK483" i="1"/>
  <c r="BK482" i="1"/>
  <c r="BK481" i="1"/>
  <c r="BK480" i="1"/>
  <c r="BK479" i="1"/>
  <c r="BK478" i="1"/>
  <c r="BK477" i="1"/>
  <c r="BK476" i="1"/>
  <c r="BK475" i="1"/>
  <c r="BK474" i="1"/>
  <c r="BK473" i="1"/>
  <c r="BK472" i="1"/>
  <c r="BK471" i="1"/>
  <c r="BK470" i="1"/>
  <c r="BK469" i="1"/>
  <c r="BK468" i="1"/>
  <c r="BK467" i="1"/>
  <c r="BK466" i="1"/>
  <c r="BK465" i="1"/>
  <c r="BK464" i="1"/>
  <c r="BK463" i="1"/>
  <c r="BK462" i="1"/>
  <c r="BK461" i="1"/>
  <c r="BK460" i="1"/>
  <c r="BK459" i="1"/>
  <c r="BK458" i="1"/>
  <c r="BK457" i="1"/>
  <c r="BK456" i="1"/>
  <c r="BK455" i="1"/>
  <c r="BK454" i="1"/>
  <c r="BK453" i="1"/>
  <c r="BK452" i="1"/>
  <c r="BK451" i="1"/>
  <c r="BK450" i="1"/>
  <c r="BK449" i="1"/>
  <c r="BK448" i="1"/>
  <c r="BK447" i="1"/>
  <c r="BK446" i="1"/>
  <c r="BK445" i="1"/>
  <c r="BK444" i="1"/>
  <c r="BK443" i="1"/>
  <c r="BK442" i="1"/>
  <c r="BK441" i="1"/>
  <c r="BK440" i="1"/>
  <c r="BK439" i="1"/>
  <c r="BK438" i="1"/>
  <c r="BK436" i="1"/>
  <c r="BK435" i="1"/>
  <c r="BK434" i="1"/>
  <c r="BK433" i="1"/>
  <c r="BK432" i="1"/>
  <c r="BK431" i="1"/>
  <c r="BK430" i="1"/>
  <c r="BK429" i="1"/>
  <c r="BK428" i="1"/>
  <c r="BK427" i="1"/>
  <c r="BK426" i="1"/>
  <c r="BK425" i="1"/>
  <c r="BK424" i="1"/>
  <c r="BK423" i="1"/>
  <c r="BK422" i="1"/>
  <c r="BK421" i="1"/>
  <c r="BK420" i="1"/>
  <c r="BK419" i="1"/>
  <c r="BK418" i="1"/>
  <c r="BK417" i="1"/>
  <c r="BK416" i="1"/>
  <c r="BK415" i="1"/>
  <c r="BK414" i="1"/>
  <c r="BK413" i="1"/>
  <c r="BK412" i="1"/>
  <c r="BK400" i="1"/>
  <c r="BK399" i="1"/>
  <c r="BK398" i="1"/>
  <c r="BK397" i="1"/>
  <c r="BK396" i="1"/>
  <c r="BK395" i="1"/>
  <c r="BK394" i="1"/>
  <c r="BK393" i="1"/>
  <c r="BK392" i="1"/>
  <c r="BK391" i="1"/>
  <c r="BK390" i="1"/>
  <c r="BK389" i="1"/>
  <c r="BK388" i="1"/>
  <c r="BK387" i="1"/>
  <c r="BK386" i="1"/>
  <c r="BK385" i="1"/>
  <c r="BK384" i="1"/>
  <c r="BK383" i="1"/>
  <c r="BK382" i="1"/>
  <c r="BK381" i="1"/>
  <c r="BK380" i="1"/>
  <c r="BK324" i="1"/>
  <c r="BK201" i="1"/>
  <c r="BK200" i="1"/>
  <c r="BK199" i="1"/>
  <c r="BK198" i="1"/>
  <c r="BK197" i="1"/>
  <c r="BK196" i="1"/>
  <c r="BK195" i="1"/>
  <c r="BK194" i="1"/>
  <c r="BK193" i="1"/>
  <c r="BK190" i="1"/>
  <c r="BK185" i="1"/>
  <c r="BK224" i="1"/>
  <c r="BK223" i="1"/>
  <c r="BK222" i="1"/>
  <c r="BK221" i="1"/>
  <c r="BK220" i="1"/>
  <c r="BK219" i="1"/>
  <c r="BK218" i="1"/>
  <c r="BK217" i="1"/>
  <c r="BK216" i="1"/>
  <c r="BK215" i="1"/>
  <c r="BK214" i="1"/>
  <c r="BK213" i="1"/>
  <c r="BK212" i="1"/>
  <c r="BK211" i="1"/>
  <c r="BK210" i="1"/>
  <c r="BK209" i="1"/>
  <c r="BK208" i="1"/>
  <c r="BK207" i="1"/>
  <c r="BK206" i="1"/>
  <c r="BK205" i="1"/>
  <c r="BK204" i="1"/>
  <c r="BK203" i="1"/>
  <c r="BK202" i="1"/>
  <c r="BK192" i="1"/>
  <c r="BK191" i="1"/>
  <c r="BK189" i="1"/>
  <c r="BK188" i="1"/>
  <c r="BK187" i="1"/>
  <c r="BK186" i="1"/>
  <c r="BK184" i="1"/>
  <c r="BK165" i="1"/>
  <c r="BK164" i="1"/>
  <c r="BK163" i="1"/>
  <c r="BK162" i="1"/>
  <c r="BK161" i="1"/>
  <c r="BK160" i="1"/>
  <c r="BK159" i="1"/>
  <c r="BK158" i="1"/>
  <c r="BK157" i="1"/>
  <c r="BI89" i="1"/>
  <c r="BI79" i="1"/>
  <c r="BK437" i="1"/>
  <c r="BK156" i="1"/>
  <c r="BK155" i="1"/>
  <c r="BK154" i="1"/>
  <c r="BK153" i="1"/>
  <c r="BK152" i="1"/>
  <c r="BK151" i="1"/>
  <c r="BK150" i="1"/>
  <c r="BK149" i="1"/>
  <c r="BK148" i="1"/>
  <c r="BK147" i="1"/>
  <c r="BK146" i="1"/>
  <c r="BK145" i="1"/>
  <c r="BK144" i="1"/>
  <c r="BK143" i="1"/>
  <c r="BK142" i="1"/>
  <c r="BK141" i="1"/>
  <c r="BK140" i="1"/>
  <c r="BK139" i="1"/>
  <c r="BK138" i="1"/>
  <c r="BK82" i="1"/>
  <c r="BK80" i="1"/>
  <c r="BK78" i="1"/>
  <c r="BK137" i="1"/>
  <c r="BK136" i="1"/>
  <c r="BK135" i="1"/>
  <c r="BK134" i="1"/>
  <c r="BK133" i="1"/>
  <c r="BK132" i="1"/>
  <c r="BK131" i="1"/>
  <c r="BK130" i="1"/>
  <c r="BK129" i="1"/>
  <c r="BK128" i="1"/>
  <c r="BK127" i="1"/>
  <c r="BK126" i="1"/>
  <c r="BK125" i="1"/>
  <c r="BK124" i="1"/>
  <c r="BK123" i="1"/>
  <c r="BK122" i="1"/>
  <c r="BK121" i="1"/>
  <c r="BK120" i="1"/>
  <c r="BK119" i="1"/>
  <c r="BK118" i="1"/>
  <c r="BK117" i="1"/>
  <c r="BK116" i="1"/>
  <c r="BK115" i="1"/>
  <c r="BK114" i="1"/>
  <c r="BK113" i="1"/>
  <c r="BK112" i="1"/>
  <c r="BK111" i="1"/>
  <c r="BK110" i="1"/>
  <c r="BK109" i="1"/>
  <c r="BK108" i="1"/>
  <c r="BK107" i="1"/>
  <c r="BK106" i="1"/>
  <c r="BK105" i="1"/>
  <c r="BK104" i="1"/>
  <c r="BK103" i="1"/>
  <c r="BK102" i="1"/>
  <c r="BK101" i="1"/>
  <c r="BK100" i="1"/>
  <c r="BK99" i="1"/>
  <c r="BK98" i="1"/>
  <c r="BK97" i="1"/>
  <c r="BK96" i="1"/>
  <c r="BK95" i="1"/>
  <c r="BK94" i="1"/>
  <c r="BK93" i="1"/>
  <c r="BK92" i="1"/>
  <c r="BK91" i="1"/>
  <c r="BK90" i="1"/>
  <c r="BK89" i="1"/>
  <c r="BK88" i="1"/>
  <c r="BK87" i="1"/>
  <c r="BK86" i="1"/>
  <c r="BK85" i="1"/>
  <c r="BK84" i="1"/>
  <c r="BK83" i="1"/>
  <c r="BK81" i="1"/>
  <c r="BK79" i="1"/>
  <c r="BK77" i="1"/>
  <c r="BK76" i="1"/>
  <c r="BK75" i="1"/>
  <c r="BK74" i="1"/>
  <c r="BK73" i="1"/>
  <c r="BK72" i="1"/>
  <c r="BK71" i="1"/>
  <c r="BK70" i="1"/>
  <c r="BK69" i="1"/>
  <c r="BK68" i="1"/>
  <c r="BK67" i="1"/>
  <c r="BK66" i="1"/>
  <c r="BK65" i="1"/>
  <c r="BK64" i="1"/>
  <c r="BK63" i="1"/>
  <c r="BK62" i="1"/>
  <c r="BK61" i="1"/>
  <c r="BK60" i="1"/>
  <c r="BK59" i="1"/>
  <c r="BK58" i="1"/>
  <c r="BK57" i="1"/>
  <c r="BK56" i="1"/>
  <c r="BK55" i="1"/>
  <c r="BK54" i="1"/>
  <c r="BK53" i="1"/>
  <c r="BK52" i="1"/>
  <c r="BK51" i="1"/>
  <c r="BK50" i="1"/>
  <c r="BK49" i="1"/>
  <c r="BK48" i="1"/>
  <c r="BK47" i="1"/>
  <c r="BK46" i="1"/>
  <c r="BK45" i="1"/>
  <c r="BK44" i="1"/>
  <c r="BK43" i="1"/>
  <c r="BK42" i="1"/>
  <c r="BK41" i="1"/>
  <c r="BK40" i="1"/>
  <c r="BK39" i="1"/>
  <c r="BK38" i="1"/>
  <c r="BK37" i="1"/>
  <c r="BK36" i="1"/>
  <c r="BK35" i="1"/>
  <c r="BK34" i="1"/>
  <c r="BL508" i="1"/>
  <c r="BJ508" i="1"/>
  <c r="BI508" i="1"/>
  <c r="BH508" i="1"/>
  <c r="BL507" i="1"/>
  <c r="BJ507" i="1"/>
  <c r="BI507" i="1"/>
  <c r="BH507" i="1"/>
  <c r="BL506" i="1"/>
  <c r="BJ506" i="1"/>
  <c r="BI506" i="1"/>
  <c r="BH506" i="1"/>
  <c r="BL505" i="1"/>
  <c r="BJ505" i="1"/>
  <c r="BI505" i="1"/>
  <c r="BH505" i="1"/>
  <c r="BL504" i="1"/>
  <c r="BJ504" i="1"/>
  <c r="BI504" i="1"/>
  <c r="BH504" i="1"/>
  <c r="BL503" i="1"/>
  <c r="BJ503" i="1"/>
  <c r="BI503" i="1"/>
  <c r="BH503" i="1"/>
  <c r="BL502" i="1"/>
  <c r="BJ502" i="1"/>
  <c r="BI502" i="1"/>
  <c r="BH502" i="1"/>
  <c r="BL501" i="1"/>
  <c r="BJ501" i="1"/>
  <c r="BI501" i="1"/>
  <c r="BH501" i="1"/>
  <c r="BL500" i="1"/>
  <c r="BJ500" i="1"/>
  <c r="BI500" i="1"/>
  <c r="BH500" i="1"/>
  <c r="BL499" i="1"/>
  <c r="BJ499" i="1"/>
  <c r="BI499" i="1"/>
  <c r="BH499" i="1"/>
  <c r="BL498" i="1"/>
  <c r="BJ498" i="1"/>
  <c r="BI498" i="1"/>
  <c r="BH498" i="1"/>
  <c r="BL497" i="1"/>
  <c r="BJ497" i="1"/>
  <c r="BI497" i="1"/>
  <c r="BH497" i="1"/>
  <c r="BL496" i="1"/>
  <c r="BJ496" i="1"/>
  <c r="BI496" i="1"/>
  <c r="BH496" i="1"/>
  <c r="BL495" i="1"/>
  <c r="BJ495" i="1"/>
  <c r="BI495" i="1"/>
  <c r="BH495" i="1"/>
  <c r="BL494" i="1"/>
  <c r="BJ494" i="1"/>
  <c r="BI494" i="1"/>
  <c r="BH494" i="1"/>
  <c r="BL493" i="1"/>
  <c r="BJ493" i="1"/>
  <c r="BI493" i="1"/>
  <c r="BH493" i="1"/>
  <c r="BL492" i="1"/>
  <c r="BJ492" i="1"/>
  <c r="BI492" i="1"/>
  <c r="BH492" i="1"/>
  <c r="BL491" i="1"/>
  <c r="BJ491" i="1"/>
  <c r="BI491" i="1"/>
  <c r="BH491" i="1"/>
  <c r="BL490" i="1"/>
  <c r="BJ490" i="1"/>
  <c r="BI490" i="1"/>
  <c r="BH490" i="1"/>
  <c r="BL489" i="1"/>
  <c r="BJ489" i="1"/>
  <c r="BI489" i="1"/>
  <c r="BH489" i="1"/>
  <c r="BL488" i="1"/>
  <c r="BJ488" i="1"/>
  <c r="BI488" i="1"/>
  <c r="BH488" i="1"/>
  <c r="BL487" i="1"/>
  <c r="BJ487" i="1"/>
  <c r="BI487" i="1"/>
  <c r="BH487" i="1"/>
  <c r="BL486" i="1"/>
  <c r="BJ486" i="1"/>
  <c r="BI486" i="1"/>
  <c r="BH486" i="1"/>
  <c r="BL485" i="1"/>
  <c r="BJ485" i="1"/>
  <c r="BI485" i="1"/>
  <c r="BH485" i="1"/>
  <c r="BL484" i="1"/>
  <c r="BJ484" i="1"/>
  <c r="BI484" i="1"/>
  <c r="BH484" i="1"/>
  <c r="BL483" i="1"/>
  <c r="BJ483" i="1"/>
  <c r="BI483" i="1"/>
  <c r="BH483" i="1"/>
  <c r="BL482" i="1"/>
  <c r="BJ482" i="1"/>
  <c r="BI482" i="1"/>
  <c r="BH482" i="1"/>
  <c r="BL481" i="1"/>
  <c r="BJ481" i="1"/>
  <c r="BI481" i="1"/>
  <c r="BH481" i="1"/>
  <c r="BL480" i="1"/>
  <c r="BJ480" i="1"/>
  <c r="BI480" i="1"/>
  <c r="BH480" i="1"/>
  <c r="BL479" i="1"/>
  <c r="BJ479" i="1"/>
  <c r="BI479" i="1"/>
  <c r="BH479" i="1"/>
  <c r="BL478" i="1"/>
  <c r="BJ478" i="1"/>
  <c r="BI478" i="1"/>
  <c r="BH478" i="1"/>
  <c r="BL477" i="1"/>
  <c r="BJ477" i="1"/>
  <c r="BI477" i="1"/>
  <c r="BH477" i="1"/>
  <c r="BL476" i="1"/>
  <c r="BJ476" i="1"/>
  <c r="BI476" i="1"/>
  <c r="BH476" i="1"/>
  <c r="BL475" i="1"/>
  <c r="BJ475" i="1"/>
  <c r="BI475" i="1"/>
  <c r="BH475" i="1"/>
  <c r="BL474" i="1"/>
  <c r="BJ474" i="1"/>
  <c r="BI474" i="1"/>
  <c r="BH474" i="1"/>
  <c r="BL473" i="1"/>
  <c r="BJ473" i="1"/>
  <c r="BI473" i="1"/>
  <c r="BH473" i="1"/>
  <c r="BL472" i="1"/>
  <c r="BJ472" i="1"/>
  <c r="BI472" i="1"/>
  <c r="BH472" i="1"/>
  <c r="BL471" i="1"/>
  <c r="BJ471" i="1"/>
  <c r="BI471" i="1"/>
  <c r="BH471" i="1"/>
  <c r="BL470" i="1"/>
  <c r="BJ470" i="1"/>
  <c r="BI470" i="1"/>
  <c r="BH470" i="1"/>
  <c r="BL469" i="1"/>
  <c r="BJ469" i="1"/>
  <c r="BI469" i="1"/>
  <c r="BH469" i="1"/>
  <c r="BL468" i="1"/>
  <c r="BJ468" i="1"/>
  <c r="BI468" i="1"/>
  <c r="BH468" i="1"/>
  <c r="BL467" i="1"/>
  <c r="BJ467" i="1"/>
  <c r="BI467" i="1"/>
  <c r="BH467" i="1"/>
  <c r="BL466" i="1"/>
  <c r="BJ466" i="1"/>
  <c r="BI466" i="1"/>
  <c r="BH466" i="1"/>
  <c r="BL465" i="1"/>
  <c r="BJ465" i="1"/>
  <c r="BI465" i="1"/>
  <c r="BH465" i="1"/>
  <c r="BL464" i="1"/>
  <c r="BJ464" i="1"/>
  <c r="BI464" i="1"/>
  <c r="BH464" i="1"/>
  <c r="BL463" i="1"/>
  <c r="BJ463" i="1"/>
  <c r="BI463" i="1"/>
  <c r="BH463" i="1"/>
  <c r="BL462" i="1"/>
  <c r="BJ462" i="1"/>
  <c r="BI462" i="1"/>
  <c r="BH462" i="1"/>
  <c r="BL461" i="1"/>
  <c r="BJ461" i="1"/>
  <c r="BI461" i="1"/>
  <c r="BH461" i="1"/>
  <c r="BL460" i="1"/>
  <c r="BJ460" i="1"/>
  <c r="BI460" i="1"/>
  <c r="BH460" i="1"/>
  <c r="BL459" i="1"/>
  <c r="BJ459" i="1"/>
  <c r="BI459" i="1"/>
  <c r="BH459" i="1"/>
  <c r="BL458" i="1"/>
  <c r="BJ458" i="1"/>
  <c r="BI458" i="1"/>
  <c r="BH458" i="1"/>
  <c r="BL457" i="1"/>
  <c r="BJ457" i="1"/>
  <c r="BI457" i="1"/>
  <c r="BH457" i="1"/>
  <c r="BL456" i="1"/>
  <c r="BJ456" i="1"/>
  <c r="BI456" i="1"/>
  <c r="BH456" i="1"/>
  <c r="BL455" i="1"/>
  <c r="BJ455" i="1"/>
  <c r="BI455" i="1"/>
  <c r="BH455" i="1"/>
  <c r="BL454" i="1"/>
  <c r="BJ454" i="1"/>
  <c r="BI454" i="1"/>
  <c r="BH454" i="1"/>
  <c r="BL453" i="1"/>
  <c r="BJ453" i="1"/>
  <c r="BI453" i="1"/>
  <c r="BH453" i="1"/>
  <c r="BL452" i="1"/>
  <c r="BJ452" i="1"/>
  <c r="BI452" i="1"/>
  <c r="BH452" i="1"/>
  <c r="BL451" i="1"/>
  <c r="BJ451" i="1"/>
  <c r="BI451" i="1"/>
  <c r="BH451" i="1"/>
  <c r="BL450" i="1"/>
  <c r="BJ450" i="1"/>
  <c r="BI450" i="1"/>
  <c r="BH450" i="1"/>
  <c r="BL449" i="1"/>
  <c r="BJ449" i="1"/>
  <c r="BI449" i="1"/>
  <c r="BH449" i="1"/>
  <c r="BL448" i="1"/>
  <c r="BJ448" i="1"/>
  <c r="BI448" i="1"/>
  <c r="BH448" i="1"/>
  <c r="BL447" i="1"/>
  <c r="BJ447" i="1"/>
  <c r="BI447" i="1"/>
  <c r="BH447" i="1"/>
  <c r="BL446" i="1"/>
  <c r="BJ446" i="1"/>
  <c r="BI446" i="1"/>
  <c r="BH446" i="1"/>
  <c r="BL445" i="1"/>
  <c r="BJ445" i="1"/>
  <c r="BI445" i="1"/>
  <c r="BH445" i="1"/>
  <c r="BL444" i="1"/>
  <c r="BJ444" i="1"/>
  <c r="BI444" i="1"/>
  <c r="BH444" i="1"/>
  <c r="BL443" i="1"/>
  <c r="BJ443" i="1"/>
  <c r="BI443" i="1"/>
  <c r="BH443" i="1"/>
  <c r="BL442" i="1"/>
  <c r="BJ442" i="1"/>
  <c r="BI442" i="1"/>
  <c r="BH442" i="1"/>
  <c r="BL441" i="1"/>
  <c r="BJ441" i="1"/>
  <c r="BI441" i="1"/>
  <c r="BH441" i="1"/>
  <c r="BL440" i="1"/>
  <c r="BJ440" i="1"/>
  <c r="BI440" i="1"/>
  <c r="BH440" i="1"/>
  <c r="BL439" i="1"/>
  <c r="BJ439" i="1"/>
  <c r="BI439" i="1"/>
  <c r="BH439" i="1"/>
  <c r="BL438" i="1"/>
  <c r="BJ438" i="1"/>
  <c r="BI438" i="1"/>
  <c r="BH438" i="1"/>
  <c r="BL437" i="1"/>
  <c r="BJ437" i="1"/>
  <c r="BI437" i="1"/>
  <c r="BH437" i="1"/>
  <c r="BL436" i="1"/>
  <c r="BJ436" i="1"/>
  <c r="BI436" i="1"/>
  <c r="BH436" i="1"/>
  <c r="BL435" i="1"/>
  <c r="BJ435" i="1"/>
  <c r="BI435" i="1"/>
  <c r="BH435" i="1"/>
  <c r="BL434" i="1"/>
  <c r="BJ434" i="1"/>
  <c r="BI434" i="1"/>
  <c r="BH434" i="1"/>
  <c r="BL433" i="1"/>
  <c r="BJ433" i="1"/>
  <c r="BI433" i="1"/>
  <c r="BH433" i="1"/>
  <c r="BL432" i="1"/>
  <c r="BJ432" i="1"/>
  <c r="BI432" i="1"/>
  <c r="BH432" i="1"/>
  <c r="BL431" i="1"/>
  <c r="BJ431" i="1"/>
  <c r="BI431" i="1"/>
  <c r="BH431" i="1"/>
  <c r="BL430" i="1"/>
  <c r="BJ430" i="1"/>
  <c r="BI430" i="1"/>
  <c r="BH430" i="1"/>
  <c r="BL429" i="1"/>
  <c r="BJ429" i="1"/>
  <c r="BI429" i="1"/>
  <c r="BH429" i="1"/>
  <c r="BL428" i="1"/>
  <c r="BJ428" i="1"/>
  <c r="BI428" i="1"/>
  <c r="BH428" i="1"/>
  <c r="BL427" i="1"/>
  <c r="BJ427" i="1"/>
  <c r="BI427" i="1"/>
  <c r="BH427" i="1"/>
  <c r="BL426" i="1"/>
  <c r="BJ426" i="1"/>
  <c r="BI426" i="1"/>
  <c r="BH426" i="1"/>
  <c r="BL425" i="1"/>
  <c r="BJ425" i="1"/>
  <c r="BI425" i="1"/>
  <c r="BH425" i="1"/>
  <c r="BL424" i="1"/>
  <c r="BJ424" i="1"/>
  <c r="BI424" i="1"/>
  <c r="BH424" i="1"/>
  <c r="BL423" i="1"/>
  <c r="BJ423" i="1"/>
  <c r="BI423" i="1"/>
  <c r="BH423" i="1"/>
  <c r="BL422" i="1"/>
  <c r="BJ422" i="1"/>
  <c r="BI422" i="1"/>
  <c r="BH422" i="1"/>
  <c r="BL421" i="1"/>
  <c r="BJ421" i="1"/>
  <c r="BI421" i="1"/>
  <c r="BH421" i="1"/>
  <c r="BL420" i="1"/>
  <c r="BJ420" i="1"/>
  <c r="BI420" i="1"/>
  <c r="BH420" i="1"/>
  <c r="BL419" i="1"/>
  <c r="BJ419" i="1"/>
  <c r="BI419" i="1"/>
  <c r="BH419" i="1"/>
  <c r="BL418" i="1"/>
  <c r="BJ418" i="1"/>
  <c r="BI418" i="1"/>
  <c r="BH418" i="1"/>
  <c r="BL417" i="1"/>
  <c r="BJ417" i="1"/>
  <c r="BI417" i="1"/>
  <c r="BH417" i="1"/>
  <c r="BL416" i="1"/>
  <c r="BJ416" i="1"/>
  <c r="BI416" i="1"/>
  <c r="BH416" i="1"/>
  <c r="BL415" i="1"/>
  <c r="BJ415" i="1"/>
  <c r="BI415" i="1"/>
  <c r="BH415" i="1"/>
  <c r="BL414" i="1"/>
  <c r="BJ414" i="1"/>
  <c r="BI414" i="1"/>
  <c r="BH414" i="1"/>
  <c r="BL413" i="1"/>
  <c r="BJ413" i="1"/>
  <c r="BI413" i="1"/>
  <c r="BH413" i="1"/>
  <c r="BL412" i="1"/>
  <c r="BJ412" i="1"/>
  <c r="BI412" i="1"/>
  <c r="BH412" i="1"/>
  <c r="BL411" i="1"/>
  <c r="BJ411" i="1"/>
  <c r="BI411" i="1"/>
  <c r="BH411" i="1"/>
  <c r="BL410" i="1"/>
  <c r="BJ410" i="1"/>
  <c r="BI410" i="1"/>
  <c r="BH410" i="1"/>
  <c r="BL409" i="1"/>
  <c r="BJ409" i="1"/>
  <c r="BI409" i="1"/>
  <c r="BH409" i="1"/>
  <c r="BL408" i="1"/>
  <c r="BJ408" i="1"/>
  <c r="BI408" i="1"/>
  <c r="BH408" i="1"/>
  <c r="BL407" i="1"/>
  <c r="BJ407" i="1"/>
  <c r="BI407" i="1"/>
  <c r="BH407" i="1"/>
  <c r="BL406" i="1"/>
  <c r="BJ406" i="1"/>
  <c r="BI406" i="1"/>
  <c r="BH406" i="1"/>
  <c r="BL405" i="1"/>
  <c r="BJ405" i="1"/>
  <c r="BI405" i="1"/>
  <c r="BH405" i="1"/>
  <c r="BL404" i="1"/>
  <c r="BJ404" i="1"/>
  <c r="BI404" i="1"/>
  <c r="BH404" i="1"/>
  <c r="BL403" i="1"/>
  <c r="BJ403" i="1"/>
  <c r="BI403" i="1"/>
  <c r="BH403" i="1"/>
  <c r="BL402" i="1"/>
  <c r="BJ402" i="1"/>
  <c r="BI402" i="1"/>
  <c r="BH402" i="1"/>
  <c r="BL401" i="1"/>
  <c r="BJ401" i="1"/>
  <c r="BI401" i="1"/>
  <c r="BH401" i="1"/>
  <c r="BL400" i="1"/>
  <c r="BJ400" i="1"/>
  <c r="BI400" i="1"/>
  <c r="BH400" i="1"/>
  <c r="BL399" i="1"/>
  <c r="BJ399" i="1"/>
  <c r="BI399" i="1"/>
  <c r="BH399" i="1"/>
  <c r="BL398" i="1"/>
  <c r="BJ398" i="1"/>
  <c r="BI398" i="1"/>
  <c r="BH398" i="1"/>
  <c r="BL397" i="1"/>
  <c r="BJ397" i="1"/>
  <c r="BI397" i="1"/>
  <c r="BH397" i="1"/>
  <c r="BL396" i="1"/>
  <c r="BJ396" i="1"/>
  <c r="BI396" i="1"/>
  <c r="BH396" i="1"/>
  <c r="BL395" i="1"/>
  <c r="BJ395" i="1"/>
  <c r="BI395" i="1"/>
  <c r="BH395" i="1"/>
  <c r="BL394" i="1"/>
  <c r="BJ394" i="1"/>
  <c r="BI394" i="1"/>
  <c r="BH394" i="1"/>
  <c r="BL393" i="1"/>
  <c r="BJ393" i="1"/>
  <c r="BI393" i="1"/>
  <c r="BH393" i="1"/>
  <c r="BL392" i="1"/>
  <c r="BJ392" i="1"/>
  <c r="BI392" i="1"/>
  <c r="BH392" i="1"/>
  <c r="BL391" i="1"/>
  <c r="BJ391" i="1"/>
  <c r="BI391" i="1"/>
  <c r="BH391" i="1"/>
  <c r="BL390" i="1"/>
  <c r="BJ390" i="1"/>
  <c r="BI390" i="1"/>
  <c r="BH390" i="1"/>
  <c r="BL389" i="1"/>
  <c r="BJ389" i="1"/>
  <c r="BI389" i="1"/>
  <c r="BH389" i="1"/>
  <c r="BL388" i="1"/>
  <c r="BJ388" i="1"/>
  <c r="BI388" i="1"/>
  <c r="BH388" i="1"/>
  <c r="BL387" i="1"/>
  <c r="BJ387" i="1"/>
  <c r="BI387" i="1"/>
  <c r="BH387" i="1"/>
  <c r="BL386" i="1"/>
  <c r="BJ386" i="1"/>
  <c r="BI386" i="1"/>
  <c r="BH386" i="1"/>
  <c r="BL385" i="1"/>
  <c r="BJ385" i="1"/>
  <c r="BI385" i="1"/>
  <c r="BH385" i="1"/>
  <c r="BL384" i="1"/>
  <c r="BJ384" i="1"/>
  <c r="BI384" i="1"/>
  <c r="BH384" i="1"/>
  <c r="BL383" i="1"/>
  <c r="BJ383" i="1"/>
  <c r="BI383" i="1"/>
  <c r="BH383" i="1"/>
  <c r="BL382" i="1"/>
  <c r="BJ382" i="1"/>
  <c r="BI382" i="1"/>
  <c r="BH382" i="1"/>
  <c r="BL381" i="1"/>
  <c r="BJ381" i="1"/>
  <c r="BI381" i="1"/>
  <c r="BH381" i="1"/>
  <c r="BL380" i="1"/>
  <c r="BJ380" i="1"/>
  <c r="BI380" i="1"/>
  <c r="BH380" i="1"/>
  <c r="BL379" i="1"/>
  <c r="BJ379" i="1"/>
  <c r="BI379" i="1"/>
  <c r="BH379" i="1"/>
  <c r="BL378" i="1"/>
  <c r="BJ378" i="1"/>
  <c r="BI378" i="1"/>
  <c r="BH378" i="1"/>
  <c r="BL377" i="1"/>
  <c r="BJ377" i="1"/>
  <c r="BI377" i="1"/>
  <c r="BH377" i="1"/>
  <c r="BL376" i="1"/>
  <c r="BJ376" i="1"/>
  <c r="BI376" i="1"/>
  <c r="BH376" i="1"/>
  <c r="BL375" i="1"/>
  <c r="BJ375" i="1"/>
  <c r="BI375" i="1"/>
  <c r="BH375" i="1"/>
  <c r="BL374" i="1"/>
  <c r="BJ374" i="1"/>
  <c r="BI374" i="1"/>
  <c r="BH374" i="1"/>
  <c r="BL373" i="1"/>
  <c r="BJ373" i="1"/>
  <c r="BI373" i="1"/>
  <c r="BH373" i="1"/>
  <c r="BL372" i="1"/>
  <c r="BJ372" i="1"/>
  <c r="BI372" i="1"/>
  <c r="BH372" i="1"/>
  <c r="BL371" i="1"/>
  <c r="BJ371" i="1"/>
  <c r="BI371" i="1"/>
  <c r="BH371" i="1"/>
  <c r="BL370" i="1"/>
  <c r="BJ370" i="1"/>
  <c r="BI370" i="1"/>
  <c r="BH370" i="1"/>
  <c r="BL369" i="1"/>
  <c r="BJ369" i="1"/>
  <c r="BI369" i="1"/>
  <c r="BH369" i="1"/>
  <c r="BL368" i="1"/>
  <c r="BJ368" i="1"/>
  <c r="BI368" i="1"/>
  <c r="BH368" i="1"/>
  <c r="BL367" i="1"/>
  <c r="BJ367" i="1"/>
  <c r="BI367" i="1"/>
  <c r="BH367" i="1"/>
  <c r="BL366" i="1"/>
  <c r="BJ366" i="1"/>
  <c r="BI366" i="1"/>
  <c r="BH366" i="1"/>
  <c r="BL365" i="1"/>
  <c r="BJ365" i="1"/>
  <c r="BI365" i="1"/>
  <c r="BH365" i="1"/>
  <c r="BL364" i="1"/>
  <c r="BJ364" i="1"/>
  <c r="BI364" i="1"/>
  <c r="BH364" i="1"/>
  <c r="BL363" i="1"/>
  <c r="BJ363" i="1"/>
  <c r="BI363" i="1"/>
  <c r="BH363" i="1"/>
  <c r="BL362" i="1"/>
  <c r="BJ362" i="1"/>
  <c r="BI362" i="1"/>
  <c r="BH362" i="1"/>
  <c r="BL361" i="1"/>
  <c r="BJ361" i="1"/>
  <c r="BI361" i="1"/>
  <c r="BH361" i="1"/>
  <c r="BL360" i="1"/>
  <c r="BJ360" i="1"/>
  <c r="BI360" i="1"/>
  <c r="BH360" i="1"/>
  <c r="BL359" i="1"/>
  <c r="BJ359" i="1"/>
  <c r="BI359" i="1"/>
  <c r="BH359" i="1"/>
  <c r="BL358" i="1"/>
  <c r="BJ358" i="1"/>
  <c r="BI358" i="1"/>
  <c r="BH358" i="1"/>
  <c r="BL357" i="1"/>
  <c r="BJ357" i="1"/>
  <c r="BI357" i="1"/>
  <c r="BH357" i="1"/>
  <c r="BL356" i="1"/>
  <c r="BJ356" i="1"/>
  <c r="BI356" i="1"/>
  <c r="BH356" i="1"/>
  <c r="BL355" i="1"/>
  <c r="BJ355" i="1"/>
  <c r="BI355" i="1"/>
  <c r="BH355" i="1"/>
  <c r="BL354" i="1"/>
  <c r="BJ354" i="1"/>
  <c r="BI354" i="1"/>
  <c r="BH354" i="1"/>
  <c r="BL353" i="1"/>
  <c r="BJ353" i="1"/>
  <c r="BI353" i="1"/>
  <c r="BH353" i="1"/>
  <c r="BL352" i="1"/>
  <c r="BJ352" i="1"/>
  <c r="BI352" i="1"/>
  <c r="BH352" i="1"/>
  <c r="BL351" i="1"/>
  <c r="BJ351" i="1"/>
  <c r="BI351" i="1"/>
  <c r="BH351" i="1"/>
  <c r="BL350" i="1"/>
  <c r="BJ350" i="1"/>
  <c r="BI350" i="1"/>
  <c r="BH350" i="1"/>
  <c r="BL349" i="1"/>
  <c r="BJ349" i="1"/>
  <c r="BI349" i="1"/>
  <c r="BH349" i="1"/>
  <c r="BL348" i="1"/>
  <c r="BJ348" i="1"/>
  <c r="BI348" i="1"/>
  <c r="BH348" i="1"/>
  <c r="BL347" i="1"/>
  <c r="BJ347" i="1"/>
  <c r="BI347" i="1"/>
  <c r="BH347" i="1"/>
  <c r="BL346" i="1"/>
  <c r="BJ346" i="1"/>
  <c r="BI346" i="1"/>
  <c r="BH346" i="1"/>
  <c r="BL345" i="1"/>
  <c r="BJ345" i="1"/>
  <c r="BI345" i="1"/>
  <c r="BH345" i="1"/>
  <c r="BL344" i="1"/>
  <c r="BJ344" i="1"/>
  <c r="BI344" i="1"/>
  <c r="BH344" i="1"/>
  <c r="BL343" i="1"/>
  <c r="BJ343" i="1"/>
  <c r="BI343" i="1"/>
  <c r="BH343" i="1"/>
  <c r="BL342" i="1"/>
  <c r="BJ342" i="1"/>
  <c r="BI342" i="1"/>
  <c r="BH342" i="1"/>
  <c r="BL341" i="1"/>
  <c r="BJ341" i="1"/>
  <c r="BI341" i="1"/>
  <c r="BH341" i="1"/>
  <c r="BL340" i="1"/>
  <c r="BJ340" i="1"/>
  <c r="BI340" i="1"/>
  <c r="BH340" i="1"/>
  <c r="BL339" i="1"/>
  <c r="BJ339" i="1"/>
  <c r="BI339" i="1"/>
  <c r="BH339" i="1"/>
  <c r="BL338" i="1"/>
  <c r="BJ338" i="1"/>
  <c r="BI338" i="1"/>
  <c r="BH338" i="1"/>
  <c r="BL337" i="1"/>
  <c r="BJ337" i="1"/>
  <c r="BI337" i="1"/>
  <c r="BH337" i="1"/>
  <c r="BL336" i="1"/>
  <c r="BJ336" i="1"/>
  <c r="BI336" i="1"/>
  <c r="BH336" i="1"/>
  <c r="BL335" i="1"/>
  <c r="BJ335" i="1"/>
  <c r="BI335" i="1"/>
  <c r="BH335" i="1"/>
  <c r="BL334" i="1"/>
  <c r="BJ334" i="1"/>
  <c r="BI334" i="1"/>
  <c r="BH334" i="1"/>
  <c r="BL333" i="1"/>
  <c r="BJ333" i="1"/>
  <c r="BI333" i="1"/>
  <c r="BH333" i="1"/>
  <c r="BL332" i="1"/>
  <c r="BJ332" i="1"/>
  <c r="BI332" i="1"/>
  <c r="BH332" i="1"/>
  <c r="BL331" i="1"/>
  <c r="BJ331" i="1"/>
  <c r="BI331" i="1"/>
  <c r="BH331" i="1"/>
  <c r="BL330" i="1"/>
  <c r="BJ330" i="1"/>
  <c r="BI330" i="1"/>
  <c r="BH330" i="1"/>
  <c r="BL329" i="1"/>
  <c r="BJ329" i="1"/>
  <c r="BI329" i="1"/>
  <c r="BH329" i="1"/>
  <c r="BL328" i="1"/>
  <c r="BJ328" i="1"/>
  <c r="BI328" i="1"/>
  <c r="BH328" i="1"/>
  <c r="BL327" i="1"/>
  <c r="BJ327" i="1"/>
  <c r="BI327" i="1"/>
  <c r="BH327" i="1"/>
  <c r="BL326" i="1"/>
  <c r="BJ326" i="1"/>
  <c r="BI326" i="1"/>
  <c r="BH326" i="1"/>
  <c r="BL325" i="1"/>
  <c r="BJ325" i="1"/>
  <c r="BI325" i="1"/>
  <c r="BH325" i="1"/>
  <c r="BL324" i="1"/>
  <c r="BJ324" i="1"/>
  <c r="BI324" i="1"/>
  <c r="BH324" i="1"/>
  <c r="BL323" i="1"/>
  <c r="BJ323" i="1"/>
  <c r="BI323" i="1"/>
  <c r="BH323" i="1"/>
  <c r="BL322" i="1"/>
  <c r="BJ322" i="1"/>
  <c r="BI322" i="1"/>
  <c r="BH322" i="1"/>
  <c r="BL321" i="1"/>
  <c r="BJ321" i="1"/>
  <c r="BI321" i="1"/>
  <c r="BH321" i="1"/>
  <c r="BL320" i="1"/>
  <c r="BJ320" i="1"/>
  <c r="BI320" i="1"/>
  <c r="BH320" i="1"/>
  <c r="BL319" i="1"/>
  <c r="BJ319" i="1"/>
  <c r="BI319" i="1"/>
  <c r="BH319" i="1"/>
  <c r="BL318" i="1"/>
  <c r="BJ318" i="1"/>
  <c r="BI318" i="1"/>
  <c r="BH318" i="1"/>
  <c r="BL317" i="1"/>
  <c r="BJ317" i="1"/>
  <c r="BI317" i="1"/>
  <c r="BH317" i="1"/>
  <c r="BL316" i="1"/>
  <c r="BJ316" i="1"/>
  <c r="BI316" i="1"/>
  <c r="BH316" i="1"/>
  <c r="BL315" i="1"/>
  <c r="BJ315" i="1"/>
  <c r="BI315" i="1"/>
  <c r="BH315" i="1"/>
  <c r="BL314" i="1"/>
  <c r="BJ314" i="1"/>
  <c r="BI314" i="1"/>
  <c r="BH314" i="1"/>
  <c r="BL313" i="1"/>
  <c r="BJ313" i="1"/>
  <c r="BI313" i="1"/>
  <c r="BH313" i="1"/>
  <c r="BL312" i="1"/>
  <c r="BJ312" i="1"/>
  <c r="BI312" i="1"/>
  <c r="BH312" i="1"/>
  <c r="BL311" i="1"/>
  <c r="BJ311" i="1"/>
  <c r="BI311" i="1"/>
  <c r="BH311" i="1"/>
  <c r="BL310" i="1"/>
  <c r="BJ310" i="1"/>
  <c r="BI310" i="1"/>
  <c r="BH310" i="1"/>
  <c r="BL309" i="1"/>
  <c r="BJ309" i="1"/>
  <c r="BI309" i="1"/>
  <c r="BH309" i="1"/>
  <c r="BL308" i="1"/>
  <c r="BJ308" i="1"/>
  <c r="BI308" i="1"/>
  <c r="BH308" i="1"/>
  <c r="BL307" i="1"/>
  <c r="BJ307" i="1"/>
  <c r="BI307" i="1"/>
  <c r="BH307" i="1"/>
  <c r="BL306" i="1"/>
  <c r="BJ306" i="1"/>
  <c r="BI306" i="1"/>
  <c r="BH306" i="1"/>
  <c r="BL305" i="1"/>
  <c r="BJ305" i="1"/>
  <c r="BI305" i="1"/>
  <c r="BH305" i="1"/>
  <c r="BL304" i="1"/>
  <c r="BJ304" i="1"/>
  <c r="BI304" i="1"/>
  <c r="BH304" i="1"/>
  <c r="BL303" i="1"/>
  <c r="BJ303" i="1"/>
  <c r="BI303" i="1"/>
  <c r="BH303" i="1"/>
  <c r="BL302" i="1"/>
  <c r="BJ302" i="1"/>
  <c r="BI302" i="1"/>
  <c r="BH302" i="1"/>
  <c r="BL301" i="1"/>
  <c r="BJ301" i="1"/>
  <c r="BI301" i="1"/>
  <c r="BH301" i="1"/>
  <c r="BL300" i="1"/>
  <c r="BJ300" i="1"/>
  <c r="BI300" i="1"/>
  <c r="BH300" i="1"/>
  <c r="BL299" i="1"/>
  <c r="BJ299" i="1"/>
  <c r="BI299" i="1"/>
  <c r="BH299" i="1"/>
  <c r="BL298" i="1"/>
  <c r="BJ298" i="1"/>
  <c r="BI298" i="1"/>
  <c r="BH298" i="1"/>
  <c r="BL297" i="1"/>
  <c r="BJ297" i="1"/>
  <c r="BI297" i="1"/>
  <c r="BH297" i="1"/>
  <c r="BL296" i="1"/>
  <c r="BJ296" i="1"/>
  <c r="BI296" i="1"/>
  <c r="BH296" i="1"/>
  <c r="BL295" i="1"/>
  <c r="BJ295" i="1"/>
  <c r="BI295" i="1"/>
  <c r="BH295" i="1"/>
  <c r="BL294" i="1"/>
  <c r="BJ294" i="1"/>
  <c r="BI294" i="1"/>
  <c r="BH294" i="1"/>
  <c r="BL293" i="1"/>
  <c r="BJ293" i="1"/>
  <c r="BI293" i="1"/>
  <c r="BH293" i="1"/>
  <c r="BL292" i="1"/>
  <c r="BJ292" i="1"/>
  <c r="BI292" i="1"/>
  <c r="BH292" i="1"/>
  <c r="BL291" i="1"/>
  <c r="BJ291" i="1"/>
  <c r="BH291" i="1"/>
  <c r="BI291" i="1"/>
  <c r="BL290" i="1"/>
  <c r="BJ290" i="1"/>
  <c r="BI290" i="1"/>
  <c r="BH290" i="1"/>
  <c r="BL289" i="1"/>
  <c r="BJ289" i="1"/>
  <c r="BI289" i="1"/>
  <c r="BH289" i="1"/>
  <c r="BL288" i="1"/>
  <c r="BJ288" i="1"/>
  <c r="BI288" i="1"/>
  <c r="BH288" i="1"/>
  <c r="BL287" i="1"/>
  <c r="BJ287" i="1"/>
  <c r="BI287" i="1"/>
  <c r="BH287" i="1"/>
  <c r="BL286" i="1"/>
  <c r="BJ286" i="1"/>
  <c r="BI286" i="1"/>
  <c r="BH286" i="1"/>
  <c r="BJ285" i="1"/>
  <c r="BL285" i="1"/>
  <c r="BI285" i="1"/>
  <c r="BH285" i="1"/>
  <c r="BL284" i="1"/>
  <c r="BJ284" i="1"/>
  <c r="BH284" i="1"/>
  <c r="BI284" i="1"/>
  <c r="BL283" i="1"/>
  <c r="BJ283" i="1"/>
  <c r="BH283" i="1"/>
  <c r="BI283" i="1"/>
  <c r="BL282" i="1"/>
  <c r="BJ282" i="1"/>
  <c r="BI282" i="1"/>
  <c r="BH282" i="1"/>
  <c r="BL281" i="1"/>
  <c r="BJ281" i="1"/>
  <c r="BI281" i="1"/>
  <c r="BH281" i="1"/>
  <c r="BL280" i="1"/>
  <c r="BJ280" i="1"/>
  <c r="BI280" i="1"/>
  <c r="BH280" i="1"/>
  <c r="BL279" i="1"/>
  <c r="BJ279" i="1"/>
  <c r="BI279" i="1"/>
  <c r="BH279" i="1"/>
  <c r="BL278" i="1"/>
  <c r="BJ278" i="1"/>
  <c r="BI278" i="1"/>
  <c r="BH278" i="1"/>
  <c r="BL277" i="1"/>
  <c r="BJ277" i="1"/>
  <c r="BI277" i="1"/>
  <c r="BH277" i="1"/>
  <c r="BJ276" i="1"/>
  <c r="BL276" i="1"/>
  <c r="BH276" i="1"/>
  <c r="BI276" i="1"/>
  <c r="BL275" i="1"/>
  <c r="BJ275" i="1"/>
  <c r="BI275" i="1"/>
  <c r="BH275" i="1"/>
  <c r="BL274" i="1"/>
  <c r="BJ274" i="1"/>
  <c r="BI274" i="1"/>
  <c r="BH274" i="1"/>
  <c r="BL273" i="1"/>
  <c r="BJ273" i="1"/>
  <c r="BH273" i="1"/>
  <c r="BI273" i="1"/>
  <c r="BL272" i="1"/>
  <c r="BJ272" i="1"/>
  <c r="BH272" i="1"/>
  <c r="BI272" i="1"/>
  <c r="BJ271" i="1"/>
  <c r="BL271" i="1"/>
  <c r="BI271" i="1"/>
  <c r="BH271" i="1"/>
  <c r="BL270" i="1"/>
  <c r="BJ270" i="1"/>
  <c r="BI270" i="1"/>
  <c r="BH270" i="1"/>
  <c r="BL269" i="1"/>
  <c r="BJ269" i="1"/>
  <c r="BH269" i="1"/>
  <c r="BI269" i="1"/>
  <c r="BL268" i="1"/>
  <c r="BJ268" i="1"/>
  <c r="BI268" i="1"/>
  <c r="BH268" i="1"/>
  <c r="BL267" i="1"/>
  <c r="BJ267" i="1"/>
  <c r="BI267" i="1"/>
  <c r="BH267" i="1"/>
  <c r="BL266" i="1"/>
  <c r="BJ266" i="1"/>
  <c r="BH266" i="1"/>
  <c r="BI266" i="1"/>
  <c r="BL265" i="1"/>
  <c r="BJ265" i="1"/>
  <c r="BI265" i="1"/>
  <c r="BH265" i="1"/>
  <c r="BL264" i="1"/>
  <c r="BJ264" i="1"/>
  <c r="BI264" i="1"/>
  <c r="BH264" i="1"/>
  <c r="BL263" i="1"/>
  <c r="BJ263" i="1"/>
  <c r="BI263" i="1"/>
  <c r="BH263" i="1"/>
  <c r="BJ262" i="1"/>
  <c r="BL262" i="1"/>
  <c r="BH262" i="1"/>
  <c r="BI262" i="1"/>
  <c r="BJ261" i="1"/>
  <c r="BL261" i="1"/>
  <c r="BI261" i="1"/>
  <c r="BH261" i="1"/>
  <c r="BJ260" i="1"/>
  <c r="BL260" i="1"/>
  <c r="BH260" i="1"/>
  <c r="BI260" i="1"/>
  <c r="BL259" i="1"/>
  <c r="BJ259" i="1"/>
  <c r="BI259" i="1"/>
  <c r="BH259" i="1"/>
  <c r="BL258" i="1"/>
  <c r="BJ258" i="1"/>
  <c r="BI258" i="1"/>
  <c r="BH258" i="1"/>
  <c r="BL257" i="1"/>
  <c r="BJ257" i="1"/>
  <c r="BI257" i="1"/>
  <c r="BH257" i="1"/>
  <c r="BL256" i="1"/>
  <c r="BJ256" i="1"/>
  <c r="BH256" i="1"/>
  <c r="BI256" i="1"/>
  <c r="BJ255" i="1"/>
  <c r="BL255" i="1"/>
  <c r="BI255" i="1"/>
  <c r="BH255" i="1"/>
  <c r="BL254" i="1"/>
  <c r="BJ254" i="1"/>
  <c r="BI254" i="1"/>
  <c r="BH254" i="1"/>
  <c r="BJ253" i="1"/>
  <c r="BL253" i="1"/>
  <c r="BI253" i="1"/>
  <c r="BH253" i="1"/>
  <c r="BL252" i="1"/>
  <c r="BJ252" i="1"/>
  <c r="BH252" i="1"/>
  <c r="BI252" i="1"/>
  <c r="BJ251" i="1"/>
  <c r="BL251" i="1"/>
  <c r="BH251" i="1"/>
  <c r="BI251" i="1"/>
  <c r="BL250" i="1"/>
  <c r="BJ250" i="1"/>
  <c r="BH250" i="1"/>
  <c r="BI250" i="1"/>
  <c r="BJ249" i="1"/>
  <c r="BL249" i="1"/>
  <c r="BH249" i="1"/>
  <c r="BI249" i="1"/>
  <c r="BL248" i="1"/>
  <c r="BJ248" i="1"/>
  <c r="BH248" i="1"/>
  <c r="BI248" i="1"/>
  <c r="BL247" i="1"/>
  <c r="BJ247" i="1"/>
  <c r="BH247" i="1"/>
  <c r="BI247" i="1"/>
  <c r="BJ246" i="1"/>
  <c r="BL246" i="1"/>
  <c r="BI246" i="1"/>
  <c r="BH246" i="1"/>
  <c r="BL245" i="1"/>
  <c r="BJ245" i="1"/>
  <c r="BI245" i="1"/>
  <c r="BH245" i="1"/>
  <c r="BJ244" i="1"/>
  <c r="BL244" i="1"/>
  <c r="BI244" i="1"/>
  <c r="BH244" i="1"/>
  <c r="BJ243" i="1"/>
  <c r="BL243" i="1"/>
  <c r="BH243" i="1"/>
  <c r="BI243" i="1"/>
  <c r="BJ242" i="1"/>
  <c r="BL242" i="1"/>
  <c r="BI242" i="1"/>
  <c r="BH242" i="1"/>
  <c r="BL241" i="1"/>
  <c r="BJ241" i="1"/>
  <c r="BI241" i="1"/>
  <c r="BH241" i="1"/>
  <c r="BJ240" i="1"/>
  <c r="BL240" i="1"/>
  <c r="BH240" i="1"/>
  <c r="BI240" i="1"/>
  <c r="BJ239" i="1"/>
  <c r="BL239" i="1"/>
  <c r="BH239" i="1"/>
  <c r="BI239" i="1"/>
  <c r="BJ238" i="1"/>
  <c r="BL238" i="1"/>
  <c r="BH238" i="1"/>
  <c r="BI238" i="1"/>
  <c r="BJ237" i="1"/>
  <c r="BL237" i="1"/>
  <c r="BI237" i="1"/>
  <c r="BH237" i="1"/>
  <c r="BL236" i="1"/>
  <c r="BJ236" i="1"/>
  <c r="BI236" i="1"/>
  <c r="BH236" i="1"/>
  <c r="BL235" i="1"/>
  <c r="BJ235" i="1"/>
  <c r="BH235" i="1"/>
  <c r="BI235" i="1"/>
  <c r="BJ234" i="1"/>
  <c r="BL234" i="1"/>
  <c r="BI234" i="1"/>
  <c r="BH234" i="1"/>
  <c r="BJ233" i="1"/>
  <c r="BL233" i="1"/>
  <c r="BH233" i="1"/>
  <c r="BI233" i="1"/>
  <c r="BL232" i="1"/>
  <c r="BJ232" i="1"/>
  <c r="BI232" i="1"/>
  <c r="BH232" i="1"/>
  <c r="BL231" i="1"/>
  <c r="BJ231" i="1"/>
  <c r="BH231" i="1"/>
  <c r="BI231" i="1"/>
  <c r="BJ230" i="1"/>
  <c r="BL230" i="1"/>
  <c r="BI230" i="1"/>
  <c r="BH230" i="1"/>
  <c r="BL229" i="1"/>
  <c r="BJ229" i="1"/>
  <c r="BI229" i="1"/>
  <c r="BH229" i="1"/>
  <c r="BL228" i="1"/>
  <c r="BJ228" i="1"/>
  <c r="BI228" i="1"/>
  <c r="BH228" i="1"/>
  <c r="BL227" i="1"/>
  <c r="BJ227" i="1"/>
  <c r="BI227" i="1"/>
  <c r="BH227" i="1"/>
  <c r="BJ226" i="1"/>
  <c r="BL226" i="1"/>
  <c r="BI226" i="1"/>
  <c r="BH226" i="1"/>
  <c r="BL225" i="1"/>
  <c r="BJ225" i="1"/>
  <c r="BH225" i="1"/>
  <c r="BI225" i="1"/>
  <c r="BL224" i="1"/>
  <c r="BJ224" i="1"/>
  <c r="BI224" i="1"/>
  <c r="BH224" i="1"/>
  <c r="BJ223" i="1"/>
  <c r="BL223" i="1"/>
  <c r="BI223" i="1"/>
  <c r="BH223" i="1"/>
  <c r="BJ222" i="1"/>
  <c r="BL222" i="1"/>
  <c r="BH222" i="1"/>
  <c r="BI222" i="1"/>
  <c r="BL221" i="1"/>
  <c r="BJ221" i="1"/>
  <c r="BH221" i="1"/>
  <c r="BI221" i="1"/>
  <c r="BL220" i="1"/>
  <c r="BJ220" i="1"/>
  <c r="BH220" i="1"/>
  <c r="BI220" i="1"/>
  <c r="BJ219" i="1"/>
  <c r="BL219" i="1"/>
  <c r="BI219" i="1"/>
  <c r="BH219" i="1"/>
  <c r="BL218" i="1"/>
  <c r="BJ218" i="1"/>
  <c r="BI218" i="1"/>
  <c r="BH218" i="1"/>
  <c r="BL217" i="1"/>
  <c r="BJ217" i="1"/>
  <c r="BH217" i="1"/>
  <c r="BI217" i="1"/>
  <c r="BL216" i="1"/>
  <c r="BJ216" i="1"/>
  <c r="BI216" i="1"/>
  <c r="BH216" i="1"/>
  <c r="BJ215" i="1"/>
  <c r="BL215" i="1"/>
  <c r="BH215" i="1"/>
  <c r="BI215" i="1"/>
  <c r="BJ214" i="1"/>
  <c r="BL214" i="1"/>
  <c r="BI214" i="1"/>
  <c r="BH214" i="1"/>
  <c r="BJ213" i="1"/>
  <c r="BL213" i="1"/>
  <c r="BI213" i="1"/>
  <c r="BH213" i="1"/>
  <c r="BL212" i="1"/>
  <c r="BJ212" i="1"/>
  <c r="BH212" i="1"/>
  <c r="BI212" i="1"/>
  <c r="BL211" i="1"/>
  <c r="BJ211" i="1"/>
  <c r="BH211" i="1"/>
  <c r="BI211" i="1"/>
  <c r="BJ210" i="1"/>
  <c r="BL210" i="1"/>
  <c r="BH210" i="1"/>
  <c r="BI210" i="1"/>
  <c r="BL209" i="1"/>
  <c r="BJ209" i="1"/>
  <c r="BI209" i="1"/>
  <c r="BH209" i="1"/>
  <c r="BL208" i="1"/>
  <c r="BJ208" i="1"/>
  <c r="BH208" i="1"/>
  <c r="BI208" i="1"/>
  <c r="BL207" i="1"/>
  <c r="BJ207" i="1"/>
  <c r="BH207" i="1"/>
  <c r="BI207" i="1"/>
  <c r="BJ206" i="1"/>
  <c r="BL206" i="1"/>
  <c r="BI206" i="1"/>
  <c r="BH206" i="1"/>
  <c r="BL205" i="1"/>
  <c r="BJ205" i="1"/>
  <c r="BI205" i="1"/>
  <c r="BH205" i="1"/>
  <c r="BJ204" i="1"/>
  <c r="BL204" i="1"/>
  <c r="BH204" i="1"/>
  <c r="BI204" i="1"/>
  <c r="BL203" i="1"/>
  <c r="BJ203" i="1"/>
  <c r="BI203" i="1"/>
  <c r="BH203" i="1"/>
  <c r="BJ202" i="1"/>
  <c r="BL202" i="1"/>
  <c r="BH202" i="1"/>
  <c r="BI202" i="1"/>
  <c r="BL201" i="1"/>
  <c r="BJ201" i="1"/>
  <c r="BI201" i="1"/>
  <c r="BH201" i="1"/>
  <c r="BL200" i="1"/>
  <c r="BJ200" i="1"/>
  <c r="BI200" i="1"/>
  <c r="BH200" i="1"/>
  <c r="BL199" i="1"/>
  <c r="BJ199" i="1"/>
  <c r="BH199" i="1"/>
  <c r="BI199" i="1"/>
  <c r="BL198" i="1"/>
  <c r="BJ198" i="1"/>
  <c r="BH198" i="1"/>
  <c r="BI198" i="1"/>
  <c r="BJ197" i="1"/>
  <c r="BL197" i="1"/>
  <c r="BI197" i="1"/>
  <c r="BH197" i="1"/>
  <c r="BL196" i="1"/>
  <c r="BJ196" i="1"/>
  <c r="BH196" i="1"/>
  <c r="BI196" i="1"/>
  <c r="BL195" i="1"/>
  <c r="BJ195" i="1"/>
  <c r="BI195" i="1"/>
  <c r="BH195" i="1"/>
  <c r="BL194" i="1"/>
  <c r="BJ194" i="1"/>
  <c r="BH194" i="1"/>
  <c r="BI194" i="1"/>
  <c r="BL193" i="1"/>
  <c r="BJ193" i="1"/>
  <c r="BH193" i="1"/>
  <c r="BI193" i="1"/>
  <c r="BJ192" i="1"/>
  <c r="BL192" i="1"/>
  <c r="BI192" i="1"/>
  <c r="BH192" i="1"/>
  <c r="BJ191" i="1"/>
  <c r="BL191" i="1"/>
  <c r="BH191" i="1"/>
  <c r="BI191" i="1"/>
  <c r="BL190" i="1"/>
  <c r="BJ190" i="1"/>
  <c r="BI190" i="1"/>
  <c r="BH190" i="1"/>
  <c r="BJ189" i="1"/>
  <c r="BL189" i="1"/>
  <c r="BI189" i="1"/>
  <c r="BH189" i="1"/>
  <c r="BL188" i="1"/>
  <c r="BJ188" i="1"/>
  <c r="BI188" i="1"/>
  <c r="BH188" i="1"/>
  <c r="BJ187" i="1"/>
  <c r="BL187" i="1"/>
  <c r="BH187" i="1"/>
  <c r="BI187" i="1"/>
  <c r="BJ186" i="1"/>
  <c r="BL186" i="1"/>
  <c r="BI186" i="1"/>
  <c r="BH186" i="1"/>
  <c r="BL185" i="1"/>
  <c r="BJ185" i="1"/>
  <c r="BH185" i="1"/>
  <c r="BI185" i="1"/>
  <c r="BL184" i="1"/>
  <c r="BJ184" i="1"/>
  <c r="BH184" i="1"/>
  <c r="BI184" i="1"/>
  <c r="BJ183" i="1"/>
  <c r="BL183" i="1"/>
  <c r="BH183" i="1"/>
  <c r="BI183" i="1"/>
  <c r="BL182" i="1"/>
  <c r="BJ182" i="1"/>
  <c r="BI182" i="1"/>
  <c r="BH182" i="1"/>
  <c r="BL181" i="1"/>
  <c r="BJ181" i="1"/>
  <c r="BH181" i="1"/>
  <c r="BI181" i="1"/>
  <c r="BL180" i="1"/>
  <c r="BJ180" i="1"/>
  <c r="BI180" i="1"/>
  <c r="BH180" i="1"/>
  <c r="BL179" i="1"/>
  <c r="BJ179" i="1"/>
  <c r="BH179" i="1"/>
  <c r="BI179" i="1"/>
  <c r="BJ178" i="1"/>
  <c r="BL178" i="1"/>
  <c r="BH178" i="1"/>
  <c r="BI178" i="1"/>
  <c r="BL177" i="1"/>
  <c r="BJ177" i="1"/>
  <c r="BI177" i="1"/>
  <c r="BH177" i="1"/>
  <c r="BJ176" i="1"/>
  <c r="BL176" i="1"/>
  <c r="BH176" i="1"/>
  <c r="BI176" i="1"/>
  <c r="BL175" i="1"/>
  <c r="BJ175" i="1"/>
  <c r="BH175" i="1"/>
  <c r="BI175" i="1"/>
  <c r="BJ174" i="1"/>
  <c r="BL174" i="1"/>
  <c r="BI174" i="1"/>
  <c r="BH174" i="1"/>
  <c r="BL173" i="1"/>
  <c r="BJ173" i="1"/>
  <c r="BI173" i="1"/>
  <c r="BH173" i="1"/>
  <c r="BJ172" i="1"/>
  <c r="BL172" i="1"/>
  <c r="BH172" i="1"/>
  <c r="BI172" i="1"/>
  <c r="BL171" i="1"/>
  <c r="BJ171" i="1"/>
  <c r="BI171" i="1"/>
  <c r="BH171" i="1"/>
  <c r="BJ170" i="1"/>
  <c r="BL170" i="1"/>
  <c r="BI170" i="1"/>
  <c r="BH170" i="1"/>
  <c r="BJ169" i="1"/>
  <c r="BL169" i="1"/>
  <c r="BI169" i="1"/>
  <c r="BH169" i="1"/>
  <c r="BJ168" i="1"/>
  <c r="BL168" i="1"/>
  <c r="BI168" i="1"/>
  <c r="BH168" i="1"/>
  <c r="BL167" i="1"/>
  <c r="BJ167" i="1"/>
  <c r="BI167" i="1"/>
  <c r="BH167" i="1"/>
  <c r="BL166" i="1"/>
  <c r="BJ166" i="1"/>
  <c r="BH166" i="1"/>
  <c r="BI166" i="1"/>
  <c r="BL165" i="1"/>
  <c r="BJ165" i="1"/>
  <c r="BI165" i="1"/>
  <c r="BH165" i="1"/>
  <c r="BL164" i="1"/>
  <c r="BJ164" i="1"/>
  <c r="BH164" i="1"/>
  <c r="BI164" i="1"/>
  <c r="BL163" i="1"/>
  <c r="BJ163" i="1"/>
  <c r="BH163" i="1"/>
  <c r="BI163" i="1"/>
  <c r="BJ162" i="1"/>
  <c r="BL162" i="1"/>
  <c r="BI162" i="1"/>
  <c r="BH162" i="1"/>
  <c r="BL161" i="1"/>
  <c r="BJ161" i="1"/>
  <c r="BI161" i="1"/>
  <c r="BH161" i="1"/>
  <c r="BJ160" i="1"/>
  <c r="BL160" i="1"/>
  <c r="BH160" i="1"/>
  <c r="BI160" i="1"/>
  <c r="BJ159" i="1"/>
  <c r="BL159" i="1"/>
  <c r="BI159" i="1"/>
  <c r="BH159" i="1"/>
  <c r="BL158" i="1"/>
  <c r="BJ158" i="1"/>
  <c r="BH158" i="1"/>
  <c r="BI158" i="1"/>
  <c r="BL157" i="1"/>
  <c r="BJ157" i="1"/>
  <c r="BI157" i="1"/>
  <c r="BH157" i="1"/>
  <c r="BJ156" i="1"/>
  <c r="BL156" i="1"/>
  <c r="BI156" i="1"/>
  <c r="BH156" i="1"/>
  <c r="BJ155" i="1"/>
  <c r="BL155" i="1"/>
  <c r="BH155" i="1"/>
  <c r="BI155" i="1"/>
  <c r="BL154" i="1"/>
  <c r="BJ154" i="1"/>
  <c r="BI154" i="1"/>
  <c r="BH154" i="1"/>
  <c r="BL153" i="1"/>
  <c r="BJ153" i="1"/>
  <c r="BH153" i="1"/>
  <c r="BI153" i="1"/>
  <c r="BL152" i="1"/>
  <c r="BJ152" i="1"/>
  <c r="BI152" i="1"/>
  <c r="BH152" i="1"/>
  <c r="BJ151" i="1"/>
  <c r="BL151" i="1"/>
  <c r="BH151" i="1"/>
  <c r="BI151" i="1"/>
  <c r="BL150" i="1"/>
  <c r="BJ150" i="1"/>
  <c r="BI150" i="1"/>
  <c r="BH150" i="1"/>
  <c r="BL149" i="1"/>
  <c r="BJ149" i="1"/>
  <c r="BH149" i="1"/>
  <c r="BI149" i="1"/>
  <c r="BL148" i="1"/>
  <c r="BJ148" i="1"/>
  <c r="BI148" i="1"/>
  <c r="BH148" i="1"/>
  <c r="BL147" i="1"/>
  <c r="BJ147" i="1"/>
  <c r="BH147" i="1"/>
  <c r="BI147" i="1"/>
  <c r="BL146" i="1"/>
  <c r="BJ146" i="1"/>
  <c r="BI146" i="1"/>
  <c r="BH146" i="1"/>
  <c r="BL145" i="1"/>
  <c r="BJ145" i="1"/>
  <c r="BH145" i="1"/>
  <c r="BI145" i="1"/>
  <c r="BL144" i="1"/>
  <c r="BJ144" i="1"/>
  <c r="BI144" i="1"/>
  <c r="BH144" i="1"/>
  <c r="BJ143" i="1"/>
  <c r="BL143" i="1"/>
  <c r="BI143" i="1"/>
  <c r="BH143" i="1"/>
  <c r="BJ142" i="1"/>
  <c r="BL142" i="1"/>
  <c r="BH142" i="1"/>
  <c r="BI142" i="1"/>
  <c r="BL141" i="1"/>
  <c r="BJ141" i="1"/>
  <c r="BH141" i="1"/>
  <c r="BI141" i="1"/>
  <c r="BL140" i="1"/>
  <c r="BJ140" i="1"/>
  <c r="BH140" i="1"/>
  <c r="BI140" i="1"/>
  <c r="BL139" i="1"/>
  <c r="BJ139" i="1"/>
  <c r="BI139" i="1"/>
  <c r="BH139" i="1"/>
  <c r="BL138" i="1"/>
  <c r="BJ138" i="1"/>
  <c r="BI138" i="1"/>
  <c r="BH138" i="1"/>
  <c r="BL137" i="1"/>
  <c r="BJ137" i="1"/>
  <c r="BH137" i="1"/>
  <c r="BI137" i="1"/>
  <c r="BJ136" i="1"/>
  <c r="BL136" i="1"/>
  <c r="BI136" i="1"/>
  <c r="BH136" i="1"/>
  <c r="BJ135" i="1"/>
  <c r="BL135" i="1"/>
  <c r="BH135" i="1"/>
  <c r="BI135" i="1"/>
  <c r="BL134" i="1"/>
  <c r="BJ134" i="1"/>
  <c r="BI134" i="1"/>
  <c r="BH134" i="1"/>
  <c r="BL133" i="1"/>
  <c r="BJ133" i="1"/>
  <c r="BI133" i="1"/>
  <c r="BH133" i="1"/>
  <c r="BL132" i="1"/>
  <c r="BJ132" i="1"/>
  <c r="BI132" i="1"/>
  <c r="BH132" i="1"/>
  <c r="BJ131" i="1"/>
  <c r="BL131" i="1"/>
  <c r="BI131" i="1"/>
  <c r="BH131" i="1"/>
  <c r="BJ130" i="1"/>
  <c r="BL130" i="1"/>
  <c r="BH130" i="1"/>
  <c r="BI130" i="1"/>
  <c r="BL129" i="1"/>
  <c r="BJ129" i="1"/>
  <c r="BI129" i="1"/>
  <c r="BH129" i="1"/>
  <c r="BJ128" i="1"/>
  <c r="BL128" i="1"/>
  <c r="BH128" i="1"/>
  <c r="BI128" i="1"/>
  <c r="BL127" i="1"/>
  <c r="BJ127" i="1"/>
  <c r="BH127" i="1"/>
  <c r="BI127" i="1"/>
  <c r="BL126" i="1"/>
  <c r="BJ126" i="1"/>
  <c r="BH126" i="1"/>
  <c r="BI126" i="1"/>
  <c r="BJ125" i="1"/>
  <c r="BL125" i="1"/>
  <c r="BI125" i="1"/>
  <c r="BH125" i="1"/>
  <c r="BJ124" i="1"/>
  <c r="BL124" i="1"/>
  <c r="BI124" i="1"/>
  <c r="BH124" i="1"/>
  <c r="BJ123" i="1"/>
  <c r="BL123" i="1"/>
  <c r="BI123" i="1"/>
  <c r="BH123" i="1"/>
  <c r="BL122" i="1"/>
  <c r="BJ122" i="1"/>
  <c r="BI122" i="1"/>
  <c r="BH122" i="1"/>
  <c r="BJ121" i="1"/>
  <c r="BL121" i="1"/>
  <c r="BI121" i="1"/>
  <c r="BH121" i="1"/>
  <c r="BJ120" i="1"/>
  <c r="BL120" i="1"/>
  <c r="BH120" i="1"/>
  <c r="BI120" i="1"/>
  <c r="BL119" i="1"/>
  <c r="BJ119" i="1"/>
  <c r="BH119" i="1"/>
  <c r="BI119" i="1"/>
  <c r="BJ118" i="1"/>
  <c r="BL118" i="1"/>
  <c r="BI118" i="1"/>
  <c r="BH118" i="1"/>
  <c r="BL117" i="1"/>
  <c r="BJ117" i="1"/>
  <c r="BH117" i="1"/>
  <c r="BI117" i="1"/>
  <c r="BJ116" i="1"/>
  <c r="BL116" i="1"/>
  <c r="BI116" i="1"/>
  <c r="BH116" i="1"/>
  <c r="BL115" i="1"/>
  <c r="BJ115" i="1"/>
  <c r="BH115" i="1"/>
  <c r="BI115" i="1"/>
  <c r="BL114" i="1"/>
  <c r="BJ114" i="1"/>
  <c r="BH114" i="1"/>
  <c r="BI114" i="1"/>
  <c r="BJ113" i="1"/>
  <c r="BL113" i="1"/>
  <c r="BI113" i="1"/>
  <c r="BH113" i="1"/>
  <c r="BJ112" i="1"/>
  <c r="BL112" i="1"/>
  <c r="BH112" i="1"/>
  <c r="BI112" i="1"/>
  <c r="BL111" i="1"/>
  <c r="BJ111" i="1"/>
  <c r="BI111" i="1"/>
  <c r="BH111" i="1"/>
  <c r="BL110" i="1"/>
  <c r="BJ110" i="1"/>
  <c r="BH110" i="1"/>
  <c r="BI110" i="1"/>
  <c r="BL109" i="1"/>
  <c r="BJ109" i="1"/>
  <c r="BH109" i="1"/>
  <c r="BI109" i="1"/>
  <c r="BL108" i="1"/>
  <c r="BJ108" i="1"/>
  <c r="BH108" i="1"/>
  <c r="BI108" i="1"/>
  <c r="BJ107" i="1"/>
  <c r="BL107" i="1"/>
  <c r="BI107" i="1"/>
  <c r="BH107" i="1"/>
  <c r="BL106" i="1"/>
  <c r="BJ106" i="1"/>
  <c r="BH106" i="1"/>
  <c r="BI106" i="1"/>
  <c r="BL105" i="1"/>
  <c r="BJ105" i="1"/>
  <c r="BI105" i="1"/>
  <c r="BH105" i="1"/>
  <c r="BL104" i="1"/>
  <c r="BJ104" i="1"/>
  <c r="BH104" i="1"/>
  <c r="BI104" i="1"/>
  <c r="BL103" i="1"/>
  <c r="BJ103" i="1"/>
  <c r="BI103" i="1"/>
  <c r="BH103" i="1"/>
  <c r="BJ102" i="1"/>
  <c r="BL102" i="1"/>
  <c r="BH102" i="1"/>
  <c r="BI102" i="1"/>
  <c r="BL101" i="1"/>
  <c r="BJ101" i="1"/>
  <c r="BI101" i="1"/>
  <c r="BH101" i="1"/>
  <c r="BJ100" i="1"/>
  <c r="BL100" i="1"/>
  <c r="BH100" i="1"/>
  <c r="BI100" i="1"/>
  <c r="BJ99" i="1"/>
  <c r="BL99" i="1"/>
  <c r="BH99" i="1"/>
  <c r="BI99" i="1"/>
  <c r="BL98" i="1"/>
  <c r="BJ98" i="1"/>
  <c r="BH98" i="1"/>
  <c r="BI98" i="1"/>
  <c r="BJ97" i="1"/>
  <c r="BL97" i="1"/>
  <c r="BI97" i="1"/>
  <c r="BH97" i="1"/>
  <c r="BL96" i="1"/>
  <c r="BJ96" i="1"/>
  <c r="BH96" i="1"/>
  <c r="BI96" i="1"/>
  <c r="BL95" i="1"/>
  <c r="BJ95" i="1"/>
  <c r="BI95" i="1"/>
  <c r="BH95" i="1"/>
  <c r="BL94" i="1"/>
  <c r="BJ94" i="1"/>
  <c r="BI94" i="1"/>
  <c r="BH94" i="1"/>
  <c r="BJ93" i="1"/>
  <c r="BL93" i="1"/>
  <c r="BH93" i="1"/>
  <c r="BI93" i="1"/>
  <c r="BJ92" i="1"/>
  <c r="BL92" i="1"/>
  <c r="BI92" i="1"/>
  <c r="BH92" i="1"/>
  <c r="BJ91" i="1"/>
  <c r="BL91" i="1"/>
  <c r="BI91" i="1"/>
  <c r="BH91" i="1"/>
  <c r="BJ90" i="1"/>
  <c r="BL90" i="1"/>
  <c r="BH90" i="1"/>
  <c r="BI90" i="1"/>
  <c r="BL89" i="1"/>
  <c r="BJ89" i="1"/>
  <c r="BJ88" i="1"/>
  <c r="BL88" i="1"/>
  <c r="BI88" i="1"/>
  <c r="BH88" i="1"/>
  <c r="BJ87" i="1"/>
  <c r="BL87" i="1"/>
  <c r="BH87" i="1"/>
  <c r="BI87" i="1"/>
  <c r="BL86" i="1"/>
  <c r="BJ86" i="1"/>
  <c r="BI86" i="1"/>
  <c r="BH86" i="1"/>
  <c r="BL85" i="1"/>
  <c r="BJ85" i="1"/>
  <c r="BH85" i="1"/>
  <c r="BI85" i="1"/>
  <c r="BL84" i="1"/>
  <c r="BJ84" i="1"/>
  <c r="BI84" i="1"/>
  <c r="BH84" i="1"/>
  <c r="BL83" i="1"/>
  <c r="BJ83" i="1"/>
  <c r="BH83" i="1"/>
  <c r="BI83" i="1"/>
  <c r="BL82" i="1"/>
  <c r="BJ82" i="1"/>
  <c r="BI82" i="1"/>
  <c r="BH82" i="1"/>
  <c r="BL81" i="1"/>
  <c r="BJ81" i="1"/>
  <c r="BI81" i="1"/>
  <c r="BH81" i="1"/>
  <c r="BL80" i="1"/>
  <c r="BJ80" i="1"/>
  <c r="BI80" i="1"/>
  <c r="BH80" i="1"/>
  <c r="BL79" i="1"/>
  <c r="BJ79" i="1"/>
  <c r="BJ78" i="1"/>
  <c r="BL78" i="1"/>
  <c r="BI78" i="1"/>
  <c r="BH78" i="1"/>
  <c r="BL77" i="1"/>
  <c r="BJ77" i="1"/>
  <c r="BI77" i="1"/>
  <c r="BH77" i="1"/>
  <c r="BL76" i="1"/>
  <c r="BJ76" i="1"/>
  <c r="BI76" i="1"/>
  <c r="BH76" i="1"/>
  <c r="BL75" i="1"/>
  <c r="BJ75" i="1"/>
  <c r="BI75" i="1"/>
  <c r="BH75" i="1"/>
  <c r="BL74" i="1"/>
  <c r="BJ74" i="1"/>
  <c r="BI74" i="1"/>
  <c r="BH74" i="1"/>
  <c r="BL73" i="1"/>
  <c r="BJ73" i="1"/>
  <c r="BI73" i="1"/>
  <c r="BH73" i="1"/>
  <c r="BL72" i="1"/>
  <c r="BJ72" i="1"/>
  <c r="BI72" i="1"/>
  <c r="BH72" i="1"/>
  <c r="BL71" i="1"/>
  <c r="BJ71" i="1"/>
  <c r="BI71" i="1"/>
  <c r="BH71" i="1"/>
  <c r="BL70" i="1"/>
  <c r="BJ70" i="1"/>
  <c r="BI70" i="1"/>
  <c r="BH70" i="1"/>
  <c r="BL69" i="1"/>
  <c r="BJ69" i="1"/>
  <c r="BI69" i="1"/>
  <c r="BH69" i="1"/>
  <c r="BL68" i="1"/>
  <c r="BJ68" i="1"/>
  <c r="BI68" i="1"/>
  <c r="BH68" i="1"/>
  <c r="BL67" i="1"/>
  <c r="BJ67" i="1"/>
  <c r="BI67" i="1"/>
  <c r="BH67" i="1"/>
  <c r="BL66" i="1"/>
  <c r="BJ66" i="1"/>
  <c r="BI66" i="1"/>
  <c r="BH66" i="1"/>
  <c r="BL65" i="1"/>
  <c r="BJ65" i="1"/>
  <c r="BI65" i="1"/>
  <c r="BH65" i="1"/>
  <c r="BL64" i="1"/>
  <c r="BJ64" i="1"/>
  <c r="BI64" i="1"/>
  <c r="BH64" i="1"/>
  <c r="BL63" i="1"/>
  <c r="BJ63" i="1"/>
  <c r="BI63" i="1"/>
  <c r="BH63" i="1"/>
  <c r="BL62" i="1"/>
  <c r="BJ62" i="1"/>
  <c r="BI62" i="1"/>
  <c r="BH62" i="1"/>
  <c r="BL61" i="1"/>
  <c r="BJ61" i="1"/>
  <c r="BI61" i="1"/>
  <c r="BH61" i="1"/>
  <c r="BL60" i="1"/>
  <c r="BJ60" i="1"/>
  <c r="BI60" i="1"/>
  <c r="BH60" i="1"/>
  <c r="BL59" i="1"/>
  <c r="BJ59" i="1"/>
  <c r="BI59" i="1"/>
  <c r="BH59" i="1"/>
  <c r="BL58" i="1"/>
  <c r="BJ58" i="1"/>
  <c r="BI58" i="1"/>
  <c r="BH58" i="1"/>
  <c r="BL57" i="1"/>
  <c r="BJ57" i="1"/>
  <c r="BH57" i="1"/>
  <c r="BI57" i="1"/>
  <c r="BL56" i="1"/>
  <c r="BJ56" i="1"/>
  <c r="BH56" i="1"/>
  <c r="BI56" i="1"/>
  <c r="BL55" i="1"/>
  <c r="BJ55" i="1"/>
  <c r="BI55" i="1"/>
  <c r="BH55" i="1"/>
  <c r="BL54" i="1"/>
  <c r="BJ54" i="1"/>
  <c r="BI54" i="1"/>
  <c r="BH54" i="1"/>
  <c r="BL53" i="1"/>
  <c r="BJ53" i="1"/>
  <c r="BI53" i="1"/>
  <c r="BH53" i="1"/>
  <c r="BL52" i="1"/>
  <c r="BJ52" i="1"/>
  <c r="BI52" i="1"/>
  <c r="BH52" i="1"/>
  <c r="BL51" i="1"/>
  <c r="BJ51" i="1"/>
  <c r="BI51" i="1"/>
  <c r="BH51" i="1"/>
  <c r="BJ50" i="1"/>
  <c r="BL50" i="1"/>
  <c r="BH50" i="1"/>
  <c r="BI50" i="1"/>
  <c r="BL49" i="1"/>
  <c r="BJ49" i="1"/>
  <c r="BH49" i="1"/>
  <c r="BI49" i="1"/>
  <c r="BJ48" i="1"/>
  <c r="BL48" i="1"/>
  <c r="BH48" i="1"/>
  <c r="BI48" i="1"/>
  <c r="BL47" i="1"/>
  <c r="BJ47" i="1"/>
  <c r="BI47" i="1"/>
  <c r="BH47" i="1"/>
  <c r="BL46" i="1"/>
  <c r="BJ46" i="1"/>
  <c r="BI46" i="1"/>
  <c r="BH46" i="1"/>
  <c r="BL45" i="1"/>
  <c r="BJ45" i="1"/>
  <c r="BI45" i="1"/>
  <c r="BH45" i="1"/>
  <c r="BL44" i="1"/>
  <c r="BJ44" i="1"/>
  <c r="BI44" i="1"/>
  <c r="BH44" i="1"/>
  <c r="BL43" i="1"/>
  <c r="BJ43" i="1"/>
  <c r="BH43" i="1"/>
  <c r="BI43" i="1"/>
  <c r="BJ42" i="1"/>
  <c r="BL42" i="1"/>
  <c r="BH42" i="1"/>
  <c r="BI42" i="1"/>
  <c r="BL41" i="1"/>
  <c r="BJ41" i="1"/>
  <c r="BH41" i="1"/>
  <c r="BI41" i="1"/>
  <c r="BL40" i="1"/>
  <c r="BJ40" i="1"/>
  <c r="BI40" i="1"/>
  <c r="BH40" i="1"/>
  <c r="BL39" i="1"/>
  <c r="BJ39" i="1"/>
  <c r="BH39" i="1"/>
  <c r="BI39" i="1"/>
  <c r="BL38" i="1"/>
  <c r="BJ38" i="1"/>
  <c r="BH38" i="1"/>
  <c r="BI38" i="1"/>
  <c r="BJ37" i="1"/>
  <c r="BL37" i="1"/>
  <c r="BI37" i="1"/>
  <c r="BH37" i="1"/>
  <c r="BJ36" i="1"/>
  <c r="BL36" i="1"/>
  <c r="BH36" i="1"/>
  <c r="BI36" i="1"/>
  <c r="BL35" i="1"/>
  <c r="BJ35" i="1"/>
  <c r="BH35" i="1"/>
  <c r="BI35" i="1"/>
  <c r="BL34" i="1"/>
  <c r="BJ34" i="1"/>
  <c r="BI34" i="1"/>
  <c r="BH34" i="1"/>
  <c r="BJ33" i="1"/>
  <c r="BL33" i="1"/>
  <c r="BI33" i="1"/>
  <c r="BH33" i="1"/>
  <c r="BL32" i="1"/>
  <c r="BJ32" i="1"/>
  <c r="BI32" i="1"/>
  <c r="BH32" i="1"/>
  <c r="BL31" i="1"/>
  <c r="BJ31" i="1"/>
  <c r="BI31" i="1"/>
  <c r="BH31" i="1"/>
  <c r="BL30" i="1"/>
  <c r="BJ30" i="1"/>
  <c r="BI30" i="1"/>
  <c r="BH30" i="1"/>
  <c r="BL29" i="1"/>
  <c r="BJ29" i="1"/>
  <c r="BH29" i="1"/>
  <c r="BI29" i="1"/>
  <c r="BJ28" i="1"/>
  <c r="BL28" i="1"/>
  <c r="BH28" i="1"/>
  <c r="BI28" i="1"/>
  <c r="BL27" i="1"/>
  <c r="BJ27" i="1"/>
  <c r="BI27" i="1"/>
  <c r="BH27" i="1"/>
  <c r="BL26" i="1"/>
  <c r="BJ26" i="1"/>
  <c r="BH26" i="1"/>
  <c r="BI26" i="1"/>
  <c r="BL25" i="1"/>
  <c r="BJ25" i="1"/>
  <c r="BI25" i="1"/>
  <c r="BH25" i="1"/>
  <c r="BJ24" i="1"/>
  <c r="BL24" i="1"/>
  <c r="BI24" i="1"/>
  <c r="BH24" i="1"/>
  <c r="BL23" i="1"/>
  <c r="BJ23" i="1"/>
  <c r="BI23" i="1"/>
  <c r="BH23" i="1"/>
  <c r="BJ22" i="1"/>
  <c r="BL22" i="1"/>
  <c r="BI22" i="1"/>
  <c r="BH22" i="1"/>
  <c r="BJ21" i="1"/>
  <c r="BL21" i="1"/>
  <c r="BI21" i="1"/>
  <c r="BH21" i="1"/>
  <c r="BL20" i="1"/>
  <c r="BJ20" i="1"/>
  <c r="BI20" i="1"/>
  <c r="BH20" i="1"/>
  <c r="BJ19" i="1"/>
  <c r="BL19" i="1"/>
  <c r="BI19" i="1"/>
  <c r="BH19" i="1"/>
  <c r="BJ18" i="1"/>
  <c r="BL18" i="1"/>
  <c r="BI18" i="1"/>
  <c r="BH18" i="1"/>
  <c r="BJ17" i="1"/>
  <c r="BL17" i="1"/>
  <c r="BI17" i="1"/>
  <c r="BH17" i="1"/>
  <c r="BL16" i="1"/>
  <c r="BJ16" i="1"/>
  <c r="BI16" i="1"/>
  <c r="BH16" i="1"/>
  <c r="BL15" i="1"/>
  <c r="BJ15" i="1"/>
  <c r="BI15" i="1"/>
  <c r="BH15" i="1"/>
  <c r="BL14" i="1"/>
  <c r="BJ14" i="1"/>
  <c r="BI14" i="1"/>
  <c r="BH14" i="1"/>
  <c r="BL13" i="1"/>
  <c r="BJ13" i="1"/>
  <c r="BI13" i="1"/>
  <c r="BH13" i="1"/>
  <c r="BL12" i="1"/>
  <c r="BJ12" i="1"/>
  <c r="BI12" i="1"/>
  <c r="BH12" i="1"/>
  <c r="BL11" i="1"/>
  <c r="BJ11" i="1"/>
  <c r="BI11" i="1"/>
  <c r="BH11" i="1"/>
  <c r="BL10" i="1"/>
  <c r="BJ10" i="1"/>
  <c r="BI10" i="1"/>
  <c r="BH10" i="1"/>
  <c r="BL9" i="1"/>
  <c r="BJ9" i="1"/>
  <c r="BI9" i="1"/>
  <c r="BH9" i="1"/>
  <c r="X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H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K3" authorId="0" shapeId="0" xr:uid="{00000000-0006-0000-0000-000003000000}">
      <text>
        <r>
          <rPr>
            <sz val="11"/>
            <color rgb="FF000000"/>
            <rFont val="Calibri"/>
            <family val="2"/>
            <charset val="1"/>
          </rPr>
          <t xml:space="preserve">Visibles al cliente
</t>
        </r>
      </text>
    </comment>
    <comment ref="R3" authorId="0" shapeId="0" xr:uid="{00000000-0006-0000-0000-000004000000}">
      <text>
        <r>
          <rPr>
            <sz val="11"/>
            <color rgb="FF000000"/>
            <rFont val="Calibri"/>
            <family val="2"/>
            <charset val="1"/>
          </rPr>
          <t>Visible sólo internamente</t>
        </r>
      </text>
    </comment>
    <comment ref="H4" authorId="0" shapeId="0" xr:uid="{00000000-0006-0000-0000-000005000000}">
      <text>
        <r>
          <rPr>
            <sz val="11"/>
            <color rgb="FF000000"/>
            <rFont val="Calibri"/>
            <family val="2"/>
            <charset val="1"/>
          </rPr>
          <t>Cotizador asignado</t>
        </r>
      </text>
    </comment>
    <comment ref="A7" authorId="1" shapeId="0" xr:uid="{00000000-0006-0000-0000-000006000000}">
      <text>
        <r>
          <rPr>
            <sz val="11"/>
            <color rgb="FF000000"/>
            <rFont val="Calibri"/>
            <family val="2"/>
            <charset val="1"/>
          </rPr>
          <t xml:space="preserve">V=archiva PN.
</t>
        </r>
        <r>
          <rPr>
            <sz val="11"/>
            <color rgb="FF000000"/>
            <rFont val="Calibri"/>
            <family val="2"/>
            <charset val="1"/>
          </rPr>
          <t>Vacío=no archivar. -(guión)=desarchivar.</t>
        </r>
      </text>
    </comment>
    <comment ref="B7" authorId="1" shapeId="0" xr:uid="{00000000-0006-0000-0000-000007000000}">
      <text>
        <r>
          <rPr>
            <sz val="11"/>
            <color rgb="FF000000"/>
            <rFont val="Calibri"/>
            <family val="2"/>
            <charset val="1"/>
          </rPr>
          <t xml:space="preserve">V=activa opt-in validación al primer recibo.
</t>
        </r>
        <r>
          <rPr>
            <sz val="11"/>
            <color rgb="FF000000"/>
            <rFont val="Calibri"/>
            <family val="2"/>
            <charset val="1"/>
          </rPr>
          <t>processNodeId:231176.</t>
        </r>
      </text>
    </comment>
    <comment ref="C7" authorId="1" shapeId="0" xr:uid="{00000000-0006-0000-0000-000008000000}">
      <text>
        <r>
          <rPr>
            <sz val="11"/>
            <color rgb="FF000000"/>
            <rFont val="Calibri"/>
            <family val="2"/>
            <charset val="1"/>
          </rPr>
          <t xml:space="preserve">V=crea PN NUEVO aunque exista uno con el mismo nombre.
</t>
        </r>
        <r>
          <rPr>
            <sz val="11"/>
            <color rgb="FF000000"/>
            <rFont val="Calibri"/>
            <family val="2"/>
            <charset val="1"/>
          </rPr>
          <t xml:space="preserve">Política: un PN se considera "existente" solo si coincide
</t>
        </r>
        <r>
          <rPr>
            <sz val="11"/>
            <color rgb="FF000000"/>
            <rFont val="Calibri"/>
            <family val="2"/>
            <charset val="1"/>
          </rPr>
          <t xml:space="preserve">Nombre + Cliente + Acabado (labels) + Spec.
</t>
        </r>
        <r>
          <rPr>
            <sz val="11"/>
            <color rgb="FF000000"/>
            <rFont val="Calibri"/>
            <family val="2"/>
            <charset val="1"/>
          </rPr>
          <t xml:space="preserve">Si alguno difiere, se recomienda forzar duplicado.
</t>
        </r>
        <r>
          <rPr>
            <sz val="11"/>
            <color rgb="FF000000"/>
            <rFont val="Calibri"/>
            <family val="2"/>
            <charset val="1"/>
          </rPr>
          <t>El preview muestra discrepancias.</t>
        </r>
      </text>
    </comment>
    <comment ref="D7" authorId="1" shapeId="0" xr:uid="{99D353FB-244D-C74C-AB28-B300FE597805}">
      <text>
        <r>
          <rPr>
            <sz val="11"/>
            <color rgb="FF000000"/>
            <rFont val="Calibri"/>
            <family val="2"/>
            <charset val="1"/>
          </rPr>
          <t xml:space="preserve">V=archiva el PN viejo al forzar duplicado.
</t>
        </r>
        <r>
          <rPr>
            <sz val="11"/>
            <color rgb="FF000000"/>
            <rFont val="Calibri"/>
            <family val="2"/>
            <charset val="1"/>
          </rPr>
          <t>Solo aplica si "Forzar duplicar"=Sí.</t>
        </r>
      </text>
    </comment>
    <comment ref="F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G7" authorId="1" shapeId="0" xr:uid="{00000000-0006-0000-0000-00000B000000}">
      <text>
        <r>
          <rPr>
            <sz val="11"/>
            <color rgb="FF000000"/>
            <rFont val="Calibri"/>
            <family val="2"/>
            <charset val="1"/>
          </rPr>
          <t>REQUERIDO. Nombre exacto del PN.</t>
        </r>
      </text>
    </comment>
    <comment ref="H7" authorId="1" shapeId="0" xr:uid="{00000000-0006-0000-0000-00000C000000}">
      <text>
        <r>
          <rPr>
            <sz val="11"/>
            <color rgb="FF000000"/>
            <rFont val="Calibri"/>
            <family val="2"/>
            <charset val="1"/>
          </rPr>
          <t>descriptionMarkdown. Acepta markdown.</t>
        </r>
      </text>
    </comment>
    <comment ref="I7" authorId="1" shapeId="0" xr:uid="{00000000-0006-0000-0000-00000D000000}">
      <text>
        <r>
          <rPr>
            <sz val="11"/>
            <color rgb="FF000000"/>
            <rFont val="Calibri"/>
            <family val="2"/>
            <charset val="1"/>
          </rPr>
          <t>Comas separan múltiples. DatosAdicionalesNP.NumeroParteAlterno.</t>
        </r>
      </text>
    </comment>
    <comment ref="J7" authorId="1" shapeId="0" xr:uid="{00000000-0006-0000-0000-00000E000000}">
      <text>
        <r>
          <rPr>
            <sz val="11"/>
            <color rgb="FF000000"/>
            <rFont val="Calibri"/>
            <family val="2"/>
            <charset val="1"/>
          </rPr>
          <t>Part Number Group. Debe existir en SH.</t>
        </r>
      </text>
    </comment>
    <comment ref="K7" authorId="1" shapeId="0" xr:uid="{00000000-0006-0000-0000-00000F000000}">
      <text>
        <r>
          <rPr>
            <sz val="11"/>
            <color rgb="FF000000"/>
            <rFont val="Calibri"/>
            <family val="2"/>
            <charset val="1"/>
          </rPr>
          <t>REQUERIDO. quantityPerParent.</t>
        </r>
      </text>
    </comment>
    <comment ref="L7" authorId="1" shapeId="0" xr:uid="{00000000-0006-0000-0000-000010000000}">
      <text>
        <r>
          <rPr>
            <sz val="11"/>
            <color theme="1"/>
            <rFont val="Calibri"/>
            <family val="2"/>
            <charset val="1"/>
          </rPr>
          <t>Precio unitario. 0 es válido.</t>
        </r>
      </text>
    </comment>
    <comment ref="M7" authorId="1" shapeId="0" xr:uid="{00000000-0006-0000-0000-000011000000}">
      <text>
        <r>
          <rPr>
            <sz val="11"/>
            <color rgb="FF000000"/>
            <rFont val="Calibri"/>
            <family val="2"/>
            <charset val="1"/>
          </rPr>
          <t>Vacío=PZA. Opciones: PZA,KGM,CMK,FTK,LM,LBR,LO.</t>
        </r>
      </text>
    </comment>
    <comment ref="N7" authorId="1" shapeId="0" xr:uid="{00000000-0006-0000-0000-000012000000}">
      <text>
        <r>
          <rPr>
            <sz val="11"/>
            <color rgb="FF000000"/>
            <rFont val="Calibri"/>
            <family val="2"/>
            <charset val="1"/>
          </rPr>
          <t>USD ó MXN, USD por default</t>
        </r>
      </text>
    </comment>
    <comment ref="O7" authorId="1" shapeId="0" xr:uid="{00000000-0006-0000-0000-000013000000}">
      <text>
        <r>
          <rPr>
            <sz val="11"/>
            <color theme="1"/>
            <rFont val="Calibri"/>
            <family val="2"/>
            <charset val="1"/>
          </rPr>
          <t>Sí=marca este precio como default del PN.</t>
        </r>
      </text>
    </comment>
    <comment ref="P7" authorId="1" shapeId="0" xr:uid="{00000000-0006-0000-0000-000027000000}">
      <text>
        <r>
          <rPr>
            <sz val="11"/>
            <color rgb="FF000000"/>
            <rFont val="Calibri"/>
            <family val="2"/>
            <charset val="1"/>
          </rPr>
          <t>Dim Custom Value. Pendiente IDs.</t>
        </r>
      </text>
    </comment>
    <comment ref="Q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R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W7" authorId="1" shapeId="0" xr:uid="{00000000-0006-0000-0000-000016000000}">
      <text>
        <r>
          <rPr>
            <sz val="11"/>
            <color rgb="FF000000"/>
            <rFont val="Calibri"/>
            <family val="2"/>
            <charset val="1"/>
          </rPr>
          <t>Override del proceso default. Vacío=usa header.</t>
        </r>
      </text>
    </comment>
    <comment ref="X7" authorId="1" shapeId="0" xr:uid="{00000000-0006-0000-0000-000017000000}">
      <text>
        <r>
          <rPr>
            <sz val="11"/>
            <color rgb="FF000000"/>
            <rFont val="Calibri"/>
            <family val="2"/>
            <charset val="1"/>
          </rPr>
          <t>Producto contable. Agregar: SH &gt; Products.</t>
        </r>
      </text>
    </comment>
    <comment ref="AJ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AK7" authorId="1" shapeId="0" xr:uid="{00000000-0006-0000-0000-000019000000}">
      <text>
        <r>
          <rPr>
            <sz val="11"/>
            <color theme="1"/>
            <rFont val="Calibri"/>
            <family val="2"/>
            <charset val="1"/>
          </rPr>
          <t>Espesor objetivo en µm.
Se calcula auto del punto medio del rango.
Puedes escribir encima para override.
Alimenta Cálculo MP.</t>
        </r>
      </text>
    </comment>
    <comment ref="AL7" authorId="1" shapeId="0" xr:uid="{00000000-0006-0000-0000-00001A000000}">
      <text>
        <r>
          <rPr>
            <sz val="11"/>
            <color rgb="FF000000"/>
            <rFont val="Calibri"/>
            <family val="2"/>
            <charset val="1"/>
          </rPr>
          <t>Segunda spec.</t>
        </r>
      </text>
    </comment>
    <comment ref="AM7" authorId="1" shapeId="0" xr:uid="{00000000-0006-0000-0000-00001B000000}">
      <text>
        <r>
          <rPr>
            <sz val="11"/>
            <color theme="1"/>
            <rFont val="Calibri"/>
            <family val="2"/>
            <charset val="1"/>
          </rPr>
          <t>Idem Spec 1.</t>
        </r>
      </text>
    </comment>
    <comment ref="AN7" authorId="1" shapeId="0" xr:uid="{00000000-0006-0000-0000-00001C000000}">
      <text>
        <r>
          <rPr>
            <sz val="11"/>
            <color rgb="FF000000"/>
            <rFont val="Calibri"/>
            <family val="2"/>
            <charset val="1"/>
          </rPr>
          <t>kg/pza. Auto genera LBR.</t>
        </r>
      </text>
    </comment>
    <comment ref="AO7" authorId="1" shapeId="0" xr:uid="{00000000-0006-0000-0000-00001D000000}">
      <text>
        <r>
          <rPr>
            <sz val="11"/>
            <color theme="1"/>
            <rFont val="Calibri"/>
            <family val="2"/>
            <charset val="1"/>
          </rPr>
          <t>cm²/pza. Auto genera FTK.
Usado en Cálculo MP para predictive metals.</t>
        </r>
      </text>
    </comment>
    <comment ref="AP7" authorId="1" shapeId="0" xr:uid="{00000000-0006-0000-0000-00001E000000}">
      <text>
        <r>
          <rPr>
            <sz val="11"/>
            <color theme="1"/>
            <rFont val="Calibri"/>
            <family val="2"/>
            <charset val="1"/>
          </rPr>
          <t>m/pza. Auto genera FOT.
Usado en Cálculo MP para epóxicas.</t>
        </r>
      </text>
    </comment>
    <comment ref="AQ7" authorId="1" shapeId="0" xr:uid="{00000000-0006-0000-0000-00001F000000}">
      <text>
        <r>
          <rPr>
            <sz val="11"/>
            <color theme="1"/>
            <rFont val="Calibri"/>
            <family val="2"/>
            <charset val="1"/>
          </rPr>
          <t>Genera LO (1/n). Si se deja en blanco, no aplicará cargo de lote mínimo.</t>
        </r>
      </text>
    </comment>
    <comment ref="AR7" authorId="1" shapeId="0" xr:uid="{00000000-0006-0000-0000-000020000000}">
      <text>
        <r>
          <rPr>
            <sz val="11"/>
            <color rgb="FF000000"/>
            <rFont val="Calibri"/>
            <family val="2"/>
            <charset val="1"/>
          </rPr>
          <t>Solo FlyBar/Barril. Agregar: SH &gt; Rack Types.</t>
        </r>
      </text>
    </comment>
    <comment ref="AT7" authorId="1" shapeId="0" xr:uid="{00000000-0006-0000-0000-000021000000}">
      <text>
        <r>
          <rPr>
            <sz val="11"/>
            <color theme="1"/>
            <rFont val="Calibri"/>
            <family val="2"/>
            <charset val="1"/>
          </rPr>
          <t>Cualquier tipo.</t>
        </r>
      </text>
    </comment>
    <comment ref="AW7" authorId="1" shapeId="0" xr:uid="{00000000-0006-0000-0000-000022000000}">
      <text>
        <r>
          <rPr>
            <sz val="11"/>
            <color theme="1"/>
            <rFont val="Calibri"/>
            <family val="2"/>
            <charset val="1"/>
          </rPr>
          <t>Geom Genérica 831. DimTypeId:1284.</t>
        </r>
      </text>
    </comment>
    <comment ref="AX7" authorId="1" shapeId="0" xr:uid="{00000000-0006-0000-0000-000023000000}">
      <text>
        <r>
          <rPr>
            <sz val="11"/>
            <color theme="1"/>
            <rFont val="Calibri"/>
            <family val="2"/>
            <charset val="1"/>
          </rPr>
          <t>DimTypeId:1011.</t>
        </r>
      </text>
    </comment>
    <comment ref="AY7" authorId="1" shapeId="0" xr:uid="{00000000-0006-0000-0000-000024000000}">
      <text>
        <r>
          <rPr>
            <sz val="11"/>
            <color theme="1"/>
            <rFont val="Calibri"/>
            <family val="2"/>
            <charset val="1"/>
          </rPr>
          <t>DimTypeId:1012.</t>
        </r>
      </text>
    </comment>
    <comment ref="AZ7" authorId="1" shapeId="0" xr:uid="{00000000-0006-0000-0000-000025000000}">
      <text>
        <r>
          <rPr>
            <sz val="11"/>
            <color theme="1"/>
            <rFont val="Calibri"/>
            <family val="2"/>
            <charset val="1"/>
          </rPr>
          <t>DimTypeId:1013.</t>
        </r>
      </text>
    </comment>
    <comment ref="BA7" authorId="1" shapeId="0" xr:uid="{00000000-0006-0000-0000-000026000000}">
      <text>
        <r>
          <rPr>
            <sz val="11"/>
            <color rgb="FF000000"/>
            <rFont val="Calibri"/>
            <family val="2"/>
            <charset val="1"/>
          </rPr>
          <t>DimTypeId:1014.</t>
        </r>
      </text>
    </comment>
    <comment ref="BB7" authorId="1" shapeId="0" xr:uid="{00000000-0006-0000-0000-000028000000}">
      <text>
        <r>
          <rPr>
            <sz val="11"/>
            <color rgb="FF000000"/>
            <rFont val="Calibri"/>
            <family val="2"/>
            <charset val="1"/>
          </rPr>
          <t>Dim Custom Value. Pendiente IDs.</t>
        </r>
      </text>
    </comment>
    <comment ref="BC7" authorId="1" shapeId="0" xr:uid="{00000000-0006-0000-0000-000029000000}">
      <text>
        <r>
          <rPr>
            <sz val="11"/>
            <color rgb="FF000000"/>
            <rFont val="Calibri"/>
            <family val="2"/>
            <charset val="1"/>
          </rPr>
          <t xml:space="preserve">Default: Servicios de enchapado.
</t>
        </r>
        <r>
          <rPr>
            <sz val="11"/>
            <color rgb="FF000000"/>
            <rFont val="Calibri"/>
            <family val="2"/>
            <charset val="1"/>
          </rPr>
          <t>DatosFacturacion.CodigoSAT.</t>
        </r>
      </text>
    </comment>
    <comment ref="BD7" authorId="1" shapeId="0" xr:uid="{00000000-0006-0000-0000-00002A000000}">
      <text>
        <r>
          <rPr>
            <sz val="11"/>
            <color rgb="FF000000"/>
            <rFont val="Calibri"/>
            <family val="2"/>
            <charset val="1"/>
          </rPr>
          <t>ID:364506. Fórmula auto desde Cálculo MP.</t>
        </r>
      </text>
    </comment>
    <comment ref="BE7" authorId="1" shapeId="0" xr:uid="{00000000-0006-0000-0000-00002B000000}">
      <text>
        <r>
          <rPr>
            <sz val="11"/>
            <color theme="1"/>
            <rFont val="Calibri"/>
            <family val="2"/>
            <charset val="1"/>
          </rPr>
          <t>ID:397490.</t>
        </r>
      </text>
    </comment>
    <comment ref="BF7" authorId="1" shapeId="0" xr:uid="{00000000-0006-0000-0000-00002C000000}">
      <text>
        <r>
          <rPr>
            <sz val="11"/>
            <color theme="1"/>
            <rFont val="Calibri"/>
            <family val="2"/>
            <charset val="1"/>
          </rPr>
          <t>ID:412305.</t>
        </r>
      </text>
    </comment>
    <comment ref="BG7" authorId="1" shapeId="0" xr:uid="{00000000-0006-0000-0000-00002D000000}">
      <text>
        <r>
          <rPr>
            <sz val="11"/>
            <color theme="1"/>
            <rFont val="Calibri"/>
            <family val="2"/>
            <charset val="1"/>
          </rPr>
          <t>ID:412805.</t>
        </r>
      </text>
    </comment>
    <comment ref="BH7" authorId="1" shapeId="0" xr:uid="{00000000-0006-0000-0000-00002E000000}">
      <text>
        <r>
          <rPr>
            <sz val="11"/>
            <color theme="1"/>
            <rFont val="Calibri"/>
            <family val="2"/>
            <charset val="1"/>
          </rPr>
          <t>ID:412479.</t>
        </r>
      </text>
    </comment>
    <comment ref="BI7" authorId="1" shapeId="0" xr:uid="{00000000-0006-0000-0000-00002F000000}">
      <text>
        <r>
          <rPr>
            <sz val="11"/>
            <color theme="1"/>
            <rFont val="Calibri"/>
            <family val="2"/>
            <charset val="1"/>
          </rPr>
          <t>ID:412723. 0.0012×cobre_kg.</t>
        </r>
      </text>
    </comment>
    <comment ref="BJ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BK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L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<sst xmlns="http://schemas.openxmlformats.org/spreadsheetml/2006/main" count="26235" uniqueCount="2118">
  <si>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</si>
  <si>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</si>
  <si>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</si>
  <si>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</si>
  <si>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</si>
  <si>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</si>
  <si>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</si>
  <si>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</si>
  <si>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</si>
  <si>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</si>
  <si>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</si>
  <si>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</si>
  <si>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</si>
  <si>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PRODUCTOS A COTIZAR</t>
  </si>
  <si>
    <t>ESPECIFICACIONES</t>
  </si>
  <si>
    <t>CONVERSIÓN DE UNIDADES</t>
  </si>
  <si>
    <t>RACKS</t>
  </si>
  <si>
    <t>DIMENSIONES</t>
  </si>
  <si>
    <t>ASIGNACIÓN CONTABLE</t>
  </si>
  <si>
    <t>USO PREDICTIVO DE MATERIAS PRIMAS</t>
  </si>
  <si>
    <t>Archivado</t>
  </si>
  <si>
    <t>Validación
1er recibo</t>
  </si>
  <si>
    <t>Forzar
duplicar</t>
  </si>
  <si>
    <t>Archivar
anterior</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</si>
  <si>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</si>
  <si>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</si>
  <si>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</si>
  <si>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</si>
  <si>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</si>
  <si>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</si>
  <si>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</si>
  <si>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</si>
  <si>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</si>
  <si>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</si>
  <si>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</si>
  <si>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</si>
  <si>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</si>
  <si>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</si>
  <si>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</si>
  <si>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Etiqueta 5</t>
  </si>
  <si>
    <t>Proceso</t>
  </si>
  <si>
    <t>Producto 1</t>
  </si>
  <si>
    <t>Precio P1</t>
  </si>
  <si>
    <t>Cant P1</t>
  </si>
  <si>
    <t>Unidad P1</t>
  </si>
  <si>
    <t>Producto 2</t>
  </si>
  <si>
    <t>Precio P2</t>
  </si>
  <si>
    <t>Cant P2</t>
  </si>
  <si>
    <t>Unidad P2</t>
  </si>
  <si>
    <t>Producto 3</t>
  </si>
  <si>
    <t>Precio P3</t>
  </si>
  <si>
    <t>Cant P3</t>
  </si>
  <si>
    <t>Unidad P3</t>
  </si>
  <si>
    <t>Spec 1</t>
  </si>
  <si>
    <t>Esp. Spec 1
(µm)</t>
  </si>
  <si>
    <t>Spec 2</t>
  </si>
  <si>
    <t>Esp. Spec 2
(µm)</t>
  </si>
  <si>
    <t>KGM
(kg/pza)</t>
  </si>
  <si>
    <t>CMK
(cm²/pza)</t>
  </si>
  <si>
    <t>LM
(m/pza)</t>
  </si>
  <si>
    <t>Mín Pzas
Lote</t>
  </si>
  <si>
    <t>Rack Flybar o Barril (Carga)</t>
  </si>
  <si>
    <t>Pzas/Rack
Línea</t>
  </si>
  <si>
    <t>Rack Específico</t>
  </si>
  <si>
    <t>Pzas/Rack
Sec.</t>
  </si>
  <si>
    <t>Longitud
(m)</t>
  </si>
  <si>
    <t>Ancho
(m)</t>
  </si>
  <si>
    <t>Alto
(m)</t>
  </si>
  <si>
    <t>Diám.Ext
(m)</t>
  </si>
  <si>
    <t>Diám.Int
(m)</t>
  </si>
  <si>
    <t>Línea</t>
  </si>
  <si>
    <t>Departamento</t>
  </si>
  <si>
    <t>Código SAT</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</si>
  <si>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</si>
  <si>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</si>
  <si>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</si>
  <si>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</si>
  <si>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</si>
  <si>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</si>
  <si>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</si>
  <si>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</si>
  <si>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</si>
  <si>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</si>
  <si>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</si>
  <si>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</si>
  <si>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</si>
  <si>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</si>
  <si>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</si>
  <si>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</si>
  <si>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</si>
  <si>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</si>
  <si>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</si>
  <si>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</si>
  <si>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</si>
  <si>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</si>
  <si>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</si>
  <si>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</si>
  <si>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</si>
  <si>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</si>
  <si>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</si>
  <si>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</si>
  <si>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</si>
  <si>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</si>
  <si>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</si>
  <si>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</si>
  <si>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</si>
  <si>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</si>
  <si>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</si>
  <si>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</si>
  <si>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</si>
  <si>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</si>
  <si>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</si>
  <si>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</si>
  <si>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</si>
  <si>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</si>
  <si>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</si>
  <si>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</si>
  <si>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</si>
  <si>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</si>
  <si>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</si>
  <si>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</si>
  <si>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</si>
  <si>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</si>
  <si>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</si>
  <si>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</si>
  <si>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</si>
  <si>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</si>
  <si>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</si>
  <si>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</si>
  <si>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</si>
  <si>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</si>
  <si>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</si>
  <si>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</si>
  <si>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</si>
  <si>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</si>
  <si>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</si>
  <si>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</si>
  <si>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</si>
  <si>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</si>
  <si>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</si>
  <si>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</si>
  <si>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</si>
  <si>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</si>
  <si>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</si>
  <si>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</si>
  <si>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</si>
  <si>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</si>
  <si>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</si>
  <si>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</si>
  <si>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</si>
  <si>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</si>
  <si>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</si>
  <si>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</si>
  <si>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</si>
  <si>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</si>
  <si>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</si>
  <si>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</si>
  <si>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</si>
  <si>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</si>
  <si>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</si>
  <si>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</si>
  <si>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Nuevo</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</si>
  <si>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</si>
  <si>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</si>
  <si>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</si>
  <si>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</si>
  <si>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</si>
  <si>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</si>
  <si>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</si>
  <si>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</si>
  <si>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</si>
  <si>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</si>
  <si>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</si>
  <si>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</si>
  <si>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</si>
  <si>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</si>
  <si>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</si>
  <si>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</si>
  <si>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</si>
  <si>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</si>
  <si>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281Q ESTAÑADO SOBRE ALUMINIO</t>
  </si>
  <si>
    <t>T105-FL01</t>
  </si>
  <si>
    <t>M102-RA05 Parrilla 1" a 1.75"</t>
  </si>
  <si>
    <t>31281813 - Componentes de cobre perforados</t>
  </si>
  <si>
    <t>Laboratorio</t>
  </si>
  <si>
    <t>ALFONSO GONZALEZ BECERRIL</t>
  </si>
  <si>
    <t>S17A9813A1</t>
  </si>
  <si>
    <t>ESTAMPADOS MONTERREY — DIAZ ORDAZ 339 Santa Catarina Centro San</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</si>
  <si>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</si>
  <si>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</si>
  <si>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</si>
  <si>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</si>
  <si>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</si>
  <si>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</si>
  <si>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</si>
  <si>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</si>
  <si>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</si>
  <si>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</si>
  <si>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</si>
  <si>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</si>
  <si>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</si>
  <si>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</si>
  <si>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</si>
  <si>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</si>
  <si>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</si>
  <si>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</si>
  <si>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</si>
  <si>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</si>
  <si>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</si>
  <si>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</si>
  <si>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</si>
  <si>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</si>
  <si>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</si>
  <si>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</si>
  <si>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</si>
  <si>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</si>
  <si>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</si>
  <si>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</si>
  <si>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</si>
  <si>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</si>
  <si>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</si>
  <si>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</si>
  <si>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</si>
  <si>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</si>
  <si>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48053-001-01 (Deshidrogenado)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</si>
  <si>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</si>
  <si>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</si>
  <si>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</si>
  <si>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</si>
  <si>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</si>
  <si>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</si>
  <si>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</si>
  <si>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</si>
  <si>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</si>
  <si>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</si>
  <si>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</si>
  <si>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</si>
  <si>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</si>
  <si>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</si>
  <si>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</si>
  <si>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</si>
  <si>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</si>
  <si>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</si>
  <si>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</si>
  <si>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</si>
  <si>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</si>
  <si>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</si>
  <si>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</si>
  <si>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</si>
  <si>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</si>
  <si>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</si>
  <si>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ANGELINA FLORES SANCHEZ</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</si>
  <si>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</si>
  <si>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</si>
  <si>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</si>
  <si>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</si>
  <si>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</si>
  <si>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</si>
  <si>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</si>
  <si>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</si>
  <si>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</si>
  <si>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</si>
  <si>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</si>
  <si>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</si>
  <si>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</si>
  <si>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</si>
  <si>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</si>
  <si>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</si>
  <si>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</si>
  <si>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</si>
  <si>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</si>
  <si>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</si>
  <si>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</si>
  <si>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</si>
  <si>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</si>
  <si>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</si>
  <si>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</si>
  <si>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</si>
  <si>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</si>
  <si>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</si>
  <si>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</si>
  <si>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</si>
  <si>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</si>
  <si>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</si>
  <si>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</si>
  <si>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</si>
  <si>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</si>
  <si>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</si>
  <si>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</si>
  <si>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</si>
  <si>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</si>
  <si>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</si>
  <si>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</si>
  <si>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</si>
  <si>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</si>
  <si>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</si>
  <si>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</si>
  <si>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</si>
  <si>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</si>
  <si>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</si>
  <si>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</si>
  <si>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</si>
  <si>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</si>
  <si>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</si>
  <si>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</si>
  <si>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</si>
  <si>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</si>
  <si>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</si>
  <si>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</si>
  <si>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</si>
  <si>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BRANDON DIAZ MONDRAGON</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</si>
  <si>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</si>
  <si>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</si>
  <si>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</si>
  <si>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</si>
  <si>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</si>
  <si>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</si>
  <si>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</si>
  <si>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</si>
  <si>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</si>
  <si>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</si>
  <si>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</si>
  <si>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</si>
  <si>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</si>
  <si>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</si>
  <si>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</si>
  <si>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</si>
  <si>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</si>
  <si>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</si>
  <si>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</si>
  <si>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</si>
  <si>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</si>
  <si>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</si>
  <si>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</si>
  <si>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</si>
  <si>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</si>
  <si>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</si>
  <si>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</si>
  <si>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</si>
  <si>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</si>
  <si>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</si>
  <si>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</si>
  <si>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</si>
  <si>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</si>
  <si>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</si>
  <si>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</si>
  <si>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</si>
  <si>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</si>
  <si>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</si>
  <si>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</si>
  <si>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</si>
  <si>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</si>
  <si>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</si>
  <si>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</si>
  <si>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</si>
  <si>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</si>
  <si>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</si>
  <si>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</si>
  <si>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</si>
  <si>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</si>
  <si>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</si>
  <si>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</si>
  <si>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</si>
  <si>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</si>
  <si>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</si>
  <si>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</si>
  <si>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</si>
  <si>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</si>
  <si>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</si>
  <si>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</si>
  <si>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</si>
  <si>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</si>
  <si>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</si>
  <si>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</si>
  <si>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</si>
  <si>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</si>
  <si>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</si>
  <si>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</si>
  <si>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</si>
  <si>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</si>
  <si>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</si>
  <si>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</si>
  <si>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</si>
  <si>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</si>
  <si>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</si>
  <si>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</si>
  <si>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</si>
  <si>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</si>
  <si>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</si>
  <si>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</si>
  <si>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</si>
  <si>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</si>
  <si>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</si>
  <si>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</si>
  <si>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</si>
  <si>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</si>
  <si>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</si>
  <si>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T107-RA02</t>
  </si>
  <si>
    <t>CATALINA BALLESTEROS RODRIGUEZ</t>
  </si>
  <si>
    <t>T101 (ROD)-T109 (NSU)-T100 (HOR)-FE/AC-GRANEL (15.0)</t>
  </si>
  <si>
    <t>Fosfatizado de Manganeso</t>
  </si>
  <si>
    <t>Níquel Electroless</t>
  </si>
  <si>
    <t>CELIA MALVAEZ DOMINGUEZ</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</si>
  <si>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</si>
  <si>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</si>
  <si>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</si>
  <si>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</si>
  <si>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</si>
  <si>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</si>
  <si>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</si>
  <si>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</si>
  <si>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</si>
  <si>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</si>
  <si>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</si>
  <si>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</si>
  <si>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</si>
  <si>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</si>
  <si>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 xml:space="preserve">OLSON METAL PRODUCTS LLC — OLSON WEST ALGONQUIN ROAD 511 ARLINGTON </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</si>
  <si>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</si>
  <si>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</si>
  <si>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</si>
  <si>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</si>
  <si>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</si>
  <si>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</si>
  <si>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</si>
  <si>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</si>
  <si>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</si>
  <si>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</si>
  <si>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</si>
  <si>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</si>
  <si>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</si>
  <si>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 xml:space="preserve">PROCESOS TECNICOS RAMIREZ — RAMIREZ Avenida de la Piedra 42 Ignacio </t>
  </si>
  <si>
    <t>Maquila de Tratamiento Térmico</t>
  </si>
  <si>
    <t>Plata</t>
  </si>
  <si>
    <t>T111-RA04</t>
  </si>
  <si>
    <t>DAISY VILLAGRAN SEGUNDO</t>
  </si>
  <si>
    <t>Materia Prima</t>
  </si>
  <si>
    <t>Plata Flash</t>
  </si>
  <si>
    <t>T111-RA05</t>
  </si>
  <si>
    <t>DAMIAN AGUILAR OLMOS</t>
  </si>
  <si>
    <t xml:space="preserve">PROGRESSIVE STAMPING DE MEXICO — PROGRESSIVE STAMPING DE MEXICO Calle 2, </t>
  </si>
  <si>
    <t>Metales</t>
  </si>
  <si>
    <t>Plata Mate</t>
  </si>
  <si>
    <t>T111-RA06</t>
  </si>
  <si>
    <t>DANIEL SHARSHI LAZARO</t>
  </si>
  <si>
    <t>RESISTENCIAS JOV — Juárez 13, San José Iturbide,, Guanajuat</t>
  </si>
  <si>
    <t>Niquelado Brillante</t>
  </si>
  <si>
    <t>Plata Semibrillante</t>
  </si>
  <si>
    <t>T111-RA07</t>
  </si>
  <si>
    <t>DANIEL VILLANUEVA HERNANDEZ</t>
  </si>
  <si>
    <t>RESORTES Y PARTES — GUIZAR Y VALENCIA San Andrés Atoto Nauca</t>
  </si>
  <si>
    <t>Niquelado Electroless</t>
  </si>
  <si>
    <t>Prelimpieza</t>
  </si>
  <si>
    <t>T111-RA08</t>
  </si>
  <si>
    <t>DAVID ALBERTO MARTINEZ SANCHEZ</t>
  </si>
  <si>
    <t>ROYAL POWER SOLUTIONS — Royal Power Solutions //Eaton Carr Estat</t>
  </si>
  <si>
    <t>Niquelado Estaño</t>
  </si>
  <si>
    <t>Pulido</t>
  </si>
  <si>
    <t>DAVID ALEJANDRO ALVAREZ DOMINGUEZ</t>
  </si>
  <si>
    <t>RPK MEXICO — controller@rpk.com.mx Oriente 5 Ciudad I</t>
  </si>
  <si>
    <t>Niquelado Plateado</t>
  </si>
  <si>
    <t>DAVID CRUZ GARCIA</t>
  </si>
  <si>
    <t>SANMINA CORPORATION — SANMINA 2700 North First Street San Jose</t>
  </si>
  <si>
    <t>Niquelado Sulfamato</t>
  </si>
  <si>
    <t>Rebabeo</t>
  </si>
  <si>
    <t>T114-CA01</t>
  </si>
  <si>
    <t>DAVID GONZALEZ BECERRIL</t>
  </si>
  <si>
    <t>Niquelado Woods</t>
  </si>
  <si>
    <t>Rodado</t>
  </si>
  <si>
    <t>DAVID MACEDO ZARATE</t>
  </si>
  <si>
    <t>SANMINA-SCI RSP DE MEXICO — SANMINA GDL Carretera.Guadalajara-Chapal</t>
  </si>
  <si>
    <t>DAVID ROBERTO RIVERA PADILLA</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</si>
  <si>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</si>
  <si>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</si>
  <si>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</si>
  <si>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</si>
  <si>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</si>
  <si>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</si>
  <si>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</si>
  <si>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</si>
  <si>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</si>
  <si>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</si>
  <si>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</si>
  <si>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</si>
  <si>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SQR</t>
  </si>
  <si>
    <t>T201-RA02</t>
  </si>
  <si>
    <t>DIEGO REYES VARELA</t>
  </si>
  <si>
    <t>Plateado Selectivo</t>
  </si>
  <si>
    <t>SRG</t>
  </si>
  <si>
    <t>DIEGO RIVERA TREJO</t>
  </si>
  <si>
    <t>Pre-Limpieza</t>
  </si>
  <si>
    <t>STX</t>
  </si>
  <si>
    <t>DIEGO SAENZ ORTIZ</t>
  </si>
  <si>
    <t xml:space="preserve">STK INDUSTRIAS — CARRETERA A VILLA DE GARCIA 2501-BODEGA </t>
  </si>
  <si>
    <t>Preparación previa al acabado</t>
  </si>
  <si>
    <t>Tinta Azul</t>
  </si>
  <si>
    <t>DOLORES BELTRAN GONZALEZ</t>
  </si>
  <si>
    <t>Refacciones</t>
  </si>
  <si>
    <t>Tinta Negra</t>
  </si>
  <si>
    <t>T204-RA01</t>
  </si>
  <si>
    <t>DULCE MARIA ROMERO SANCHEZ</t>
  </si>
  <si>
    <t>THYSSENKRUPP MATERIALS DE MEXICO — KM 117 AUTOPISTA MEXICO PUEBLA Sin Numer</t>
  </si>
  <si>
    <t>Retrabajo Ecoplating</t>
  </si>
  <si>
    <t>Tinta Roja</t>
  </si>
  <si>
    <t>T204-RA02</t>
  </si>
  <si>
    <t>EDUARDO A. CHI PECH</t>
  </si>
  <si>
    <t>TINPRECISION — TINPRECISION 20 de Noviembre 1001 Santia</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</si>
  <si>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</si>
  <si>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</si>
  <si>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</si>
  <si>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</si>
  <si>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</si>
  <si>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</si>
  <si>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</si>
  <si>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</si>
  <si>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</si>
  <si>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</si>
  <si>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</si>
  <si>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ZION &amp; EBENEZER TECHNOLOGIES — Estado de México 1 Int. 2 y 3, Prof. Cri</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</si>
  <si>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</si>
  <si>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</si>
  <si>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</si>
  <si>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</si>
  <si>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</si>
  <si>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</si>
  <si>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</si>
  <si>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</si>
  <si>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</si>
  <si>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</si>
  <si>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</si>
  <si>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</si>
  <si>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</si>
  <si>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ERICK ALEJANDRO ROSALES BERNAL</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</si>
  <si>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</si>
  <si>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</si>
  <si>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</si>
  <si>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</si>
  <si>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</si>
  <si>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</si>
  <si>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</si>
  <si>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</si>
  <si>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</si>
  <si>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</si>
  <si>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</si>
  <si>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</si>
  <si>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</si>
  <si>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</si>
  <si>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</si>
  <si>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</si>
  <si>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</si>
  <si>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</si>
  <si>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</si>
  <si>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</si>
  <si>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</si>
  <si>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</si>
  <si>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</si>
  <si>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</si>
  <si>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</si>
  <si>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</si>
  <si>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</si>
  <si>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</si>
  <si>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</si>
  <si>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</si>
  <si>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</si>
  <si>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</si>
  <si>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FABIAN JESUS TREVILLA PEREZ</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</si>
  <si>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</si>
  <si>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</si>
  <si>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</si>
  <si>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</si>
  <si>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</si>
  <si>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</si>
  <si>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</si>
  <si>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</si>
  <si>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</si>
  <si>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</si>
  <si>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</si>
  <si>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</si>
  <si>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</si>
  <si>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</si>
  <si>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</si>
  <si>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</si>
  <si>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</si>
  <si>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</si>
  <si>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</si>
  <si>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</si>
  <si>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</si>
  <si>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</si>
  <si>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</si>
  <si>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</si>
  <si>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</si>
  <si>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</si>
  <si>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</si>
  <si>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</si>
  <si>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</si>
  <si>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</si>
  <si>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</si>
  <si>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</si>
  <si>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</si>
  <si>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</si>
  <si>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</si>
  <si>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</si>
  <si>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</si>
  <si>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</si>
  <si>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</si>
  <si>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</si>
  <si>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</si>
  <si>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</si>
  <si>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</si>
  <si>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</si>
  <si>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</si>
  <si>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</si>
  <si>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</si>
  <si>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</si>
  <si>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</si>
  <si>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</si>
  <si>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</si>
  <si>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</si>
  <si>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</si>
  <si>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</si>
  <si>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</si>
  <si>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</si>
  <si>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</si>
  <si>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</si>
  <si>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</si>
  <si>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</si>
  <si>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</si>
  <si>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</si>
  <si>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</si>
  <si>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</si>
  <si>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</si>
  <si>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</si>
  <si>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</si>
  <si>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</si>
  <si>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</si>
  <si>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</si>
  <si>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</si>
  <si>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</si>
  <si>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</si>
  <si>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</si>
  <si>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</si>
  <si>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</si>
  <si>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</si>
  <si>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</si>
  <si>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</si>
  <si>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</si>
  <si>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</si>
  <si>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</si>
  <si>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</si>
  <si>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</si>
  <si>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</si>
  <si>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</si>
  <si>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</si>
  <si>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</si>
  <si>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</si>
  <si>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</si>
  <si>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</si>
  <si>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</si>
  <si>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ALBERTO GOMEZ VALDES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</si>
  <si>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</si>
  <si>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</si>
  <si>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</si>
  <si>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</si>
  <si>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</si>
  <si>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</si>
  <si>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</si>
  <si>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</si>
  <si>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</si>
  <si>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</si>
  <si>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</si>
  <si>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</si>
  <si>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</si>
  <si>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</si>
  <si>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</si>
  <si>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</si>
  <si>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</si>
  <si>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</si>
  <si>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</si>
  <si>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</si>
  <si>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</si>
  <si>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</si>
  <si>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</si>
  <si>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</si>
  <si>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</si>
  <si>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</si>
  <si>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</si>
  <si>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</si>
  <si>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</si>
  <si>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</si>
  <si>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</si>
  <si>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</si>
  <si>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</si>
  <si>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</si>
  <si>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</si>
  <si>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</si>
  <si>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</si>
  <si>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</si>
  <si>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KEVIN YAHIR CARBAJAL ARRIAGA</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</si>
  <si>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</si>
  <si>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</si>
  <si>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</si>
  <si>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</si>
  <si>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</si>
  <si>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</si>
  <si>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</si>
  <si>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</si>
  <si>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</si>
  <si>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</si>
  <si>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</si>
  <si>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LUIS ORLANDO MORENO MARTINEZ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</si>
  <si>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</si>
  <si>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</si>
  <si>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</si>
  <si>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</si>
  <si>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</si>
  <si>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</si>
  <si>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</si>
  <si>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</si>
  <si>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</si>
  <si>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</si>
  <si>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</si>
  <si>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</si>
  <si>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</si>
  <si>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</si>
  <si>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</si>
  <si>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</si>
  <si>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</si>
  <si>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</si>
  <si>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</si>
  <si>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</si>
  <si>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</si>
  <si>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</si>
  <si>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</si>
  <si>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</si>
  <si>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</si>
  <si>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</si>
  <si>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</si>
  <si>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</si>
  <si>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</si>
  <si>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</si>
  <si>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</si>
  <si>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</si>
  <si>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</si>
  <si>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</si>
  <si>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</si>
  <si>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</si>
  <si>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</si>
  <si>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</si>
  <si>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</si>
  <si>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</si>
  <si>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</si>
  <si>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</si>
  <si>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</si>
  <si>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</si>
  <si>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</si>
  <si>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</si>
  <si>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RICARDO MIGUEL MACARIO</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</si>
  <si>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</si>
  <si>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</si>
  <si>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</si>
  <si>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</si>
  <si>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</si>
  <si>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</si>
  <si>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</si>
  <si>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</si>
  <si>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</si>
  <si>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</si>
  <si>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</si>
  <si>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</si>
  <si>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</si>
  <si>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</si>
  <si>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</si>
  <si>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</si>
  <si>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</si>
  <si>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</si>
  <si>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</si>
  <si>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</si>
  <si>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TRINIDAD DOMINGUEZ CASTILLO</t>
  </si>
  <si>
    <t>URIEL ENRIQUE LOYOLA MENDOZA</t>
  </si>
  <si>
    <t>USIEL VIEYRA ALMONTE</t>
  </si>
  <si>
    <t>VENANCIO FELIX MUNGUIA</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</si>
  <si>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</si>
  <si>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</si>
  <si>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</si>
  <si>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</si>
  <si>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</si>
  <si>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</si>
  <si>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</si>
  <si>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</si>
  <si>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</si>
  <si>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</si>
  <si>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</si>
  <si>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</si>
  <si>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</si>
  <si>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</si>
  <si>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</si>
  <si>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</si>
  <si>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</si>
  <si>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</si>
  <si>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</si>
  <si>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</si>
  <si>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</si>
  <si>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</si>
  <si>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</si>
  <si>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</si>
  <si>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</si>
  <si>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</si>
  <si>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</si>
  <si>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</si>
  <si>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</si>
  <si>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</si>
  <si>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</si>
  <si>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</si>
  <si>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</si>
  <si>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</si>
  <si>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</si>
  <si>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</si>
  <si>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</si>
  <si>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</si>
  <si>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</si>
  <si>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</si>
  <si>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</si>
  <si>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</si>
  <si>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</si>
  <si>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</si>
  <si>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</si>
  <si>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</si>
  <si>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</si>
  <si>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</si>
  <si>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</si>
  <si>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</si>
  <si>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</si>
  <si>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</si>
  <si>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</si>
  <si>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</si>
  <si>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</si>
  <si>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</si>
  <si>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</si>
  <si>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</si>
  <si>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</si>
  <si>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</si>
  <si>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</si>
  <si>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</si>
  <si>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</si>
  <si>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</si>
  <si>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</si>
  <si>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</si>
  <si>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</si>
  <si>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</si>
  <si>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</si>
  <si>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</si>
  <si>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</si>
  <si>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</si>
  <si>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</si>
  <si>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</si>
  <si>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</si>
  <si>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</si>
  <si>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</si>
  <si>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</si>
  <si>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</si>
  <si>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</si>
  <si>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</si>
  <si>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</si>
  <si>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</si>
  <si>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</si>
  <si>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</si>
  <si>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</si>
  <si>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</si>
  <si>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</si>
  <si>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</si>
  <si>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</si>
  <si>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</si>
  <si>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</si>
  <si>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</si>
  <si>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</si>
  <si>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</si>
  <si>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</si>
  <si>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</si>
  <si>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</si>
  <si>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</si>
  <si>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</si>
  <si>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</si>
  <si>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</si>
  <si>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</si>
  <si>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</si>
  <si>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</si>
  <si>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</si>
  <si>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</si>
  <si>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</si>
  <si>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</si>
  <si>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</si>
  <si>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</si>
  <si>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</si>
  <si>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</si>
  <si>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</si>
  <si>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</si>
  <si>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</si>
  <si>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</si>
  <si>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</si>
  <si>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</si>
  <si>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</si>
  <si>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</si>
  <si>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</si>
  <si>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</si>
  <si>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</si>
  <si>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</si>
  <si>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</si>
  <si>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</si>
  <si>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</si>
  <si>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</si>
  <si>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</si>
  <si>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</si>
  <si>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</si>
  <si>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</si>
  <si>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</si>
  <si>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</si>
  <si>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</si>
  <si>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</si>
  <si>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</si>
  <si>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</si>
  <si>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</si>
  <si>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</si>
  <si>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</si>
  <si>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</si>
  <si>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</si>
  <si>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</si>
  <si>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</si>
  <si>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</si>
  <si>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</si>
  <si>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</si>
  <si>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</si>
  <si>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</si>
  <si>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</si>
  <si>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</si>
  <si>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</si>
  <si>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</si>
  <si>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</si>
  <si>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</si>
  <si>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</si>
  <si>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</si>
  <si>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</si>
  <si>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</si>
  <si>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</si>
  <si>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</si>
  <si>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</si>
  <si>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</si>
  <si>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</si>
  <si>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</si>
  <si>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</si>
  <si>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</si>
  <si>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</si>
  <si>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</si>
  <si>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</si>
  <si>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</si>
  <si>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</si>
  <si>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</si>
  <si>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</si>
  <si>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</si>
  <si>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</si>
  <si>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</si>
  <si>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</si>
  <si>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</si>
  <si>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</si>
  <si>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</si>
  <si>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</si>
  <si>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</si>
  <si>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</si>
  <si>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</si>
  <si>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</si>
  <si>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</si>
  <si>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</si>
  <si>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</si>
  <si>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</si>
  <si>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</si>
  <si>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</si>
  <si>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</si>
  <si>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</si>
  <si>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</si>
  <si>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</si>
  <si>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</si>
  <si>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</si>
  <si>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</si>
  <si>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</si>
  <si>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</si>
  <si>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</si>
  <si>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F</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</si>
  <si>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</si>
  <si>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</si>
  <si>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</si>
  <si>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</si>
  <si>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</si>
  <si>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ECOPLATING — 1 de Mayo, 1803, Toluca, Toluca de Lerdo</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</si>
  <si>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</si>
  <si>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</si>
  <si>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</si>
  <si>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</si>
  <si>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</si>
  <si>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</si>
  <si>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</si>
  <si>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</si>
  <si>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</si>
  <si>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</si>
  <si>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</si>
  <si>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</si>
  <si>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</si>
  <si>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</si>
  <si>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</si>
  <si>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</si>
  <si>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</si>
  <si>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</si>
  <si>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</si>
  <si>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</si>
  <si>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</si>
  <si>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</si>
  <si>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</si>
  <si>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</si>
  <si>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</si>
  <si>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</si>
  <si>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</si>
  <si>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</si>
  <si>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</si>
  <si>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</si>
  <si>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</si>
  <si>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</si>
  <si>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</si>
  <si>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</si>
  <si>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</si>
  <si>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</si>
  <si>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</si>
  <si>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</si>
  <si>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</si>
  <si>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</si>
  <si>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</si>
  <si>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</si>
  <si>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</si>
  <si>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</si>
  <si>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</si>
  <si>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</si>
  <si>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</si>
  <si>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</si>
  <si>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</si>
  <si>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Nueva Cotización</t>
  </si>
  <si>
    <t xml:space="preserve">ABB — </t>
  </si>
  <si>
    <t xml:space="preserve">AMFT — </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</si>
  <si>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</si>
  <si>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</si>
  <si>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</si>
  <si>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</si>
  <si>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</si>
  <si>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</si>
  <si>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FALCO ELECTRONICS MEXICO — Dirección fiscal — Calle 37 611 Itzincab</t>
  </si>
  <si>
    <t>FASTENAL MEXICO — Dirección Fiscal — Libramiento Noreste -</t>
  </si>
  <si>
    <t>FISHER CONTROLES DE MEXICO — Dirección Fiscal — INDUSTRIAS QUIMICAS 2</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</si>
  <si>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</si>
  <si>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</si>
  <si>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</si>
  <si>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</si>
  <si>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 xml:space="preserve">HUBBELL PRODUCTS MEXICO — Dirección Fiscal — CINCO SUR 104 PARQUE </t>
  </si>
  <si>
    <t>IMPRO INDUSTRIES MEXICO — Dirección Fiscal — Rocío de la Cruz Pich</t>
  </si>
  <si>
    <t>INDUSTRIA EN ENGRANES Y MAQUINADOS — Moldeadores 318, Colonia Pro-hogar, Azca</t>
  </si>
  <si>
    <t>INDUSTRIAL TAMTO DE PUEBLA — Av. Hidalgo 24, Col. Santa Cruz Buenavis</t>
  </si>
  <si>
    <t>INDUSTRIAS MECANICO ELECTRICAS — Av. Central 23, Col. Rústica Xalostoc, E</t>
  </si>
  <si>
    <t>INDUSTRIAS UNIDAS — Dirección Fiscal — IUSA CARRETERA PANAME</t>
  </si>
  <si>
    <t>KEMET ELECTRONICS CORPORATION — Dirección Fiscal — BILLY MITCHELL BLVD B</t>
  </si>
  <si>
    <t>LEV INDUSTRIAL — Antigua Carretera a Querétaro S/N Bodega</t>
  </si>
  <si>
    <t>MANUFACTURAS METALICAS CORREA — Dirección Fiscal — Priv. de los Gómez Lo</t>
  </si>
  <si>
    <t>MECANOMATIC — Dirección Fiscal — España 440, San Nicol</t>
  </si>
  <si>
    <t xml:space="preserve">MECANOMATIC GTO — Ingenieros 106, Distribuidor Industrial </t>
  </si>
  <si>
    <t xml:space="preserve">MJCELCO MEXICO — Dirección fiscal — AVENIDA LUIS DONALDO </t>
  </si>
  <si>
    <t xml:space="preserve">NEW CONCEPT TECHNOLOGY — </t>
  </si>
  <si>
    <t xml:space="preserve">NEW DYNACAST DE MEXICO — Tejocotes Lote 77 2A, San Martín Obispo </t>
  </si>
  <si>
    <t xml:space="preserve">NORCAST — </t>
  </si>
  <si>
    <t>NUEVA GENERACION MANUFACTURAS — Av. Tezozomoc 239, Fraccionamiento Indus</t>
  </si>
  <si>
    <t xml:space="preserve">PARKER HANNIFIN DE MEXICO — </t>
  </si>
  <si>
    <t>POLLMANN DE MEXICO — Circuito Corral de Piedras 52, Corral de</t>
  </si>
  <si>
    <t>PRODUCTOS EL ROBLE — Dirección Fiscal — BREA 188 Granjas Méxi</t>
  </si>
  <si>
    <t>SANMINA-SCI DE MEXICO — Planta Monterrey, — AVENIDA INDUSTRIAL R</t>
  </si>
  <si>
    <t>SANMINA-SCI SYSTEMS DE MEXICO — Av. Solidaridad Iberoamericana 7020, Clu</t>
  </si>
  <si>
    <t>SCHNEIDER ELECTRIC MEXICO — Planta CDMX, — Michoacán 20, Complejo In</t>
  </si>
  <si>
    <t>SCHNEIDER ELECTRIC MEXICO — Planta Rojo Gómez, — Javier Rojo Gómez 1</t>
  </si>
  <si>
    <t>SCHNEIDER ELECTRIC USA INC — Planta 2 Querétaro — Carretera Estatal 1</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</si>
  <si>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</si>
  <si>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</si>
  <si>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</si>
  <si>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</si>
  <si>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</si>
  <si>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TECNOLOGIA HERGO — Dirección Fiscal — PRIV. DE JOSE CLARK F</t>
  </si>
  <si>
    <t xml:space="preserve">TROQUELADOS INDUSTRIALES DE PRECISION — Dirección Fiscal — ING. RICARDO RAMIREZ </t>
  </si>
  <si>
    <t>WIELAND METAL SERVICES — Entre calle de  La Noria y Benito juarez</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</si>
  <si>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</si>
  <si>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</si>
  <si>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</si>
  <si>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</si>
  <si>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</si>
  <si>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</si>
  <si>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</si>
  <si>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</si>
  <si>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</si>
  <si>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</si>
  <si>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</si>
  <si>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</si>
  <si>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</si>
  <si>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</si>
  <si>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</si>
  <si>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</si>
  <si>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</si>
  <si>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</si>
  <si>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</si>
  <si>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</si>
  <si>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</si>
  <si>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</si>
  <si>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</si>
  <si>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</si>
  <si>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</si>
  <si>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</si>
  <si>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</si>
  <si>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</si>
  <si>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</si>
  <si>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</si>
  <si>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</si>
  <si>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</si>
  <si>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</si>
  <si>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</si>
  <si>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</si>
  <si>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</si>
  <si>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</si>
  <si>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</si>
  <si>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</si>
  <si>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</si>
  <si>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</si>
  <si>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</si>
  <si>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</si>
  <si>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</si>
  <si>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</si>
  <si>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</si>
  <si>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</si>
  <si>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</si>
  <si>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</si>
  <si>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</si>
  <si>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</si>
  <si>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</si>
  <si>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</si>
  <si>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</si>
  <si>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</si>
  <si>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</si>
  <si>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</si>
  <si>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</si>
  <si>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</si>
  <si>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</si>
  <si>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</si>
  <si>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</si>
  <si>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</si>
  <si>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</si>
  <si>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</si>
  <si>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</si>
  <si>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</si>
  <si>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</si>
  <si>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</si>
  <si>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</si>
  <si>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</si>
  <si>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</si>
  <si>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</si>
  <si>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</si>
  <si>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</si>
  <si>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</si>
  <si>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</si>
  <si>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</si>
  <si>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</si>
  <si>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</si>
  <si>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</si>
  <si>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</si>
  <si>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</si>
  <si>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</si>
  <si>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</si>
  <si>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</si>
  <si>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</si>
  <si>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</si>
  <si>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</si>
  <si>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</si>
  <si>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</si>
  <si>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</si>
  <si>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</si>
  <si>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</si>
  <si>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</si>
  <si>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</si>
  <si>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</si>
  <si>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</si>
  <si>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</si>
  <si>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</si>
  <si>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</si>
  <si>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</si>
  <si>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</si>
  <si>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</si>
  <si>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</si>
  <si>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</si>
  <si>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</si>
  <si>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</si>
  <si>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</si>
  <si>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</si>
  <si>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</si>
  <si>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</si>
  <si>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</si>
  <si>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</si>
  <si>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</si>
  <si>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</si>
  <si>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</si>
  <si>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</si>
  <si>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</si>
  <si>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</si>
  <si>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</si>
  <si>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</si>
  <si>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</si>
  <si>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</si>
  <si>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</si>
  <si>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</si>
  <si>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</si>
  <si>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</si>
  <si>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</si>
  <si>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</si>
  <si>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</si>
  <si>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</si>
  <si>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</si>
  <si>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</si>
  <si>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</si>
  <si>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</si>
  <si>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</si>
  <si>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</si>
  <si>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</si>
  <si>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</si>
  <si>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</si>
  <si>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</si>
  <si>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</si>
  <si>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</si>
  <si>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</si>
  <si>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</si>
  <si>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</si>
  <si>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</si>
  <si>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</si>
  <si>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</si>
  <si>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</si>
  <si>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</si>
  <si>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</si>
  <si>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</si>
  <si>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</si>
  <si>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</si>
  <si>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</si>
  <si>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</si>
  <si>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</si>
  <si>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</si>
  <si>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</si>
  <si>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</si>
  <si>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</si>
  <si>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</si>
  <si>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</si>
  <si>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</si>
  <si>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</si>
  <si>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</si>
  <si>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</si>
  <si>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</si>
  <si>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</si>
  <si>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</si>
  <si>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</si>
  <si>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</si>
  <si>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</si>
  <si>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</si>
  <si>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</si>
  <si>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</si>
  <si>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</si>
  <si>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</si>
  <si>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</si>
  <si>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</si>
  <si>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</si>
  <si>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</si>
  <si>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</si>
  <si>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</si>
  <si>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</si>
  <si>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</si>
  <si>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</si>
  <si>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</si>
  <si>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</si>
  <si>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</si>
  <si>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</si>
  <si>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</si>
  <si>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</si>
  <si>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</si>
  <si>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</si>
  <si>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</si>
  <si>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</si>
  <si>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</si>
  <si>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</si>
  <si>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</si>
  <si>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</si>
  <si>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</si>
  <si>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</si>
  <si>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</si>
  <si>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</si>
  <si>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</si>
  <si>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</si>
  <si>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</si>
  <si>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</si>
  <si>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</si>
  <si>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</si>
  <si>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</si>
  <si>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</si>
  <si>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</si>
  <si>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</si>
  <si>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</si>
  <si>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</si>
  <si>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</si>
  <si>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</si>
  <si>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</si>
  <si>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</si>
  <si>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</si>
  <si>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</si>
  <si>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</si>
  <si>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</si>
  <si>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</si>
  <si>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</si>
  <si>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</si>
  <si>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</si>
  <si>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</si>
  <si>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</si>
  <si>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</si>
  <si>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</si>
  <si>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</si>
  <si>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</si>
  <si>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</si>
  <si>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</si>
  <si>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</si>
  <si>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</si>
  <si>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</si>
  <si>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</si>
  <si>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</si>
  <si>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</si>
  <si>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</si>
  <si>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</si>
  <si>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</si>
  <si>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</si>
  <si>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</si>
  <si>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</si>
  <si>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</si>
  <si>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</si>
  <si>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</si>
  <si>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</si>
  <si>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</si>
  <si>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</si>
  <si>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</si>
  <si>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</si>
  <si>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</si>
  <si>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</si>
  <si>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</si>
  <si>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</si>
  <si>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5.8 - 8.89 µm</t>
  </si>
  <si>
    <t>1.28.032 (Níquel) | 7.62 - 15.24 µm</t>
  </si>
  <si>
    <t>1.28.037 (Zinc Cromato Tropicalizado) | 5 - 9 µm</t>
  </si>
  <si>
    <t>1.28.041 (Níquel Electroless) | 5 - 10 µm</t>
  </si>
  <si>
    <t>40001-050-01 (Plata Flash) | 0.508 - 0.762 µm</t>
  </si>
  <si>
    <t>40001-053-02 (Estaño) | 5.08 - 10.16 µm</t>
  </si>
  <si>
    <t>40004-014-01 (Estaño) | 5 - 10 µm</t>
  </si>
  <si>
    <t>40004-015-01 (Estaño) | 5.08 - 10 µm</t>
  </si>
  <si>
    <t>40004-017-01 (Zinc) | 12 - 15 µm</t>
  </si>
  <si>
    <t>40004-017-01 (Zinc) | 15 - 20 µm</t>
  </si>
  <si>
    <t>40004-017-01 (Zinc) | 2.5 - 5 µm</t>
  </si>
  <si>
    <t>40004-017-01 (Zinc) | 5 - 8 µm</t>
  </si>
  <si>
    <t>40004-017-01 (Zinc) | 8 - 12 µm</t>
  </si>
  <si>
    <t>40004-022-01 (Estaño) | 5.08 - 7.54 µm</t>
  </si>
  <si>
    <t>40004-086-01 (Plata Flash) | 1.27 - 2.5 µm</t>
  </si>
  <si>
    <t>48053-005-01 (Lavado - Tratamiento Térmico - Bimetales)</t>
  </si>
  <si>
    <t>48057-002-01 (Níquel) | 2.5 - 5.0 µm</t>
  </si>
  <si>
    <t>48057-002-02 (Níquel Bimetales) | 0.5 - 2.0 µm</t>
  </si>
  <si>
    <t>48057-003-01 (Zinc) | 6.0 - 10.0 µm</t>
  </si>
  <si>
    <t>48057-006-01 (Plata) | 2.5 - 4.0 µm</t>
  </si>
  <si>
    <t>48057-007-01 (Estaño Bimetales) | 1.9 - 5.0 µm</t>
  </si>
  <si>
    <t>48957-014-01 (Níquel Electroless) | 10 - 13 µm</t>
  </si>
  <si>
    <t>48957-014-01 (Níquel Electroless) | 5.0 - 10.0 µm</t>
  </si>
  <si>
    <t>80065-DS-001 (Estaño) | 5.08 - 8.89 µm</t>
  </si>
  <si>
    <t>80065-DS-002 (Estaño) | 5.08 - 8.89 µm</t>
  </si>
  <si>
    <t>80065-DS-004 (Plata) | 7.26 - 9.26 µm</t>
  </si>
  <si>
    <t>80065-DS-005 (Plata Flash) | 0.076 - 0.2 µm</t>
  </si>
  <si>
    <t>80065-DS-008 (Plata) | 0.508 - 1.016 µm</t>
  </si>
  <si>
    <t>80282-DS-005 (Epóxico BT) | 4 - 11 mils (milipulgadas)</t>
  </si>
  <si>
    <t>ABD01030 (Plata Semibrillante) | 2 - 5 µm</t>
  </si>
  <si>
    <t>ACP5-618 (Plata) | 0.076 - 2.54 µm</t>
  </si>
  <si>
    <t>ACP5-618 (Plata) | 2.54 - 5.08 µm</t>
  </si>
  <si>
    <t>ACP5-618 (Plata) | 5.08 - 12.7 µm</t>
  </si>
  <si>
    <t>ASTM B545 (Estaño) | 1.5 - 2.5 µm</t>
  </si>
  <si>
    <t>ASTM B545 (Estaño) | 15 - 30 µm</t>
  </si>
  <si>
    <t>ASTM B545 (Estaño) | 2.5 - 5 µm</t>
  </si>
  <si>
    <t>ASTM B545 (Estaño) | 30 - 50 µm</t>
  </si>
  <si>
    <t>ASTM B545 (Estaño) | 5.0 - 8.0 µm</t>
  </si>
  <si>
    <t>ASTM B545 (Estaño) | 8 - 15 µm</t>
  </si>
  <si>
    <t>ASTM B633 (Zinc) | 8.0 - 12.0 µm</t>
  </si>
  <si>
    <t>ASTM B689 (Níquel) | 100 - 115 µm</t>
  </si>
  <si>
    <t>ASTM B689 (Níquel) | 15.0 - 25.0 µm</t>
  </si>
  <si>
    <t>ASTM B689 (Níquel) | 200 - 225 µm</t>
  </si>
  <si>
    <t>ASTM B689 (Níquel) | 25 - 30 µm</t>
  </si>
  <si>
    <t>ASTM B689 (Níquel) | 5 - 8 µm</t>
  </si>
  <si>
    <t>ASTM B689 (Níquel) | 50 - 60 µm</t>
  </si>
  <si>
    <t>ASTM B689 (Níquel) | 7.6 - 12.7 µm</t>
  </si>
  <si>
    <t>ASTM B700 (Plata) | 1 - 2.5 µm</t>
  </si>
  <si>
    <t>ASTM B700 (Plata) | 10 - 20 µm</t>
  </si>
  <si>
    <t>ASTM B700 (Plata) | 2.5 - 5 µm</t>
  </si>
  <si>
    <t>ASTM B700 (Plata) | 20 - 30 µm</t>
  </si>
  <si>
    <t>ASTM B700 (Plata) | 40 - 50 µm</t>
  </si>
  <si>
    <t>ASTM B700 (Plata) | 5 - 10 µm</t>
  </si>
  <si>
    <t>BURNDY DI-EI-01/81 (Estaño) | 5.0 - 12.0 µm</t>
  </si>
  <si>
    <t>DIN EN 12476 (Fosfato de Manganeso - Aceitado - Medición de Grano) | 2.54 - 7.62 µm</t>
  </si>
  <si>
    <t>DS258-103-00 (Estaño) | 5.08 - 10.0 µm</t>
  </si>
  <si>
    <t>E27550 (Plata) | 1.27 - 3.5 µm</t>
  </si>
  <si>
    <t>E27551 (Plata) | 5.08 - 12 µm</t>
  </si>
  <si>
    <t>E27780 (Epóxico MT) | 50 - 100 mils</t>
  </si>
  <si>
    <t>ES-000101 (Epóxico MT Rojo) | 20 - 60 mils</t>
  </si>
  <si>
    <t>ES-000101 (Epóxico MT Rojo) | 30 - 40 mils</t>
  </si>
  <si>
    <t>F4383 (Estaño) | 7.62 - 25.4 µm</t>
  </si>
  <si>
    <t>F70F2 (Estaño Mate) | 0.508 - 1.016 µm</t>
  </si>
  <si>
    <t>F70F2 (Estaño Mate) | 12.7 - 19.05 µm</t>
  </si>
  <si>
    <t>F70F2 (Estaño Mate) | 2.54 - 5.08 µm</t>
  </si>
  <si>
    <t>F70F2 (Estaño Mate) | 25.4 - 38.1 µm</t>
  </si>
  <si>
    <t>F70F2 (Estaño Mate) | 3.81 - 7.62 µm</t>
  </si>
  <si>
    <t>F70F2 (Estaño Mate) | 5.08 - 10.16 µm</t>
  </si>
  <si>
    <t>F70H2 (Plata Mate) | 0.508 - 1.016 µm</t>
  </si>
  <si>
    <t>F70H2 (Plata Mate) | 10.2 - 15.2 µm</t>
  </si>
  <si>
    <t>F70H2 (Plata Mate) | 12.7 - 19.1 µm</t>
  </si>
  <si>
    <t>F70H2 (Plata Mate) | 2.5 - 7.6 µm</t>
  </si>
  <si>
    <t>F70H2 (Plata Mate) | 25.4 - 38.1 µm</t>
  </si>
  <si>
    <t>F70H2 (Plata Mate) | 5.1 - 10.2 µm</t>
  </si>
  <si>
    <t>F70H3 (Plata Semibrillante) | 12.7 - 19.1 µm</t>
  </si>
  <si>
    <t>F70H3 (Plata Semibrillante) | 2.54 - 5 µm</t>
  </si>
  <si>
    <t>F70H3 (Plata Semibrillante) | 5.1 - 10.2 µm</t>
  </si>
  <si>
    <t>FFS-1A1 (Fosfato de Zinc) | 10 - 35 µm</t>
  </si>
  <si>
    <t>FFS-1C1 (Fosfato de Zinc c/Aceite) | 15 - 45 µm</t>
  </si>
  <si>
    <t>FFS-2B4 (Zinc Cromato Verde - Amarillo - Claro) | 13.0 - 18.0 µm</t>
  </si>
  <si>
    <t>FFS-2B4 (Zinc Cromato Verde - Amarillo - Claro) | 3.8 - 6.4 µm</t>
  </si>
  <si>
    <t>FFS-2B4 (Zinc Cromato Verde - Amarillo - Claro) | 6.3 - 8.9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</si>
  <si>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</si>
  <si>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</si>
  <si>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</si>
  <si>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</si>
  <si>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</si>
  <si>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</si>
  <si>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</si>
  <si>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FTR00025 (Zinc) | 8.0 - 12.0 µm</t>
  </si>
  <si>
    <t>FTR00047 (Plata) | 2 - 5 µm</t>
  </si>
  <si>
    <t>FTR00047 (Plata) | 5 - 8 µm</t>
  </si>
  <si>
    <t>GG QTLV 5115 (Níquel Sulfamato) | 5 - 15 µm</t>
  </si>
  <si>
    <t>KDS-258-107 (Estaño) | 2.5 - 5 µm</t>
  </si>
  <si>
    <t>MS-S1053 (Fosfato de Manganeso - Medición de Grano) | 5 - 11 µm</t>
  </si>
  <si>
    <t>NNZ3703201 (Epóxico MT) | 80 - 100 mils</t>
  </si>
  <si>
    <t>P 1029 P003 E 131 (Níquel Electroless) (Moneda) | 45 - 70 µm</t>
  </si>
  <si>
    <t>PL 112-16-2 (Estaño) | 3.8 - 12.7 µm</t>
  </si>
  <si>
    <t>RC Ag (Plata) | 0.076 - 1.27 µm</t>
  </si>
  <si>
    <t>RC Ag (Plata) | 0.127 - 0.5 µm</t>
  </si>
  <si>
    <t>RC Ag (Plata) | 0.27 - 1.27 µm</t>
  </si>
  <si>
    <t>RC Ag (Plata) | 0.3 - 0.8 µm</t>
  </si>
  <si>
    <t>RC Ag (Plata) | 0.4 - 2.5 µm</t>
  </si>
  <si>
    <t>RC Ag (Plata) | 0.5 - 1.5 µm</t>
  </si>
  <si>
    <t>RC Ag (Plata) | 0.508 - 1.016 µm</t>
  </si>
  <si>
    <t>RC Ag (Plata) | 1.5 - 2.5 µm</t>
  </si>
  <si>
    <t>RC Ag (Plata) | 13 - 16 µm</t>
  </si>
  <si>
    <t>RC Ag (Plata) | 2.0 - 6.0 µm</t>
  </si>
  <si>
    <t>RC Ag (Plata) | 3.8 - 5.5 µm</t>
  </si>
  <si>
    <t>RC Ag (Plata) | 8 - 12 µm</t>
  </si>
  <si>
    <t>RC Anodizado Natural | 12 - 18 µm</t>
  </si>
  <si>
    <t>RC Anodizado Natural | 8 - 13 µm</t>
  </si>
  <si>
    <t>RC Anodizado Negro | 12 - 18 µm</t>
  </si>
  <si>
    <t>RC Anodizado Negro | 8 - 13 µm</t>
  </si>
  <si>
    <t>RC Brill 61</t>
  </si>
  <si>
    <t>RC Cromo Duro | 12.7 - 17.78 µm</t>
  </si>
  <si>
    <t>RC Cromo Duro | 19.05 - 31.75 µm</t>
  </si>
  <si>
    <t>RC Cromo Duro | 38.5 - 63.5 µm</t>
  </si>
  <si>
    <t>RC Cromo Duro | 63.5 - 88.9 µm</t>
  </si>
  <si>
    <t>RC Cromo Duro | 7.62 - 12.7 µm</t>
  </si>
  <si>
    <t>RC Cu (Cobre) | 0.25 - 1 µm</t>
  </si>
  <si>
    <t>RC Cu (Cobre) | 10 - 12 µm</t>
  </si>
  <si>
    <t>RC Cu (Cobre) | 3 - 5 µm</t>
  </si>
  <si>
    <t>RC Cu (Cobre) | 5 - 10 µm</t>
  </si>
  <si>
    <t>RC Decapado</t>
  </si>
  <si>
    <t>RC Electropulido</t>
  </si>
  <si>
    <t>RC Empaque</t>
  </si>
  <si>
    <t>RC EpBT (Epóxico BT) | 10 - 15 mils</t>
  </si>
  <si>
    <t>RC EpBT (Epóxico BT) | 4 - 11 mils</t>
  </si>
  <si>
    <t>RC EpMT (Epóxico MT) | 94 - 140 mils</t>
  </si>
  <si>
    <t>RC Lavado</t>
  </si>
  <si>
    <t>RC Limpieza Mecánica</t>
  </si>
  <si>
    <t>RC Ni (Níquel) | 1.0 - 3.0 µm</t>
  </si>
  <si>
    <t>RC Ni (Níquel) | 10 - 13 µm</t>
  </si>
  <si>
    <t>RC Ni (Níquel) | 2.54 - 5.08 µm</t>
  </si>
  <si>
    <t>RC Ni (Níquel) | 5 - 9 µm</t>
  </si>
  <si>
    <t>RC Ni (Níquel) | 6 - 10 µm</t>
  </si>
  <si>
    <t>RC Ni (Níquel) | 7.6 - 12.7 µm</t>
  </si>
  <si>
    <t>RC NiCrv (Níquel Cromvet) | 0.5 - 1 µm</t>
  </si>
  <si>
    <t>RC NiEl (Níquel Electroless) | 12.7 - 17.78 µm</t>
  </si>
  <si>
    <t>RC NiEl (Níquel Electroless) | 2.5 - 7.5 µm</t>
  </si>
  <si>
    <t>RC NiEl (Níquel Electroless) | 25 - 38 µm</t>
  </si>
  <si>
    <t>RC NiEl (Níquel Electroless) | 30 - 35 µm</t>
  </si>
  <si>
    <t>RC NiEl (Níquel Electroless) | 5 - 9 µm</t>
  </si>
  <si>
    <t>RC NiEl (Níquel Electroless) | 50 - 63 µm</t>
  </si>
  <si>
    <t>RC NiEl (Níquel Electroless) | 6 - 10 µm</t>
  </si>
  <si>
    <t>RC NiEl (Níquel Electroless) | 7.6 - 12.7 µm</t>
  </si>
  <si>
    <t>RC No Oxide</t>
  </si>
  <si>
    <t>RC Pasivado</t>
  </si>
  <si>
    <t>RC Rebabeo</t>
  </si>
  <si>
    <t>RC Sn (Estaño) | 0.076 - 0.2 µm</t>
  </si>
  <si>
    <t>RC Sn (Estaño) | 0.254 - 1.5 µm</t>
  </si>
  <si>
    <t>RC Sn (Estaño) | 0.3 - 0.8 µm</t>
  </si>
  <si>
    <t>RC Sn (Estaño) | 0.508 - 1.016 µm</t>
  </si>
  <si>
    <t>RC Sn (Estaño) | 0.6 - 2 µm</t>
  </si>
  <si>
    <t>RC Sn (Estaño) | 1.0 - 5.0 µm</t>
  </si>
  <si>
    <t>RC Sn (Estaño) | 1.27 - 10.16 µm</t>
  </si>
  <si>
    <t>RC Sn (Estaño) | 10 - 12 µm</t>
  </si>
  <si>
    <t>RC Sn (Estaño) | 12.7 -18.0 µm</t>
  </si>
  <si>
    <t>RC Sn (Estaño) | 250 - 255 µm</t>
  </si>
  <si>
    <t>RC Sn (Estaño) | 3 - 5 µm</t>
  </si>
  <si>
    <t>RC Sn (Estaño) | 3.8 - 12.7 µm</t>
  </si>
  <si>
    <t>RC Sn (Estaño) | 5 - 10 µm</t>
  </si>
  <si>
    <t>RC Sn (Estaño) | 5 - 12 µm</t>
  </si>
  <si>
    <t>RC Sn (Estaño) | 5 - 8 µm</t>
  </si>
  <si>
    <t>RC Sn (Estaño) | 6.1 - 12.0 µm</t>
  </si>
  <si>
    <t>RC Sn (Estaño) | 8 - 12 µm</t>
  </si>
  <si>
    <t>RC Sn (Estaño) | 9 - 25 µm</t>
  </si>
  <si>
    <t>RC Zn (Zinc) | 12 - 16 µm</t>
  </si>
  <si>
    <t>RC Zn (Zinc) | 15 - 18 µm</t>
  </si>
  <si>
    <t>RC Zn (Zinc) | 20 - 24 µm</t>
  </si>
  <si>
    <t>RC Zn (Zinc) | 5 - 10 µm</t>
  </si>
  <si>
    <t>RC Zn (Zinc) | 8 - 12 µm</t>
  </si>
  <si>
    <t>RC Zn-Ni (Zinc Níquel - Bonete) | 8 - 25 µm</t>
  </si>
  <si>
    <t>S30793-507 (Estaño) | 2.5 - 5 µm</t>
  </si>
  <si>
    <t>TL 203 (Níquel Cromo) | 10 - 13 µm</t>
  </si>
  <si>
    <t>TS1E-010-103 (Fosfato de Manganeso - Medición de Grano - GM) | 5 - 11 µm</t>
  </si>
  <si>
    <t>T101-BA01</t>
  </si>
  <si>
    <t>T102-FL01</t>
  </si>
  <si>
    <t>Galvanil</t>
  </si>
  <si>
    <t>T300-CE03 Célula de Antitarnish (20.0)</t>
  </si>
  <si>
    <t>T300-CE05 Célula de Barnizado (40.0)</t>
  </si>
  <si>
    <t>T500-CE04 Célula de Ensamble de Kits (80.0)</t>
  </si>
  <si>
    <t>ALAN JAIR RAMOS ROJAS</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</si>
  <si>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</si>
  <si>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</si>
  <si>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</si>
  <si>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</si>
  <si>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</si>
  <si>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</si>
  <si>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</si>
  <si>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</si>
  <si>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</si>
  <si>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</si>
  <si>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</si>
  <si>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Nínive Sarai Delgado Tolentino</t>
  </si>
  <si>
    <t>ROBERTO PERALTA SANCHEZ</t>
  </si>
  <si>
    <t>SAUL YAEL MARTINEZ CARMONA</t>
  </si>
  <si>
    <t>VICENTE GUTIERREZ DAVALOS</t>
  </si>
  <si>
    <t>YURITZI FLORES SANCHEZ</t>
  </si>
  <si>
    <t>Aleta de Tiburón</t>
  </si>
  <si>
    <t>bus bar</t>
  </si>
  <si>
    <t>Ensambles</t>
  </si>
  <si>
    <t>Proyecto "ABB"</t>
  </si>
  <si>
    <t>Sólo Puntas</t>
  </si>
  <si>
    <t>Toda la Pieza</t>
  </si>
  <si>
    <t>Id SH</t>
  </si>
  <si>
    <t>LÍNEA Y ACABADOS (Labels)</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</si>
  <si>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</si>
  <si>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</si>
  <si>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</si>
  <si>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</si>
  <si>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</si>
  <si>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</si>
  <si>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</si>
  <si>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</si>
  <si>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</si>
  <si>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</si>
  <si>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</si>
  <si>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</si>
  <si>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</si>
  <si>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</si>
  <si>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</si>
  <si>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</si>
  <si>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</si>
  <si>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Carga Masiva Steelhead v11</t>
  </si>
  <si>
    <t>Línea2</t>
  </si>
  <si>
    <t>Característica Especial</t>
  </si>
  <si>
    <t>Metal Base</t>
  </si>
  <si>
    <t>Fila Activa Upload</t>
  </si>
  <si>
    <t>Procesos posibles (fila activa)</t>
  </si>
  <si>
    <t>Limpieza</t>
  </si>
  <si>
    <t>Línea 4.0</t>
  </si>
  <si>
    <t>General</t>
  </si>
  <si>
    <t>Bright Dip + Empaque</t>
  </si>
  <si>
    <t>Decapado + Bright Dip</t>
  </si>
  <si>
    <t>Bare</t>
  </si>
  <si>
    <t>Decapado + Pasivado</t>
  </si>
  <si>
    <t>Decapado + Horneado</t>
  </si>
  <si>
    <t>Decapado + Deshidrogenado</t>
  </si>
  <si>
    <t>Lavado + Empaque</t>
  </si>
  <si>
    <t>No Retira el Zinc</t>
  </si>
  <si>
    <t>Lavado Especial (Zinc) + Empaque</t>
  </si>
  <si>
    <t>Hubbell</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</si>
  <si>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</si>
  <si>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</si>
  <si>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</si>
  <si>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</si>
  <si>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</si>
  <si>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</si>
  <si>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</si>
  <si>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</si>
  <si>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</si>
  <si>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</si>
  <si>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</si>
  <si>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</si>
  <si>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Línea 6.0</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</si>
  <si>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</si>
  <si>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</si>
  <si>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</si>
  <si>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</si>
  <si>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</si>
  <si>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</si>
  <si>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</si>
  <si>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</si>
  <si>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</si>
  <si>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</si>
  <si>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</si>
  <si>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</si>
  <si>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</si>
  <si>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</si>
  <si>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</si>
  <si>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</si>
  <si>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</si>
  <si>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</si>
  <si>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</si>
  <si>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</si>
  <si>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</si>
  <si>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</si>
  <si>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</si>
  <si>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</si>
  <si>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</si>
  <si>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</si>
  <si>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</si>
  <si>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</si>
  <si>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Lavado + Estaño</t>
  </si>
  <si>
    <t>Lavado + Estaño + Empaque</t>
  </si>
  <si>
    <t>Estaño + Empaque</t>
  </si>
  <si>
    <t>Decapado + Estaño</t>
  </si>
  <si>
    <t>Lavado + Decapado + Estaño</t>
  </si>
  <si>
    <t>Limpieza Mecánica + Estaño</t>
  </si>
  <si>
    <t>Limpieza Mecánica + Decapado + Estaño</t>
  </si>
  <si>
    <t>Lavado + Limpieza Mecánica + Decapado + Estaño</t>
  </si>
  <si>
    <t>Línea 7.0</t>
  </si>
  <si>
    <t>Línea 7.1</t>
  </si>
  <si>
    <t>Piñón</t>
  </si>
  <si>
    <t>Pistón</t>
  </si>
  <si>
    <t>Fosfato de Manganeso + Aceitado</t>
  </si>
  <si>
    <t>Línea 7.2</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</si>
  <si>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</si>
  <si>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</si>
  <si>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</si>
  <si>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</si>
  <si>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</si>
  <si>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</si>
  <si>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</si>
  <si>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</si>
  <si>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Línea 10.0</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</si>
  <si>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</si>
  <si>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</si>
  <si>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</si>
  <si>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</si>
  <si>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</si>
  <si>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</si>
  <si>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</si>
  <si>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</si>
  <si>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</si>
  <si>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</si>
  <si>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</si>
  <si>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</si>
  <si>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</si>
  <si>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</si>
  <si>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</si>
  <si>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</si>
  <si>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</si>
  <si>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</si>
  <si>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</si>
  <si>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</si>
  <si>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</si>
  <si>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</si>
  <si>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</si>
  <si>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</si>
  <si>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</si>
  <si>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</si>
  <si>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</si>
  <si>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</si>
  <si>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</si>
  <si>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</si>
  <si>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</si>
  <si>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Línea 11.0</t>
  </si>
  <si>
    <t>Veeball</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</si>
  <si>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</si>
  <si>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</si>
  <si>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</si>
  <si>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</si>
  <si>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</si>
  <si>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</si>
  <si>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</si>
  <si>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</si>
  <si>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</si>
  <si>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</si>
  <si>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</si>
  <si>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</si>
  <si>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</si>
  <si>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</si>
  <si>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</si>
  <si>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</si>
  <si>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Línea 12.0</t>
  </si>
  <si>
    <t>Cobre + Estaño</t>
  </si>
  <si>
    <t>Lavado + Cobre + Estaño</t>
  </si>
  <si>
    <t>Lavado + Cobre + Estaño + Empaque</t>
  </si>
  <si>
    <t>Cobre + Estaño + Empaque</t>
  </si>
  <si>
    <t>Cobre + Estaño Mate</t>
  </si>
  <si>
    <t>Decapado + Cobre + Estaño</t>
  </si>
  <si>
    <t>Decapado + Cobre + Estaño + Empaque</t>
  </si>
  <si>
    <t>Decapado + Estaño + Empaque</t>
  </si>
  <si>
    <t>Línea 13.0</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</si>
  <si>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</si>
  <si>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</si>
  <si>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</si>
  <si>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</si>
  <si>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</si>
  <si>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</si>
  <si>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</si>
  <si>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Bujía</t>
  </si>
  <si>
    <t>Prelimpieza + Níquel Woods + Níquel Electroless</t>
  </si>
  <si>
    <t>Decapado + Níquel Electroless</t>
  </si>
  <si>
    <t>Níquel Electroless + Horneado + Decapado + Fibrado</t>
  </si>
  <si>
    <t>Cages s/Níquel Woods</t>
  </si>
  <si>
    <t>Níquel Electroless + Horneado</t>
  </si>
  <si>
    <t>Níquel Electroless + Deshidrogenado + Decapado + Fibrado</t>
  </si>
  <si>
    <t>Níquel Electroless + Deshidrogenado</t>
  </si>
  <si>
    <t>Níquel Woods + Níquel Electroless + Horneado + Decapado + Fibrado</t>
  </si>
  <si>
    <t>Cages c/Níquel Woods</t>
  </si>
  <si>
    <t>Níquel Woods + Níquel Electroless + Horneado</t>
  </si>
  <si>
    <t>Níquel Woods + Níquel Electroless + Deshidrogenado + Decapado + Fibrado</t>
  </si>
  <si>
    <t>Níquel Woods + Níquel Electroless + Deshidrogenado</t>
  </si>
  <si>
    <t>Cobre + Níquel Woods + Níquel Electroless + Níquel Cromvet + Pasivado</t>
  </si>
  <si>
    <t>Cromvet</t>
  </si>
  <si>
    <t>Línea 13.2</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</si>
  <si>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</si>
  <si>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</si>
  <si>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</si>
  <si>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</si>
  <si>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</si>
  <si>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</si>
  <si>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</si>
  <si>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</si>
  <si>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</si>
  <si>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</si>
  <si>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</si>
  <si>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</si>
  <si>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</si>
  <si>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</si>
  <si>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</si>
  <si>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</si>
  <si>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</si>
  <si>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</si>
  <si>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</si>
  <si>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</si>
  <si>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</si>
  <si>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</si>
  <si>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</si>
  <si>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</si>
  <si>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</si>
  <si>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</si>
  <si>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</si>
  <si>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</si>
  <si>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</si>
  <si>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</si>
  <si>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</si>
  <si>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Línea 14.0</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</si>
  <si>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</si>
  <si>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</si>
  <si>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</si>
  <si>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</si>
  <si>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</si>
  <si>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</si>
  <si>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</si>
  <si>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</si>
  <si>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</si>
  <si>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</si>
  <si>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</si>
  <si>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Línea 15.0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</si>
  <si>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</si>
  <si>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</si>
  <si>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</si>
  <si>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</si>
  <si>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</si>
  <si>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</si>
  <si>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</si>
  <si>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</si>
  <si>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</si>
  <si>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</si>
  <si>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</si>
  <si>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</si>
  <si>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</si>
  <si>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</si>
  <si>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</si>
  <si>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Bujía Renault</t>
  </si>
  <si>
    <t>RPK</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</si>
  <si>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</si>
  <si>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</si>
  <si>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</si>
  <si>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</si>
  <si>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</si>
  <si>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</si>
  <si>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</si>
  <si>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</si>
  <si>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</si>
  <si>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</si>
  <si>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</si>
  <si>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</si>
  <si>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</si>
  <si>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Línea 16.0</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</si>
  <si>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</si>
  <si>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</si>
  <si>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</si>
  <si>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</si>
  <si>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</si>
  <si>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</si>
  <si>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</si>
  <si>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</si>
  <si>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</si>
  <si>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</si>
  <si>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</si>
  <si>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</si>
  <si>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</si>
  <si>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</si>
  <si>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</si>
  <si>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</si>
  <si>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</si>
  <si>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</si>
  <si>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Limpieza Especial (ISP/PCL)+ Plata + Antitarnish</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</si>
  <si>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</si>
  <si>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</si>
  <si>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</si>
  <si>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</si>
  <si>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</si>
  <si>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</si>
  <si>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</si>
  <si>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</si>
  <si>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</si>
  <si>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</si>
  <si>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</si>
  <si>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</si>
  <si>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</si>
  <si>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</si>
  <si>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</si>
  <si>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</si>
  <si>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</si>
  <si>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</si>
  <si>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Línea 16.1</t>
  </si>
  <si>
    <t>Níquel Woods + Estaño</t>
  </si>
  <si>
    <t>Níquel Brillante (Sulfato) + Estaño</t>
  </si>
  <si>
    <t>Níquel Woods + Estaño Mate</t>
  </si>
  <si>
    <t>Níquel Brillante (Sulfato) + Estaño Mate</t>
  </si>
  <si>
    <t>Decapado + Níquel Woods + Estaño</t>
  </si>
  <si>
    <t>Decapado + Níquel Brillante (Sulfato) + Estaño</t>
  </si>
  <si>
    <t>Decapado + Níquel Woods + Estaño Mate</t>
  </si>
  <si>
    <t>Decapado + Níquel Brillante (Sulfato) + Estaño Mate</t>
  </si>
  <si>
    <t>Estaño + Epóxico BT</t>
  </si>
  <si>
    <t>Decapado + Estaño + Epóxico BT</t>
  </si>
  <si>
    <t>Estaño + Epóxico MT</t>
  </si>
  <si>
    <t>Decapado + Estaño + Epóxico MT</t>
  </si>
  <si>
    <t>Limpieza Especial (ISP/PCL) + Estaño</t>
  </si>
  <si>
    <t>RG, QRO, ABB, TLX</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</si>
  <si>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</si>
  <si>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</si>
  <si>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</si>
  <si>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</si>
  <si>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</si>
  <si>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</si>
  <si>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</si>
  <si>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</si>
  <si>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</si>
  <si>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</si>
  <si>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</si>
  <si>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</si>
  <si>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</si>
  <si>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</si>
  <si>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</si>
  <si>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</si>
  <si>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</si>
  <si>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</si>
  <si>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</si>
  <si>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</si>
  <si>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</si>
  <si>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</si>
  <si>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</si>
  <si>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</si>
  <si>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</si>
  <si>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</si>
  <si>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</si>
  <si>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</si>
  <si>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</si>
  <si>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</si>
  <si>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</si>
  <si>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</si>
  <si>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</si>
  <si>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</si>
  <si>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</si>
  <si>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</si>
  <si>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</si>
  <si>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</si>
  <si>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</si>
  <si>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Línea 16.2</t>
  </si>
  <si>
    <t>Línea 16.3</t>
  </si>
  <si>
    <t>Lavado + Decapado + Cobre + Estaño</t>
  </si>
  <si>
    <t>Limpieza Especial (ISP/PCL) + Estaño + Empaque</t>
  </si>
  <si>
    <t>Cobre + Plata + Evabrite + Empaque</t>
  </si>
  <si>
    <t>Zion</t>
  </si>
  <si>
    <t>Fibrado + Plata</t>
  </si>
  <si>
    <t>Wieland</t>
  </si>
  <si>
    <t>Solera Wieland</t>
  </si>
  <si>
    <t>Fibrado + Plata + Antitarnish</t>
  </si>
  <si>
    <t>Fibrado + Plata Flash</t>
  </si>
  <si>
    <t>Fibrado + Plata Flash + Antitarnish</t>
  </si>
  <si>
    <t>Maquila QRO</t>
  </si>
  <si>
    <t>Solera RG</t>
  </si>
  <si>
    <t>Maquila RG</t>
  </si>
  <si>
    <t>Línea 16.4</t>
  </si>
  <si>
    <t>Decapado + Anodizado + Tinta Negra</t>
  </si>
  <si>
    <t>Decapado + Anodizado Negro</t>
  </si>
  <si>
    <t>Anodizado + Tinta Negra</t>
  </si>
  <si>
    <t>Línea 17.0</t>
  </si>
  <si>
    <t>Línea 18.0</t>
  </si>
  <si>
    <t>Lavado de Bimetales + Tratamiento Térmico + Estaño</t>
  </si>
  <si>
    <t>Línea 20.0</t>
  </si>
  <si>
    <t>Limpieza Especial (ISP/PCL) + Antitarnish</t>
  </si>
  <si>
    <t>Línea 23.0</t>
  </si>
  <si>
    <t>Línea 24.0</t>
  </si>
  <si>
    <t>Lavado + Decapado + Estaño + Empaque</t>
  </si>
  <si>
    <t>Celco</t>
  </si>
  <si>
    <t>Línea 25.0</t>
  </si>
  <si>
    <t>Línea 26.0</t>
  </si>
  <si>
    <t>Zinc-Níquel</t>
  </si>
  <si>
    <t>Línea 28.0</t>
  </si>
  <si>
    <t>Zinc Níquel + Cromato Negro</t>
  </si>
  <si>
    <t>Bonete</t>
  </si>
  <si>
    <t>Epóxico</t>
  </si>
  <si>
    <t>Línea 30.0</t>
  </si>
  <si>
    <t>Línea 60.0</t>
  </si>
  <si>
    <t>C-4</t>
  </si>
  <si>
    <t>Decapado + Plata + Empaque</t>
  </si>
  <si>
    <t>Sandblast + Plata</t>
  </si>
  <si>
    <t>C-5</t>
  </si>
  <si>
    <t>Sandblast + Plata + Empaque</t>
  </si>
  <si>
    <t>Sandblast + Plata + Evabrite</t>
  </si>
  <si>
    <t>Sandblast + Plata + Evabrite + Empaque</t>
  </si>
  <si>
    <t>Línea 40.0</t>
  </si>
  <si>
    <t>T400-CE08 Barnizado (40.0)</t>
  </si>
  <si>
    <t>Línea 80.0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</si>
  <si>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</si>
  <si>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</si>
  <si>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</si>
  <si>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</si>
  <si>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</si>
  <si>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</si>
  <si>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</si>
  <si>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</si>
  <si>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</si>
  <si>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</si>
  <si>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</si>
  <si>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</si>
  <si>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</si>
  <si>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</si>
  <si>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</si>
  <si>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</si>
  <si>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</si>
  <si>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</si>
  <si>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</si>
  <si>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</si>
  <si>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</si>
  <si>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</si>
  <si>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</si>
  <si>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</si>
  <si>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</si>
  <si>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</si>
  <si>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</si>
  <si>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</si>
  <si>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</si>
  <si>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</si>
  <si>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</si>
  <si>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</si>
  <si>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</si>
  <si>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</si>
  <si>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</si>
  <si>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</si>
  <si>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</si>
  <si>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</si>
  <si>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</si>
  <si>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</si>
  <si>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</si>
  <si>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</si>
  <si>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</si>
  <si>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</si>
  <si>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</si>
  <si>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</si>
  <si>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</si>
  <si>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</si>
  <si>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</si>
  <si>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</si>
  <si>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</si>
  <si>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</si>
  <si>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</si>
  <si>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</si>
  <si>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</si>
  <si>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</si>
  <si>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</si>
  <si>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</si>
  <si>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</si>
  <si>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</si>
  <si>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</si>
  <si>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</si>
  <si>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</si>
  <si>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</si>
  <si>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</si>
  <si>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</si>
  <si>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</si>
  <si>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</si>
  <si>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</si>
  <si>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</si>
  <si>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</si>
  <si>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</si>
  <si>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</si>
  <si>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</si>
  <si>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</si>
  <si>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</si>
  <si>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</si>
  <si>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</si>
  <si>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</si>
  <si>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</si>
  <si>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</si>
  <si>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</si>
  <si>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</si>
  <si>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</si>
  <si>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</si>
  <si>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</si>
  <si>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</si>
  <si>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</si>
  <si>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</si>
  <si>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</si>
  <si>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</si>
  <si>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</si>
  <si>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</si>
  <si>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</si>
  <si>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</si>
  <si>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</si>
  <si>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</si>
  <si>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</si>
  <si>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ANTITARNISH RG</t>
  </si>
  <si>
    <t>BONDAL RG</t>
  </si>
  <si>
    <t>DECAPADO ESTAÑADO RG</t>
  </si>
  <si>
    <t>DECAPADO ESTAÑO,EPOXICO BT</t>
  </si>
  <si>
    <t>LM</t>
  </si>
  <si>
    <t>DECAPADO ESTAÑO,EPOXICO MT</t>
  </si>
  <si>
    <t>DECAPADO PLATEADO RG</t>
  </si>
  <si>
    <t>DECAPADO PLATEADO,ANTITARNISH</t>
  </si>
  <si>
    <t>DECAPADO PLATEADO,ANTITARNISH,EPOXICO MT</t>
  </si>
  <si>
    <t>DECAPADO PLATEADO,ANTITARNISH,EPOXICO BT</t>
  </si>
  <si>
    <t>DECAPADO,PLATEADO,ANTITARNISH,EPOXICO MT</t>
  </si>
  <si>
    <t>DECAPADO RG</t>
  </si>
  <si>
    <t>EPOXICO BT</t>
  </si>
  <si>
    <t>EPOXICO MT</t>
  </si>
  <si>
    <t>ESTAÑO RG</t>
  </si>
  <si>
    <t>FTK</t>
  </si>
  <si>
    <t>PLATEADO CD</t>
  </si>
  <si>
    <t>PROYECTO BARRAS</t>
  </si>
  <si>
    <t>SERVICIO ESTAÑO CD</t>
  </si>
  <si>
    <t>SILVER FLASH, ANTITARNISH</t>
  </si>
  <si>
    <t>SILVER FLASH,ANTITARNISH,EPOXICO BT</t>
  </si>
  <si>
    <t>SILVER FLASH,ANTITARNISH,EPOXICO MT</t>
  </si>
  <si>
    <t>SIVER FLASH RG</t>
  </si>
  <si>
    <t>ZINC CROMATO TRIVALENTE RG</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</si>
  <si>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</si>
  <si>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</si>
  <si>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</si>
  <si>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</si>
  <si>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</si>
  <si>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</si>
  <si>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</si>
  <si>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</si>
  <si>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</si>
  <si>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</si>
  <si>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</si>
  <si>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</si>
  <si>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</si>
  <si>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</si>
  <si>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</si>
  <si>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</si>
  <si>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COTIZACIÓN+NP</t>
  </si>
  <si>
    <t>Prueba de Proceso</t>
  </si>
  <si>
    <t>T101 (ROD)-T109 (NBR)-FE/AC-GRANEL (15.0)5</t>
  </si>
  <si>
    <t>T103 (CRD)-FE/AC/INOX-VARIOS (11.0)1</t>
  </si>
  <si>
    <t>T104 (DEC)-T104 (ZIN)-T104 (CTR)-FE/AC-VARIOS (6.0)z</t>
  </si>
  <si>
    <t>ALDO ESTRADA REYES</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</si>
  <si>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</si>
  <si>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</si>
  <si>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</si>
  <si>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</si>
  <si>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</si>
  <si>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</si>
  <si>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</si>
  <si>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</si>
  <si>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</si>
  <si>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</si>
  <si>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</si>
  <si>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</si>
  <si>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</si>
  <si>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</si>
  <si>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SIMON YAHIR MARTINEZ MADRIGAL</t>
  </si>
  <si>
    <t>VICTOR MANUEL PEÑA SALVADOR</t>
  </si>
  <si>
    <t>Selecciona primero algunos acabados para seleccionar las especificaciones que le corresponden</t>
  </si>
  <si>
    <t>Otros</t>
  </si>
  <si>
    <t>Níquel+Zinc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</si>
</sst>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
    <numFmt numFmtId="165" formatCode="0.0000"/>
    <numFmt numFmtId="166" formatCode="0.0"/>
  </numFmts>
  <fonts count="51"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s>
  <fills count="37">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s>
  <borders count="27">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style="thin">
        <color rgb="FFCCCCCC"/>
      </left>
      <right/>
      <top style="thin">
        <color rgb="FFCCCCCC"/>
      </top>
      <bottom style="thin">
        <color rgb="FFCCCCCC"/>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s>
  <cellStyleXfs count="4">
    <xf numFmtId="0" fontId="0" fillId="0" borderId="0"/>
    <xf numFmtId="0" fontId="1" fillId="0" borderId="0"/>
    <xf numFmtId="0" fontId="42" fillId="0" borderId="0"/>
    <xf numFmtId="0" fontId="41" fillId="0" borderId="0"/>
  </cellStyleXfs>
  <cellXfs count="171">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5"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1"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9" fontId="28" fillId="26" borderId="0" xfId="0" applyNumberFormat="1" applyFont="1" applyFill="1" applyAlignment="1">
      <alignment horizontal="right" vertical="center"/>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8" xfId="0" applyFont="1" applyBorder="1" applyAlignment="1">
      <alignment horizontal="left" vertical="center" wrapText="1"/>
    </xf>
    <xf numFmtId="0" fontId="28" fillId="0" borderId="1" xfId="0" applyFont="1" applyBorder="1" applyAlignment="1">
      <alignment horizontal="left" vertical="center" wrapText="1"/>
    </xf>
    <xf numFmtId="3" fontId="28" fillId="0" borderId="1" xfId="0" applyNumberFormat="1" applyFont="1" applyBorder="1" applyAlignment="1">
      <alignment horizontal="right" vertical="center"/>
    </xf>
    <xf numFmtId="164" fontId="28" fillId="0" borderId="1" xfId="0" applyNumberFormat="1" applyFont="1" applyBorder="1" applyAlignment="1">
      <alignment horizontal="right" vertical="center"/>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0" fontId="35" fillId="20" borderId="2" xfId="0" applyFont="1" applyFill="1" applyBorder="1" applyAlignment="1">
      <alignment horizontal="center" vertical="center" wrapText="1"/>
    </xf>
    <xf numFmtId="164"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20" borderId="5" xfId="0" applyFont="1" applyFill="1" applyBorder="1" applyAlignment="1">
      <alignment horizontal="center" vertical="center"/>
    </xf>
    <xf numFmtId="164"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3" fontId="28" fillId="18" borderId="1" xfId="0" applyNumberFormat="1" applyFont="1" applyFill="1" applyBorder="1" applyAlignment="1">
      <alignment horizontal="center" vertical="center"/>
      <extLst>
        <ext xmlns:xfpb="http://schemas.microsoft.com/office/spreadsheetml/2022/featurepropertybag" uri="{C7286773-470A-42A8-94C5-96B5CB345126}">
          <xfpb:xfComplement i="0"/>
        </ext>
      </extLst>
    </xf>
    <xf numFmtId="0" fontId="28" fillId="18" borderId="1" xfId="0" applyFont="1" applyFill="1" applyBorder="1" applyAlignment="1">
      <alignment horizontal="center" vertical="center"/>
      <extLst>
        <ext xmlns:xfpb="http://schemas.microsoft.com/office/spreadsheetml/2022/featurepropertybag" uri="{C7286773-470A-42A8-94C5-96B5CB345126}">
          <xfpb:xfComplement i="0"/>
        </ext>
      </extLst>
    </xf>
    <xf numFmtId="4" fontId="28" fillId="18" borderId="1" xfId="0" applyNumberFormat="1" applyFont="1" applyFill="1" applyBorder="1" applyAlignment="1">
      <alignment horizontal="center" vertical="center"/>
      <extLst>
        <ext xmlns:xfpb="http://schemas.microsoft.com/office/spreadsheetml/2022/featurepropertybag" uri="{C7286773-470A-42A8-94C5-96B5CB345126}">
          <xfpb:xfComplement i="0"/>
        </ext>
      </extLst>
    </xf>
    <xf numFmtId="4" fontId="28" fillId="18" borderId="7" xfId="0" applyNumberFormat="1" applyFont="1" applyFill="1" applyBorder="1" applyAlignment="1">
      <alignment horizontal="center" vertical="center"/>
      <extLst>
        <ext xmlns:xfpb="http://schemas.microsoft.com/office/spreadsheetml/2022/featurepropertybag" uri="{C7286773-470A-42A8-94C5-96B5CB345126}">
          <xfpb:xfComplement i="0"/>
        </ext>
      </extLst>
    </xf>
    <xf numFmtId="0" fontId="28" fillId="18" borderId="1" xfId="0" applyFont="1" applyFill="1" applyBorder="1" applyAlignment="1">
      <alignment vertical="center"/>
    </xf>
    <xf numFmtId="49" fontId="28" fillId="18" borderId="8"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5" fontId="39" fillId="21" borderId="0" xfId="0" applyNumberFormat="1" applyFont="1" applyFill="1" applyAlignment="1">
      <alignment horizontal="center" vertical="center"/>
    </xf>
    <xf numFmtId="0" fontId="39" fillId="18" borderId="0" xfId="0" applyFont="1" applyFill="1" applyAlignment="1">
      <alignment horizontal="center" vertical="center"/>
    </xf>
    <xf numFmtId="0" fontId="28" fillId="18" borderId="7" xfId="0" applyFont="1" applyFill="1" applyBorder="1" applyAlignment="1">
      <alignment horizontal="center" vertical="center"/>
      <extLst>
        <ext xmlns:xfpb="http://schemas.microsoft.com/office/spreadsheetml/2022/featurepropertybag" uri="{C7286773-470A-42A8-94C5-96B5CB345126}">
          <xfpb:xfComplement i="0"/>
        </ext>
      </extLst>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5" xfId="2" applyFont="1" applyFill="1" applyBorder="1" applyAlignment="1">
      <alignment horizontal="center" vertical="center"/>
    </xf>
    <xf numFmtId="0" fontId="43" fillId="28" borderId="23" xfId="2" applyFont="1" applyFill="1" applyBorder="1" applyAlignment="1">
      <alignment horizontal="center"/>
    </xf>
    <xf numFmtId="0" fontId="43" fillId="27" borderId="20" xfId="2" applyFont="1" applyFill="1" applyBorder="1" applyAlignment="1">
      <alignment horizontal="center"/>
    </xf>
    <xf numFmtId="0" fontId="43" fillId="27" borderId="20" xfId="2" applyFont="1" applyFill="1" applyBorder="1" applyAlignment="1">
      <alignment horizontal="center" vertical="center"/>
    </xf>
    <xf numFmtId="0" fontId="43" fillId="27" borderId="13"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4" xfId="2" applyBorder="1" applyAlignment="1">
      <alignment horizontal="center" vertical="center"/>
    </xf>
    <xf numFmtId="166" fontId="42" fillId="0" borderId="25" xfId="2" applyNumberFormat="1" applyBorder="1" applyAlignment="1">
      <alignment horizontal="center" vertical="center"/>
    </xf>
    <xf numFmtId="0" fontId="42" fillId="0" borderId="9" xfId="2" applyBorder="1" applyAlignment="1">
      <alignment vertical="center" wrapText="1"/>
    </xf>
    <xf numFmtId="0" fontId="42" fillId="0" borderId="9" xfId="2" applyBorder="1"/>
    <xf numFmtId="0" fontId="42" fillId="0" borderId="9" xfId="2" applyBorder="1" applyAlignment="1">
      <alignment horizontal="center" vertical="center"/>
    </xf>
    <xf numFmtId="0" fontId="42" fillId="0" borderId="26" xfId="2" applyBorder="1" applyAlignment="1">
      <alignment horizontal="center" vertical="center"/>
    </xf>
    <xf numFmtId="0" fontId="42" fillId="30" borderId="0" xfId="2" applyFill="1"/>
    <xf numFmtId="0" fontId="42" fillId="31" borderId="24" xfId="2" applyFill="1" applyBorder="1" applyAlignment="1">
      <alignment horizontal="center" vertical="center"/>
    </xf>
    <xf numFmtId="0" fontId="42" fillId="31" borderId="9" xfId="2" applyFill="1" applyBorder="1" applyAlignment="1">
      <alignment vertical="center" wrapText="1"/>
    </xf>
    <xf numFmtId="0" fontId="42" fillId="31" borderId="9" xfId="2" applyFill="1" applyBorder="1"/>
    <xf numFmtId="0" fontId="42" fillId="31" borderId="9" xfId="2" applyFill="1" applyBorder="1" applyAlignment="1">
      <alignment horizontal="center" vertical="center"/>
    </xf>
    <xf numFmtId="0" fontId="42" fillId="31" borderId="26" xfId="2" applyFill="1" applyBorder="1" applyAlignment="1">
      <alignment horizontal="center" vertical="center"/>
    </xf>
    <xf numFmtId="0" fontId="45" fillId="0" borderId="9" xfId="2" applyFont="1" applyBorder="1" applyAlignment="1">
      <alignment horizontal="center" vertical="center"/>
    </xf>
    <xf numFmtId="0" fontId="46" fillId="0" borderId="9" xfId="2" applyFont="1" applyBorder="1" applyAlignment="1">
      <alignment vertical="center"/>
    </xf>
    <xf numFmtId="0" fontId="47" fillId="0" borderId="9" xfId="2" applyFont="1" applyBorder="1" applyAlignment="1">
      <alignment horizontal="center" vertical="center"/>
    </xf>
    <xf numFmtId="0" fontId="42" fillId="0" borderId="9" xfId="2" applyBorder="1" applyAlignment="1">
      <alignment horizontal="left" vertical="center" wrapText="1"/>
    </xf>
    <xf numFmtId="0" fontId="42" fillId="0" borderId="9" xfId="2" applyBorder="1" applyAlignment="1">
      <alignment vertical="center"/>
    </xf>
    <xf numFmtId="0" fontId="42" fillId="31" borderId="9" xfId="2" applyFill="1" applyBorder="1" applyAlignment="1">
      <alignment vertical="center"/>
    </xf>
    <xf numFmtId="166" fontId="42" fillId="0" borderId="9" xfId="2" applyNumberFormat="1" applyBorder="1" applyAlignment="1">
      <alignment horizontal="center" vertical="center"/>
    </xf>
    <xf numFmtId="0" fontId="42" fillId="0" borderId="12" xfId="2" applyBorder="1" applyAlignment="1">
      <alignment horizontal="center" vertical="center"/>
    </xf>
    <xf numFmtId="0" fontId="42" fillId="0" borderId="25" xfId="2" applyBorder="1" applyAlignment="1">
      <alignment vertical="center" wrapText="1"/>
    </xf>
    <xf numFmtId="0" fontId="42" fillId="0" borderId="25" xfId="2" applyBorder="1"/>
    <xf numFmtId="0" fontId="42" fillId="0" borderId="25" xfId="2" applyBorder="1" applyAlignment="1">
      <alignment horizontal="center" vertical="center"/>
    </xf>
    <xf numFmtId="0" fontId="42" fillId="0" borderId="10"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23" fillId="18" borderId="0" xfId="0" applyFont="1" applyFill="1" applyAlignment="1">
      <alignment horizontal="left" vertical="center"/>
    </xf>
    <xf numFmtId="0" fontId="24" fillId="18" borderId="9" xfId="0" applyFont="1" applyFill="1" applyBorder="1" applyAlignment="1">
      <alignment horizontal="center" vertical="center"/>
    </xf>
    <xf numFmtId="0" fontId="19" fillId="18" borderId="0" xfId="0" applyFont="1" applyFill="1"/>
    <xf numFmtId="49" fontId="25" fillId="18" borderId="0" xfId="0" applyNumberFormat="1" applyFont="1" applyFill="1"/>
    <xf numFmtId="49" fontId="24" fillId="18" borderId="9" xfId="0" applyNumberFormat="1" applyFont="1" applyFill="1" applyBorder="1" applyAlignment="1">
      <alignment vertical="center"/>
    </xf>
    <xf numFmtId="49" fontId="19" fillId="18" borderId="0" xfId="0" applyNumberFormat="1" applyFont="1" applyFill="1"/>
    <xf numFmtId="0" fontId="26" fillId="18" borderId="0" xfId="0" applyFont="1" applyFill="1" applyAlignment="1">
      <alignment horizontal="left" vertical="center"/>
    </xf>
    <xf numFmtId="3" fontId="26" fillId="18" borderId="0" xfId="0" applyNumberFormat="1" applyFont="1" applyFill="1" applyAlignment="1">
      <alignment horizontal="left" vertical="center"/>
    </xf>
    <xf numFmtId="4" fontId="27" fillId="18" borderId="20"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9" xfId="0" applyNumberFormat="1" applyFont="1" applyFill="1" applyBorder="1" applyAlignment="1">
      <alignment vertical="center"/>
    </xf>
    <xf numFmtId="164" fontId="28" fillId="18" borderId="1" xfId="0" applyNumberFormat="1" applyFont="1" applyFill="1" applyBorder="1" applyAlignment="1">
      <alignment vertical="center"/>
    </xf>
    <xf numFmtId="0" fontId="50" fillId="0" borderId="0" xfId="0" applyFont="1" applyAlignment="1">
      <alignment horizontal="left"/>
    </xf>
    <xf numFmtId="0" fontId="42" fillId="0" borderId="0" xfId="2" applyAlignment="1">
      <alignment horizontal="center"/>
    </xf>
    <xf numFmtId="0" fontId="32" fillId="12" borderId="22" xfId="0" applyFont="1" applyFill="1" applyBorder="1" applyAlignment="1">
      <alignment horizontal="center" vertical="center"/>
    </xf>
    <xf numFmtId="0" fontId="32" fillId="12" borderId="3" xfId="0" applyFont="1" applyFill="1" applyBorder="1" applyAlignment="1">
      <alignment horizontal="center" vertical="center"/>
    </xf>
    <xf numFmtId="0" fontId="32" fillId="10" borderId="2" xfId="0" applyFont="1" applyFill="1" applyBorder="1" applyAlignment="1">
      <alignment horizontal="center" vertical="center" wrapText="1"/>
    </xf>
    <xf numFmtId="0" fontId="33" fillId="0" borderId="3" xfId="0" applyFont="1" applyBorder="1"/>
    <xf numFmtId="0" fontId="33" fillId="0" borderId="4" xfId="0" applyFont="1" applyBorder="1"/>
    <xf numFmtId="0" fontId="32" fillId="23" borderId="2" xfId="0" applyFont="1" applyFill="1" applyBorder="1" applyAlignment="1">
      <alignment horizontal="center" vertical="center" wrapText="1"/>
    </xf>
    <xf numFmtId="0" fontId="27" fillId="18" borderId="10" xfId="0" applyFont="1" applyFill="1" applyBorder="1" applyAlignment="1">
      <alignment horizontal="left" vertical="top"/>
    </xf>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19" fillId="18" borderId="15" xfId="0" applyFont="1" applyFill="1" applyBorder="1"/>
    <xf numFmtId="0" fontId="32" fillId="11" borderId="22"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0" fontId="32" fillId="12" borderId="22" xfId="0" applyFont="1" applyFill="1" applyBorder="1" applyAlignment="1">
      <alignment horizontal="center" vertical="center" wrapText="1"/>
    </xf>
    <xf numFmtId="0" fontId="32" fillId="12" borderId="4" xfId="0" applyFont="1" applyFill="1" applyBorder="1" applyAlignment="1">
      <alignment horizontal="center" vertical="center" wrapText="1"/>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9" xfId="0" applyNumberFormat="1" applyFont="1" applyFill="1" applyBorder="1" applyAlignment="1">
      <alignment horizontal="left" vertical="top"/>
    </xf>
    <xf numFmtId="4" fontId="32" fillId="8" borderId="2" xfId="0" applyNumberFormat="1" applyFont="1" applyFill="1" applyBorder="1" applyAlignment="1">
      <alignment horizontal="center" vertical="center" wrapText="1"/>
    </xf>
    <xf numFmtId="0" fontId="32" fillId="9" borderId="2" xfId="0" applyFont="1" applyFill="1" applyBorder="1" applyAlignment="1">
      <alignment horizontal="center" vertical="center" wrapText="1"/>
    </xf>
    <xf numFmtId="3" fontId="32" fillId="7" borderId="2" xfId="0" applyNumberFormat="1" applyFont="1" applyFill="1" applyBorder="1" applyAlignment="1">
      <alignment horizontal="center" vertical="center" wrapText="1"/>
    </xf>
    <xf numFmtId="3" fontId="32" fillId="22" borderId="16" xfId="0" applyNumberFormat="1" applyFont="1" applyFill="1" applyBorder="1" applyAlignment="1">
      <alignment horizontal="center" vertical="center" wrapText="1"/>
    </xf>
    <xf numFmtId="0" fontId="33" fillId="0" borderId="18" xfId="0" applyFont="1" applyBorder="1"/>
    <xf numFmtId="0" fontId="34" fillId="24" borderId="19" xfId="0" applyFont="1" applyFill="1" applyBorder="1" applyAlignment="1">
      <alignment horizontal="center" vertical="center"/>
    </xf>
    <xf numFmtId="0" fontId="33" fillId="0" borderId="19" xfId="0" applyFont="1" applyBorder="1"/>
    <xf numFmtId="0" fontId="32" fillId="4" borderId="17" xfId="0" applyFont="1" applyFill="1" applyBorder="1" applyAlignment="1">
      <alignment horizontal="center" vertical="center" wrapText="1"/>
    </xf>
    <xf numFmtId="0" fontId="32" fillId="4" borderId="18" xfId="0" applyFont="1" applyFill="1" applyBorder="1" applyAlignment="1">
      <alignment horizontal="center" vertical="center" wrapText="1"/>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0" fontId="32" fillId="5" borderId="19" xfId="0" applyFont="1" applyFill="1" applyBorder="1" applyAlignment="1">
      <alignment horizontal="center" vertical="center"/>
    </xf>
    <xf numFmtId="0" fontId="10" fillId="0" borderId="0" xfId="0" applyFont="1"/>
    <xf numFmtId="0" fontId="0" fillId="0" borderId="0" xfId="0"/>
  </cellXfs>
  <cellStyles count="4">
    <cellStyle name="Normal" xfId="0" builtinId="0"/>
    <cellStyle name="Normal 2" xfId="1" xr:uid="{00000000-0005-0000-0000-000001000000}"/>
    <cellStyle name="Normal 3" xfId="2" xr:uid="{4FE59EFB-C354-CA49-ABFA-A22D44665344}"/>
    <cellStyle name="Normal 4" xfId="3" xr:uid="{9ADBF6AD-6C9C-8B4E-AA8E-8B2DABFBD9E3}"/>
  </cellStyles>
  <dxfs count="8">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6"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6"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22/11/relationships/FeaturePropertyBag" Target="featurePropertyBag/featurePropertyBag.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S508"/>
  <sheetViews>
    <sheetView tabSelected="1" zoomScaleNormal="100" workbookViewId="0">
      <pane xSplit="4" ySplit="8" topLeftCell="E9" activePane="bottomRight" state="frozen"/>
      <selection pane="topRight"/>
      <selection pane="bottomLeft" activeCell="A14" sqref="A14"/>
      <selection pane="bottomRight" activeCell="W9" sqref="W9"/>
    </sheetView>
  </sheetViews>
  <sheetFormatPr baseColWidth="10" defaultColWidth="8.6640625" defaultRowHeight="14" x14ac:dyDescent="0.15"/>
  <cols>
    <col min="1" max="4" width="10.1640625" style="19" customWidth="1"/>
    <col min="5" max="5" width="13.5" style="19" customWidth="1"/>
    <col min="6" max="6" width="16.5" style="19" customWidth="1"/>
    <col min="7" max="7" width="16.5" style="20" customWidth="1"/>
    <col min="8" max="8" width="30" style="20" customWidth="1"/>
    <col min="9" max="9" width="18" style="20" customWidth="1"/>
    <col min="10" max="10" width="16" style="19" customWidth="1"/>
    <col min="11" max="11" width="9.33203125" style="19" customWidth="1"/>
    <col min="12" max="12" width="9" style="19" customWidth="1"/>
    <col min="13" max="15" width="8" style="19" customWidth="1"/>
    <col min="16" max="16" width="12" style="19" customWidth="1"/>
    <col min="17" max="17" width="15.5" style="19" customWidth="1"/>
    <col min="18" max="22" width="16" style="19" customWidth="1"/>
    <col min="23" max="23" width="44" style="19" customWidth="1"/>
    <col min="24" max="24" width="30" style="19" customWidth="1"/>
    <col min="25" max="25" width="8" style="19" customWidth="1"/>
    <col min="26" max="26" width="7" style="19" customWidth="1"/>
    <col min="27" max="27" width="8" style="19" customWidth="1"/>
    <col min="28" max="28" width="30" style="19" customWidth="1"/>
    <col min="29" max="29" width="8.33203125" style="19" customWidth="1"/>
    <col min="30" max="30" width="7" style="19" customWidth="1"/>
    <col min="31" max="31" width="8" style="19" customWidth="1"/>
    <col min="32" max="32" width="30" style="19" customWidth="1"/>
    <col min="33" max="33" width="8" style="19" customWidth="1"/>
    <col min="34" max="34" width="7" style="19" customWidth="1"/>
    <col min="35" max="35" width="8" style="19" customWidth="1"/>
    <col min="36" max="36" width="38" style="19" customWidth="1"/>
    <col min="37" max="37" width="11.1640625" style="19" customWidth="1"/>
    <col min="38" max="38" width="33.33203125" style="19" customWidth="1"/>
    <col min="39" max="39" width="12" style="19" customWidth="1"/>
    <col min="40" max="43" width="10" style="19" customWidth="1"/>
    <col min="44" max="44" width="15" style="19" customWidth="1"/>
    <col min="45" max="45" width="10.1640625" style="19" customWidth="1"/>
    <col min="46" max="46" width="14" style="19" customWidth="1"/>
    <col min="47" max="47" width="10.1640625" style="19" customWidth="1"/>
    <col min="48" max="48" width="18.6640625" style="19" bestFit="1" customWidth="1"/>
    <col min="49" max="53" width="10" style="19" customWidth="1"/>
    <col min="54" max="54" width="14.33203125" style="19" customWidth="1"/>
    <col min="55" max="55" width="34" style="19" customWidth="1"/>
    <col min="56" max="64" width="11.5" style="19" customWidth="1"/>
    <col min="65" max="65" width="11.83203125" style="19" customWidth="1"/>
    <col min="66" max="71" width="10.5" style="19" customWidth="1"/>
    <col min="72" max="72" width="8.6640625" style="19" customWidth="1"/>
    <col min="73" max="16384" width="8.6640625" style="19"/>
  </cols>
  <sheetData>
    <row r="1" spans="1:71" ht="41" customHeight="1" thickBot="1" x14ac:dyDescent="0.2">
      <c r="A1" s="16"/>
      <c r="B1" s="16"/>
      <c r="C1" s="16"/>
      <c r="D1" s="16"/>
      <c r="E1" s="16"/>
      <c r="F1" s="16"/>
      <c r="G1" s="17"/>
      <c r="H1" s="18" t="s">
        <v>2093</v>
      </c>
      <c r="I1" s="17"/>
      <c r="J1" s="16"/>
      <c r="K1" s="16"/>
      <c r="L1" s="16"/>
      <c r="M1" s="16"/>
      <c r="N1" s="16"/>
      <c r="O1" s="16"/>
      <c r="Q1" s="16"/>
      <c r="R1" s="16"/>
      <c r="S1" s="16"/>
      <c r="T1" s="16"/>
      <c r="U1" s="16"/>
      <c r="W1" s="118" t="s">
        <v>2086</v>
      </c>
      <c r="X1" s="119">
        <f>COUNTA($W$9:$W$508)-SUM(X2:X3)</f>
        <v>0</v>
      </c>
    </row>
    <row r="2" spans="1:71" ht="25" customHeight="1" x14ac:dyDescent="0.15">
      <c r="A2" s="153" t="s">
        <v>1577</v>
      </c>
      <c r="B2" s="154"/>
      <c r="C2" s="154"/>
      <c r="D2" s="154"/>
      <c r="E2" s="154"/>
      <c r="F2" s="154"/>
      <c r="G2" s="155"/>
      <c r="H2" s="155"/>
      <c r="I2" s="21" t="s">
        <v>1040</v>
      </c>
      <c r="J2" s="16"/>
      <c r="K2" s="16"/>
      <c r="L2" s="16"/>
      <c r="M2" s="16"/>
      <c r="N2" s="16"/>
      <c r="O2" s="16"/>
      <c r="Q2" s="16"/>
      <c r="R2" s="16"/>
      <c r="S2" s="16"/>
      <c r="T2" s="16"/>
      <c r="U2" s="16"/>
      <c r="W2" s="118" t="s">
        <v>96</v>
      </c>
      <c r="X2" s="119">
        <f>COUNTIF($W$9:$W$508,$W2)</f>
        <v>0</v>
      </c>
    </row>
    <row r="3" spans="1:71" ht="22" customHeight="1" x14ac:dyDescent="0.2">
      <c r="A3" s="122" t="s">
        <v>0</v>
      </c>
      <c r="B3" s="122"/>
      <c r="C3" s="123" t="s">
        <v>1</v>
      </c>
      <c r="D3" s="124"/>
      <c r="E3" s="124"/>
      <c r="F3" s="122" t="s">
        <v>2</v>
      </c>
      <c r="G3" s="125"/>
      <c r="H3" s="126" t="s">
        <v>1041</v>
      </c>
      <c r="I3" s="127"/>
      <c r="J3" s="128" t="s">
        <v>3</v>
      </c>
      <c r="K3" s="142"/>
      <c r="L3" s="143"/>
      <c r="M3" s="143"/>
      <c r="N3" s="144"/>
      <c r="O3" s="124"/>
      <c r="P3" s="124"/>
      <c r="Q3" s="129" t="s">
        <v>4</v>
      </c>
      <c r="R3" s="156"/>
      <c r="S3" s="143"/>
      <c r="T3" s="144"/>
      <c r="U3" s="16"/>
      <c r="W3" s="118" t="s">
        <v>2087</v>
      </c>
      <c r="X3" s="119">
        <f>COUNTIF($W$9:$W$508,$W3)</f>
        <v>500</v>
      </c>
    </row>
    <row r="4" spans="1:71" ht="22" customHeight="1" x14ac:dyDescent="0.15">
      <c r="A4" s="129" t="s">
        <v>5</v>
      </c>
      <c r="B4" s="129"/>
      <c r="C4" s="130" t="s">
        <v>6</v>
      </c>
      <c r="D4" s="124"/>
      <c r="E4" s="124"/>
      <c r="F4" s="129" t="s">
        <v>7</v>
      </c>
      <c r="G4" s="131"/>
      <c r="H4" s="132" t="s">
        <v>96</v>
      </c>
      <c r="I4" s="127"/>
      <c r="J4" s="124"/>
      <c r="K4" s="145"/>
      <c r="L4" s="146"/>
      <c r="M4" s="146"/>
      <c r="N4" s="147"/>
      <c r="O4" s="124"/>
      <c r="P4" s="124"/>
      <c r="Q4" s="124"/>
      <c r="R4" s="145"/>
      <c r="S4" s="146"/>
      <c r="T4" s="147"/>
      <c r="U4" s="16"/>
      <c r="W4" s="117"/>
      <c r="X4" s="119">
        <f>SUM(X1:X3)</f>
        <v>500</v>
      </c>
      <c r="AJ4" s="34" t="s">
        <v>2115</v>
      </c>
    </row>
    <row r="5" spans="1:71" ht="24" customHeight="1" x14ac:dyDescent="0.15">
      <c r="A5" s="16"/>
      <c r="B5" s="16"/>
      <c r="C5" s="16"/>
      <c r="D5" s="16"/>
      <c r="E5" s="16"/>
      <c r="F5" s="16"/>
      <c r="G5" s="17"/>
      <c r="H5" s="22"/>
      <c r="I5" s="23" t="s">
        <v>990</v>
      </c>
      <c r="J5" s="16"/>
      <c r="K5" s="24"/>
      <c r="L5" s="25"/>
      <c r="M5" s="25"/>
      <c r="N5" s="25"/>
      <c r="O5" s="26"/>
      <c r="Q5" s="27"/>
      <c r="R5" s="27"/>
      <c r="S5" s="28"/>
      <c r="T5" s="29"/>
      <c r="U5" s="27"/>
      <c r="V5" s="30"/>
      <c r="W5" s="31"/>
      <c r="X5" s="32"/>
      <c r="Y5" s="31"/>
      <c r="Z5" s="31"/>
      <c r="AA5" s="31"/>
      <c r="AB5" s="33"/>
      <c r="AC5" s="33"/>
      <c r="AD5" s="33"/>
      <c r="AE5" s="32"/>
      <c r="AF5" s="31"/>
      <c r="AG5" s="32"/>
      <c r="AH5" s="31"/>
      <c r="AI5" s="32"/>
      <c r="AJ5" s="34" t="s">
        <v>988</v>
      </c>
      <c r="AQ5" s="34" t="s">
        <v>989</v>
      </c>
    </row>
    <row r="6" spans="1:71" s="36" customFormat="1" ht="22" customHeight="1" x14ac:dyDescent="0.2">
      <c r="A6" s="160" t="s">
        <v>9</v>
      </c>
      <c r="B6" s="161"/>
      <c r="C6" s="161"/>
      <c r="D6" s="161"/>
      <c r="E6" s="164" t="s">
        <v>10</v>
      </c>
      <c r="F6" s="165"/>
      <c r="G6" s="165"/>
      <c r="H6" s="165"/>
      <c r="I6" s="165"/>
      <c r="J6" s="165"/>
      <c r="K6" s="162" t="s">
        <v>11</v>
      </c>
      <c r="L6" s="161"/>
      <c r="M6" s="161"/>
      <c r="N6" s="161"/>
      <c r="O6" s="163"/>
      <c r="P6" s="166" t="s">
        <v>1559</v>
      </c>
      <c r="Q6" s="167"/>
      <c r="R6" s="167"/>
      <c r="S6" s="167"/>
      <c r="T6" s="167"/>
      <c r="U6" s="167"/>
      <c r="V6" s="168"/>
      <c r="W6" s="35" t="s">
        <v>12</v>
      </c>
      <c r="X6" s="159" t="s">
        <v>13</v>
      </c>
      <c r="Y6" s="139"/>
      <c r="Z6" s="139"/>
      <c r="AA6" s="139"/>
      <c r="AB6" s="139"/>
      <c r="AC6" s="139"/>
      <c r="AD6" s="139"/>
      <c r="AE6" s="139"/>
      <c r="AF6" s="139"/>
      <c r="AG6" s="139"/>
      <c r="AH6" s="139"/>
      <c r="AI6" s="140"/>
      <c r="AJ6" s="157" t="s">
        <v>14</v>
      </c>
      <c r="AK6" s="139"/>
      <c r="AL6" s="139"/>
      <c r="AM6" s="140"/>
      <c r="AN6" s="158" t="s">
        <v>15</v>
      </c>
      <c r="AO6" s="139"/>
      <c r="AP6" s="139"/>
      <c r="AQ6" s="140"/>
      <c r="AR6" s="138" t="s">
        <v>16</v>
      </c>
      <c r="AS6" s="139"/>
      <c r="AT6" s="139"/>
      <c r="AU6" s="140"/>
      <c r="AV6" s="148" t="s">
        <v>17</v>
      </c>
      <c r="AW6" s="149"/>
      <c r="AX6" s="149"/>
      <c r="AY6" s="149"/>
      <c r="AZ6" s="149"/>
      <c r="BA6" s="150"/>
      <c r="BB6" s="151" t="s">
        <v>18</v>
      </c>
      <c r="BC6" s="152"/>
      <c r="BD6" s="141" t="s">
        <v>19</v>
      </c>
      <c r="BE6" s="139"/>
      <c r="BF6" s="139"/>
      <c r="BG6" s="139"/>
      <c r="BH6" s="139"/>
      <c r="BI6" s="139"/>
      <c r="BJ6" s="139"/>
      <c r="BK6" s="139"/>
      <c r="BL6" s="140"/>
      <c r="BM6" s="136" t="s">
        <v>1576</v>
      </c>
      <c r="BN6" s="137"/>
      <c r="BO6" s="137"/>
      <c r="BP6" s="137"/>
      <c r="BQ6" s="137"/>
      <c r="BR6" s="137"/>
      <c r="BS6" s="137"/>
    </row>
    <row r="7" spans="1:71" ht="36" customHeight="1" x14ac:dyDescent="0.15">
      <c r="A7" s="37" t="s">
        <v>20</v>
      </c>
      <c r="B7" s="38" t="s">
        <v>21</v>
      </c>
      <c r="C7" s="39" t="s">
        <v>22</v>
      </c>
      <c r="D7" s="38" t="s">
        <v>23</v>
      </c>
      <c r="E7" s="38" t="s">
        <v>1558</v>
      </c>
      <c r="F7" s="40" t="s">
        <v>24</v>
      </c>
      <c r="G7" s="41" t="s">
        <v>25</v>
      </c>
      <c r="H7" s="41" t="s">
        <v>26</v>
      </c>
      <c r="I7" s="41" t="s">
        <v>27</v>
      </c>
      <c r="J7" s="40" t="s">
        <v>28</v>
      </c>
      <c r="K7" s="38" t="s">
        <v>29</v>
      </c>
      <c r="L7" s="38" t="s">
        <v>30</v>
      </c>
      <c r="M7" s="38" t="s">
        <v>31</v>
      </c>
      <c r="N7" s="38" t="s">
        <v>32</v>
      </c>
      <c r="O7" s="39" t="s">
        <v>33</v>
      </c>
      <c r="P7" s="40" t="s">
        <v>70</v>
      </c>
      <c r="Q7" s="40" t="s">
        <v>34</v>
      </c>
      <c r="R7" s="40" t="s">
        <v>35</v>
      </c>
      <c r="S7" s="42" t="s">
        <v>36</v>
      </c>
      <c r="T7" s="43" t="s">
        <v>37</v>
      </c>
      <c r="U7" s="40" t="s">
        <v>38</v>
      </c>
      <c r="V7" s="40" t="s">
        <v>39</v>
      </c>
      <c r="W7" s="40" t="s">
        <v>40</v>
      </c>
      <c r="X7" s="44" t="s">
        <v>41</v>
      </c>
      <c r="Y7" s="45" t="s">
        <v>42</v>
      </c>
      <c r="Z7" s="45" t="s">
        <v>43</v>
      </c>
      <c r="AA7" s="45" t="s">
        <v>44</v>
      </c>
      <c r="AB7" s="46" t="s">
        <v>45</v>
      </c>
      <c r="AC7" s="46" t="s">
        <v>46</v>
      </c>
      <c r="AD7" s="46" t="s">
        <v>47</v>
      </c>
      <c r="AE7" s="44" t="s">
        <v>48</v>
      </c>
      <c r="AF7" s="45" t="s">
        <v>49</v>
      </c>
      <c r="AG7" s="44" t="s">
        <v>50</v>
      </c>
      <c r="AH7" s="45" t="s">
        <v>51</v>
      </c>
      <c r="AI7" s="44" t="s">
        <v>52</v>
      </c>
      <c r="AJ7" s="42" t="s">
        <v>53</v>
      </c>
      <c r="AK7" s="40" t="s">
        <v>54</v>
      </c>
      <c r="AL7" s="40" t="s">
        <v>55</v>
      </c>
      <c r="AM7" s="40" t="s">
        <v>56</v>
      </c>
      <c r="AN7" s="40" t="s">
        <v>57</v>
      </c>
      <c r="AO7" s="40" t="s">
        <v>58</v>
      </c>
      <c r="AP7" s="40" t="s">
        <v>59</v>
      </c>
      <c r="AQ7" s="40" t="s">
        <v>60</v>
      </c>
      <c r="AR7" s="40" t="s">
        <v>61</v>
      </c>
      <c r="AS7" s="40" t="s">
        <v>62</v>
      </c>
      <c r="AT7" s="40" t="s">
        <v>63</v>
      </c>
      <c r="AU7" s="40" t="s">
        <v>64</v>
      </c>
      <c r="AV7" s="40" t="s">
        <v>1575</v>
      </c>
      <c r="AW7" s="40" t="s">
        <v>65</v>
      </c>
      <c r="AX7" s="40" t="s">
        <v>66</v>
      </c>
      <c r="AY7" s="40" t="s">
        <v>67</v>
      </c>
      <c r="AZ7" s="40" t="s">
        <v>68</v>
      </c>
      <c r="BA7" s="40" t="s">
        <v>69</v>
      </c>
      <c r="BB7" s="40" t="s">
        <v>71</v>
      </c>
      <c r="BC7" s="40" t="s">
        <v>72</v>
      </c>
      <c r="BD7" s="40" t="s">
        <v>73</v>
      </c>
      <c r="BE7" s="40" t="s">
        <v>74</v>
      </c>
      <c r="BF7" s="40" t="s">
        <v>75</v>
      </c>
      <c r="BG7" s="40" t="s">
        <v>76</v>
      </c>
      <c r="BH7" s="40" t="s">
        <v>77</v>
      </c>
      <c r="BI7" s="40" t="s">
        <v>78</v>
      </c>
      <c r="BJ7" s="40" t="s">
        <v>79</v>
      </c>
      <c r="BK7" s="40" t="s">
        <v>80</v>
      </c>
      <c r="BL7" s="40" t="s">
        <v>81</v>
      </c>
      <c r="BM7" s="40" t="s">
        <v>87</v>
      </c>
      <c r="BN7" s="40" t="s">
        <v>82</v>
      </c>
      <c r="BO7" s="40" t="s">
        <v>2077</v>
      </c>
      <c r="BP7" s="40" t="s">
        <v>83</v>
      </c>
      <c r="BQ7" s="40" t="s">
        <v>84</v>
      </c>
      <c r="BR7" s="40" t="s">
        <v>85</v>
      </c>
      <c r="BS7" s="40" t="s">
        <v>86</v>
      </c>
    </row>
    <row r="8" spans="1:71" ht="18" customHeight="1" x14ac:dyDescent="0.15">
      <c r="A8" s="47" t="s">
        <v>88</v>
      </c>
      <c r="B8" s="47" t="s">
        <v>88</v>
      </c>
      <c r="C8" s="47" t="s">
        <v>88</v>
      </c>
      <c r="D8" s="47" t="s">
        <v>88</v>
      </c>
      <c r="E8" s="49" t="s">
        <v>90</v>
      </c>
      <c r="F8" s="48" t="s">
        <v>89</v>
      </c>
      <c r="G8" s="49" t="s">
        <v>90</v>
      </c>
      <c r="H8" s="49" t="s">
        <v>90</v>
      </c>
      <c r="I8" s="49" t="s">
        <v>90</v>
      </c>
      <c r="J8" s="50" t="s">
        <v>90</v>
      </c>
      <c r="K8" s="50" t="s">
        <v>91</v>
      </c>
      <c r="L8" s="50" t="s">
        <v>92</v>
      </c>
      <c r="M8" s="50" t="s">
        <v>89</v>
      </c>
      <c r="N8" s="50" t="s">
        <v>89</v>
      </c>
      <c r="O8" s="47" t="s">
        <v>88</v>
      </c>
      <c r="P8" s="50" t="s">
        <v>89</v>
      </c>
      <c r="Q8" s="50" t="s">
        <v>89</v>
      </c>
      <c r="R8" s="50" t="s">
        <v>89</v>
      </c>
      <c r="S8" s="51" t="s">
        <v>89</v>
      </c>
      <c r="T8" s="47" t="s">
        <v>89</v>
      </c>
      <c r="U8" s="50" t="s">
        <v>89</v>
      </c>
      <c r="V8" s="50" t="s">
        <v>89</v>
      </c>
      <c r="W8" s="50" t="s">
        <v>89</v>
      </c>
      <c r="X8" s="52" t="s">
        <v>89</v>
      </c>
      <c r="Y8" s="53" t="s">
        <v>92</v>
      </c>
      <c r="Z8" s="53" t="s">
        <v>91</v>
      </c>
      <c r="AA8" s="53" t="s">
        <v>89</v>
      </c>
      <c r="AB8" s="54" t="s">
        <v>89</v>
      </c>
      <c r="AC8" s="53" t="s">
        <v>92</v>
      </c>
      <c r="AD8" s="53" t="s">
        <v>91</v>
      </c>
      <c r="AE8" s="53" t="s">
        <v>89</v>
      </c>
      <c r="AF8" s="53" t="s">
        <v>89</v>
      </c>
      <c r="AG8" s="53" t="s">
        <v>92</v>
      </c>
      <c r="AH8" s="53" t="s">
        <v>91</v>
      </c>
      <c r="AI8" s="53" t="s">
        <v>89</v>
      </c>
      <c r="AJ8" s="51" t="s">
        <v>89</v>
      </c>
      <c r="AK8" s="55" t="s">
        <v>93</v>
      </c>
      <c r="AL8" s="50" t="s">
        <v>89</v>
      </c>
      <c r="AM8" s="55" t="s">
        <v>93</v>
      </c>
      <c r="AN8" s="50" t="s">
        <v>91</v>
      </c>
      <c r="AO8" s="50" t="s">
        <v>91</v>
      </c>
      <c r="AP8" s="50" t="s">
        <v>91</v>
      </c>
      <c r="AQ8" s="50" t="s">
        <v>91</v>
      </c>
      <c r="AR8" s="50" t="s">
        <v>89</v>
      </c>
      <c r="AS8" s="50" t="s">
        <v>91</v>
      </c>
      <c r="AT8" s="50" t="s">
        <v>89</v>
      </c>
      <c r="AU8" s="50" t="s">
        <v>91</v>
      </c>
      <c r="AV8" s="50" t="s">
        <v>89</v>
      </c>
      <c r="AW8" s="50" t="s">
        <v>91</v>
      </c>
      <c r="AX8" s="50" t="s">
        <v>91</v>
      </c>
      <c r="AY8" s="50" t="s">
        <v>91</v>
      </c>
      <c r="AZ8" s="50" t="s">
        <v>91</v>
      </c>
      <c r="BA8" s="50" t="s">
        <v>91</v>
      </c>
      <c r="BB8" s="50" t="s">
        <v>89</v>
      </c>
      <c r="BC8" s="50" t="s">
        <v>89</v>
      </c>
      <c r="BD8" s="50" t="s">
        <v>94</v>
      </c>
      <c r="BE8" s="50" t="s">
        <v>94</v>
      </c>
      <c r="BF8" s="50" t="s">
        <v>94</v>
      </c>
      <c r="BG8" s="50" t="s">
        <v>94</v>
      </c>
      <c r="BH8" s="50" t="s">
        <v>94</v>
      </c>
      <c r="BI8" s="50" t="s">
        <v>94</v>
      </c>
      <c r="BJ8" s="50" t="s">
        <v>94</v>
      </c>
      <c r="BK8" s="50" t="s">
        <v>94</v>
      </c>
      <c r="BL8" s="50" t="s">
        <v>94</v>
      </c>
      <c r="BM8" s="50" t="s">
        <v>90</v>
      </c>
      <c r="BN8" s="50" t="s">
        <v>90</v>
      </c>
      <c r="BO8" s="50" t="s">
        <v>90</v>
      </c>
      <c r="BP8" s="50" t="s">
        <v>90</v>
      </c>
      <c r="BQ8" s="50" t="s">
        <v>90</v>
      </c>
      <c r="BR8" s="50" t="s">
        <v>90</v>
      </c>
      <c r="BS8" s="50" t="s">
        <v>90</v>
      </c>
    </row>
    <row r="9" spans="1:71" ht="19.5" customHeight="1" x14ac:dyDescent="0.15">
      <c r="A9" s="56" t="s">
        <v>985</v>
      </c>
      <c r="B9" s="57" t="s">
        <v>986</v>
      </c>
      <c r="C9" s="58" t="s">
        <v>985</v>
      </c>
      <c r="D9" s="59" t="s">
        <v>985</v>
      </c>
      <c r="E9" s="61"/>
      <c r="F9" s="60" t="s">
        <v>95</v>
      </c>
      <c r="G9" s="61"/>
      <c r="H9" s="62"/>
      <c r="I9" s="63"/>
      <c r="J9" s="60" t="s">
        <v>95</v>
      </c>
      <c r="K9" s="64"/>
      <c r="L9" s="64"/>
      <c r="M9" s="64" t="s">
        <v>96</v>
      </c>
      <c r="N9" s="64" t="s">
        <v>97</v>
      </c>
      <c r="O9" s="65" t="s">
        <v>986</v>
      </c>
      <c r="P9" s="70" t="s">
        <v>96</v>
      </c>
      <c r="Q9" s="60" t="s">
        <v>95</v>
      </c>
      <c r="R9" s="60" t="s">
        <v>96</v>
      </c>
      <c r="S9" s="66" t="s">
        <v>96</v>
      </c>
      <c r="T9" s="60" t="s">
        <v>96</v>
      </c>
      <c r="U9" s="60" t="s">
        <v>96</v>
      </c>
      <c r="V9" s="60" t="s">
        <v>96</v>
      </c>
      <c r="W9" s="60" t="str" cm="1">
        <f t="array" ref="W9">_xlfn.LET(_xlpm.resultados,_xlfn.UNIQUE(_xlfn._xlws.FILTER(Tabla1[Proceso],(Tabla1[Metal Base]=Q9)*(Tabla1[Etiquetas]=_xlfn.TEXTJOIN(" + ",TRUE,IF((TRIM(Upload!R9:V9)="")+(LOWER(TRIM(Upload!R9:V9))="(seleccione)"),"",PROPER(TRIM(Upload!R9:V9)))))*(Tabla1[Línea2]=IFERROR(VLOOKUP(Upload!P9&amp;"*",CAT_Procesos!D:D,1,FALSE),"")))),_xlpm.cantidad,ROWS(_xlpm.resultados),IF(ISERROR(_xlpm.cantidad),"Combinación no existente",IF(_xlpm.cantidad=1,INDEX(_xlpm.resultados,1),"(seleccione)")))</f>
        <v>Combinación no existente</v>
      </c>
      <c r="X9" s="67" t="s">
        <v>96</v>
      </c>
      <c r="Y9" s="64"/>
      <c r="Z9" s="64"/>
      <c r="AA9" s="64"/>
      <c r="AB9" s="133" t="s">
        <v>96</v>
      </c>
      <c r="AC9" s="64"/>
      <c r="AD9" s="64"/>
      <c r="AE9" s="64"/>
      <c r="AF9" s="60" t="s">
        <v>96</v>
      </c>
      <c r="AG9" s="64"/>
      <c r="AH9" s="64"/>
      <c r="AI9" s="64"/>
      <c r="AJ9" s="68" t="s">
        <v>96</v>
      </c>
      <c r="AK9" s="69" t="str">
        <f>IFERROR(((VALUE(TRIM(LEFT(MID(AJ9,FIND("|",AJ9)+1,99),FIND("-",MID(AJ9,FIND("|",AJ9)+1,99))-1)))+VALUE(TRIM(SUBSTITUTE(SUBSTITUTE(SUBSTITUTE(SUBSTITUTE(SUBSTITUTE(MID(MID(AJ9,FIND("|",AJ9)+1,99),FIND("-",MID(AJ9,FIND("|",AJ9)+1,99))+1,20),"µm",""),"μm",""),"mils",""),"mil",""),"",""))))/2)*IF(ISNUMBER(SEARCH("mil",MID(AJ9,FIND("|",AJ9)+1,99))),25.4,1),"")</f>
        <v/>
      </c>
      <c r="AL9" s="70" t="s">
        <v>96</v>
      </c>
      <c r="AM9" s="69" t="str">
        <f>IFERROR(((VALUE(TRIM(LEFT(MID(AL9,FIND("|",AL9)+1,99),FIND("-",MID(AL9,FIND("|",AL9)+1,99))-1)))+VALUE(TRIM(SUBSTITUTE(SUBSTITUTE(SUBSTITUTE(SUBSTITUTE(SUBSTITUTE(MID(MID(AL9,FIND("|",AL9)+1,99),FIND("-",MID(AL9,FIND("|",AL9)+1,99))+1,20),"µm",""),"μm",""),"mils",""),"mil",""),"",""))))/2)*IF(ISNUMBER(SEARCH("mil",MID(AL9,FIND("|",AL9)+1,99))),25.4,1),"")</f>
        <v/>
      </c>
      <c r="AN9" s="71"/>
      <c r="AO9" s="71"/>
      <c r="AP9" s="71"/>
      <c r="AQ9" s="71"/>
      <c r="AR9" s="71" t="s">
        <v>96</v>
      </c>
      <c r="AS9" s="71"/>
      <c r="AT9" s="71" t="s">
        <v>96</v>
      </c>
      <c r="AU9" s="71"/>
      <c r="AV9" s="71" t="s">
        <v>95</v>
      </c>
      <c r="AW9" s="71"/>
      <c r="AX9" s="71"/>
      <c r="AY9" s="71"/>
      <c r="AZ9" s="71"/>
      <c r="BA9" s="71"/>
      <c r="BB9" s="70" t="s">
        <v>218</v>
      </c>
      <c r="BC9" s="70" t="s">
        <v>98</v>
      </c>
      <c r="BD9" s="72" t="str">
        <f>IF('Cálculo MP'!K19="","",'Cálculo MP'!K19)</f>
        <v/>
      </c>
      <c r="BE9" s="72" t="str">
        <f>IF('Cálculo MP'!L19="","",'Cálculo MP'!L19)</f>
        <v/>
      </c>
      <c r="BF9" s="72" t="str">
        <f>IF('Cálculo MP'!M19="","",'Cálculo MP'!M19)</f>
        <v/>
      </c>
      <c r="BG9" s="72" t="str">
        <f>IF('Cálculo MP'!N19="","",'Cálculo MP'!N19)</f>
        <v/>
      </c>
      <c r="BH9" s="72" t="str">
        <f>IF('Cálculo MP'!O19="","",'Cálculo MP'!O19)</f>
        <v/>
      </c>
      <c r="BI9" s="72" t="str">
        <f>IF('Cálculo MP'!P19="","",'Cálculo MP'!P19)</f>
        <v/>
      </c>
      <c r="BJ9" s="72" t="str">
        <f>IF('Cálculo MP'!Q19="","",'Cálculo MP'!Q19)</f>
        <v/>
      </c>
      <c r="BK9" s="72" t="str">
        <f>IF('Cálculo MP'!R19="","",'Cálculo MP'!R19)</f>
        <v/>
      </c>
      <c r="BL9" s="72" t="str">
        <f>IF('Cálculo MP'!S19="","",'Cálculo MP'!S19)</f>
        <v/>
      </c>
      <c r="BM9" s="73"/>
      <c r="BN9" s="73"/>
      <c r="BO9" s="73"/>
      <c r="BP9" s="73"/>
      <c r="BQ9" s="73"/>
      <c r="BR9" s="73"/>
      <c r="BS9" s="73"/>
    </row>
    <row r="10" spans="1:71" ht="19.5" customHeight="1" x14ac:dyDescent="0.15">
      <c r="A10" s="56" t="s">
        <v>985</v>
      </c>
      <c r="B10" s="57" t="s">
        <v>986</v>
      </c>
      <c r="C10" s="58" t="s">
        <v>985</v>
      </c>
      <c r="D10" s="74" t="s">
        <v>985</v>
      </c>
      <c r="E10" s="61"/>
      <c r="F10" s="60" t="s">
        <v>95</v>
      </c>
      <c r="G10" s="61"/>
      <c r="H10" s="62"/>
      <c r="I10" s="75"/>
      <c r="J10" s="60" t="s">
        <v>95</v>
      </c>
      <c r="K10" s="64"/>
      <c r="L10" s="64"/>
      <c r="M10" s="64" t="s">
        <v>96</v>
      </c>
      <c r="N10" s="64" t="s">
        <v>97</v>
      </c>
      <c r="O10" s="65" t="s">
        <v>986</v>
      </c>
      <c r="P10" s="70" t="s">
        <v>96</v>
      </c>
      <c r="Q10" s="60" t="s">
        <v>95</v>
      </c>
      <c r="R10" s="60" t="s">
        <v>96</v>
      </c>
      <c r="S10" s="66" t="s">
        <v>96</v>
      </c>
      <c r="T10" s="60" t="s">
        <v>96</v>
      </c>
      <c r="U10" s="60" t="s">
        <v>96</v>
      </c>
      <c r="V10" s="60" t="s">
        <v>96</v>
      </c>
      <c r="W10" s="60" t="str" cm="1">
        <f t="array" ref="W10">_xlfn.LET(_xlpm.resultados,_xlfn.UNIQUE(_xlfn._xlws.FILTER(Tabla1[Proceso],(Tabla1[Metal Base]=Q10)*(Tabla1[Etiquetas]=_xlfn.TEXTJOIN(" + ",TRUE,IF((TRIM(Upload!R10:V10)="")+(LOWER(TRIM(Upload!R10:V10))="(seleccione)"),"",PROPER(TRIM(Upload!R10:V10)))))*(Tabla1[Línea2]=IFERROR(VLOOKUP(Upload!P10&amp;"*",CAT_Procesos!D:D,1,FALSE),"")))),_xlpm.cantidad,ROWS(_xlpm.resultados),IF(ISERROR(_xlpm.cantidad),"Combinación no existente",IF(_xlpm.cantidad=1,INDEX(_xlpm.resultados,1),"(seleccione)")))</f>
        <v>Combinación no existente</v>
      </c>
      <c r="X10" s="67" t="s">
        <v>96</v>
      </c>
      <c r="Y10" s="64"/>
      <c r="Z10" s="64"/>
      <c r="AA10" s="64"/>
      <c r="AB10" s="133" t="s">
        <v>96</v>
      </c>
      <c r="AC10" s="64"/>
      <c r="AD10" s="64"/>
      <c r="AE10" s="64"/>
      <c r="AF10" s="60" t="s">
        <v>96</v>
      </c>
      <c r="AG10" s="64"/>
      <c r="AH10" s="64"/>
      <c r="AI10" s="64"/>
      <c r="AJ10" s="68" t="s">
        <v>96</v>
      </c>
      <c r="AK10" s="69" t="str">
        <f t="shared" ref="AK10:AK73" si="0">IFERROR(((VALUE(TRIM(LEFT(MID(AJ10,FIND("|",AJ10)+1,99),FIND("-",MID(AJ10,FIND("|",AJ10)+1,99))-1)))+VALUE(TRIM(SUBSTITUTE(SUBSTITUTE(SUBSTITUTE(SUBSTITUTE(SUBSTITUTE(MID(MID(AJ10,FIND("|",AJ10)+1,99),FIND("-",MID(AJ10,FIND("|",AJ10)+1,99))+1,20),"µm",""),"μm",""),"mils",""),"mil",""),"",""))))/2)*IF(ISNUMBER(SEARCH("mil",MID(AJ10,FIND("|",AJ10)+1,99))),25.4,1),"")</f>
        <v/>
      </c>
      <c r="AL10" s="70" t="s">
        <v>96</v>
      </c>
      <c r="AM10" s="69" t="str">
        <f t="shared" ref="AM10:AM73" si="1">IFERROR(((VALUE(TRIM(LEFT(MID(AL10,FIND("|",AL10)+1,99),FIND("-",MID(AL10,FIND("|",AL10)+1,99))-1)))+VALUE(TRIM(SUBSTITUTE(SUBSTITUTE(SUBSTITUTE(SUBSTITUTE(SUBSTITUTE(MID(MID(AL10,FIND("|",AL10)+1,99),FIND("-",MID(AL10,FIND("|",AL10)+1,99))+1,20),"µm",""),"μm",""),"mils",""),"mil",""),"",""))))/2)*IF(ISNUMBER(SEARCH("mil",MID(AL10,FIND("|",AL10)+1,99))),25.4,1),"")</f>
        <v/>
      </c>
      <c r="AN10" s="71"/>
      <c r="AO10" s="71"/>
      <c r="AP10" s="71"/>
      <c r="AQ10" s="76"/>
      <c r="AR10" s="71" t="s">
        <v>96</v>
      </c>
      <c r="AS10" s="71"/>
      <c r="AT10" s="71" t="s">
        <v>96</v>
      </c>
      <c r="AU10" s="71"/>
      <c r="AV10" s="71" t="s">
        <v>95</v>
      </c>
      <c r="AW10" s="71"/>
      <c r="AX10" s="71"/>
      <c r="AY10" s="71"/>
      <c r="AZ10" s="71"/>
      <c r="BA10" s="71"/>
      <c r="BB10" s="70" t="s">
        <v>218</v>
      </c>
      <c r="BC10" s="70" t="s">
        <v>98</v>
      </c>
      <c r="BD10" s="72" t="str">
        <f>IF('Cálculo MP'!K20="","",'Cálculo MP'!K20)</f>
        <v/>
      </c>
      <c r="BE10" s="72" t="str">
        <f>IF('Cálculo MP'!L20="","",'Cálculo MP'!L20)</f>
        <v/>
      </c>
      <c r="BF10" s="72" t="str">
        <f>IF('Cálculo MP'!M20="","",'Cálculo MP'!M20)</f>
        <v/>
      </c>
      <c r="BG10" s="72" t="str">
        <f>IF('Cálculo MP'!N20="","",'Cálculo MP'!N20)</f>
        <v/>
      </c>
      <c r="BH10" s="72" t="str">
        <f>IF('Cálculo MP'!O20="","",'Cálculo MP'!O20)</f>
        <v/>
      </c>
      <c r="BI10" s="72" t="str">
        <f>IF('Cálculo MP'!P20="","",'Cálculo MP'!P20)</f>
        <v/>
      </c>
      <c r="BJ10" s="72" t="str">
        <f>IF('Cálculo MP'!Q20="","",'Cálculo MP'!Q20)</f>
        <v/>
      </c>
      <c r="BK10" s="72" t="str">
        <f>IF('Cálculo MP'!R20="","",'Cálculo MP'!R20)</f>
        <v/>
      </c>
      <c r="BL10" s="72" t="str">
        <f>IF('Cálculo MP'!S20="","",'Cálculo MP'!S20)</f>
        <v/>
      </c>
      <c r="BM10" s="73"/>
      <c r="BN10" s="73"/>
      <c r="BO10" s="73"/>
      <c r="BP10" s="73"/>
      <c r="BQ10" s="73"/>
      <c r="BR10" s="73"/>
      <c r="BS10" s="73"/>
    </row>
    <row r="11" spans="1:71" ht="19.5" customHeight="1" x14ac:dyDescent="0.15">
      <c r="A11" s="56" t="s">
        <v>985</v>
      </c>
      <c r="B11" s="57" t="s">
        <v>986</v>
      </c>
      <c r="C11" s="58" t="s">
        <v>985</v>
      </c>
      <c r="D11" s="59" t="s">
        <v>985</v>
      </c>
      <c r="E11" s="61"/>
      <c r="F11" s="60" t="s">
        <v>95</v>
      </c>
      <c r="G11" s="61"/>
      <c r="H11" s="62"/>
      <c r="I11" s="75"/>
      <c r="J11" s="60" t="s">
        <v>95</v>
      </c>
      <c r="K11" s="64"/>
      <c r="L11" s="64"/>
      <c r="M11" s="64" t="s">
        <v>96</v>
      </c>
      <c r="N11" s="64" t="s">
        <v>97</v>
      </c>
      <c r="O11" s="65" t="s">
        <v>986</v>
      </c>
      <c r="P11" s="70" t="s">
        <v>96</v>
      </c>
      <c r="Q11" s="60" t="s">
        <v>95</v>
      </c>
      <c r="R11" s="60" t="s">
        <v>96</v>
      </c>
      <c r="S11" s="66" t="s">
        <v>96</v>
      </c>
      <c r="T11" s="67" t="s">
        <v>96</v>
      </c>
      <c r="U11" s="60" t="s">
        <v>96</v>
      </c>
      <c r="V11" s="60" t="s">
        <v>96</v>
      </c>
      <c r="W11" s="60" t="str" cm="1">
        <f t="array" ref="W11">_xlfn.LET(_xlpm.resultados,_xlfn.UNIQUE(_xlfn._xlws.FILTER(Tabla1[Proceso],(Tabla1[Metal Base]=Q11)*(Tabla1[Etiquetas]=_xlfn.TEXTJOIN(" + ",TRUE,IF((TRIM(Upload!R11:V11)="")+(LOWER(TRIM(Upload!R11:V11))="(seleccione)"),"",PROPER(TRIM(Upload!R11:V11)))))*(Tabla1[Línea2]=IFERROR(VLOOKUP(Upload!P11&amp;"*",CAT_Procesos!D:D,1,FALSE),"")))),_xlpm.cantidad,ROWS(_xlpm.resultados),IF(ISERROR(_xlpm.cantidad),"Combinación no existente",IF(_xlpm.cantidad=1,INDEX(_xlpm.resultados,1),"(seleccione)")))</f>
        <v>Combinación no existente</v>
      </c>
      <c r="X11" s="67" t="s">
        <v>96</v>
      </c>
      <c r="Y11" s="64"/>
      <c r="Z11" s="64"/>
      <c r="AA11" s="64"/>
      <c r="AB11" s="133" t="s">
        <v>96</v>
      </c>
      <c r="AC11" s="64"/>
      <c r="AD11" s="64"/>
      <c r="AE11" s="64"/>
      <c r="AF11" s="60" t="s">
        <v>96</v>
      </c>
      <c r="AG11" s="64"/>
      <c r="AH11" s="64"/>
      <c r="AI11" s="64"/>
      <c r="AJ11" s="68" t="s">
        <v>96</v>
      </c>
      <c r="AK11" s="69" t="str">
        <f t="shared" si="0"/>
        <v/>
      </c>
      <c r="AL11" s="70" t="s">
        <v>96</v>
      </c>
      <c r="AM11" s="69" t="str">
        <f t="shared" si="1"/>
        <v/>
      </c>
      <c r="AN11" s="71"/>
      <c r="AO11" s="71"/>
      <c r="AP11" s="71"/>
      <c r="AQ11" s="76"/>
      <c r="AR11" s="71" t="s">
        <v>96</v>
      </c>
      <c r="AS11" s="71"/>
      <c r="AT11" s="71" t="s">
        <v>96</v>
      </c>
      <c r="AU11" s="71"/>
      <c r="AV11" s="71" t="s">
        <v>95</v>
      </c>
      <c r="AW11" s="71"/>
      <c r="AX11" s="71"/>
      <c r="AY11" s="71"/>
      <c r="AZ11" s="71"/>
      <c r="BA11" s="71"/>
      <c r="BB11" s="70" t="s">
        <v>218</v>
      </c>
      <c r="BC11" s="70" t="s">
        <v>98</v>
      </c>
      <c r="BD11" s="72" t="str">
        <f>IF('Cálculo MP'!K21="","",'Cálculo MP'!K21)</f>
        <v/>
      </c>
      <c r="BE11" s="72" t="str">
        <f>IF('Cálculo MP'!L21="","",'Cálculo MP'!L21)</f>
        <v/>
      </c>
      <c r="BF11" s="72" t="str">
        <f>IF('Cálculo MP'!M21="","",'Cálculo MP'!M21)</f>
        <v/>
      </c>
      <c r="BG11" s="72" t="str">
        <f>IF('Cálculo MP'!N21="","",'Cálculo MP'!N21)</f>
        <v/>
      </c>
      <c r="BH11" s="72" t="str">
        <f>IF('Cálculo MP'!O21="","",'Cálculo MP'!O21)</f>
        <v/>
      </c>
      <c r="BI11" s="72" t="str">
        <f>IF('Cálculo MP'!P21="","",'Cálculo MP'!P21)</f>
        <v/>
      </c>
      <c r="BJ11" s="72" t="str">
        <f>IF('Cálculo MP'!Q21="","",'Cálculo MP'!Q21)</f>
        <v/>
      </c>
      <c r="BK11" s="72" t="str">
        <f>IF('Cálculo MP'!R21="","",'Cálculo MP'!R21)</f>
        <v/>
      </c>
      <c r="BL11" s="72" t="str">
        <f>IF('Cálculo MP'!S21="","",'Cálculo MP'!S21)</f>
        <v/>
      </c>
      <c r="BM11" s="73"/>
      <c r="BN11" s="73"/>
      <c r="BO11" s="73"/>
      <c r="BP11" s="73"/>
      <c r="BQ11" s="73"/>
      <c r="BR11" s="73"/>
      <c r="BS11" s="73"/>
    </row>
    <row r="12" spans="1:71" ht="19.5" customHeight="1" x14ac:dyDescent="0.15">
      <c r="A12" s="56" t="s">
        <v>985</v>
      </c>
      <c r="B12" s="57" t="s">
        <v>986</v>
      </c>
      <c r="C12" s="58" t="s">
        <v>985</v>
      </c>
      <c r="D12" s="59" t="s">
        <v>985</v>
      </c>
      <c r="E12" s="61"/>
      <c r="F12" s="60" t="s">
        <v>95</v>
      </c>
      <c r="G12" s="61"/>
      <c r="H12" s="62"/>
      <c r="I12" s="75"/>
      <c r="J12" s="60" t="s">
        <v>95</v>
      </c>
      <c r="K12" s="64"/>
      <c r="L12" s="64"/>
      <c r="M12" s="64" t="s">
        <v>96</v>
      </c>
      <c r="N12" s="64" t="s">
        <v>97</v>
      </c>
      <c r="O12" s="65" t="s">
        <v>986</v>
      </c>
      <c r="P12" s="70" t="s">
        <v>96</v>
      </c>
      <c r="Q12" s="60" t="s">
        <v>95</v>
      </c>
      <c r="R12" s="60" t="s">
        <v>96</v>
      </c>
      <c r="S12" s="66" t="s">
        <v>96</v>
      </c>
      <c r="T12" s="67" t="s">
        <v>96</v>
      </c>
      <c r="U12" s="60" t="s">
        <v>96</v>
      </c>
      <c r="V12" s="60" t="s">
        <v>96</v>
      </c>
      <c r="W12" s="60" t="str" cm="1">
        <f t="array" ref="W12">_xlfn.LET(_xlpm.resultados,_xlfn.UNIQUE(_xlfn._xlws.FILTER(Tabla1[Proceso],(Tabla1[Metal Base]=Q12)*(Tabla1[Etiquetas]=_xlfn.TEXTJOIN(" + ",TRUE,IF((TRIM(Upload!R12:V12)="")+(LOWER(TRIM(Upload!R12:V12))="(seleccione)"),"",PROPER(TRIM(Upload!R12:V12)))))*(Tabla1[Línea2]=IFERROR(VLOOKUP(Upload!P12&amp;"*",CAT_Procesos!D:D,1,FALSE),"")))),_xlpm.cantidad,ROWS(_xlpm.resultados),IF(ISERROR(_xlpm.cantidad),"Combinación no existente",IF(_xlpm.cantidad=1,INDEX(_xlpm.resultados,1),"(seleccione)")))</f>
        <v>Combinación no existente</v>
      </c>
      <c r="X12" s="67" t="s">
        <v>96</v>
      </c>
      <c r="Y12" s="64"/>
      <c r="Z12" s="64"/>
      <c r="AA12" s="64"/>
      <c r="AB12" s="133" t="s">
        <v>96</v>
      </c>
      <c r="AC12" s="64"/>
      <c r="AD12" s="64"/>
      <c r="AE12" s="64"/>
      <c r="AF12" s="60" t="s">
        <v>96</v>
      </c>
      <c r="AG12" s="64"/>
      <c r="AH12" s="64"/>
      <c r="AI12" s="64"/>
      <c r="AJ12" s="68" t="s">
        <v>96</v>
      </c>
      <c r="AK12" s="69" t="str">
        <f t="shared" si="0"/>
        <v/>
      </c>
      <c r="AL12" s="70" t="s">
        <v>96</v>
      </c>
      <c r="AM12" s="69" t="str">
        <f t="shared" si="1"/>
        <v/>
      </c>
      <c r="AN12" s="71"/>
      <c r="AO12" s="71"/>
      <c r="AP12" s="71"/>
      <c r="AQ12" s="76"/>
      <c r="AR12" s="71" t="s">
        <v>96</v>
      </c>
      <c r="AS12" s="71"/>
      <c r="AT12" s="71" t="s">
        <v>96</v>
      </c>
      <c r="AU12" s="71"/>
      <c r="AV12" s="71" t="s">
        <v>95</v>
      </c>
      <c r="AW12" s="71"/>
      <c r="AX12" s="71"/>
      <c r="AY12" s="71"/>
      <c r="AZ12" s="71"/>
      <c r="BA12" s="71"/>
      <c r="BB12" s="70" t="s">
        <v>218</v>
      </c>
      <c r="BC12" s="70" t="s">
        <v>98</v>
      </c>
      <c r="BD12" s="72" t="str">
        <f>IF('Cálculo MP'!K22="","",'Cálculo MP'!K22)</f>
        <v/>
      </c>
      <c r="BE12" s="72" t="str">
        <f>IF('Cálculo MP'!L22="","",'Cálculo MP'!L22)</f>
        <v/>
      </c>
      <c r="BF12" s="72" t="str">
        <f>IF('Cálculo MP'!M22="","",'Cálculo MP'!M22)</f>
        <v/>
      </c>
      <c r="BG12" s="72" t="str">
        <f>IF('Cálculo MP'!N22="","",'Cálculo MP'!N22)</f>
        <v/>
      </c>
      <c r="BH12" s="72" t="str">
        <f>IF('Cálculo MP'!O22="","",'Cálculo MP'!O22)</f>
        <v/>
      </c>
      <c r="BI12" s="72" t="str">
        <f>IF('Cálculo MP'!P22="","",'Cálculo MP'!P22)</f>
        <v/>
      </c>
      <c r="BJ12" s="72" t="str">
        <f>IF('Cálculo MP'!Q22="","",'Cálculo MP'!Q22)</f>
        <v/>
      </c>
      <c r="BK12" s="72" t="str">
        <f>IF('Cálculo MP'!R22="","",'Cálculo MP'!R22)</f>
        <v/>
      </c>
      <c r="BL12" s="72" t="str">
        <f>IF('Cálculo MP'!S22="","",'Cálculo MP'!S22)</f>
        <v/>
      </c>
      <c r="BM12" s="73"/>
      <c r="BN12" s="73"/>
      <c r="BO12" s="73"/>
      <c r="BP12" s="73"/>
      <c r="BQ12" s="73"/>
      <c r="BR12" s="73"/>
      <c r="BS12" s="73"/>
    </row>
    <row r="13" spans="1:71" ht="19.5" customHeight="1" x14ac:dyDescent="0.15">
      <c r="A13" s="56" t="s">
        <v>985</v>
      </c>
      <c r="B13" s="57" t="s">
        <v>986</v>
      </c>
      <c r="C13" s="58" t="s">
        <v>985</v>
      </c>
      <c r="D13" s="59" t="s">
        <v>985</v>
      </c>
      <c r="E13" s="61"/>
      <c r="F13" s="60" t="s">
        <v>95</v>
      </c>
      <c r="G13" s="61"/>
      <c r="H13" s="62"/>
      <c r="I13" s="75"/>
      <c r="J13" s="60" t="s">
        <v>95</v>
      </c>
      <c r="K13" s="64"/>
      <c r="L13" s="64"/>
      <c r="M13" s="64" t="s">
        <v>96</v>
      </c>
      <c r="N13" s="64" t="s">
        <v>97</v>
      </c>
      <c r="O13" s="65" t="s">
        <v>986</v>
      </c>
      <c r="P13" s="70" t="s">
        <v>96</v>
      </c>
      <c r="Q13" s="60" t="s">
        <v>95</v>
      </c>
      <c r="R13" s="60" t="s">
        <v>96</v>
      </c>
      <c r="S13" s="66" t="s">
        <v>96</v>
      </c>
      <c r="T13" s="67" t="s">
        <v>96</v>
      </c>
      <c r="U13" s="60" t="s">
        <v>96</v>
      </c>
      <c r="V13" s="60" t="s">
        <v>96</v>
      </c>
      <c r="W13" s="60" t="str" cm="1">
        <f t="array" ref="W13">_xlfn.LET(_xlpm.resultados,_xlfn.UNIQUE(_xlfn._xlws.FILTER(Tabla1[Proceso],(Tabla1[Metal Base]=Q13)*(Tabla1[Etiquetas]=_xlfn.TEXTJOIN(" + ",TRUE,IF((TRIM(Upload!R13:V13)="")+(LOWER(TRIM(Upload!R13:V13))="(seleccione)"),"",PROPER(TRIM(Upload!R13:V13)))))*(Tabla1[Línea2]=IFERROR(VLOOKUP(Upload!P13&amp;"*",CAT_Procesos!D:D,1,FALSE),"")))),_xlpm.cantidad,ROWS(_xlpm.resultados),IF(ISERROR(_xlpm.cantidad),"Combinación no existente",IF(_xlpm.cantidad=1,INDEX(_xlpm.resultados,1),"(seleccione)")))</f>
        <v>Combinación no existente</v>
      </c>
      <c r="X13" s="67" t="s">
        <v>96</v>
      </c>
      <c r="Y13" s="64"/>
      <c r="Z13" s="64"/>
      <c r="AA13" s="64"/>
      <c r="AB13" s="133" t="s">
        <v>96</v>
      </c>
      <c r="AC13" s="64"/>
      <c r="AD13" s="64"/>
      <c r="AE13" s="64"/>
      <c r="AF13" s="60" t="s">
        <v>96</v>
      </c>
      <c r="AG13" s="64"/>
      <c r="AH13" s="64"/>
      <c r="AI13" s="64"/>
      <c r="AJ13" s="68" t="s">
        <v>96</v>
      </c>
      <c r="AK13" s="69" t="str">
        <f t="shared" si="0"/>
        <v/>
      </c>
      <c r="AL13" s="70" t="s">
        <v>96</v>
      </c>
      <c r="AM13" s="69" t="str">
        <f t="shared" si="1"/>
        <v/>
      </c>
      <c r="AN13" s="71"/>
      <c r="AO13" s="71"/>
      <c r="AP13" s="71"/>
      <c r="AQ13" s="76"/>
      <c r="AR13" s="71" t="s">
        <v>96</v>
      </c>
      <c r="AS13" s="71"/>
      <c r="AT13" s="71" t="s">
        <v>96</v>
      </c>
      <c r="AU13" s="71"/>
      <c r="AV13" s="71" t="s">
        <v>95</v>
      </c>
      <c r="AW13" s="71"/>
      <c r="AX13" s="71"/>
      <c r="AY13" s="71"/>
      <c r="AZ13" s="71"/>
      <c r="BA13" s="71"/>
      <c r="BB13" s="70" t="s">
        <v>218</v>
      </c>
      <c r="BC13" s="70" t="s">
        <v>98</v>
      </c>
      <c r="BD13" s="72" t="str">
        <f>IF('Cálculo MP'!K23="","",'Cálculo MP'!K23)</f>
        <v/>
      </c>
      <c r="BE13" s="72" t="str">
        <f>IF('Cálculo MP'!L23="","",'Cálculo MP'!L23)</f>
        <v/>
      </c>
      <c r="BF13" s="72" t="str">
        <f>IF('Cálculo MP'!M23="","",'Cálculo MP'!M23)</f>
        <v/>
      </c>
      <c r="BG13" s="72" t="str">
        <f>IF('Cálculo MP'!N23="","",'Cálculo MP'!N23)</f>
        <v/>
      </c>
      <c r="BH13" s="72" t="str">
        <f>IF('Cálculo MP'!O23="","",'Cálculo MP'!O23)</f>
        <v/>
      </c>
      <c r="BI13" s="72" t="str">
        <f>IF('Cálculo MP'!P23="","",'Cálculo MP'!P23)</f>
        <v/>
      </c>
      <c r="BJ13" s="72" t="str">
        <f>IF('Cálculo MP'!Q23="","",'Cálculo MP'!Q23)</f>
        <v/>
      </c>
      <c r="BK13" s="72" t="str">
        <f>IF('Cálculo MP'!R23="","",'Cálculo MP'!R23)</f>
        <v/>
      </c>
      <c r="BL13" s="72" t="str">
        <f>IF('Cálculo MP'!S23="","",'Cálculo MP'!S23)</f>
        <v/>
      </c>
      <c r="BM13" s="73"/>
      <c r="BN13" s="73"/>
      <c r="BO13" s="73"/>
      <c r="BP13" s="73"/>
      <c r="BQ13" s="73"/>
      <c r="BR13" s="73"/>
      <c r="BS13" s="73"/>
    </row>
    <row r="14" spans="1:71" ht="19.5" customHeight="1" x14ac:dyDescent="0.15">
      <c r="A14" s="56" t="s">
        <v>985</v>
      </c>
      <c r="B14" s="57" t="s">
        <v>986</v>
      </c>
      <c r="C14" s="58" t="s">
        <v>985</v>
      </c>
      <c r="D14" s="59" t="s">
        <v>985</v>
      </c>
      <c r="E14" s="61"/>
      <c r="F14" s="60" t="s">
        <v>95</v>
      </c>
      <c r="G14" s="61"/>
      <c r="H14" s="62"/>
      <c r="I14" s="75"/>
      <c r="J14" s="60" t="s">
        <v>95</v>
      </c>
      <c r="K14" s="64"/>
      <c r="L14" s="64"/>
      <c r="M14" s="64" t="s">
        <v>96</v>
      </c>
      <c r="N14" s="64" t="s">
        <v>97</v>
      </c>
      <c r="O14" s="65" t="s">
        <v>986</v>
      </c>
      <c r="P14" s="70" t="s">
        <v>96</v>
      </c>
      <c r="Q14" s="60" t="s">
        <v>95</v>
      </c>
      <c r="R14" s="60" t="s">
        <v>96</v>
      </c>
      <c r="S14" s="66" t="s">
        <v>96</v>
      </c>
      <c r="T14" s="67" t="s">
        <v>96</v>
      </c>
      <c r="U14" s="60" t="s">
        <v>96</v>
      </c>
      <c r="V14" s="60" t="s">
        <v>96</v>
      </c>
      <c r="W14" s="60" t="str" cm="1">
        <f t="array" ref="W14">_xlfn.LET(_xlpm.resultados,_xlfn.UNIQUE(_xlfn._xlws.FILTER(Tabla1[Proceso],(Tabla1[Metal Base]=Q14)*(Tabla1[Etiquetas]=_xlfn.TEXTJOIN(" + ",TRUE,IF((TRIM(Upload!R14:V14)="")+(LOWER(TRIM(Upload!R14:V14))="(seleccione)"),"",PROPER(TRIM(Upload!R14:V14)))))*(Tabla1[Línea2]=IFERROR(VLOOKUP(Upload!P14&amp;"*",CAT_Procesos!D:D,1,FALSE),"")))),_xlpm.cantidad,ROWS(_xlpm.resultados),IF(ISERROR(_xlpm.cantidad),"Combinación no existente",IF(_xlpm.cantidad=1,INDEX(_xlpm.resultados,1),"(seleccione)")))</f>
        <v>Combinación no existente</v>
      </c>
      <c r="X14" s="67" t="s">
        <v>96</v>
      </c>
      <c r="Y14" s="64"/>
      <c r="Z14" s="64"/>
      <c r="AA14" s="64"/>
      <c r="AB14" s="133" t="s">
        <v>96</v>
      </c>
      <c r="AC14" s="64"/>
      <c r="AD14" s="64"/>
      <c r="AE14" s="64"/>
      <c r="AF14" s="60" t="s">
        <v>96</v>
      </c>
      <c r="AG14" s="64"/>
      <c r="AH14" s="64"/>
      <c r="AI14" s="64"/>
      <c r="AJ14" s="68" t="s">
        <v>96</v>
      </c>
      <c r="AK14" s="69" t="str">
        <f t="shared" si="0"/>
        <v/>
      </c>
      <c r="AL14" s="70" t="s">
        <v>96</v>
      </c>
      <c r="AM14" s="69" t="str">
        <f t="shared" si="1"/>
        <v/>
      </c>
      <c r="AN14" s="71"/>
      <c r="AO14" s="71"/>
      <c r="AP14" s="71"/>
      <c r="AQ14" s="71"/>
      <c r="AR14" s="71" t="s">
        <v>96</v>
      </c>
      <c r="AS14" s="71"/>
      <c r="AT14" s="71" t="s">
        <v>96</v>
      </c>
      <c r="AU14" s="71"/>
      <c r="AV14" s="71" t="s">
        <v>95</v>
      </c>
      <c r="AW14" s="71"/>
      <c r="AX14" s="71"/>
      <c r="AY14" s="71"/>
      <c r="AZ14" s="71"/>
      <c r="BA14" s="71"/>
      <c r="BB14" s="70" t="s">
        <v>218</v>
      </c>
      <c r="BC14" s="70" t="s">
        <v>98</v>
      </c>
      <c r="BD14" s="72" t="str">
        <f>IF('Cálculo MP'!K24="","",'Cálculo MP'!K24)</f>
        <v/>
      </c>
      <c r="BE14" s="72" t="str">
        <f>IF('Cálculo MP'!L24="","",'Cálculo MP'!L24)</f>
        <v/>
      </c>
      <c r="BF14" s="72" t="str">
        <f>IF('Cálculo MP'!M24="","",'Cálculo MP'!M24)</f>
        <v/>
      </c>
      <c r="BG14" s="72" t="str">
        <f>IF('Cálculo MP'!N24="","",'Cálculo MP'!N24)</f>
        <v/>
      </c>
      <c r="BH14" s="72" t="str">
        <f>IF('Cálculo MP'!O24="","",'Cálculo MP'!O24)</f>
        <v/>
      </c>
      <c r="BI14" s="72" t="str">
        <f>IF('Cálculo MP'!P24="","",'Cálculo MP'!P24)</f>
        <v/>
      </c>
      <c r="BJ14" s="72" t="str">
        <f>IF('Cálculo MP'!Q24="","",'Cálculo MP'!Q24)</f>
        <v/>
      </c>
      <c r="BK14" s="72" t="str">
        <f>IF('Cálculo MP'!R24="","",'Cálculo MP'!R24)</f>
        <v/>
      </c>
      <c r="BL14" s="72" t="str">
        <f>IF('Cálculo MP'!S24="","",'Cálculo MP'!S24)</f>
        <v/>
      </c>
      <c r="BM14" s="73"/>
      <c r="BN14" s="73"/>
      <c r="BO14" s="73"/>
      <c r="BP14" s="73"/>
      <c r="BQ14" s="73"/>
      <c r="BR14" s="73"/>
      <c r="BS14" s="73"/>
    </row>
    <row r="15" spans="1:71" ht="19.5" customHeight="1" x14ac:dyDescent="0.15">
      <c r="A15" s="56" t="s">
        <v>985</v>
      </c>
      <c r="B15" s="57" t="s">
        <v>986</v>
      </c>
      <c r="C15" s="58" t="s">
        <v>985</v>
      </c>
      <c r="D15" s="59" t="s">
        <v>985</v>
      </c>
      <c r="E15" s="61"/>
      <c r="F15" s="60" t="s">
        <v>95</v>
      </c>
      <c r="G15" s="61"/>
      <c r="H15" s="62"/>
      <c r="I15" s="75"/>
      <c r="J15" s="60" t="s">
        <v>95</v>
      </c>
      <c r="K15" s="64"/>
      <c r="L15" s="64"/>
      <c r="M15" s="64" t="s">
        <v>96</v>
      </c>
      <c r="N15" s="64" t="s">
        <v>97</v>
      </c>
      <c r="O15" s="65" t="s">
        <v>986</v>
      </c>
      <c r="P15" s="70" t="s">
        <v>96</v>
      </c>
      <c r="Q15" s="60" t="s">
        <v>95</v>
      </c>
      <c r="R15" s="60" t="s">
        <v>96</v>
      </c>
      <c r="S15" s="66" t="s">
        <v>96</v>
      </c>
      <c r="T15" s="67" t="s">
        <v>96</v>
      </c>
      <c r="U15" s="60" t="s">
        <v>96</v>
      </c>
      <c r="V15" s="60" t="s">
        <v>96</v>
      </c>
      <c r="W15" s="60" t="str" cm="1">
        <f t="array" ref="W15">_xlfn.LET(_xlpm.resultados,_xlfn.UNIQUE(_xlfn._xlws.FILTER(Tabla1[Proceso],(Tabla1[Metal Base]=Q15)*(Tabla1[Etiquetas]=_xlfn.TEXTJOIN(" + ",TRUE,IF((TRIM(Upload!R15:V15)="")+(LOWER(TRIM(Upload!R15:V15))="(seleccione)"),"",PROPER(TRIM(Upload!R15:V15)))))*(Tabla1[Línea2]=IFERROR(VLOOKUP(Upload!P15&amp;"*",CAT_Procesos!D:D,1,FALSE),"")))),_xlpm.cantidad,ROWS(_xlpm.resultados),IF(ISERROR(_xlpm.cantidad),"Combinación no existente",IF(_xlpm.cantidad=1,INDEX(_xlpm.resultados,1),"(seleccione)")))</f>
        <v>Combinación no existente</v>
      </c>
      <c r="X15" s="67" t="s">
        <v>96</v>
      </c>
      <c r="Y15" s="64"/>
      <c r="Z15" s="64"/>
      <c r="AA15" s="64"/>
      <c r="AB15" s="133" t="s">
        <v>96</v>
      </c>
      <c r="AC15" s="64"/>
      <c r="AD15" s="64"/>
      <c r="AE15" s="64"/>
      <c r="AF15" s="60" t="s">
        <v>96</v>
      </c>
      <c r="AG15" s="64"/>
      <c r="AH15" s="64"/>
      <c r="AI15" s="64"/>
      <c r="AJ15" s="68" t="s">
        <v>96</v>
      </c>
      <c r="AK15" s="69" t="str">
        <f t="shared" si="0"/>
        <v/>
      </c>
      <c r="AL15" s="70" t="s">
        <v>96</v>
      </c>
      <c r="AM15" s="69" t="str">
        <f t="shared" si="1"/>
        <v/>
      </c>
      <c r="AN15" s="71"/>
      <c r="AO15" s="71"/>
      <c r="AP15" s="71"/>
      <c r="AQ15" s="71"/>
      <c r="AR15" s="71" t="s">
        <v>96</v>
      </c>
      <c r="AS15" s="71"/>
      <c r="AT15" s="71" t="s">
        <v>96</v>
      </c>
      <c r="AU15" s="71"/>
      <c r="AV15" s="71" t="s">
        <v>95</v>
      </c>
      <c r="AW15" s="71"/>
      <c r="AX15" s="71"/>
      <c r="AY15" s="71"/>
      <c r="AZ15" s="71"/>
      <c r="BA15" s="71"/>
      <c r="BB15" s="70" t="s">
        <v>218</v>
      </c>
      <c r="BC15" s="70" t="s">
        <v>98</v>
      </c>
      <c r="BD15" s="72" t="str">
        <f>IF('Cálculo MP'!K25="","",'Cálculo MP'!K25)</f>
        <v/>
      </c>
      <c r="BE15" s="72" t="str">
        <f>IF('Cálculo MP'!L25="","",'Cálculo MP'!L25)</f>
        <v/>
      </c>
      <c r="BF15" s="72" t="str">
        <f>IF('Cálculo MP'!M25="","",'Cálculo MP'!M25)</f>
        <v/>
      </c>
      <c r="BG15" s="72" t="str">
        <f>IF('Cálculo MP'!N25="","",'Cálculo MP'!N25)</f>
        <v/>
      </c>
      <c r="BH15" s="72" t="str">
        <f>IF('Cálculo MP'!O25="","",'Cálculo MP'!O25)</f>
        <v/>
      </c>
      <c r="BI15" s="72" t="str">
        <f>IF('Cálculo MP'!P25="","",'Cálculo MP'!P25)</f>
        <v/>
      </c>
      <c r="BJ15" s="72" t="str">
        <f>IF('Cálculo MP'!Q25="","",'Cálculo MP'!Q25)</f>
        <v/>
      </c>
      <c r="BK15" s="72" t="str">
        <f>IF('Cálculo MP'!R25="","",'Cálculo MP'!R25)</f>
        <v/>
      </c>
      <c r="BL15" s="72" t="str">
        <f>IF('Cálculo MP'!S25="","",'Cálculo MP'!S25)</f>
        <v/>
      </c>
      <c r="BM15" s="73"/>
      <c r="BN15" s="73"/>
      <c r="BO15" s="73"/>
      <c r="BP15" s="73"/>
      <c r="BQ15" s="73"/>
      <c r="BR15" s="73"/>
      <c r="BS15" s="73"/>
    </row>
    <row r="16" spans="1:71" ht="19.5" customHeight="1" x14ac:dyDescent="0.15">
      <c r="A16" s="56" t="s">
        <v>985</v>
      </c>
      <c r="B16" s="57" t="s">
        <v>986</v>
      </c>
      <c r="C16" s="58" t="s">
        <v>985</v>
      </c>
      <c r="D16" s="59" t="s">
        <v>985</v>
      </c>
      <c r="E16" s="61"/>
      <c r="F16" s="60" t="s">
        <v>95</v>
      </c>
      <c r="G16" s="61"/>
      <c r="H16" s="62"/>
      <c r="I16" s="75"/>
      <c r="J16" s="60" t="s">
        <v>95</v>
      </c>
      <c r="K16" s="64"/>
      <c r="L16" s="64"/>
      <c r="M16" s="64" t="s">
        <v>96</v>
      </c>
      <c r="N16" s="64" t="s">
        <v>97</v>
      </c>
      <c r="O16" s="65" t="s">
        <v>986</v>
      </c>
      <c r="P16" s="70" t="s">
        <v>96</v>
      </c>
      <c r="Q16" s="60" t="s">
        <v>95</v>
      </c>
      <c r="R16" s="60" t="s">
        <v>96</v>
      </c>
      <c r="S16" s="66" t="s">
        <v>96</v>
      </c>
      <c r="T16" s="67" t="s">
        <v>96</v>
      </c>
      <c r="U16" s="60" t="s">
        <v>96</v>
      </c>
      <c r="V16" s="60" t="s">
        <v>96</v>
      </c>
      <c r="W16" s="60" t="str" cm="1">
        <f t="array" ref="W16">_xlfn.LET(_xlpm.resultados,_xlfn.UNIQUE(_xlfn._xlws.FILTER(Tabla1[Proceso],(Tabla1[Metal Base]=Q16)*(Tabla1[Etiquetas]=_xlfn.TEXTJOIN(" + ",TRUE,IF((TRIM(Upload!R16:V16)="")+(LOWER(TRIM(Upload!R16:V16))="(seleccione)"),"",PROPER(TRIM(Upload!R16:V16)))))*(Tabla1[Línea2]=IFERROR(VLOOKUP(Upload!P16&amp;"*",CAT_Procesos!D:D,1,FALSE),"")))),_xlpm.cantidad,ROWS(_xlpm.resultados),IF(ISERROR(_xlpm.cantidad),"Combinación no existente",IF(_xlpm.cantidad=1,INDEX(_xlpm.resultados,1),"(seleccione)")))</f>
        <v>Combinación no existente</v>
      </c>
      <c r="X16" s="67" t="s">
        <v>96</v>
      </c>
      <c r="Y16" s="64"/>
      <c r="Z16" s="64"/>
      <c r="AA16" s="64"/>
      <c r="AB16" s="133" t="s">
        <v>96</v>
      </c>
      <c r="AC16" s="64"/>
      <c r="AD16" s="64"/>
      <c r="AE16" s="64"/>
      <c r="AF16" s="60" t="s">
        <v>96</v>
      </c>
      <c r="AG16" s="64"/>
      <c r="AH16" s="64"/>
      <c r="AI16" s="64"/>
      <c r="AJ16" s="68" t="s">
        <v>96</v>
      </c>
      <c r="AK16" s="69" t="str">
        <f t="shared" si="0"/>
        <v/>
      </c>
      <c r="AL16" s="70" t="s">
        <v>96</v>
      </c>
      <c r="AM16" s="69" t="str">
        <f t="shared" si="1"/>
        <v/>
      </c>
      <c r="AN16" s="71"/>
      <c r="AO16" s="71"/>
      <c r="AP16" s="71"/>
      <c r="AQ16" s="71"/>
      <c r="AR16" s="71" t="s">
        <v>96</v>
      </c>
      <c r="AS16" s="71"/>
      <c r="AT16" s="71" t="s">
        <v>96</v>
      </c>
      <c r="AU16" s="71"/>
      <c r="AV16" s="71" t="s">
        <v>95</v>
      </c>
      <c r="AW16" s="71"/>
      <c r="AX16" s="71"/>
      <c r="AY16" s="71"/>
      <c r="AZ16" s="71"/>
      <c r="BA16" s="71"/>
      <c r="BB16" s="70" t="s">
        <v>218</v>
      </c>
      <c r="BC16" s="70" t="s">
        <v>98</v>
      </c>
      <c r="BD16" s="72" t="str">
        <f>IF('Cálculo MP'!K26="","",'Cálculo MP'!K26)</f>
        <v/>
      </c>
      <c r="BE16" s="72" t="str">
        <f>IF('Cálculo MP'!L26="","",'Cálculo MP'!L26)</f>
        <v/>
      </c>
      <c r="BF16" s="72" t="str">
        <f>IF('Cálculo MP'!M26="","",'Cálculo MP'!M26)</f>
        <v/>
      </c>
      <c r="BG16" s="72" t="str">
        <f>IF('Cálculo MP'!N26="","",'Cálculo MP'!N26)</f>
        <v/>
      </c>
      <c r="BH16" s="72" t="str">
        <f>IF('Cálculo MP'!O26="","",'Cálculo MP'!O26)</f>
        <v/>
      </c>
      <c r="BI16" s="72" t="str">
        <f>IF('Cálculo MP'!P26="","",'Cálculo MP'!P26)</f>
        <v/>
      </c>
      <c r="BJ16" s="72" t="str">
        <f>IF('Cálculo MP'!Q26="","",'Cálculo MP'!Q26)</f>
        <v/>
      </c>
      <c r="BK16" s="72" t="str">
        <f>IF('Cálculo MP'!R26="","",'Cálculo MP'!R26)</f>
        <v/>
      </c>
      <c r="BL16" s="72" t="str">
        <f>IF('Cálculo MP'!S26="","",'Cálculo MP'!S26)</f>
        <v/>
      </c>
      <c r="BM16" s="73"/>
      <c r="BN16" s="73"/>
      <c r="BO16" s="73"/>
      <c r="BP16" s="73"/>
      <c r="BQ16" s="73"/>
      <c r="BR16" s="73"/>
      <c r="BS16" s="73"/>
    </row>
    <row r="17" spans="1:71" ht="19.5" customHeight="1" x14ac:dyDescent="0.15">
      <c r="A17" s="56" t="s">
        <v>985</v>
      </c>
      <c r="B17" s="57" t="s">
        <v>986</v>
      </c>
      <c r="C17" s="58" t="s">
        <v>985</v>
      </c>
      <c r="D17" s="59" t="s">
        <v>985</v>
      </c>
      <c r="E17" s="61"/>
      <c r="F17" s="60" t="s">
        <v>95</v>
      </c>
      <c r="G17" s="61"/>
      <c r="H17" s="62"/>
      <c r="I17" s="75"/>
      <c r="J17" s="60" t="s">
        <v>95</v>
      </c>
      <c r="K17" s="64"/>
      <c r="L17" s="64"/>
      <c r="M17" s="64" t="s">
        <v>96</v>
      </c>
      <c r="N17" s="64" t="s">
        <v>97</v>
      </c>
      <c r="O17" s="65" t="s">
        <v>986</v>
      </c>
      <c r="P17" s="70" t="s">
        <v>96</v>
      </c>
      <c r="Q17" s="60" t="s">
        <v>95</v>
      </c>
      <c r="R17" s="60" t="s">
        <v>96</v>
      </c>
      <c r="S17" s="66" t="s">
        <v>96</v>
      </c>
      <c r="T17" s="67" t="s">
        <v>96</v>
      </c>
      <c r="U17" s="60" t="s">
        <v>96</v>
      </c>
      <c r="V17" s="60" t="s">
        <v>96</v>
      </c>
      <c r="W17" s="60" t="str" cm="1">
        <f t="array" ref="W17">_xlfn.LET(_xlpm.resultados,_xlfn.UNIQUE(_xlfn._xlws.FILTER(Tabla1[Proceso],(Tabla1[Metal Base]=Q17)*(Tabla1[Etiquetas]=_xlfn.TEXTJOIN(" + ",TRUE,IF((TRIM(Upload!R17:V17)="")+(LOWER(TRIM(Upload!R17:V17))="(seleccione)"),"",PROPER(TRIM(Upload!R17:V17)))))*(Tabla1[Línea2]=IFERROR(VLOOKUP(Upload!P17&amp;"*",CAT_Procesos!D:D,1,FALSE),"")))),_xlpm.cantidad,ROWS(_xlpm.resultados),IF(ISERROR(_xlpm.cantidad),"Combinación no existente",IF(_xlpm.cantidad=1,INDEX(_xlpm.resultados,1),"(seleccione)")))</f>
        <v>Combinación no existente</v>
      </c>
      <c r="X17" s="67" t="s">
        <v>96</v>
      </c>
      <c r="Y17" s="64"/>
      <c r="Z17" s="64"/>
      <c r="AA17" s="64"/>
      <c r="AB17" s="133" t="s">
        <v>96</v>
      </c>
      <c r="AC17" s="64"/>
      <c r="AD17" s="64"/>
      <c r="AE17" s="64"/>
      <c r="AF17" s="60" t="s">
        <v>96</v>
      </c>
      <c r="AG17" s="64"/>
      <c r="AH17" s="64"/>
      <c r="AI17" s="64"/>
      <c r="AJ17" s="68" t="s">
        <v>96</v>
      </c>
      <c r="AK17" s="69" t="str">
        <f t="shared" si="0"/>
        <v/>
      </c>
      <c r="AL17" s="70" t="s">
        <v>96</v>
      </c>
      <c r="AM17" s="69" t="str">
        <f t="shared" si="1"/>
        <v/>
      </c>
      <c r="AN17" s="71"/>
      <c r="AO17" s="71"/>
      <c r="AP17" s="71"/>
      <c r="AQ17" s="71"/>
      <c r="AR17" s="71" t="s">
        <v>96</v>
      </c>
      <c r="AS17" s="71"/>
      <c r="AT17" s="71" t="s">
        <v>96</v>
      </c>
      <c r="AU17" s="71"/>
      <c r="AV17" s="71" t="s">
        <v>95</v>
      </c>
      <c r="AW17" s="71"/>
      <c r="AX17" s="71"/>
      <c r="AY17" s="71"/>
      <c r="AZ17" s="71"/>
      <c r="BA17" s="71"/>
      <c r="BB17" s="70" t="s">
        <v>218</v>
      </c>
      <c r="BC17" s="70" t="s">
        <v>98</v>
      </c>
      <c r="BD17" s="72" t="str">
        <f>IF('Cálculo MP'!K27="","",'Cálculo MP'!K27)</f>
        <v/>
      </c>
      <c r="BE17" s="72" t="str">
        <f>IF('Cálculo MP'!L27="","",'Cálculo MP'!L27)</f>
        <v/>
      </c>
      <c r="BF17" s="72" t="str">
        <f>IF('Cálculo MP'!M27="","",'Cálculo MP'!M27)</f>
        <v/>
      </c>
      <c r="BG17" s="72" t="str">
        <f>IF('Cálculo MP'!N27="","",'Cálculo MP'!N27)</f>
        <v/>
      </c>
      <c r="BH17" s="72" t="str">
        <f>IF('Cálculo MP'!O27="","",'Cálculo MP'!O27)</f>
        <v/>
      </c>
      <c r="BI17" s="72" t="str">
        <f>IF('Cálculo MP'!P27="","",'Cálculo MP'!P27)</f>
        <v/>
      </c>
      <c r="BJ17" s="72" t="str">
        <f>IF('Cálculo MP'!Q27="","",'Cálculo MP'!Q27)</f>
        <v/>
      </c>
      <c r="BK17" s="72" t="str">
        <f>IF('Cálculo MP'!R27="","",'Cálculo MP'!R27)</f>
        <v/>
      </c>
      <c r="BL17" s="72" t="str">
        <f>IF('Cálculo MP'!S27="","",'Cálculo MP'!S27)</f>
        <v/>
      </c>
      <c r="BM17" s="73"/>
      <c r="BN17" s="73"/>
      <c r="BO17" s="73"/>
      <c r="BP17" s="73"/>
      <c r="BQ17" s="73"/>
      <c r="BR17" s="73"/>
      <c r="BS17" s="73"/>
    </row>
    <row r="18" spans="1:71" ht="19.5" customHeight="1" x14ac:dyDescent="0.15">
      <c r="A18" s="56" t="s">
        <v>985</v>
      </c>
      <c r="B18" s="57" t="s">
        <v>986</v>
      </c>
      <c r="C18" s="58" t="s">
        <v>985</v>
      </c>
      <c r="D18" s="59" t="s">
        <v>985</v>
      </c>
      <c r="E18" s="61"/>
      <c r="F18" s="60" t="s">
        <v>95</v>
      </c>
      <c r="G18" s="61"/>
      <c r="H18" s="62"/>
      <c r="I18" s="75"/>
      <c r="J18" s="60" t="s">
        <v>95</v>
      </c>
      <c r="K18" s="64"/>
      <c r="L18" s="64"/>
      <c r="M18" s="64" t="s">
        <v>96</v>
      </c>
      <c r="N18" s="64" t="s">
        <v>97</v>
      </c>
      <c r="O18" s="65" t="s">
        <v>986</v>
      </c>
      <c r="P18" s="70" t="s">
        <v>96</v>
      </c>
      <c r="Q18" s="60" t="s">
        <v>95</v>
      </c>
      <c r="R18" s="60" t="s">
        <v>96</v>
      </c>
      <c r="S18" s="66" t="s">
        <v>96</v>
      </c>
      <c r="T18" s="67" t="s">
        <v>96</v>
      </c>
      <c r="U18" s="60" t="s">
        <v>96</v>
      </c>
      <c r="V18" s="60" t="s">
        <v>96</v>
      </c>
      <c r="W18" s="60" t="str" cm="1">
        <f t="array" ref="W18">_xlfn.LET(_xlpm.resultados,_xlfn.UNIQUE(_xlfn._xlws.FILTER(Tabla1[Proceso],(Tabla1[Metal Base]=Q18)*(Tabla1[Etiquetas]=_xlfn.TEXTJOIN(" + ",TRUE,IF((TRIM(Upload!R18:V18)="")+(LOWER(TRIM(Upload!R18:V18))="(seleccione)"),"",PROPER(TRIM(Upload!R18:V18)))))*(Tabla1[Línea2]=IFERROR(VLOOKUP(Upload!P18&amp;"*",CAT_Procesos!D:D,1,FALSE),"")))),_xlpm.cantidad,ROWS(_xlpm.resultados),IF(ISERROR(_xlpm.cantidad),"Combinación no existente",IF(_xlpm.cantidad=1,INDEX(_xlpm.resultados,1),"(seleccione)")))</f>
        <v>Combinación no existente</v>
      </c>
      <c r="X18" s="67" t="s">
        <v>96</v>
      </c>
      <c r="Y18" s="64"/>
      <c r="Z18" s="64"/>
      <c r="AA18" s="64"/>
      <c r="AB18" s="133" t="s">
        <v>96</v>
      </c>
      <c r="AC18" s="64"/>
      <c r="AD18" s="64"/>
      <c r="AE18" s="64"/>
      <c r="AF18" s="60" t="s">
        <v>96</v>
      </c>
      <c r="AG18" s="64"/>
      <c r="AH18" s="64"/>
      <c r="AI18" s="64"/>
      <c r="AJ18" s="68" t="s">
        <v>96</v>
      </c>
      <c r="AK18" s="69" t="str">
        <f t="shared" si="0"/>
        <v/>
      </c>
      <c r="AL18" s="70" t="s">
        <v>96</v>
      </c>
      <c r="AM18" s="69" t="str">
        <f t="shared" si="1"/>
        <v/>
      </c>
      <c r="AN18" s="71"/>
      <c r="AO18" s="71"/>
      <c r="AP18" s="71"/>
      <c r="AQ18" s="71"/>
      <c r="AR18" s="71" t="s">
        <v>96</v>
      </c>
      <c r="AS18" s="71"/>
      <c r="AT18" s="71" t="s">
        <v>96</v>
      </c>
      <c r="AU18" s="71"/>
      <c r="AV18" s="71" t="s">
        <v>95</v>
      </c>
      <c r="AW18" s="71"/>
      <c r="AX18" s="71"/>
      <c r="AY18" s="71"/>
      <c r="AZ18" s="71"/>
      <c r="BA18" s="71"/>
      <c r="BB18" s="70" t="s">
        <v>218</v>
      </c>
      <c r="BC18" s="70" t="s">
        <v>98</v>
      </c>
      <c r="BD18" s="72" t="str">
        <f>IF('Cálculo MP'!K28="","",'Cálculo MP'!K28)</f>
        <v/>
      </c>
      <c r="BE18" s="72" t="str">
        <f>IF('Cálculo MP'!L28="","",'Cálculo MP'!L28)</f>
        <v/>
      </c>
      <c r="BF18" s="72" t="str">
        <f>IF('Cálculo MP'!M28="","",'Cálculo MP'!M28)</f>
        <v/>
      </c>
      <c r="BG18" s="72" t="str">
        <f>IF('Cálculo MP'!N28="","",'Cálculo MP'!N28)</f>
        <v/>
      </c>
      <c r="BH18" s="72" t="str">
        <f>IF('Cálculo MP'!O28="","",'Cálculo MP'!O28)</f>
        <v/>
      </c>
      <c r="BI18" s="72" t="str">
        <f>IF('Cálculo MP'!P28="","",'Cálculo MP'!P28)</f>
        <v/>
      </c>
      <c r="BJ18" s="72" t="str">
        <f>IF('Cálculo MP'!Q28="","",'Cálculo MP'!Q28)</f>
        <v/>
      </c>
      <c r="BK18" s="72" t="str">
        <f>IF('Cálculo MP'!R28="","",'Cálculo MP'!R28)</f>
        <v/>
      </c>
      <c r="BL18" s="72" t="str">
        <f>IF('Cálculo MP'!S28="","",'Cálculo MP'!S28)</f>
        <v/>
      </c>
      <c r="BM18" s="73"/>
      <c r="BN18" s="73"/>
      <c r="BO18" s="73"/>
      <c r="BP18" s="73"/>
      <c r="BQ18" s="73"/>
      <c r="BR18" s="73"/>
      <c r="BS18" s="73"/>
    </row>
    <row r="19" spans="1:71" ht="19.5" customHeight="1" x14ac:dyDescent="0.15">
      <c r="A19" s="56" t="s">
        <v>985</v>
      </c>
      <c r="B19" s="57" t="s">
        <v>986</v>
      </c>
      <c r="C19" s="58" t="s">
        <v>985</v>
      </c>
      <c r="D19" s="59" t="s">
        <v>985</v>
      </c>
      <c r="E19" s="61"/>
      <c r="F19" s="60" t="s">
        <v>95</v>
      </c>
      <c r="G19" s="61"/>
      <c r="H19" s="62"/>
      <c r="I19" s="75"/>
      <c r="J19" s="60" t="s">
        <v>95</v>
      </c>
      <c r="K19" s="64"/>
      <c r="L19" s="64"/>
      <c r="M19" s="64" t="s">
        <v>96</v>
      </c>
      <c r="N19" s="64" t="s">
        <v>97</v>
      </c>
      <c r="O19" s="65" t="s">
        <v>986</v>
      </c>
      <c r="P19" s="70" t="s">
        <v>96</v>
      </c>
      <c r="Q19" s="60" t="s">
        <v>95</v>
      </c>
      <c r="R19" s="60" t="s">
        <v>96</v>
      </c>
      <c r="S19" s="66" t="s">
        <v>96</v>
      </c>
      <c r="T19" s="67" t="s">
        <v>96</v>
      </c>
      <c r="U19" s="60" t="s">
        <v>96</v>
      </c>
      <c r="V19" s="60" t="s">
        <v>96</v>
      </c>
      <c r="W19" s="60" t="str" cm="1">
        <f t="array" ref="W19">_xlfn.LET(_xlpm.resultados,_xlfn.UNIQUE(_xlfn._xlws.FILTER(Tabla1[Proceso],(Tabla1[Metal Base]=Q19)*(Tabla1[Etiquetas]=_xlfn.TEXTJOIN(" + ",TRUE,IF((TRIM(Upload!R19:V19)="")+(LOWER(TRIM(Upload!R19:V19))="(seleccione)"),"",PROPER(TRIM(Upload!R19:V19)))))*(Tabla1[Línea2]=IFERROR(VLOOKUP(Upload!P19&amp;"*",CAT_Procesos!D:D,1,FALSE),"")))),_xlpm.cantidad,ROWS(_xlpm.resultados),IF(ISERROR(_xlpm.cantidad),"Combinación no existente",IF(_xlpm.cantidad=1,INDEX(_xlpm.resultados,1),"(seleccione)")))</f>
        <v>Combinación no existente</v>
      </c>
      <c r="X19" s="67" t="s">
        <v>96</v>
      </c>
      <c r="Y19" s="64"/>
      <c r="Z19" s="64"/>
      <c r="AA19" s="64"/>
      <c r="AB19" s="133" t="s">
        <v>96</v>
      </c>
      <c r="AC19" s="64"/>
      <c r="AD19" s="64"/>
      <c r="AE19" s="64"/>
      <c r="AF19" s="60" t="s">
        <v>96</v>
      </c>
      <c r="AG19" s="64"/>
      <c r="AH19" s="64"/>
      <c r="AI19" s="64"/>
      <c r="AJ19" s="68" t="s">
        <v>96</v>
      </c>
      <c r="AK19" s="69" t="str">
        <f t="shared" si="0"/>
        <v/>
      </c>
      <c r="AL19" s="70" t="s">
        <v>96</v>
      </c>
      <c r="AM19" s="69" t="str">
        <f t="shared" si="1"/>
        <v/>
      </c>
      <c r="AN19" s="71"/>
      <c r="AO19" s="71"/>
      <c r="AP19" s="71"/>
      <c r="AQ19" s="71"/>
      <c r="AR19" s="71" t="s">
        <v>96</v>
      </c>
      <c r="AS19" s="71"/>
      <c r="AT19" s="71" t="s">
        <v>96</v>
      </c>
      <c r="AU19" s="71"/>
      <c r="AV19" s="71" t="s">
        <v>95</v>
      </c>
      <c r="AW19" s="71"/>
      <c r="AX19" s="71"/>
      <c r="AY19" s="71"/>
      <c r="AZ19" s="71"/>
      <c r="BA19" s="71"/>
      <c r="BB19" s="70" t="s">
        <v>218</v>
      </c>
      <c r="BC19" s="70" t="s">
        <v>98</v>
      </c>
      <c r="BD19" s="72" t="str">
        <f>IF('Cálculo MP'!K29="","",'Cálculo MP'!K29)</f>
        <v/>
      </c>
      <c r="BE19" s="72" t="str">
        <f>IF('Cálculo MP'!L29="","",'Cálculo MP'!L29)</f>
        <v/>
      </c>
      <c r="BF19" s="72" t="str">
        <f>IF('Cálculo MP'!M29="","",'Cálculo MP'!M29)</f>
        <v/>
      </c>
      <c r="BG19" s="72" t="str">
        <f>IF('Cálculo MP'!N29="","",'Cálculo MP'!N29)</f>
        <v/>
      </c>
      <c r="BH19" s="72" t="str">
        <f>IF('Cálculo MP'!O29="","",'Cálculo MP'!O29)</f>
        <v/>
      </c>
      <c r="BI19" s="72" t="str">
        <f>IF('Cálculo MP'!P29="","",'Cálculo MP'!P29)</f>
        <v/>
      </c>
      <c r="BJ19" s="72" t="str">
        <f>IF('Cálculo MP'!Q29="","",'Cálculo MP'!Q29)</f>
        <v/>
      </c>
      <c r="BK19" s="72" t="str">
        <f>IF('Cálculo MP'!R29="","",'Cálculo MP'!R29)</f>
        <v/>
      </c>
      <c r="BL19" s="72" t="str">
        <f>IF('Cálculo MP'!S29="","",'Cálculo MP'!S29)</f>
        <v/>
      </c>
      <c r="BM19" s="73"/>
      <c r="BN19" s="73"/>
      <c r="BO19" s="73"/>
      <c r="BP19" s="73"/>
      <c r="BQ19" s="73"/>
      <c r="BR19" s="73"/>
      <c r="BS19" s="73"/>
    </row>
    <row r="20" spans="1:71" ht="19.5" customHeight="1" x14ac:dyDescent="0.15">
      <c r="A20" s="56" t="s">
        <v>985</v>
      </c>
      <c r="B20" s="57" t="s">
        <v>986</v>
      </c>
      <c r="C20" s="58" t="s">
        <v>985</v>
      </c>
      <c r="D20" s="59" t="s">
        <v>985</v>
      </c>
      <c r="E20" s="61"/>
      <c r="F20" s="60" t="s">
        <v>95</v>
      </c>
      <c r="G20" s="61"/>
      <c r="H20" s="62"/>
      <c r="I20" s="75"/>
      <c r="J20" s="60" t="s">
        <v>95</v>
      </c>
      <c r="K20" s="64"/>
      <c r="L20" s="64"/>
      <c r="M20" s="64" t="s">
        <v>96</v>
      </c>
      <c r="N20" s="64" t="s">
        <v>97</v>
      </c>
      <c r="O20" s="65" t="s">
        <v>986</v>
      </c>
      <c r="P20" s="70" t="s">
        <v>96</v>
      </c>
      <c r="Q20" s="60" t="s">
        <v>95</v>
      </c>
      <c r="R20" s="60" t="s">
        <v>96</v>
      </c>
      <c r="S20" s="66" t="s">
        <v>96</v>
      </c>
      <c r="T20" s="67" t="s">
        <v>96</v>
      </c>
      <c r="U20" s="60" t="s">
        <v>96</v>
      </c>
      <c r="V20" s="60" t="s">
        <v>96</v>
      </c>
      <c r="W20" s="60" t="str" cm="1">
        <f t="array" ref="W20">_xlfn.LET(_xlpm.resultados,_xlfn.UNIQUE(_xlfn._xlws.FILTER(Tabla1[Proceso],(Tabla1[Metal Base]=Q20)*(Tabla1[Etiquetas]=_xlfn.TEXTJOIN(" + ",TRUE,IF((TRIM(Upload!R20:V20)="")+(LOWER(TRIM(Upload!R20:V20))="(seleccione)"),"",PROPER(TRIM(Upload!R20:V20)))))*(Tabla1[Línea2]=IFERROR(VLOOKUP(Upload!P20&amp;"*",CAT_Procesos!D:D,1,FALSE),"")))),_xlpm.cantidad,ROWS(_xlpm.resultados),IF(ISERROR(_xlpm.cantidad),"Combinación no existente",IF(_xlpm.cantidad=1,INDEX(_xlpm.resultados,1),"(seleccione)")))</f>
        <v>Combinación no existente</v>
      </c>
      <c r="X20" s="67" t="s">
        <v>96</v>
      </c>
      <c r="Y20" s="64"/>
      <c r="Z20" s="64"/>
      <c r="AA20" s="64"/>
      <c r="AB20" s="133" t="s">
        <v>96</v>
      </c>
      <c r="AC20" s="64"/>
      <c r="AD20" s="64"/>
      <c r="AE20" s="64"/>
      <c r="AF20" s="60" t="s">
        <v>96</v>
      </c>
      <c r="AG20" s="64"/>
      <c r="AH20" s="64"/>
      <c r="AI20" s="64"/>
      <c r="AJ20" s="68" t="s">
        <v>96</v>
      </c>
      <c r="AK20" s="69" t="str">
        <f t="shared" si="0"/>
        <v/>
      </c>
      <c r="AL20" s="70" t="s">
        <v>96</v>
      </c>
      <c r="AM20" s="69" t="str">
        <f t="shared" si="1"/>
        <v/>
      </c>
      <c r="AN20" s="71"/>
      <c r="AO20" s="71"/>
      <c r="AP20" s="71"/>
      <c r="AQ20" s="71"/>
      <c r="AR20" s="71" t="s">
        <v>96</v>
      </c>
      <c r="AS20" s="71"/>
      <c r="AT20" s="71" t="s">
        <v>96</v>
      </c>
      <c r="AU20" s="71"/>
      <c r="AV20" s="71" t="s">
        <v>95</v>
      </c>
      <c r="AW20" s="71"/>
      <c r="AX20" s="71"/>
      <c r="AY20" s="71"/>
      <c r="AZ20" s="71"/>
      <c r="BA20" s="71"/>
      <c r="BB20" s="70" t="s">
        <v>218</v>
      </c>
      <c r="BC20" s="70" t="s">
        <v>98</v>
      </c>
      <c r="BD20" s="72" t="str">
        <f>IF('Cálculo MP'!K30="","",'Cálculo MP'!K30)</f>
        <v/>
      </c>
      <c r="BE20" s="72" t="str">
        <f>IF('Cálculo MP'!L30="","",'Cálculo MP'!L30)</f>
        <v/>
      </c>
      <c r="BF20" s="72" t="str">
        <f>IF('Cálculo MP'!M30="","",'Cálculo MP'!M30)</f>
        <v/>
      </c>
      <c r="BG20" s="72" t="str">
        <f>IF('Cálculo MP'!N30="","",'Cálculo MP'!N30)</f>
        <v/>
      </c>
      <c r="BH20" s="72" t="str">
        <f>IF('Cálculo MP'!O30="","",'Cálculo MP'!O30)</f>
        <v/>
      </c>
      <c r="BI20" s="72" t="str">
        <f>IF('Cálculo MP'!P30="","",'Cálculo MP'!P30)</f>
        <v/>
      </c>
      <c r="BJ20" s="72" t="str">
        <f>IF('Cálculo MP'!Q30="","",'Cálculo MP'!Q30)</f>
        <v/>
      </c>
      <c r="BK20" s="72" t="str">
        <f>IF('Cálculo MP'!R30="","",'Cálculo MP'!R30)</f>
        <v/>
      </c>
      <c r="BL20" s="72" t="str">
        <f>IF('Cálculo MP'!S30="","",'Cálculo MP'!S30)</f>
        <v/>
      </c>
      <c r="BM20" s="73"/>
      <c r="BN20" s="73"/>
      <c r="BO20" s="73"/>
      <c r="BP20" s="73"/>
      <c r="BQ20" s="73"/>
      <c r="BR20" s="73"/>
      <c r="BS20" s="73"/>
    </row>
    <row r="21" spans="1:71" ht="19.5" customHeight="1" x14ac:dyDescent="0.15">
      <c r="A21" s="56" t="s">
        <v>985</v>
      </c>
      <c r="B21" s="57" t="s">
        <v>986</v>
      </c>
      <c r="C21" s="58" t="s">
        <v>985</v>
      </c>
      <c r="D21" s="59" t="s">
        <v>985</v>
      </c>
      <c r="E21" s="61"/>
      <c r="F21" s="60" t="s">
        <v>95</v>
      </c>
      <c r="G21" s="61"/>
      <c r="H21" s="62"/>
      <c r="I21" s="75"/>
      <c r="J21" s="60" t="s">
        <v>95</v>
      </c>
      <c r="K21" s="64"/>
      <c r="L21" s="64"/>
      <c r="M21" s="64" t="s">
        <v>96</v>
      </c>
      <c r="N21" s="64" t="s">
        <v>97</v>
      </c>
      <c r="O21" s="65" t="s">
        <v>986</v>
      </c>
      <c r="P21" s="70" t="s">
        <v>96</v>
      </c>
      <c r="Q21" s="60" t="s">
        <v>95</v>
      </c>
      <c r="R21" s="60" t="s">
        <v>96</v>
      </c>
      <c r="S21" s="66" t="s">
        <v>96</v>
      </c>
      <c r="T21" s="67" t="s">
        <v>96</v>
      </c>
      <c r="U21" s="60" t="s">
        <v>96</v>
      </c>
      <c r="V21" s="60" t="s">
        <v>96</v>
      </c>
      <c r="W21" s="60" t="str" cm="1">
        <f t="array" ref="W21">_xlfn.LET(_xlpm.resultados,_xlfn.UNIQUE(_xlfn._xlws.FILTER(Tabla1[Proceso],(Tabla1[Metal Base]=Q21)*(Tabla1[Etiquetas]=_xlfn.TEXTJOIN(" + ",TRUE,IF((TRIM(Upload!R21:V21)="")+(LOWER(TRIM(Upload!R21:V21))="(seleccione)"),"",PROPER(TRIM(Upload!R21:V21)))))*(Tabla1[Línea2]=IFERROR(VLOOKUP(Upload!P21&amp;"*",CAT_Procesos!D:D,1,FALSE),"")))),_xlpm.cantidad,ROWS(_xlpm.resultados),IF(ISERROR(_xlpm.cantidad),"Combinación no existente",IF(_xlpm.cantidad=1,INDEX(_xlpm.resultados,1),"(seleccione)")))</f>
        <v>Combinación no existente</v>
      </c>
      <c r="X21" s="67" t="s">
        <v>96</v>
      </c>
      <c r="Y21" s="64"/>
      <c r="Z21" s="64"/>
      <c r="AA21" s="64"/>
      <c r="AB21" s="133" t="s">
        <v>96</v>
      </c>
      <c r="AC21" s="64"/>
      <c r="AD21" s="64"/>
      <c r="AE21" s="64"/>
      <c r="AF21" s="60" t="s">
        <v>96</v>
      </c>
      <c r="AG21" s="64"/>
      <c r="AH21" s="64"/>
      <c r="AI21" s="64"/>
      <c r="AJ21" s="68" t="s">
        <v>96</v>
      </c>
      <c r="AK21" s="69" t="str">
        <f t="shared" si="0"/>
        <v/>
      </c>
      <c r="AL21" s="70" t="s">
        <v>96</v>
      </c>
      <c r="AM21" s="69" t="str">
        <f t="shared" si="1"/>
        <v/>
      </c>
      <c r="AN21" s="71"/>
      <c r="AO21" s="71"/>
      <c r="AP21" s="71"/>
      <c r="AQ21" s="71"/>
      <c r="AR21" s="71" t="s">
        <v>96</v>
      </c>
      <c r="AS21" s="71"/>
      <c r="AT21" s="71" t="s">
        <v>96</v>
      </c>
      <c r="AU21" s="71"/>
      <c r="AV21" s="71" t="s">
        <v>95</v>
      </c>
      <c r="AW21" s="71"/>
      <c r="AX21" s="71"/>
      <c r="AY21" s="71"/>
      <c r="AZ21" s="71"/>
      <c r="BA21" s="71"/>
      <c r="BB21" s="70" t="s">
        <v>218</v>
      </c>
      <c r="BC21" s="70" t="s">
        <v>98</v>
      </c>
      <c r="BD21" s="72" t="str">
        <f>IF('Cálculo MP'!K31="","",'Cálculo MP'!K31)</f>
        <v/>
      </c>
      <c r="BE21" s="72" t="str">
        <f>IF('Cálculo MP'!L31="","",'Cálculo MP'!L31)</f>
        <v/>
      </c>
      <c r="BF21" s="72" t="str">
        <f>IF('Cálculo MP'!M31="","",'Cálculo MP'!M31)</f>
        <v/>
      </c>
      <c r="BG21" s="72" t="str">
        <f>IF('Cálculo MP'!N31="","",'Cálculo MP'!N31)</f>
        <v/>
      </c>
      <c r="BH21" s="72" t="str">
        <f>IF('Cálculo MP'!O31="","",'Cálculo MP'!O31)</f>
        <v/>
      </c>
      <c r="BI21" s="72" t="str">
        <f>IF('Cálculo MP'!P31="","",'Cálculo MP'!P31)</f>
        <v/>
      </c>
      <c r="BJ21" s="72" t="str">
        <f>IF('Cálculo MP'!Q31="","",'Cálculo MP'!Q31)</f>
        <v/>
      </c>
      <c r="BK21" s="72" t="str">
        <f>IF('Cálculo MP'!R31="","",'Cálculo MP'!R31)</f>
        <v/>
      </c>
      <c r="BL21" s="72" t="str">
        <f>IF('Cálculo MP'!S31="","",'Cálculo MP'!S31)</f>
        <v/>
      </c>
      <c r="BM21" s="73"/>
      <c r="BN21" s="73"/>
      <c r="BO21" s="73"/>
      <c r="BP21" s="73"/>
      <c r="BQ21" s="73"/>
      <c r="BR21" s="73"/>
      <c r="BS21" s="73"/>
    </row>
    <row r="22" spans="1:71" ht="19.5" customHeight="1" x14ac:dyDescent="0.15">
      <c r="A22" s="56" t="s">
        <v>985</v>
      </c>
      <c r="B22" s="57" t="s">
        <v>986</v>
      </c>
      <c r="C22" s="58" t="s">
        <v>985</v>
      </c>
      <c r="D22" s="59" t="s">
        <v>985</v>
      </c>
      <c r="E22" s="61"/>
      <c r="F22" s="60" t="s">
        <v>95</v>
      </c>
      <c r="G22" s="61"/>
      <c r="H22" s="62"/>
      <c r="I22" s="75"/>
      <c r="J22" s="60" t="s">
        <v>95</v>
      </c>
      <c r="K22" s="64"/>
      <c r="L22" s="64"/>
      <c r="M22" s="64" t="s">
        <v>96</v>
      </c>
      <c r="N22" s="64" t="s">
        <v>97</v>
      </c>
      <c r="O22" s="65" t="s">
        <v>986</v>
      </c>
      <c r="P22" s="70" t="s">
        <v>96</v>
      </c>
      <c r="Q22" s="60" t="s">
        <v>95</v>
      </c>
      <c r="R22" s="60" t="s">
        <v>96</v>
      </c>
      <c r="S22" s="66" t="s">
        <v>96</v>
      </c>
      <c r="T22" s="67" t="s">
        <v>96</v>
      </c>
      <c r="U22" s="60" t="s">
        <v>96</v>
      </c>
      <c r="V22" s="60" t="s">
        <v>96</v>
      </c>
      <c r="W22" s="60" t="str" cm="1">
        <f t="array" ref="W22">_xlfn.LET(_xlpm.resultados,_xlfn.UNIQUE(_xlfn._xlws.FILTER(Tabla1[Proceso],(Tabla1[Metal Base]=Q22)*(Tabla1[Etiquetas]=_xlfn.TEXTJOIN(" + ",TRUE,IF((TRIM(Upload!R22:V22)="")+(LOWER(TRIM(Upload!R22:V22))="(seleccione)"),"",PROPER(TRIM(Upload!R22:V22)))))*(Tabla1[Línea2]=IFERROR(VLOOKUP(Upload!P22&amp;"*",CAT_Procesos!D:D,1,FALSE),"")))),_xlpm.cantidad,ROWS(_xlpm.resultados),IF(ISERROR(_xlpm.cantidad),"Combinación no existente",IF(_xlpm.cantidad=1,INDEX(_xlpm.resultados,1),"(seleccione)")))</f>
        <v>Combinación no existente</v>
      </c>
      <c r="X22" s="67" t="s">
        <v>96</v>
      </c>
      <c r="Y22" s="64"/>
      <c r="Z22" s="64"/>
      <c r="AA22" s="64"/>
      <c r="AB22" s="133" t="s">
        <v>96</v>
      </c>
      <c r="AC22" s="64"/>
      <c r="AD22" s="64"/>
      <c r="AE22" s="64"/>
      <c r="AF22" s="60" t="s">
        <v>96</v>
      </c>
      <c r="AG22" s="64"/>
      <c r="AH22" s="64"/>
      <c r="AI22" s="64"/>
      <c r="AJ22" s="68" t="s">
        <v>96</v>
      </c>
      <c r="AK22" s="69" t="str">
        <f t="shared" si="0"/>
        <v/>
      </c>
      <c r="AL22" s="70" t="s">
        <v>96</v>
      </c>
      <c r="AM22" s="69" t="str">
        <f t="shared" si="1"/>
        <v/>
      </c>
      <c r="AN22" s="71"/>
      <c r="AO22" s="71"/>
      <c r="AP22" s="71"/>
      <c r="AQ22" s="71"/>
      <c r="AR22" s="71" t="s">
        <v>96</v>
      </c>
      <c r="AS22" s="71"/>
      <c r="AT22" s="71" t="s">
        <v>96</v>
      </c>
      <c r="AU22" s="71"/>
      <c r="AV22" s="71" t="s">
        <v>95</v>
      </c>
      <c r="AW22" s="71"/>
      <c r="AX22" s="71"/>
      <c r="AY22" s="71"/>
      <c r="AZ22" s="71"/>
      <c r="BA22" s="71"/>
      <c r="BB22" s="70" t="s">
        <v>218</v>
      </c>
      <c r="BC22" s="70" t="s">
        <v>98</v>
      </c>
      <c r="BD22" s="72" t="str">
        <f>IF('Cálculo MP'!K32="","",'Cálculo MP'!K32)</f>
        <v/>
      </c>
      <c r="BE22" s="72" t="str">
        <f>IF('Cálculo MP'!L32="","",'Cálculo MP'!L32)</f>
        <v/>
      </c>
      <c r="BF22" s="72" t="str">
        <f>IF('Cálculo MP'!M32="","",'Cálculo MP'!M32)</f>
        <v/>
      </c>
      <c r="BG22" s="72" t="str">
        <f>IF('Cálculo MP'!N32="","",'Cálculo MP'!N32)</f>
        <v/>
      </c>
      <c r="BH22" s="72" t="str">
        <f>IF('Cálculo MP'!O32="","",'Cálculo MP'!O32)</f>
        <v/>
      </c>
      <c r="BI22" s="72" t="str">
        <f>IF('Cálculo MP'!P32="","",'Cálculo MP'!P32)</f>
        <v/>
      </c>
      <c r="BJ22" s="72" t="str">
        <f>IF('Cálculo MP'!Q32="","",'Cálculo MP'!Q32)</f>
        <v/>
      </c>
      <c r="BK22" s="72" t="str">
        <f>IF('Cálculo MP'!R32="","",'Cálculo MP'!R32)</f>
        <v/>
      </c>
      <c r="BL22" s="72" t="str">
        <f>IF('Cálculo MP'!S32="","",'Cálculo MP'!S32)</f>
        <v/>
      </c>
      <c r="BM22" s="73"/>
      <c r="BN22" s="73"/>
      <c r="BO22" s="73"/>
      <c r="BP22" s="73"/>
      <c r="BQ22" s="73"/>
      <c r="BR22" s="73"/>
      <c r="BS22" s="73"/>
    </row>
    <row r="23" spans="1:71" ht="19.5" customHeight="1" x14ac:dyDescent="0.15">
      <c r="A23" s="56" t="s">
        <v>985</v>
      </c>
      <c r="B23" s="57" t="s">
        <v>986</v>
      </c>
      <c r="C23" s="58" t="s">
        <v>985</v>
      </c>
      <c r="D23" s="59" t="s">
        <v>985</v>
      </c>
      <c r="E23" s="61"/>
      <c r="F23" s="60" t="s">
        <v>95</v>
      </c>
      <c r="G23" s="61"/>
      <c r="H23" s="62"/>
      <c r="I23" s="75"/>
      <c r="J23" s="60" t="s">
        <v>95</v>
      </c>
      <c r="K23" s="64"/>
      <c r="L23" s="64"/>
      <c r="M23" s="64" t="s">
        <v>96</v>
      </c>
      <c r="N23" s="64" t="s">
        <v>97</v>
      </c>
      <c r="O23" s="65" t="s">
        <v>986</v>
      </c>
      <c r="P23" s="70" t="s">
        <v>96</v>
      </c>
      <c r="Q23" s="60" t="s">
        <v>95</v>
      </c>
      <c r="R23" s="60" t="s">
        <v>96</v>
      </c>
      <c r="S23" s="66" t="s">
        <v>96</v>
      </c>
      <c r="T23" s="67" t="s">
        <v>96</v>
      </c>
      <c r="U23" s="60" t="s">
        <v>96</v>
      </c>
      <c r="V23" s="60" t="s">
        <v>96</v>
      </c>
      <c r="W23" s="60" t="str" cm="1">
        <f t="array" ref="W23">_xlfn.LET(_xlpm.resultados,_xlfn.UNIQUE(_xlfn._xlws.FILTER(Tabla1[Proceso],(Tabla1[Metal Base]=Q23)*(Tabla1[Etiquetas]=_xlfn.TEXTJOIN(" + ",TRUE,IF((TRIM(Upload!R23:V23)="")+(LOWER(TRIM(Upload!R23:V23))="(seleccione)"),"",PROPER(TRIM(Upload!R23:V23)))))*(Tabla1[Línea2]=IFERROR(VLOOKUP(Upload!P23&amp;"*",CAT_Procesos!D:D,1,FALSE),"")))),_xlpm.cantidad,ROWS(_xlpm.resultados),IF(ISERROR(_xlpm.cantidad),"Combinación no existente",IF(_xlpm.cantidad=1,INDEX(_xlpm.resultados,1),"(seleccione)")))</f>
        <v>Combinación no existente</v>
      </c>
      <c r="X23" s="67" t="s">
        <v>96</v>
      </c>
      <c r="Y23" s="64"/>
      <c r="Z23" s="64"/>
      <c r="AA23" s="64"/>
      <c r="AB23" s="133" t="s">
        <v>96</v>
      </c>
      <c r="AC23" s="64"/>
      <c r="AD23" s="64"/>
      <c r="AE23" s="64"/>
      <c r="AF23" s="60" t="s">
        <v>96</v>
      </c>
      <c r="AG23" s="64"/>
      <c r="AH23" s="64"/>
      <c r="AI23" s="64"/>
      <c r="AJ23" s="68" t="s">
        <v>96</v>
      </c>
      <c r="AK23" s="69" t="str">
        <f t="shared" si="0"/>
        <v/>
      </c>
      <c r="AL23" s="70" t="s">
        <v>96</v>
      </c>
      <c r="AM23" s="69" t="str">
        <f t="shared" si="1"/>
        <v/>
      </c>
      <c r="AN23" s="71"/>
      <c r="AO23" s="71"/>
      <c r="AP23" s="71"/>
      <c r="AQ23" s="71"/>
      <c r="AR23" s="71" t="s">
        <v>96</v>
      </c>
      <c r="AS23" s="71"/>
      <c r="AT23" s="71" t="s">
        <v>96</v>
      </c>
      <c r="AU23" s="71"/>
      <c r="AV23" s="71" t="s">
        <v>95</v>
      </c>
      <c r="AW23" s="71"/>
      <c r="AX23" s="71"/>
      <c r="AY23" s="71"/>
      <c r="AZ23" s="71"/>
      <c r="BA23" s="71"/>
      <c r="BB23" s="70" t="s">
        <v>218</v>
      </c>
      <c r="BC23" s="70" t="s">
        <v>98</v>
      </c>
      <c r="BD23" s="72" t="str">
        <f>IF('Cálculo MP'!K33="","",'Cálculo MP'!K33)</f>
        <v/>
      </c>
      <c r="BE23" s="72" t="str">
        <f>IF('Cálculo MP'!L33="","",'Cálculo MP'!L33)</f>
        <v/>
      </c>
      <c r="BF23" s="72" t="str">
        <f>IF('Cálculo MP'!M33="","",'Cálculo MP'!M33)</f>
        <v/>
      </c>
      <c r="BG23" s="72" t="str">
        <f>IF('Cálculo MP'!N33="","",'Cálculo MP'!N33)</f>
        <v/>
      </c>
      <c r="BH23" s="72" t="str">
        <f>IF('Cálculo MP'!O33="","",'Cálculo MP'!O33)</f>
        <v/>
      </c>
      <c r="BI23" s="72" t="str">
        <f>IF('Cálculo MP'!P33="","",'Cálculo MP'!P33)</f>
        <v/>
      </c>
      <c r="BJ23" s="72" t="str">
        <f>IF('Cálculo MP'!Q33="","",'Cálculo MP'!Q33)</f>
        <v/>
      </c>
      <c r="BK23" s="72" t="str">
        <f>IF('Cálculo MP'!R33="","",'Cálculo MP'!R33)</f>
        <v/>
      </c>
      <c r="BL23" s="72" t="str">
        <f>IF('Cálculo MP'!S33="","",'Cálculo MP'!S33)</f>
        <v/>
      </c>
      <c r="BM23" s="73"/>
      <c r="BN23" s="73"/>
      <c r="BO23" s="73"/>
      <c r="BP23" s="73"/>
      <c r="BQ23" s="73"/>
      <c r="BR23" s="73"/>
      <c r="BS23" s="73"/>
    </row>
    <row r="24" spans="1:71" ht="19.5" customHeight="1" x14ac:dyDescent="0.15">
      <c r="A24" s="56" t="s">
        <v>985</v>
      </c>
      <c r="B24" s="57" t="s">
        <v>986</v>
      </c>
      <c r="C24" s="58" t="s">
        <v>985</v>
      </c>
      <c r="D24" s="59" t="s">
        <v>985</v>
      </c>
      <c r="E24" s="61"/>
      <c r="F24" s="60" t="s">
        <v>95</v>
      </c>
      <c r="G24" s="61"/>
      <c r="H24" s="62"/>
      <c r="I24" s="75"/>
      <c r="J24" s="60" t="s">
        <v>95</v>
      </c>
      <c r="K24" s="64"/>
      <c r="L24" s="64"/>
      <c r="M24" s="64" t="s">
        <v>96</v>
      </c>
      <c r="N24" s="64" t="s">
        <v>97</v>
      </c>
      <c r="O24" s="65" t="s">
        <v>986</v>
      </c>
      <c r="P24" s="70" t="s">
        <v>96</v>
      </c>
      <c r="Q24" s="60" t="s">
        <v>95</v>
      </c>
      <c r="R24" s="60" t="s">
        <v>96</v>
      </c>
      <c r="S24" s="66" t="s">
        <v>96</v>
      </c>
      <c r="T24" s="67" t="s">
        <v>96</v>
      </c>
      <c r="U24" s="60" t="s">
        <v>96</v>
      </c>
      <c r="V24" s="60" t="s">
        <v>96</v>
      </c>
      <c r="W24" s="60" t="str" cm="1">
        <f t="array" ref="W24">_xlfn.LET(_xlpm.resultados,_xlfn.UNIQUE(_xlfn._xlws.FILTER(Tabla1[Proceso],(Tabla1[Metal Base]=Q24)*(Tabla1[Etiquetas]=_xlfn.TEXTJOIN(" + ",TRUE,IF((TRIM(Upload!R24:V24)="")+(LOWER(TRIM(Upload!R24:V24))="(seleccione)"),"",PROPER(TRIM(Upload!R24:V24)))))*(Tabla1[Línea2]=IFERROR(VLOOKUP(Upload!P24&amp;"*",CAT_Procesos!D:D,1,FALSE),"")))),_xlpm.cantidad,ROWS(_xlpm.resultados),IF(ISERROR(_xlpm.cantidad),"Combinación no existente",IF(_xlpm.cantidad=1,INDEX(_xlpm.resultados,1),"(seleccione)")))</f>
        <v>Combinación no existente</v>
      </c>
      <c r="X24" s="67" t="s">
        <v>96</v>
      </c>
      <c r="Y24" s="64"/>
      <c r="Z24" s="64"/>
      <c r="AA24" s="64"/>
      <c r="AB24" s="133" t="s">
        <v>96</v>
      </c>
      <c r="AC24" s="64"/>
      <c r="AD24" s="64"/>
      <c r="AE24" s="64"/>
      <c r="AF24" s="60" t="s">
        <v>96</v>
      </c>
      <c r="AG24" s="64"/>
      <c r="AH24" s="64"/>
      <c r="AI24" s="64"/>
      <c r="AJ24" s="68" t="s">
        <v>96</v>
      </c>
      <c r="AK24" s="69" t="str">
        <f t="shared" si="0"/>
        <v/>
      </c>
      <c r="AL24" s="70" t="s">
        <v>96</v>
      </c>
      <c r="AM24" s="69" t="str">
        <f t="shared" si="1"/>
        <v/>
      </c>
      <c r="AN24" s="71"/>
      <c r="AO24" s="71"/>
      <c r="AP24" s="71"/>
      <c r="AQ24" s="71"/>
      <c r="AR24" s="71" t="s">
        <v>96</v>
      </c>
      <c r="AS24" s="71"/>
      <c r="AT24" s="71" t="s">
        <v>96</v>
      </c>
      <c r="AU24" s="71"/>
      <c r="AV24" s="71" t="s">
        <v>95</v>
      </c>
      <c r="AW24" s="71"/>
      <c r="AX24" s="71"/>
      <c r="AY24" s="71"/>
      <c r="AZ24" s="71"/>
      <c r="BA24" s="71"/>
      <c r="BB24" s="70" t="s">
        <v>218</v>
      </c>
      <c r="BC24" s="70" t="s">
        <v>98</v>
      </c>
      <c r="BD24" s="72" t="str">
        <f>IF('Cálculo MP'!K34="","",'Cálculo MP'!K34)</f>
        <v/>
      </c>
      <c r="BE24" s="72" t="str">
        <f>IF('Cálculo MP'!L34="","",'Cálculo MP'!L34)</f>
        <v/>
      </c>
      <c r="BF24" s="72" t="str">
        <f>IF('Cálculo MP'!M34="","",'Cálculo MP'!M34)</f>
        <v/>
      </c>
      <c r="BG24" s="72" t="str">
        <f>IF('Cálculo MP'!N34="","",'Cálculo MP'!N34)</f>
        <v/>
      </c>
      <c r="BH24" s="72" t="str">
        <f>IF('Cálculo MP'!O34="","",'Cálculo MP'!O34)</f>
        <v/>
      </c>
      <c r="BI24" s="72" t="str">
        <f>IF('Cálculo MP'!P34="","",'Cálculo MP'!P34)</f>
        <v/>
      </c>
      <c r="BJ24" s="72" t="str">
        <f>IF('Cálculo MP'!Q34="","",'Cálculo MP'!Q34)</f>
        <v/>
      </c>
      <c r="BK24" s="72" t="str">
        <f>IF('Cálculo MP'!R34="","",'Cálculo MP'!R34)</f>
        <v/>
      </c>
      <c r="BL24" s="72" t="str">
        <f>IF('Cálculo MP'!S34="","",'Cálculo MP'!S34)</f>
        <v/>
      </c>
      <c r="BM24" s="73"/>
      <c r="BN24" s="73"/>
      <c r="BO24" s="73"/>
      <c r="BP24" s="73"/>
      <c r="BQ24" s="73"/>
      <c r="BR24" s="73"/>
      <c r="BS24" s="73"/>
    </row>
    <row r="25" spans="1:71" ht="19.5" customHeight="1" x14ac:dyDescent="0.15">
      <c r="A25" s="56" t="s">
        <v>985</v>
      </c>
      <c r="B25" s="57" t="s">
        <v>986</v>
      </c>
      <c r="C25" s="58" t="s">
        <v>985</v>
      </c>
      <c r="D25" s="59" t="s">
        <v>985</v>
      </c>
      <c r="E25" s="61"/>
      <c r="F25" s="60" t="s">
        <v>95</v>
      </c>
      <c r="G25" s="61"/>
      <c r="H25" s="62"/>
      <c r="I25" s="75"/>
      <c r="J25" s="60" t="s">
        <v>95</v>
      </c>
      <c r="K25" s="64"/>
      <c r="L25" s="64"/>
      <c r="M25" s="64" t="s">
        <v>96</v>
      </c>
      <c r="N25" s="64" t="s">
        <v>97</v>
      </c>
      <c r="O25" s="65" t="s">
        <v>986</v>
      </c>
      <c r="P25" s="70" t="s">
        <v>96</v>
      </c>
      <c r="Q25" s="60" t="s">
        <v>95</v>
      </c>
      <c r="R25" s="60" t="s">
        <v>96</v>
      </c>
      <c r="S25" s="66" t="s">
        <v>96</v>
      </c>
      <c r="T25" s="67" t="s">
        <v>96</v>
      </c>
      <c r="U25" s="60" t="s">
        <v>96</v>
      </c>
      <c r="V25" s="60" t="s">
        <v>96</v>
      </c>
      <c r="W25" s="60" t="str" cm="1">
        <f t="array" ref="W25">_xlfn.LET(_xlpm.resultados,_xlfn.UNIQUE(_xlfn._xlws.FILTER(Tabla1[Proceso],(Tabla1[Metal Base]=Q25)*(Tabla1[Etiquetas]=_xlfn.TEXTJOIN(" + ",TRUE,IF((TRIM(Upload!R25:V25)="")+(LOWER(TRIM(Upload!R25:V25))="(seleccione)"),"",PROPER(TRIM(Upload!R25:V25)))))*(Tabla1[Línea2]=IFERROR(VLOOKUP(Upload!P25&amp;"*",CAT_Procesos!D:D,1,FALSE),"")))),_xlpm.cantidad,ROWS(_xlpm.resultados),IF(ISERROR(_xlpm.cantidad),"Combinación no existente",IF(_xlpm.cantidad=1,INDEX(_xlpm.resultados,1),"(seleccione)")))</f>
        <v>Combinación no existente</v>
      </c>
      <c r="X25" s="67" t="s">
        <v>96</v>
      </c>
      <c r="Y25" s="64"/>
      <c r="Z25" s="64"/>
      <c r="AA25" s="64"/>
      <c r="AB25" s="133" t="s">
        <v>96</v>
      </c>
      <c r="AC25" s="64"/>
      <c r="AD25" s="64"/>
      <c r="AE25" s="64"/>
      <c r="AF25" s="60" t="s">
        <v>96</v>
      </c>
      <c r="AG25" s="64"/>
      <c r="AH25" s="64"/>
      <c r="AI25" s="64"/>
      <c r="AJ25" s="68" t="s">
        <v>96</v>
      </c>
      <c r="AK25" s="69" t="str">
        <f t="shared" si="0"/>
        <v/>
      </c>
      <c r="AL25" s="70" t="s">
        <v>96</v>
      </c>
      <c r="AM25" s="69" t="str">
        <f t="shared" si="1"/>
        <v/>
      </c>
      <c r="AN25" s="71"/>
      <c r="AO25" s="71"/>
      <c r="AP25" s="71"/>
      <c r="AQ25" s="71"/>
      <c r="AR25" s="71" t="s">
        <v>96</v>
      </c>
      <c r="AS25" s="71"/>
      <c r="AT25" s="71" t="s">
        <v>96</v>
      </c>
      <c r="AU25" s="71"/>
      <c r="AV25" s="71" t="s">
        <v>95</v>
      </c>
      <c r="AW25" s="71"/>
      <c r="AX25" s="71"/>
      <c r="AY25" s="71"/>
      <c r="AZ25" s="71"/>
      <c r="BA25" s="71"/>
      <c r="BB25" s="70" t="s">
        <v>218</v>
      </c>
      <c r="BC25" s="70" t="s">
        <v>98</v>
      </c>
      <c r="BD25" s="72" t="str">
        <f>IF('Cálculo MP'!K35="","",'Cálculo MP'!K35)</f>
        <v/>
      </c>
      <c r="BE25" s="72" t="str">
        <f>IF('Cálculo MP'!L35="","",'Cálculo MP'!L35)</f>
        <v/>
      </c>
      <c r="BF25" s="72" t="str">
        <f>IF('Cálculo MP'!M35="","",'Cálculo MP'!M35)</f>
        <v/>
      </c>
      <c r="BG25" s="72" t="str">
        <f>IF('Cálculo MP'!N35="","",'Cálculo MP'!N35)</f>
        <v/>
      </c>
      <c r="BH25" s="72" t="str">
        <f>IF('Cálculo MP'!O35="","",'Cálculo MP'!O35)</f>
        <v/>
      </c>
      <c r="BI25" s="72" t="str">
        <f>IF('Cálculo MP'!P35="","",'Cálculo MP'!P35)</f>
        <v/>
      </c>
      <c r="BJ25" s="72" t="str">
        <f>IF('Cálculo MP'!Q35="","",'Cálculo MP'!Q35)</f>
        <v/>
      </c>
      <c r="BK25" s="72" t="str">
        <f>IF('Cálculo MP'!R35="","",'Cálculo MP'!R35)</f>
        <v/>
      </c>
      <c r="BL25" s="72" t="str">
        <f>IF('Cálculo MP'!S35="","",'Cálculo MP'!S35)</f>
        <v/>
      </c>
      <c r="BM25" s="73"/>
      <c r="BN25" s="73"/>
      <c r="BO25" s="73"/>
      <c r="BP25" s="73"/>
      <c r="BQ25" s="73"/>
      <c r="BR25" s="73"/>
      <c r="BS25" s="73"/>
    </row>
    <row r="26" spans="1:71" ht="19.5" customHeight="1" x14ac:dyDescent="0.15">
      <c r="A26" s="56" t="s">
        <v>985</v>
      </c>
      <c r="B26" s="57" t="s">
        <v>986</v>
      </c>
      <c r="C26" s="58" t="s">
        <v>985</v>
      </c>
      <c r="D26" s="59" t="s">
        <v>985</v>
      </c>
      <c r="E26" s="61"/>
      <c r="F26" s="60" t="s">
        <v>95</v>
      </c>
      <c r="G26" s="61"/>
      <c r="H26" s="62"/>
      <c r="I26" s="75"/>
      <c r="J26" s="60" t="s">
        <v>95</v>
      </c>
      <c r="K26" s="64"/>
      <c r="L26" s="64"/>
      <c r="M26" s="64" t="s">
        <v>96</v>
      </c>
      <c r="N26" s="64" t="s">
        <v>97</v>
      </c>
      <c r="O26" s="65" t="s">
        <v>986</v>
      </c>
      <c r="P26" s="70" t="s">
        <v>96</v>
      </c>
      <c r="Q26" s="60" t="s">
        <v>95</v>
      </c>
      <c r="R26" s="60" t="s">
        <v>96</v>
      </c>
      <c r="S26" s="66" t="s">
        <v>96</v>
      </c>
      <c r="T26" s="67" t="s">
        <v>96</v>
      </c>
      <c r="U26" s="60" t="s">
        <v>96</v>
      </c>
      <c r="V26" s="60" t="s">
        <v>96</v>
      </c>
      <c r="W26" s="60" t="str" cm="1">
        <f t="array" ref="W26">_xlfn.LET(_xlpm.resultados,_xlfn.UNIQUE(_xlfn._xlws.FILTER(Tabla1[Proceso],(Tabla1[Metal Base]=Q26)*(Tabla1[Etiquetas]=_xlfn.TEXTJOIN(" + ",TRUE,IF((TRIM(Upload!R26:V26)="")+(LOWER(TRIM(Upload!R26:V26))="(seleccione)"),"",PROPER(TRIM(Upload!R26:V26)))))*(Tabla1[Línea2]=IFERROR(VLOOKUP(Upload!P26&amp;"*",CAT_Procesos!D:D,1,FALSE),"")))),_xlpm.cantidad,ROWS(_xlpm.resultados),IF(ISERROR(_xlpm.cantidad),"Combinación no existente",IF(_xlpm.cantidad=1,INDEX(_xlpm.resultados,1),"(seleccione)")))</f>
        <v>Combinación no existente</v>
      </c>
      <c r="X26" s="67" t="s">
        <v>96</v>
      </c>
      <c r="Y26" s="64"/>
      <c r="Z26" s="64"/>
      <c r="AA26" s="64"/>
      <c r="AB26" s="133" t="s">
        <v>96</v>
      </c>
      <c r="AC26" s="64"/>
      <c r="AD26" s="64"/>
      <c r="AE26" s="64"/>
      <c r="AF26" s="60" t="s">
        <v>96</v>
      </c>
      <c r="AG26" s="64"/>
      <c r="AH26" s="64"/>
      <c r="AI26" s="64"/>
      <c r="AJ26" s="68" t="s">
        <v>96</v>
      </c>
      <c r="AK26" s="69" t="str">
        <f t="shared" si="0"/>
        <v/>
      </c>
      <c r="AL26" s="70" t="s">
        <v>96</v>
      </c>
      <c r="AM26" s="69" t="str">
        <f t="shared" si="1"/>
        <v/>
      </c>
      <c r="AN26" s="71"/>
      <c r="AO26" s="71"/>
      <c r="AP26" s="71"/>
      <c r="AQ26" s="71"/>
      <c r="AR26" s="71" t="s">
        <v>96</v>
      </c>
      <c r="AS26" s="71"/>
      <c r="AT26" s="71" t="s">
        <v>96</v>
      </c>
      <c r="AU26" s="71"/>
      <c r="AV26" s="71" t="s">
        <v>95</v>
      </c>
      <c r="AW26" s="71"/>
      <c r="AX26" s="71"/>
      <c r="AY26" s="71"/>
      <c r="AZ26" s="71"/>
      <c r="BA26" s="71"/>
      <c r="BB26" s="70" t="s">
        <v>218</v>
      </c>
      <c r="BC26" s="70" t="s">
        <v>98</v>
      </c>
      <c r="BD26" s="72" t="str">
        <f>IF('Cálculo MP'!K36="","",'Cálculo MP'!K36)</f>
        <v/>
      </c>
      <c r="BE26" s="72" t="str">
        <f>IF('Cálculo MP'!L36="","",'Cálculo MP'!L36)</f>
        <v/>
      </c>
      <c r="BF26" s="72" t="str">
        <f>IF('Cálculo MP'!M36="","",'Cálculo MP'!M36)</f>
        <v/>
      </c>
      <c r="BG26" s="72" t="str">
        <f>IF('Cálculo MP'!N36="","",'Cálculo MP'!N36)</f>
        <v/>
      </c>
      <c r="BH26" s="72" t="str">
        <f>IF('Cálculo MP'!O36="","",'Cálculo MP'!O36)</f>
        <v/>
      </c>
      <c r="BI26" s="72" t="str">
        <f>IF('Cálculo MP'!P36="","",'Cálculo MP'!P36)</f>
        <v/>
      </c>
      <c r="BJ26" s="72" t="str">
        <f>IF('Cálculo MP'!Q36="","",'Cálculo MP'!Q36)</f>
        <v/>
      </c>
      <c r="BK26" s="72" t="str">
        <f>IF('Cálculo MP'!R36="","",'Cálculo MP'!R36)</f>
        <v/>
      </c>
      <c r="BL26" s="72" t="str">
        <f>IF('Cálculo MP'!S36="","",'Cálculo MP'!S36)</f>
        <v/>
      </c>
      <c r="BM26" s="73"/>
      <c r="BN26" s="73"/>
      <c r="BO26" s="73"/>
      <c r="BP26" s="73"/>
      <c r="BQ26" s="73"/>
      <c r="BR26" s="73"/>
      <c r="BS26" s="73"/>
    </row>
    <row r="27" spans="1:71" ht="19.5" customHeight="1" x14ac:dyDescent="0.15">
      <c r="A27" s="56" t="s">
        <v>985</v>
      </c>
      <c r="B27" s="57" t="s">
        <v>986</v>
      </c>
      <c r="C27" s="58" t="s">
        <v>985</v>
      </c>
      <c r="D27" s="59" t="s">
        <v>985</v>
      </c>
      <c r="E27" s="61"/>
      <c r="F27" s="60" t="s">
        <v>95</v>
      </c>
      <c r="G27" s="61"/>
      <c r="H27" s="62"/>
      <c r="I27" s="75"/>
      <c r="J27" s="60" t="s">
        <v>95</v>
      </c>
      <c r="K27" s="64"/>
      <c r="L27" s="64"/>
      <c r="M27" s="64" t="s">
        <v>96</v>
      </c>
      <c r="N27" s="64" t="s">
        <v>97</v>
      </c>
      <c r="O27" s="65" t="s">
        <v>986</v>
      </c>
      <c r="P27" s="70" t="s">
        <v>96</v>
      </c>
      <c r="Q27" s="60" t="s">
        <v>95</v>
      </c>
      <c r="R27" s="60" t="s">
        <v>96</v>
      </c>
      <c r="S27" s="66" t="s">
        <v>96</v>
      </c>
      <c r="T27" s="67" t="s">
        <v>96</v>
      </c>
      <c r="U27" s="60" t="s">
        <v>96</v>
      </c>
      <c r="V27" s="60" t="s">
        <v>96</v>
      </c>
      <c r="W27" s="60" t="str" cm="1">
        <f t="array" ref="W27">_xlfn.LET(_xlpm.resultados,_xlfn.UNIQUE(_xlfn._xlws.FILTER(Tabla1[Proceso],(Tabla1[Metal Base]=Q27)*(Tabla1[Etiquetas]=_xlfn.TEXTJOIN(" + ",TRUE,IF((TRIM(Upload!R27:V27)="")+(LOWER(TRIM(Upload!R27:V27))="(seleccione)"),"",PROPER(TRIM(Upload!R27:V27)))))*(Tabla1[Línea2]=IFERROR(VLOOKUP(Upload!P27&amp;"*",CAT_Procesos!D:D,1,FALSE),"")))),_xlpm.cantidad,ROWS(_xlpm.resultados),IF(ISERROR(_xlpm.cantidad),"Combinación no existente",IF(_xlpm.cantidad=1,INDEX(_xlpm.resultados,1),"(seleccione)")))</f>
        <v>Combinación no existente</v>
      </c>
      <c r="X27" s="67" t="s">
        <v>96</v>
      </c>
      <c r="Y27" s="64"/>
      <c r="Z27" s="64"/>
      <c r="AA27" s="64"/>
      <c r="AB27" s="133" t="s">
        <v>96</v>
      </c>
      <c r="AC27" s="64"/>
      <c r="AD27" s="64"/>
      <c r="AE27" s="64"/>
      <c r="AF27" s="60" t="s">
        <v>96</v>
      </c>
      <c r="AG27" s="64"/>
      <c r="AH27" s="64"/>
      <c r="AI27" s="64"/>
      <c r="AJ27" s="68" t="s">
        <v>96</v>
      </c>
      <c r="AK27" s="69" t="str">
        <f t="shared" si="0"/>
        <v/>
      </c>
      <c r="AL27" s="70" t="s">
        <v>96</v>
      </c>
      <c r="AM27" s="69" t="str">
        <f t="shared" si="1"/>
        <v/>
      </c>
      <c r="AN27" s="71"/>
      <c r="AO27" s="71"/>
      <c r="AP27" s="71"/>
      <c r="AQ27" s="71"/>
      <c r="AR27" s="71" t="s">
        <v>96</v>
      </c>
      <c r="AS27" s="71"/>
      <c r="AT27" s="71" t="s">
        <v>96</v>
      </c>
      <c r="AU27" s="71"/>
      <c r="AV27" s="71" t="s">
        <v>95</v>
      </c>
      <c r="AW27" s="71"/>
      <c r="AX27" s="71"/>
      <c r="AY27" s="71"/>
      <c r="AZ27" s="71"/>
      <c r="BA27" s="71"/>
      <c r="BB27" s="70" t="s">
        <v>218</v>
      </c>
      <c r="BC27" s="70" t="s">
        <v>98</v>
      </c>
      <c r="BD27" s="72" t="str">
        <f>IF('Cálculo MP'!K37="","",'Cálculo MP'!K37)</f>
        <v/>
      </c>
      <c r="BE27" s="72" t="str">
        <f>IF('Cálculo MP'!L37="","",'Cálculo MP'!L37)</f>
        <v/>
      </c>
      <c r="BF27" s="72" t="str">
        <f>IF('Cálculo MP'!M37="","",'Cálculo MP'!M37)</f>
        <v/>
      </c>
      <c r="BG27" s="72" t="str">
        <f>IF('Cálculo MP'!N37="","",'Cálculo MP'!N37)</f>
        <v/>
      </c>
      <c r="BH27" s="72" t="str">
        <f>IF('Cálculo MP'!O37="","",'Cálculo MP'!O37)</f>
        <v/>
      </c>
      <c r="BI27" s="72" t="str">
        <f>IF('Cálculo MP'!P37="","",'Cálculo MP'!P37)</f>
        <v/>
      </c>
      <c r="BJ27" s="72" t="str">
        <f>IF('Cálculo MP'!Q37="","",'Cálculo MP'!Q37)</f>
        <v/>
      </c>
      <c r="BK27" s="72" t="str">
        <f>IF('Cálculo MP'!R37="","",'Cálculo MP'!R37)</f>
        <v/>
      </c>
      <c r="BL27" s="72" t="str">
        <f>IF('Cálculo MP'!S37="","",'Cálculo MP'!S37)</f>
        <v/>
      </c>
      <c r="BM27" s="73"/>
      <c r="BN27" s="73"/>
      <c r="BO27" s="73"/>
      <c r="BP27" s="73"/>
      <c r="BQ27" s="73"/>
      <c r="BR27" s="73"/>
      <c r="BS27" s="73"/>
    </row>
    <row r="28" spans="1:71" ht="19.5" customHeight="1" x14ac:dyDescent="0.15">
      <c r="A28" s="56" t="s">
        <v>985</v>
      </c>
      <c r="B28" s="57" t="s">
        <v>986</v>
      </c>
      <c r="C28" s="58" t="s">
        <v>985</v>
      </c>
      <c r="D28" s="59" t="s">
        <v>985</v>
      </c>
      <c r="E28" s="61"/>
      <c r="F28" s="60" t="s">
        <v>95</v>
      </c>
      <c r="G28" s="61"/>
      <c r="H28" s="62"/>
      <c r="I28" s="75"/>
      <c r="J28" s="60" t="s">
        <v>95</v>
      </c>
      <c r="K28" s="64"/>
      <c r="L28" s="64"/>
      <c r="M28" s="64" t="s">
        <v>96</v>
      </c>
      <c r="N28" s="64" t="s">
        <v>97</v>
      </c>
      <c r="O28" s="65" t="s">
        <v>986</v>
      </c>
      <c r="P28" s="70" t="s">
        <v>96</v>
      </c>
      <c r="Q28" s="60" t="s">
        <v>95</v>
      </c>
      <c r="R28" s="60" t="s">
        <v>96</v>
      </c>
      <c r="S28" s="66" t="s">
        <v>96</v>
      </c>
      <c r="T28" s="67" t="s">
        <v>96</v>
      </c>
      <c r="U28" s="60" t="s">
        <v>96</v>
      </c>
      <c r="V28" s="60" t="s">
        <v>96</v>
      </c>
      <c r="W28" s="60" t="str" cm="1">
        <f t="array" ref="W28">_xlfn.LET(_xlpm.resultados,_xlfn.UNIQUE(_xlfn._xlws.FILTER(Tabla1[Proceso],(Tabla1[Metal Base]=Q28)*(Tabla1[Etiquetas]=_xlfn.TEXTJOIN(" + ",TRUE,IF((TRIM(Upload!R28:V28)="")+(LOWER(TRIM(Upload!R28:V28))="(seleccione)"),"",PROPER(TRIM(Upload!R28:V28)))))*(Tabla1[Línea2]=IFERROR(VLOOKUP(Upload!P28&amp;"*",CAT_Procesos!D:D,1,FALSE),"")))),_xlpm.cantidad,ROWS(_xlpm.resultados),IF(ISERROR(_xlpm.cantidad),"Combinación no existente",IF(_xlpm.cantidad=1,INDEX(_xlpm.resultados,1),"(seleccione)")))</f>
        <v>Combinación no existente</v>
      </c>
      <c r="X28" s="67" t="s">
        <v>96</v>
      </c>
      <c r="Y28" s="64"/>
      <c r="Z28" s="64"/>
      <c r="AA28" s="64"/>
      <c r="AB28" s="133" t="s">
        <v>96</v>
      </c>
      <c r="AC28" s="64"/>
      <c r="AD28" s="64"/>
      <c r="AE28" s="64"/>
      <c r="AF28" s="60" t="s">
        <v>96</v>
      </c>
      <c r="AG28" s="64"/>
      <c r="AH28" s="64"/>
      <c r="AI28" s="64"/>
      <c r="AJ28" s="68" t="s">
        <v>96</v>
      </c>
      <c r="AK28" s="69" t="str">
        <f t="shared" si="0"/>
        <v/>
      </c>
      <c r="AL28" s="70" t="s">
        <v>96</v>
      </c>
      <c r="AM28" s="69" t="str">
        <f t="shared" si="1"/>
        <v/>
      </c>
      <c r="AN28" s="71"/>
      <c r="AO28" s="71"/>
      <c r="AP28" s="71"/>
      <c r="AQ28" s="71"/>
      <c r="AR28" s="71" t="s">
        <v>96</v>
      </c>
      <c r="AS28" s="71"/>
      <c r="AT28" s="71" t="s">
        <v>96</v>
      </c>
      <c r="AU28" s="71"/>
      <c r="AV28" s="71" t="s">
        <v>95</v>
      </c>
      <c r="AW28" s="71"/>
      <c r="AX28" s="71"/>
      <c r="AY28" s="71"/>
      <c r="AZ28" s="71"/>
      <c r="BA28" s="71"/>
      <c r="BB28" s="70" t="s">
        <v>218</v>
      </c>
      <c r="BC28" s="70" t="s">
        <v>98</v>
      </c>
      <c r="BD28" s="72" t="str">
        <f>IF('Cálculo MP'!K38="","",'Cálculo MP'!K38)</f>
        <v/>
      </c>
      <c r="BE28" s="72" t="str">
        <f>IF('Cálculo MP'!L38="","",'Cálculo MP'!L38)</f>
        <v/>
      </c>
      <c r="BF28" s="72" t="str">
        <f>IF('Cálculo MP'!M38="","",'Cálculo MP'!M38)</f>
        <v/>
      </c>
      <c r="BG28" s="72" t="str">
        <f>IF('Cálculo MP'!N38="","",'Cálculo MP'!N38)</f>
        <v/>
      </c>
      <c r="BH28" s="72" t="str">
        <f>IF('Cálculo MP'!O38="","",'Cálculo MP'!O38)</f>
        <v/>
      </c>
      <c r="BI28" s="72" t="str">
        <f>IF('Cálculo MP'!P38="","",'Cálculo MP'!P38)</f>
        <v/>
      </c>
      <c r="BJ28" s="72" t="str">
        <f>IF('Cálculo MP'!Q38="","",'Cálculo MP'!Q38)</f>
        <v/>
      </c>
      <c r="BK28" s="72" t="str">
        <f>IF('Cálculo MP'!R38="","",'Cálculo MP'!R38)</f>
        <v/>
      </c>
      <c r="BL28" s="72" t="str">
        <f>IF('Cálculo MP'!S38="","",'Cálculo MP'!S38)</f>
        <v/>
      </c>
      <c r="BM28" s="73"/>
      <c r="BN28" s="73"/>
      <c r="BO28" s="73"/>
      <c r="BP28" s="73"/>
      <c r="BQ28" s="73"/>
      <c r="BR28" s="73"/>
      <c r="BS28" s="73"/>
    </row>
    <row r="29" spans="1:71" ht="19.5" customHeight="1" x14ac:dyDescent="0.15">
      <c r="A29" s="56" t="s">
        <v>985</v>
      </c>
      <c r="B29" s="57" t="s">
        <v>986</v>
      </c>
      <c r="C29" s="58" t="s">
        <v>985</v>
      </c>
      <c r="D29" s="59" t="s">
        <v>985</v>
      </c>
      <c r="E29" s="61"/>
      <c r="F29" s="60" t="s">
        <v>95</v>
      </c>
      <c r="G29" s="61"/>
      <c r="H29" s="62"/>
      <c r="I29" s="75"/>
      <c r="J29" s="60" t="s">
        <v>95</v>
      </c>
      <c r="K29" s="64"/>
      <c r="L29" s="64"/>
      <c r="M29" s="64" t="s">
        <v>96</v>
      </c>
      <c r="N29" s="64" t="s">
        <v>97</v>
      </c>
      <c r="O29" s="65" t="s">
        <v>986</v>
      </c>
      <c r="P29" s="70" t="s">
        <v>96</v>
      </c>
      <c r="Q29" s="60" t="s">
        <v>95</v>
      </c>
      <c r="R29" s="60" t="s">
        <v>96</v>
      </c>
      <c r="S29" s="66" t="s">
        <v>96</v>
      </c>
      <c r="T29" s="67" t="s">
        <v>96</v>
      </c>
      <c r="U29" s="60" t="s">
        <v>96</v>
      </c>
      <c r="V29" s="60" t="s">
        <v>96</v>
      </c>
      <c r="W29" s="60" t="str" cm="1">
        <f t="array" ref="W29">_xlfn.LET(_xlpm.resultados,_xlfn.UNIQUE(_xlfn._xlws.FILTER(Tabla1[Proceso],(Tabla1[Metal Base]=Q29)*(Tabla1[Etiquetas]=_xlfn.TEXTJOIN(" + ",TRUE,IF((TRIM(Upload!R29:V29)="")+(LOWER(TRIM(Upload!R29:V29))="(seleccione)"),"",PROPER(TRIM(Upload!R29:V29)))))*(Tabla1[Línea2]=IFERROR(VLOOKUP(Upload!P29&amp;"*",CAT_Procesos!D:D,1,FALSE),"")))),_xlpm.cantidad,ROWS(_xlpm.resultados),IF(ISERROR(_xlpm.cantidad),"Combinación no existente",IF(_xlpm.cantidad=1,INDEX(_xlpm.resultados,1),"(seleccione)")))</f>
        <v>Combinación no existente</v>
      </c>
      <c r="X29" s="67" t="s">
        <v>96</v>
      </c>
      <c r="Y29" s="64"/>
      <c r="Z29" s="64"/>
      <c r="AA29" s="64"/>
      <c r="AB29" s="133" t="s">
        <v>96</v>
      </c>
      <c r="AC29" s="64"/>
      <c r="AD29" s="64"/>
      <c r="AE29" s="64"/>
      <c r="AF29" s="60" t="s">
        <v>96</v>
      </c>
      <c r="AG29" s="64"/>
      <c r="AH29" s="64"/>
      <c r="AI29" s="64"/>
      <c r="AJ29" s="68" t="s">
        <v>96</v>
      </c>
      <c r="AK29" s="69" t="str">
        <f t="shared" si="0"/>
        <v/>
      </c>
      <c r="AL29" s="70" t="s">
        <v>96</v>
      </c>
      <c r="AM29" s="69" t="str">
        <f t="shared" si="1"/>
        <v/>
      </c>
      <c r="AN29" s="71"/>
      <c r="AO29" s="71"/>
      <c r="AP29" s="71"/>
      <c r="AQ29" s="71"/>
      <c r="AR29" s="71" t="s">
        <v>96</v>
      </c>
      <c r="AS29" s="71"/>
      <c r="AT29" s="71" t="s">
        <v>96</v>
      </c>
      <c r="AU29" s="71"/>
      <c r="AV29" s="71" t="s">
        <v>95</v>
      </c>
      <c r="AW29" s="71"/>
      <c r="AX29" s="71"/>
      <c r="AY29" s="71"/>
      <c r="AZ29" s="71"/>
      <c r="BA29" s="71"/>
      <c r="BB29" s="70" t="s">
        <v>218</v>
      </c>
      <c r="BC29" s="70" t="s">
        <v>98</v>
      </c>
      <c r="BD29" s="72" t="str">
        <f>IF('Cálculo MP'!K39="","",'Cálculo MP'!K39)</f>
        <v/>
      </c>
      <c r="BE29" s="72" t="str">
        <f>IF('Cálculo MP'!L39="","",'Cálculo MP'!L39)</f>
        <v/>
      </c>
      <c r="BF29" s="72" t="str">
        <f>IF('Cálculo MP'!M39="","",'Cálculo MP'!M39)</f>
        <v/>
      </c>
      <c r="BG29" s="72" t="str">
        <f>IF('Cálculo MP'!N39="","",'Cálculo MP'!N39)</f>
        <v/>
      </c>
      <c r="BH29" s="72" t="str">
        <f>IF('Cálculo MP'!O39="","",'Cálculo MP'!O39)</f>
        <v/>
      </c>
      <c r="BI29" s="72" t="str">
        <f>IF('Cálculo MP'!P39="","",'Cálculo MP'!P39)</f>
        <v/>
      </c>
      <c r="BJ29" s="72" t="str">
        <f>IF('Cálculo MP'!Q39="","",'Cálculo MP'!Q39)</f>
        <v/>
      </c>
      <c r="BK29" s="72" t="str">
        <f>IF('Cálculo MP'!R39="","",'Cálculo MP'!R39)</f>
        <v/>
      </c>
      <c r="BL29" s="72" t="str">
        <f>IF('Cálculo MP'!S39="","",'Cálculo MP'!S39)</f>
        <v/>
      </c>
      <c r="BM29" s="73"/>
      <c r="BN29" s="73"/>
      <c r="BO29" s="73"/>
      <c r="BP29" s="73"/>
      <c r="BQ29" s="73"/>
      <c r="BR29" s="73"/>
      <c r="BS29" s="73"/>
    </row>
    <row r="30" spans="1:71" ht="19.5" customHeight="1" x14ac:dyDescent="0.15">
      <c r="A30" s="56" t="s">
        <v>985</v>
      </c>
      <c r="B30" s="57" t="s">
        <v>986</v>
      </c>
      <c r="C30" s="58" t="s">
        <v>985</v>
      </c>
      <c r="D30" s="59" t="s">
        <v>985</v>
      </c>
      <c r="E30" s="61"/>
      <c r="F30" s="60" t="s">
        <v>95</v>
      </c>
      <c r="G30" s="61"/>
      <c r="H30" s="62"/>
      <c r="I30" s="75"/>
      <c r="J30" s="60" t="s">
        <v>95</v>
      </c>
      <c r="K30" s="64"/>
      <c r="L30" s="64"/>
      <c r="M30" s="64" t="s">
        <v>96</v>
      </c>
      <c r="N30" s="64" t="s">
        <v>97</v>
      </c>
      <c r="O30" s="65" t="s">
        <v>986</v>
      </c>
      <c r="P30" s="70" t="s">
        <v>96</v>
      </c>
      <c r="Q30" s="60" t="s">
        <v>95</v>
      </c>
      <c r="R30" s="60" t="s">
        <v>96</v>
      </c>
      <c r="S30" s="66" t="s">
        <v>96</v>
      </c>
      <c r="T30" s="67" t="s">
        <v>96</v>
      </c>
      <c r="U30" s="60" t="s">
        <v>96</v>
      </c>
      <c r="V30" s="60" t="s">
        <v>96</v>
      </c>
      <c r="W30" s="60" t="str" cm="1">
        <f t="array" ref="W30">_xlfn.LET(_xlpm.resultados,_xlfn.UNIQUE(_xlfn._xlws.FILTER(Tabla1[Proceso],(Tabla1[Metal Base]=Q30)*(Tabla1[Etiquetas]=_xlfn.TEXTJOIN(" + ",TRUE,IF((TRIM(Upload!R30:V30)="")+(LOWER(TRIM(Upload!R30:V30))="(seleccione)"),"",PROPER(TRIM(Upload!R30:V30)))))*(Tabla1[Línea2]=IFERROR(VLOOKUP(Upload!P30&amp;"*",CAT_Procesos!D:D,1,FALSE),"")))),_xlpm.cantidad,ROWS(_xlpm.resultados),IF(ISERROR(_xlpm.cantidad),"Combinación no existente",IF(_xlpm.cantidad=1,INDEX(_xlpm.resultados,1),"(seleccione)")))</f>
        <v>Combinación no existente</v>
      </c>
      <c r="X30" s="67" t="s">
        <v>96</v>
      </c>
      <c r="Y30" s="64"/>
      <c r="Z30" s="64"/>
      <c r="AA30" s="64"/>
      <c r="AB30" s="133" t="s">
        <v>96</v>
      </c>
      <c r="AC30" s="64"/>
      <c r="AD30" s="64"/>
      <c r="AE30" s="64"/>
      <c r="AF30" s="60" t="s">
        <v>96</v>
      </c>
      <c r="AG30" s="64"/>
      <c r="AH30" s="64"/>
      <c r="AI30" s="64"/>
      <c r="AJ30" s="68" t="s">
        <v>96</v>
      </c>
      <c r="AK30" s="69" t="str">
        <f t="shared" si="0"/>
        <v/>
      </c>
      <c r="AL30" s="70" t="s">
        <v>96</v>
      </c>
      <c r="AM30" s="69" t="str">
        <f t="shared" si="1"/>
        <v/>
      </c>
      <c r="AN30" s="71"/>
      <c r="AO30" s="71"/>
      <c r="AP30" s="71"/>
      <c r="AQ30" s="71"/>
      <c r="AR30" s="71" t="s">
        <v>96</v>
      </c>
      <c r="AS30" s="71"/>
      <c r="AT30" s="71" t="s">
        <v>96</v>
      </c>
      <c r="AU30" s="71"/>
      <c r="AV30" s="71" t="s">
        <v>95</v>
      </c>
      <c r="AW30" s="71"/>
      <c r="AX30" s="71"/>
      <c r="AY30" s="71"/>
      <c r="AZ30" s="71"/>
      <c r="BA30" s="71"/>
      <c r="BB30" s="70" t="s">
        <v>218</v>
      </c>
      <c r="BC30" s="70" t="s">
        <v>98</v>
      </c>
      <c r="BD30" s="72" t="str">
        <f>IF('Cálculo MP'!K40="","",'Cálculo MP'!K40)</f>
        <v/>
      </c>
      <c r="BE30" s="72" t="str">
        <f>IF('Cálculo MP'!L40="","",'Cálculo MP'!L40)</f>
        <v/>
      </c>
      <c r="BF30" s="72" t="str">
        <f>IF('Cálculo MP'!M40="","",'Cálculo MP'!M40)</f>
        <v/>
      </c>
      <c r="BG30" s="72" t="str">
        <f>IF('Cálculo MP'!N40="","",'Cálculo MP'!N40)</f>
        <v/>
      </c>
      <c r="BH30" s="72" t="str">
        <f>IF('Cálculo MP'!O40="","",'Cálculo MP'!O40)</f>
        <v/>
      </c>
      <c r="BI30" s="72" t="str">
        <f>IF('Cálculo MP'!P40="","",'Cálculo MP'!P40)</f>
        <v/>
      </c>
      <c r="BJ30" s="72" t="str">
        <f>IF('Cálculo MP'!Q40="","",'Cálculo MP'!Q40)</f>
        <v/>
      </c>
      <c r="BK30" s="72" t="str">
        <f>IF('Cálculo MP'!R40="","",'Cálculo MP'!R40)</f>
        <v/>
      </c>
      <c r="BL30" s="72" t="str">
        <f>IF('Cálculo MP'!S40="","",'Cálculo MP'!S40)</f>
        <v/>
      </c>
      <c r="BM30" s="73"/>
      <c r="BN30" s="73"/>
      <c r="BO30" s="73"/>
      <c r="BP30" s="73"/>
      <c r="BQ30" s="73"/>
      <c r="BR30" s="73"/>
      <c r="BS30" s="73"/>
    </row>
    <row r="31" spans="1:71" ht="19.5" customHeight="1" x14ac:dyDescent="0.15">
      <c r="A31" s="56" t="s">
        <v>985</v>
      </c>
      <c r="B31" s="57" t="s">
        <v>986</v>
      </c>
      <c r="C31" s="58" t="s">
        <v>985</v>
      </c>
      <c r="D31" s="59" t="s">
        <v>985</v>
      </c>
      <c r="E31" s="61"/>
      <c r="F31" s="60" t="s">
        <v>95</v>
      </c>
      <c r="G31" s="61"/>
      <c r="H31" s="62"/>
      <c r="I31" s="75"/>
      <c r="J31" s="60" t="s">
        <v>95</v>
      </c>
      <c r="K31" s="64"/>
      <c r="L31" s="64"/>
      <c r="M31" s="64" t="s">
        <v>96</v>
      </c>
      <c r="N31" s="64" t="s">
        <v>97</v>
      </c>
      <c r="O31" s="65" t="s">
        <v>986</v>
      </c>
      <c r="P31" s="70" t="s">
        <v>96</v>
      </c>
      <c r="Q31" s="60" t="s">
        <v>95</v>
      </c>
      <c r="R31" s="60" t="s">
        <v>96</v>
      </c>
      <c r="S31" s="66" t="s">
        <v>96</v>
      </c>
      <c r="T31" s="67" t="s">
        <v>96</v>
      </c>
      <c r="U31" s="60" t="s">
        <v>96</v>
      </c>
      <c r="V31" s="60" t="s">
        <v>96</v>
      </c>
      <c r="W31" s="60" t="str" cm="1">
        <f t="array" ref="W31">_xlfn.LET(_xlpm.resultados,_xlfn.UNIQUE(_xlfn._xlws.FILTER(Tabla1[Proceso],(Tabla1[Metal Base]=Q31)*(Tabla1[Etiquetas]=_xlfn.TEXTJOIN(" + ",TRUE,IF((TRIM(Upload!R31:V31)="")+(LOWER(TRIM(Upload!R31:V31))="(seleccione)"),"",PROPER(TRIM(Upload!R31:V31)))))*(Tabla1[Línea2]=IFERROR(VLOOKUP(Upload!P31&amp;"*",CAT_Procesos!D:D,1,FALSE),"")))),_xlpm.cantidad,ROWS(_xlpm.resultados),IF(ISERROR(_xlpm.cantidad),"Combinación no existente",IF(_xlpm.cantidad=1,INDEX(_xlpm.resultados,1),"(seleccione)")))</f>
        <v>Combinación no existente</v>
      </c>
      <c r="X31" s="67" t="s">
        <v>96</v>
      </c>
      <c r="Y31" s="64"/>
      <c r="Z31" s="64"/>
      <c r="AA31" s="64"/>
      <c r="AB31" s="133" t="s">
        <v>96</v>
      </c>
      <c r="AC31" s="64"/>
      <c r="AD31" s="64"/>
      <c r="AE31" s="64"/>
      <c r="AF31" s="60" t="s">
        <v>96</v>
      </c>
      <c r="AG31" s="64"/>
      <c r="AH31" s="64"/>
      <c r="AI31" s="64"/>
      <c r="AJ31" s="68" t="s">
        <v>96</v>
      </c>
      <c r="AK31" s="69" t="str">
        <f t="shared" si="0"/>
        <v/>
      </c>
      <c r="AL31" s="70" t="s">
        <v>96</v>
      </c>
      <c r="AM31" s="69" t="str">
        <f t="shared" si="1"/>
        <v/>
      </c>
      <c r="AN31" s="71"/>
      <c r="AO31" s="71"/>
      <c r="AP31" s="71"/>
      <c r="AQ31" s="71"/>
      <c r="AR31" s="71" t="s">
        <v>96</v>
      </c>
      <c r="AS31" s="71"/>
      <c r="AT31" s="71" t="s">
        <v>96</v>
      </c>
      <c r="AU31" s="71"/>
      <c r="AV31" s="71" t="s">
        <v>95</v>
      </c>
      <c r="AW31" s="71"/>
      <c r="AX31" s="71"/>
      <c r="AY31" s="71"/>
      <c r="AZ31" s="71"/>
      <c r="BA31" s="71"/>
      <c r="BB31" s="70" t="s">
        <v>218</v>
      </c>
      <c r="BC31" s="70" t="s">
        <v>98</v>
      </c>
      <c r="BD31" s="72" t="str">
        <f>IF('Cálculo MP'!K41="","",'Cálculo MP'!K41)</f>
        <v/>
      </c>
      <c r="BE31" s="72" t="str">
        <f>IF('Cálculo MP'!L41="","",'Cálculo MP'!L41)</f>
        <v/>
      </c>
      <c r="BF31" s="72" t="str">
        <f>IF('Cálculo MP'!M41="","",'Cálculo MP'!M41)</f>
        <v/>
      </c>
      <c r="BG31" s="72" t="str">
        <f>IF('Cálculo MP'!N41="","",'Cálculo MP'!N41)</f>
        <v/>
      </c>
      <c r="BH31" s="72" t="str">
        <f>IF('Cálculo MP'!O41="","",'Cálculo MP'!O41)</f>
        <v/>
      </c>
      <c r="BI31" s="72" t="str">
        <f>IF('Cálculo MP'!P41="","",'Cálculo MP'!P41)</f>
        <v/>
      </c>
      <c r="BJ31" s="72" t="str">
        <f>IF('Cálculo MP'!Q41="","",'Cálculo MP'!Q41)</f>
        <v/>
      </c>
      <c r="BK31" s="72" t="str">
        <f>IF('Cálculo MP'!R41="","",'Cálculo MP'!R41)</f>
        <v/>
      </c>
      <c r="BL31" s="72" t="str">
        <f>IF('Cálculo MP'!S41="","",'Cálculo MP'!S41)</f>
        <v/>
      </c>
      <c r="BM31" s="73"/>
      <c r="BN31" s="73"/>
      <c r="BO31" s="73"/>
      <c r="BP31" s="73"/>
      <c r="BQ31" s="73"/>
      <c r="BR31" s="73"/>
      <c r="BS31" s="73"/>
    </row>
    <row r="32" spans="1:71" ht="19.5" customHeight="1" x14ac:dyDescent="0.15">
      <c r="A32" s="56" t="s">
        <v>985</v>
      </c>
      <c r="B32" s="57" t="s">
        <v>986</v>
      </c>
      <c r="C32" s="58" t="s">
        <v>985</v>
      </c>
      <c r="D32" s="59" t="s">
        <v>985</v>
      </c>
      <c r="E32" s="61"/>
      <c r="F32" s="60" t="s">
        <v>95</v>
      </c>
      <c r="G32" s="61"/>
      <c r="H32" s="62"/>
      <c r="I32" s="75"/>
      <c r="J32" s="60" t="s">
        <v>95</v>
      </c>
      <c r="K32" s="64"/>
      <c r="L32" s="64"/>
      <c r="M32" s="64" t="s">
        <v>96</v>
      </c>
      <c r="N32" s="64" t="s">
        <v>97</v>
      </c>
      <c r="O32" s="65" t="s">
        <v>986</v>
      </c>
      <c r="P32" s="70" t="s">
        <v>96</v>
      </c>
      <c r="Q32" s="60" t="s">
        <v>95</v>
      </c>
      <c r="R32" s="60" t="s">
        <v>96</v>
      </c>
      <c r="S32" s="66" t="s">
        <v>96</v>
      </c>
      <c r="T32" s="67" t="s">
        <v>96</v>
      </c>
      <c r="U32" s="60" t="s">
        <v>96</v>
      </c>
      <c r="V32" s="60" t="s">
        <v>96</v>
      </c>
      <c r="W32" s="60" t="str" cm="1">
        <f t="array" ref="W32">_xlfn.LET(_xlpm.resultados,_xlfn.UNIQUE(_xlfn._xlws.FILTER(Tabla1[Proceso],(Tabla1[Metal Base]=Q32)*(Tabla1[Etiquetas]=_xlfn.TEXTJOIN(" + ",TRUE,IF((TRIM(Upload!R32:V32)="")+(LOWER(TRIM(Upload!R32:V32))="(seleccione)"),"",PROPER(TRIM(Upload!R32:V32)))))*(Tabla1[Línea2]=IFERROR(VLOOKUP(Upload!P32&amp;"*",CAT_Procesos!D:D,1,FALSE),"")))),_xlpm.cantidad,ROWS(_xlpm.resultados),IF(ISERROR(_xlpm.cantidad),"Combinación no existente",IF(_xlpm.cantidad=1,INDEX(_xlpm.resultados,1),"(seleccione)")))</f>
        <v>Combinación no existente</v>
      </c>
      <c r="X32" s="67" t="s">
        <v>96</v>
      </c>
      <c r="Y32" s="64"/>
      <c r="Z32" s="64"/>
      <c r="AA32" s="64"/>
      <c r="AB32" s="133" t="s">
        <v>96</v>
      </c>
      <c r="AC32" s="64"/>
      <c r="AD32" s="64"/>
      <c r="AE32" s="64"/>
      <c r="AF32" s="60" t="s">
        <v>96</v>
      </c>
      <c r="AG32" s="64"/>
      <c r="AH32" s="64"/>
      <c r="AI32" s="64"/>
      <c r="AJ32" s="68" t="s">
        <v>96</v>
      </c>
      <c r="AK32" s="69" t="str">
        <f t="shared" si="0"/>
        <v/>
      </c>
      <c r="AL32" s="70" t="s">
        <v>96</v>
      </c>
      <c r="AM32" s="69" t="str">
        <f t="shared" si="1"/>
        <v/>
      </c>
      <c r="AN32" s="71"/>
      <c r="AO32" s="71"/>
      <c r="AP32" s="71"/>
      <c r="AQ32" s="71"/>
      <c r="AR32" s="71" t="s">
        <v>96</v>
      </c>
      <c r="AS32" s="71"/>
      <c r="AT32" s="71" t="s">
        <v>96</v>
      </c>
      <c r="AU32" s="71"/>
      <c r="AV32" s="71" t="s">
        <v>95</v>
      </c>
      <c r="AW32" s="71"/>
      <c r="AX32" s="71"/>
      <c r="AY32" s="71"/>
      <c r="AZ32" s="71"/>
      <c r="BA32" s="71"/>
      <c r="BB32" s="70" t="s">
        <v>218</v>
      </c>
      <c r="BC32" s="70" t="s">
        <v>98</v>
      </c>
      <c r="BD32" s="72" t="str">
        <f>IF('Cálculo MP'!K42="","",'Cálculo MP'!K42)</f>
        <v/>
      </c>
      <c r="BE32" s="72" t="str">
        <f>IF('Cálculo MP'!L42="","",'Cálculo MP'!L42)</f>
        <v/>
      </c>
      <c r="BF32" s="72" t="str">
        <f>IF('Cálculo MP'!M42="","",'Cálculo MP'!M42)</f>
        <v/>
      </c>
      <c r="BG32" s="72" t="str">
        <f>IF('Cálculo MP'!N42="","",'Cálculo MP'!N42)</f>
        <v/>
      </c>
      <c r="BH32" s="72" t="str">
        <f>IF('Cálculo MP'!O42="","",'Cálculo MP'!O42)</f>
        <v/>
      </c>
      <c r="BI32" s="72" t="str">
        <f>IF('Cálculo MP'!P42="","",'Cálculo MP'!P42)</f>
        <v/>
      </c>
      <c r="BJ32" s="72" t="str">
        <f>IF('Cálculo MP'!Q42="","",'Cálculo MP'!Q42)</f>
        <v/>
      </c>
      <c r="BK32" s="72" t="str">
        <f>IF('Cálculo MP'!R42="","",'Cálculo MP'!R42)</f>
        <v/>
      </c>
      <c r="BL32" s="72" t="str">
        <f>IF('Cálculo MP'!S42="","",'Cálculo MP'!S42)</f>
        <v/>
      </c>
      <c r="BM32" s="73"/>
      <c r="BN32" s="73"/>
      <c r="BO32" s="73"/>
      <c r="BP32" s="73"/>
      <c r="BQ32" s="73"/>
      <c r="BR32" s="73"/>
      <c r="BS32" s="73"/>
    </row>
    <row r="33" spans="1:71" ht="19.5" customHeight="1" x14ac:dyDescent="0.15">
      <c r="A33" s="56" t="s">
        <v>985</v>
      </c>
      <c r="B33" s="57" t="s">
        <v>986</v>
      </c>
      <c r="C33" s="58" t="s">
        <v>985</v>
      </c>
      <c r="D33" s="59" t="s">
        <v>985</v>
      </c>
      <c r="E33" s="61"/>
      <c r="F33" s="60" t="s">
        <v>95</v>
      </c>
      <c r="G33" s="61"/>
      <c r="H33" s="62"/>
      <c r="I33" s="75"/>
      <c r="J33" s="60" t="s">
        <v>95</v>
      </c>
      <c r="K33" s="64"/>
      <c r="L33" s="64"/>
      <c r="M33" s="64" t="s">
        <v>96</v>
      </c>
      <c r="N33" s="64" t="s">
        <v>97</v>
      </c>
      <c r="O33" s="65" t="s">
        <v>986</v>
      </c>
      <c r="P33" s="70" t="s">
        <v>96</v>
      </c>
      <c r="Q33" s="60" t="s">
        <v>95</v>
      </c>
      <c r="R33" s="60" t="s">
        <v>96</v>
      </c>
      <c r="S33" s="66" t="s">
        <v>96</v>
      </c>
      <c r="T33" s="67" t="s">
        <v>96</v>
      </c>
      <c r="U33" s="60" t="s">
        <v>96</v>
      </c>
      <c r="V33" s="60" t="s">
        <v>96</v>
      </c>
      <c r="W33" s="60" t="str" cm="1">
        <f t="array" ref="W33">_xlfn.LET(_xlpm.resultados,_xlfn.UNIQUE(_xlfn._xlws.FILTER(Tabla1[Proceso],(Tabla1[Metal Base]=Q33)*(Tabla1[Etiquetas]=_xlfn.TEXTJOIN(" + ",TRUE,IF((TRIM(Upload!R33:V33)="")+(LOWER(TRIM(Upload!R33:V33))="(seleccione)"),"",PROPER(TRIM(Upload!R33:V33)))))*(Tabla1[Línea2]=IFERROR(VLOOKUP(Upload!P33&amp;"*",CAT_Procesos!D:D,1,FALSE),"")))),_xlpm.cantidad,ROWS(_xlpm.resultados),IF(ISERROR(_xlpm.cantidad),"Combinación no existente",IF(_xlpm.cantidad=1,INDEX(_xlpm.resultados,1),"(seleccione)")))</f>
        <v>Combinación no existente</v>
      </c>
      <c r="X33" s="67" t="s">
        <v>96</v>
      </c>
      <c r="Y33" s="64"/>
      <c r="Z33" s="64"/>
      <c r="AA33" s="64"/>
      <c r="AB33" s="133" t="s">
        <v>96</v>
      </c>
      <c r="AC33" s="64"/>
      <c r="AD33" s="64"/>
      <c r="AE33" s="64"/>
      <c r="AF33" s="60" t="s">
        <v>96</v>
      </c>
      <c r="AG33" s="64"/>
      <c r="AH33" s="64"/>
      <c r="AI33" s="64"/>
      <c r="AJ33" s="68" t="s">
        <v>96</v>
      </c>
      <c r="AK33" s="69" t="str">
        <f t="shared" si="0"/>
        <v/>
      </c>
      <c r="AL33" s="70" t="s">
        <v>96</v>
      </c>
      <c r="AM33" s="69" t="str">
        <f t="shared" si="1"/>
        <v/>
      </c>
      <c r="AN33" s="71"/>
      <c r="AO33" s="71"/>
      <c r="AP33" s="71"/>
      <c r="AQ33" s="71"/>
      <c r="AR33" s="71" t="s">
        <v>96</v>
      </c>
      <c r="AS33" s="71"/>
      <c r="AT33" s="71" t="s">
        <v>96</v>
      </c>
      <c r="AU33" s="71"/>
      <c r="AV33" s="71" t="s">
        <v>95</v>
      </c>
      <c r="AW33" s="71"/>
      <c r="AX33" s="71"/>
      <c r="AY33" s="71"/>
      <c r="AZ33" s="71"/>
      <c r="BA33" s="71"/>
      <c r="BB33" s="70" t="s">
        <v>218</v>
      </c>
      <c r="BC33" s="70" t="s">
        <v>98</v>
      </c>
      <c r="BD33" s="72" t="str">
        <f>IF('Cálculo MP'!K43="","",'Cálculo MP'!K43)</f>
        <v/>
      </c>
      <c r="BE33" s="72" t="str">
        <f>IF('Cálculo MP'!L43="","",'Cálculo MP'!L43)</f>
        <v/>
      </c>
      <c r="BF33" s="72" t="str">
        <f>IF('Cálculo MP'!M43="","",'Cálculo MP'!M43)</f>
        <v/>
      </c>
      <c r="BG33" s="72" t="str">
        <f>IF('Cálculo MP'!N43="","",'Cálculo MP'!N43)</f>
        <v/>
      </c>
      <c r="BH33" s="72" t="str">
        <f>IF('Cálculo MP'!O43="","",'Cálculo MP'!O43)</f>
        <v/>
      </c>
      <c r="BI33" s="72" t="str">
        <f>IF('Cálculo MP'!P43="","",'Cálculo MP'!P43)</f>
        <v/>
      </c>
      <c r="BJ33" s="72" t="str">
        <f>IF('Cálculo MP'!Q43="","",'Cálculo MP'!Q43)</f>
        <v/>
      </c>
      <c r="BK33" s="72" t="str">
        <f>IF('Cálculo MP'!R43="","",'Cálculo MP'!R43)</f>
        <v/>
      </c>
      <c r="BL33" s="72" t="str">
        <f>IF('Cálculo MP'!S43="","",'Cálculo MP'!S43)</f>
        <v/>
      </c>
      <c r="BM33" s="73"/>
      <c r="BN33" s="73"/>
      <c r="BO33" s="73"/>
      <c r="BP33" s="73"/>
      <c r="BQ33" s="73"/>
      <c r="BR33" s="73"/>
      <c r="BS33" s="73"/>
    </row>
    <row r="34" spans="1:71" ht="19.5" customHeight="1" x14ac:dyDescent="0.15">
      <c r="A34" s="56" t="s">
        <v>985</v>
      </c>
      <c r="B34" s="57" t="s">
        <v>986</v>
      </c>
      <c r="C34" s="58" t="s">
        <v>985</v>
      </c>
      <c r="D34" s="59" t="s">
        <v>985</v>
      </c>
      <c r="E34" s="61"/>
      <c r="F34" s="60" t="s">
        <v>95</v>
      </c>
      <c r="G34" s="61"/>
      <c r="H34" s="62"/>
      <c r="I34" s="75"/>
      <c r="J34" s="60" t="s">
        <v>95</v>
      </c>
      <c r="K34" s="64"/>
      <c r="L34" s="64"/>
      <c r="M34" s="64" t="s">
        <v>96</v>
      </c>
      <c r="N34" s="64" t="s">
        <v>97</v>
      </c>
      <c r="O34" s="65" t="s">
        <v>986</v>
      </c>
      <c r="P34" s="70" t="s">
        <v>96</v>
      </c>
      <c r="Q34" s="60" t="s">
        <v>95</v>
      </c>
      <c r="R34" s="60" t="s">
        <v>96</v>
      </c>
      <c r="S34" s="66" t="s">
        <v>96</v>
      </c>
      <c r="T34" s="67" t="s">
        <v>96</v>
      </c>
      <c r="U34" s="60" t="s">
        <v>96</v>
      </c>
      <c r="V34" s="60" t="s">
        <v>96</v>
      </c>
      <c r="W34" s="60" t="str" cm="1">
        <f t="array" ref="W34">_xlfn.LET(_xlpm.resultados,_xlfn.UNIQUE(_xlfn._xlws.FILTER(Tabla1[Proceso],(Tabla1[Metal Base]=Q34)*(Tabla1[Etiquetas]=_xlfn.TEXTJOIN(" + ",TRUE,IF((TRIM(Upload!R34:V34)="")+(LOWER(TRIM(Upload!R34:V34))="(seleccione)"),"",PROPER(TRIM(Upload!R34:V34)))))*(Tabla1[Línea2]=IFERROR(VLOOKUP(Upload!P34&amp;"*",CAT_Procesos!D:D,1,FALSE),"")))),_xlpm.cantidad,ROWS(_xlpm.resultados),IF(ISERROR(_xlpm.cantidad),"Combinación no existente",IF(_xlpm.cantidad=1,INDEX(_xlpm.resultados,1),"(seleccione)")))</f>
        <v>Combinación no existente</v>
      </c>
      <c r="X34" s="67" t="s">
        <v>96</v>
      </c>
      <c r="Y34" s="64"/>
      <c r="Z34" s="64"/>
      <c r="AA34" s="64"/>
      <c r="AB34" s="133" t="s">
        <v>96</v>
      </c>
      <c r="AC34" s="64"/>
      <c r="AD34" s="64"/>
      <c r="AE34" s="64"/>
      <c r="AF34" s="60" t="s">
        <v>96</v>
      </c>
      <c r="AG34" s="64"/>
      <c r="AH34" s="64"/>
      <c r="AI34" s="64"/>
      <c r="AJ34" s="68" t="s">
        <v>96</v>
      </c>
      <c r="AK34" s="69" t="str">
        <f t="shared" si="0"/>
        <v/>
      </c>
      <c r="AL34" s="70" t="s">
        <v>96</v>
      </c>
      <c r="AM34" s="69" t="str">
        <f t="shared" si="1"/>
        <v/>
      </c>
      <c r="AN34" s="71"/>
      <c r="AO34" s="71"/>
      <c r="AP34" s="71"/>
      <c r="AQ34" s="71"/>
      <c r="AR34" s="71" t="s">
        <v>96</v>
      </c>
      <c r="AS34" s="71"/>
      <c r="AT34" s="71" t="s">
        <v>96</v>
      </c>
      <c r="AU34" s="71"/>
      <c r="AV34" s="71" t="s">
        <v>95</v>
      </c>
      <c r="AW34" s="71"/>
      <c r="AX34" s="71"/>
      <c r="AY34" s="71"/>
      <c r="AZ34" s="71"/>
      <c r="BA34" s="71"/>
      <c r="BB34" s="70" t="s">
        <v>218</v>
      </c>
      <c r="BC34" s="70" t="s">
        <v>98</v>
      </c>
      <c r="BD34" s="72" t="str">
        <f>IF('Cálculo MP'!K44="","",'Cálculo MP'!K44)</f>
        <v/>
      </c>
      <c r="BE34" s="72" t="str">
        <f>IF('Cálculo MP'!L44="","",'Cálculo MP'!L44)</f>
        <v/>
      </c>
      <c r="BF34" s="72" t="str">
        <f>IF('Cálculo MP'!M44="","",'Cálculo MP'!M44)</f>
        <v/>
      </c>
      <c r="BG34" s="72" t="str">
        <f>IF('Cálculo MP'!N44="","",'Cálculo MP'!N44)</f>
        <v/>
      </c>
      <c r="BH34" s="72" t="str">
        <f>IF('Cálculo MP'!O44="","",'Cálculo MP'!O44)</f>
        <v/>
      </c>
      <c r="BI34" s="72" t="str">
        <f>IF('Cálculo MP'!P44="","",'Cálculo MP'!P44)</f>
        <v/>
      </c>
      <c r="BJ34" s="72" t="str">
        <f>IF('Cálculo MP'!Q44="","",'Cálculo MP'!Q44)</f>
        <v/>
      </c>
      <c r="BK34" s="72" t="str">
        <f>IF('Cálculo MP'!R44="","",'Cálculo MP'!R44)</f>
        <v/>
      </c>
      <c r="BL34" s="72" t="str">
        <f>IF('Cálculo MP'!S44="","",'Cálculo MP'!S44)</f>
        <v/>
      </c>
      <c r="BM34" s="73"/>
      <c r="BN34" s="73"/>
      <c r="BO34" s="73"/>
      <c r="BP34" s="73"/>
      <c r="BQ34" s="73"/>
      <c r="BR34" s="73"/>
      <c r="BS34" s="73"/>
    </row>
    <row r="35" spans="1:71" ht="19.5" customHeight="1" x14ac:dyDescent="0.15">
      <c r="A35" s="56" t="s">
        <v>985</v>
      </c>
      <c r="B35" s="57" t="s">
        <v>986</v>
      </c>
      <c r="C35" s="58" t="s">
        <v>985</v>
      </c>
      <c r="D35" s="59" t="s">
        <v>985</v>
      </c>
      <c r="E35" s="61"/>
      <c r="F35" s="60" t="s">
        <v>95</v>
      </c>
      <c r="G35" s="61"/>
      <c r="H35" s="62"/>
      <c r="I35" s="75"/>
      <c r="J35" s="60" t="s">
        <v>95</v>
      </c>
      <c r="K35" s="64"/>
      <c r="L35" s="64"/>
      <c r="M35" s="64" t="s">
        <v>96</v>
      </c>
      <c r="N35" s="64" t="s">
        <v>97</v>
      </c>
      <c r="O35" s="65" t="s">
        <v>986</v>
      </c>
      <c r="P35" s="70" t="s">
        <v>96</v>
      </c>
      <c r="Q35" s="60" t="s">
        <v>95</v>
      </c>
      <c r="R35" s="60" t="s">
        <v>96</v>
      </c>
      <c r="S35" s="66" t="s">
        <v>96</v>
      </c>
      <c r="T35" s="67" t="s">
        <v>96</v>
      </c>
      <c r="U35" s="60" t="s">
        <v>96</v>
      </c>
      <c r="V35" s="60" t="s">
        <v>96</v>
      </c>
      <c r="W35" s="60" t="str" cm="1">
        <f t="array" ref="W35">_xlfn.LET(_xlpm.resultados,_xlfn.UNIQUE(_xlfn._xlws.FILTER(Tabla1[Proceso],(Tabla1[Metal Base]=Q35)*(Tabla1[Etiquetas]=_xlfn.TEXTJOIN(" + ",TRUE,IF((TRIM(Upload!R35:V35)="")+(LOWER(TRIM(Upload!R35:V35))="(seleccione)"),"",PROPER(TRIM(Upload!R35:V35)))))*(Tabla1[Línea2]=IFERROR(VLOOKUP(Upload!P35&amp;"*",CAT_Procesos!D:D,1,FALSE),"")))),_xlpm.cantidad,ROWS(_xlpm.resultados),IF(ISERROR(_xlpm.cantidad),"Combinación no existente",IF(_xlpm.cantidad=1,INDEX(_xlpm.resultados,1),"(seleccione)")))</f>
        <v>Combinación no existente</v>
      </c>
      <c r="X35" s="67" t="s">
        <v>96</v>
      </c>
      <c r="Y35" s="64"/>
      <c r="Z35" s="64"/>
      <c r="AA35" s="64"/>
      <c r="AB35" s="133" t="s">
        <v>96</v>
      </c>
      <c r="AC35" s="64"/>
      <c r="AD35" s="64"/>
      <c r="AE35" s="64"/>
      <c r="AF35" s="60" t="s">
        <v>96</v>
      </c>
      <c r="AG35" s="64"/>
      <c r="AH35" s="64"/>
      <c r="AI35" s="64"/>
      <c r="AJ35" s="68" t="s">
        <v>96</v>
      </c>
      <c r="AK35" s="69" t="str">
        <f t="shared" si="0"/>
        <v/>
      </c>
      <c r="AL35" s="70" t="s">
        <v>96</v>
      </c>
      <c r="AM35" s="69" t="str">
        <f t="shared" si="1"/>
        <v/>
      </c>
      <c r="AN35" s="71"/>
      <c r="AO35" s="71"/>
      <c r="AP35" s="71"/>
      <c r="AQ35" s="71"/>
      <c r="AR35" s="71" t="s">
        <v>96</v>
      </c>
      <c r="AS35" s="71"/>
      <c r="AT35" s="71" t="s">
        <v>96</v>
      </c>
      <c r="AU35" s="71"/>
      <c r="AV35" s="71" t="s">
        <v>95</v>
      </c>
      <c r="AW35" s="71"/>
      <c r="AX35" s="71"/>
      <c r="AY35" s="71"/>
      <c r="AZ35" s="71"/>
      <c r="BA35" s="71"/>
      <c r="BB35" s="70" t="s">
        <v>218</v>
      </c>
      <c r="BC35" s="70" t="s">
        <v>98</v>
      </c>
      <c r="BD35" s="72" t="str">
        <f>IF('Cálculo MP'!K45="","",'Cálculo MP'!K45)</f>
        <v/>
      </c>
      <c r="BE35" s="72" t="str">
        <f>IF('Cálculo MP'!L45="","",'Cálculo MP'!L45)</f>
        <v/>
      </c>
      <c r="BF35" s="72" t="str">
        <f>IF('Cálculo MP'!M45="","",'Cálculo MP'!M45)</f>
        <v/>
      </c>
      <c r="BG35" s="72" t="str">
        <f>IF('Cálculo MP'!N45="","",'Cálculo MP'!N45)</f>
        <v/>
      </c>
      <c r="BH35" s="72" t="str">
        <f>IF('Cálculo MP'!O45="","",'Cálculo MP'!O45)</f>
        <v/>
      </c>
      <c r="BI35" s="72" t="str">
        <f>IF('Cálculo MP'!P45="","",'Cálculo MP'!P45)</f>
        <v/>
      </c>
      <c r="BJ35" s="72" t="str">
        <f>IF('Cálculo MP'!Q45="","",'Cálculo MP'!Q45)</f>
        <v/>
      </c>
      <c r="BK35" s="72" t="str">
        <f>IF('Cálculo MP'!R45="","",'Cálculo MP'!R45)</f>
        <v/>
      </c>
      <c r="BL35" s="72" t="str">
        <f>IF('Cálculo MP'!S45="","",'Cálculo MP'!S45)</f>
        <v/>
      </c>
      <c r="BM35" s="73"/>
      <c r="BN35" s="73"/>
      <c r="BO35" s="73"/>
      <c r="BP35" s="73"/>
      <c r="BQ35" s="73"/>
      <c r="BR35" s="73"/>
      <c r="BS35" s="73"/>
    </row>
    <row r="36" spans="1:71" ht="19.5" customHeight="1" x14ac:dyDescent="0.15">
      <c r="A36" s="56" t="s">
        <v>985</v>
      </c>
      <c r="B36" s="57" t="s">
        <v>986</v>
      </c>
      <c r="C36" s="58" t="s">
        <v>985</v>
      </c>
      <c r="D36" s="59" t="s">
        <v>985</v>
      </c>
      <c r="E36" s="61"/>
      <c r="F36" s="60" t="s">
        <v>95</v>
      </c>
      <c r="G36" s="61"/>
      <c r="H36" s="62"/>
      <c r="I36" s="75"/>
      <c r="J36" s="60" t="s">
        <v>95</v>
      </c>
      <c r="K36" s="64"/>
      <c r="L36" s="64"/>
      <c r="M36" s="64" t="s">
        <v>96</v>
      </c>
      <c r="N36" s="64" t="s">
        <v>97</v>
      </c>
      <c r="O36" s="65" t="s">
        <v>986</v>
      </c>
      <c r="P36" s="70" t="s">
        <v>96</v>
      </c>
      <c r="Q36" s="60" t="s">
        <v>95</v>
      </c>
      <c r="R36" s="60" t="s">
        <v>96</v>
      </c>
      <c r="S36" s="66" t="s">
        <v>96</v>
      </c>
      <c r="T36" s="67" t="s">
        <v>96</v>
      </c>
      <c r="U36" s="60" t="s">
        <v>96</v>
      </c>
      <c r="V36" s="60" t="s">
        <v>96</v>
      </c>
      <c r="W36" s="60" t="str" cm="1">
        <f t="array" ref="W36">_xlfn.LET(_xlpm.resultados,_xlfn.UNIQUE(_xlfn._xlws.FILTER(Tabla1[Proceso],(Tabla1[Metal Base]=Q36)*(Tabla1[Etiquetas]=_xlfn.TEXTJOIN(" + ",TRUE,IF((TRIM(Upload!R36:V36)="")+(LOWER(TRIM(Upload!R36:V36))="(seleccione)"),"",PROPER(TRIM(Upload!R36:V36)))))*(Tabla1[Línea2]=IFERROR(VLOOKUP(Upload!P36&amp;"*",CAT_Procesos!D:D,1,FALSE),"")))),_xlpm.cantidad,ROWS(_xlpm.resultados),IF(ISERROR(_xlpm.cantidad),"Combinación no existente",IF(_xlpm.cantidad=1,INDEX(_xlpm.resultados,1),"(seleccione)")))</f>
        <v>Combinación no existente</v>
      </c>
      <c r="X36" s="67" t="s">
        <v>96</v>
      </c>
      <c r="Y36" s="64"/>
      <c r="Z36" s="64"/>
      <c r="AA36" s="64"/>
      <c r="AB36" s="133" t="s">
        <v>96</v>
      </c>
      <c r="AC36" s="64"/>
      <c r="AD36" s="64"/>
      <c r="AE36" s="64"/>
      <c r="AF36" s="60" t="s">
        <v>96</v>
      </c>
      <c r="AG36" s="64"/>
      <c r="AH36" s="64"/>
      <c r="AI36" s="64"/>
      <c r="AJ36" s="68" t="s">
        <v>96</v>
      </c>
      <c r="AK36" s="69" t="str">
        <f t="shared" si="0"/>
        <v/>
      </c>
      <c r="AL36" s="70" t="s">
        <v>96</v>
      </c>
      <c r="AM36" s="69" t="str">
        <f t="shared" si="1"/>
        <v/>
      </c>
      <c r="AN36" s="71"/>
      <c r="AO36" s="71"/>
      <c r="AP36" s="71"/>
      <c r="AQ36" s="71"/>
      <c r="AR36" s="71" t="s">
        <v>96</v>
      </c>
      <c r="AS36" s="71"/>
      <c r="AT36" s="71" t="s">
        <v>96</v>
      </c>
      <c r="AU36" s="71"/>
      <c r="AV36" s="71" t="s">
        <v>95</v>
      </c>
      <c r="AW36" s="71"/>
      <c r="AX36" s="71"/>
      <c r="AY36" s="71"/>
      <c r="AZ36" s="71"/>
      <c r="BA36" s="71"/>
      <c r="BB36" s="70" t="s">
        <v>218</v>
      </c>
      <c r="BC36" s="70" t="s">
        <v>98</v>
      </c>
      <c r="BD36" s="72" t="str">
        <f>IF('Cálculo MP'!K46="","",'Cálculo MP'!K46)</f>
        <v/>
      </c>
      <c r="BE36" s="72" t="str">
        <f>IF('Cálculo MP'!L46="","",'Cálculo MP'!L46)</f>
        <v/>
      </c>
      <c r="BF36" s="72" t="str">
        <f>IF('Cálculo MP'!M46="","",'Cálculo MP'!M46)</f>
        <v/>
      </c>
      <c r="BG36" s="72" t="str">
        <f>IF('Cálculo MP'!N46="","",'Cálculo MP'!N46)</f>
        <v/>
      </c>
      <c r="BH36" s="72" t="str">
        <f>IF('Cálculo MP'!O46="","",'Cálculo MP'!O46)</f>
        <v/>
      </c>
      <c r="BI36" s="72" t="str">
        <f>IF('Cálculo MP'!P46="","",'Cálculo MP'!P46)</f>
        <v/>
      </c>
      <c r="BJ36" s="72" t="str">
        <f>IF('Cálculo MP'!Q46="","",'Cálculo MP'!Q46)</f>
        <v/>
      </c>
      <c r="BK36" s="72" t="str">
        <f>IF('Cálculo MP'!R46="","",'Cálculo MP'!R46)</f>
        <v/>
      </c>
      <c r="BL36" s="72" t="str">
        <f>IF('Cálculo MP'!S46="","",'Cálculo MP'!S46)</f>
        <v/>
      </c>
      <c r="BM36" s="73"/>
      <c r="BN36" s="73"/>
      <c r="BO36" s="73"/>
      <c r="BP36" s="73"/>
      <c r="BQ36" s="73"/>
      <c r="BR36" s="73"/>
      <c r="BS36" s="73"/>
    </row>
    <row r="37" spans="1:71" ht="19.5" customHeight="1" x14ac:dyDescent="0.15">
      <c r="A37" s="56" t="s">
        <v>985</v>
      </c>
      <c r="B37" s="57" t="s">
        <v>986</v>
      </c>
      <c r="C37" s="58" t="s">
        <v>985</v>
      </c>
      <c r="D37" s="59" t="s">
        <v>985</v>
      </c>
      <c r="E37" s="61"/>
      <c r="F37" s="60" t="s">
        <v>95</v>
      </c>
      <c r="G37" s="61"/>
      <c r="H37" s="62"/>
      <c r="I37" s="75"/>
      <c r="J37" s="60" t="s">
        <v>95</v>
      </c>
      <c r="K37" s="64"/>
      <c r="L37" s="64"/>
      <c r="M37" s="64" t="s">
        <v>96</v>
      </c>
      <c r="N37" s="64" t="s">
        <v>97</v>
      </c>
      <c r="O37" s="65" t="s">
        <v>986</v>
      </c>
      <c r="P37" s="70" t="s">
        <v>96</v>
      </c>
      <c r="Q37" s="60" t="s">
        <v>95</v>
      </c>
      <c r="R37" s="60" t="s">
        <v>96</v>
      </c>
      <c r="S37" s="66" t="s">
        <v>96</v>
      </c>
      <c r="T37" s="67" t="s">
        <v>96</v>
      </c>
      <c r="U37" s="60" t="s">
        <v>96</v>
      </c>
      <c r="V37" s="60" t="s">
        <v>96</v>
      </c>
      <c r="W37" s="60" t="str" cm="1">
        <f t="array" ref="W37">_xlfn.LET(_xlpm.resultados,_xlfn.UNIQUE(_xlfn._xlws.FILTER(Tabla1[Proceso],(Tabla1[Metal Base]=Q37)*(Tabla1[Etiquetas]=_xlfn.TEXTJOIN(" + ",TRUE,IF((TRIM(Upload!R37:V37)="")+(LOWER(TRIM(Upload!R37:V37))="(seleccione)"),"",PROPER(TRIM(Upload!R37:V37)))))*(Tabla1[Línea2]=IFERROR(VLOOKUP(Upload!P37&amp;"*",CAT_Procesos!D:D,1,FALSE),"")))),_xlpm.cantidad,ROWS(_xlpm.resultados),IF(ISERROR(_xlpm.cantidad),"Combinación no existente",IF(_xlpm.cantidad=1,INDEX(_xlpm.resultados,1),"(seleccione)")))</f>
        <v>Combinación no existente</v>
      </c>
      <c r="X37" s="67" t="s">
        <v>96</v>
      </c>
      <c r="Y37" s="64"/>
      <c r="Z37" s="64"/>
      <c r="AA37" s="64"/>
      <c r="AB37" s="133" t="s">
        <v>96</v>
      </c>
      <c r="AC37" s="64"/>
      <c r="AD37" s="64"/>
      <c r="AE37" s="64"/>
      <c r="AF37" s="60" t="s">
        <v>96</v>
      </c>
      <c r="AG37" s="64"/>
      <c r="AH37" s="64"/>
      <c r="AI37" s="64"/>
      <c r="AJ37" s="68" t="s">
        <v>96</v>
      </c>
      <c r="AK37" s="69" t="str">
        <f t="shared" si="0"/>
        <v/>
      </c>
      <c r="AL37" s="70" t="s">
        <v>96</v>
      </c>
      <c r="AM37" s="69" t="str">
        <f t="shared" si="1"/>
        <v/>
      </c>
      <c r="AN37" s="71"/>
      <c r="AO37" s="71"/>
      <c r="AP37" s="71"/>
      <c r="AQ37" s="71"/>
      <c r="AR37" s="71" t="s">
        <v>96</v>
      </c>
      <c r="AS37" s="71"/>
      <c r="AT37" s="71" t="s">
        <v>96</v>
      </c>
      <c r="AU37" s="71"/>
      <c r="AV37" s="71" t="s">
        <v>95</v>
      </c>
      <c r="AW37" s="71"/>
      <c r="AX37" s="71"/>
      <c r="AY37" s="71"/>
      <c r="AZ37" s="71"/>
      <c r="BA37" s="71"/>
      <c r="BB37" s="70" t="s">
        <v>218</v>
      </c>
      <c r="BC37" s="70" t="s">
        <v>98</v>
      </c>
      <c r="BD37" s="72" t="str">
        <f>IF('Cálculo MP'!K47="","",'Cálculo MP'!K47)</f>
        <v/>
      </c>
      <c r="BE37" s="72" t="str">
        <f>IF('Cálculo MP'!L47="","",'Cálculo MP'!L47)</f>
        <v/>
      </c>
      <c r="BF37" s="72" t="str">
        <f>IF('Cálculo MP'!M47="","",'Cálculo MP'!M47)</f>
        <v/>
      </c>
      <c r="BG37" s="72" t="str">
        <f>IF('Cálculo MP'!N47="","",'Cálculo MP'!N47)</f>
        <v/>
      </c>
      <c r="BH37" s="72" t="str">
        <f>IF('Cálculo MP'!O47="","",'Cálculo MP'!O47)</f>
        <v/>
      </c>
      <c r="BI37" s="72" t="str">
        <f>IF('Cálculo MP'!P47="","",'Cálculo MP'!P47)</f>
        <v/>
      </c>
      <c r="BJ37" s="72" t="str">
        <f>IF('Cálculo MP'!Q47="","",'Cálculo MP'!Q47)</f>
        <v/>
      </c>
      <c r="BK37" s="72" t="str">
        <f>IF('Cálculo MP'!R47="","",'Cálculo MP'!R47)</f>
        <v/>
      </c>
      <c r="BL37" s="72" t="str">
        <f>IF('Cálculo MP'!S47="","",'Cálculo MP'!S47)</f>
        <v/>
      </c>
      <c r="BM37" s="73"/>
      <c r="BN37" s="73"/>
      <c r="BO37" s="73"/>
      <c r="BP37" s="73"/>
      <c r="BQ37" s="73"/>
      <c r="BR37" s="73"/>
      <c r="BS37" s="73"/>
    </row>
    <row r="38" spans="1:71" ht="19.5" customHeight="1" x14ac:dyDescent="0.15">
      <c r="A38" s="56" t="s">
        <v>985</v>
      </c>
      <c r="B38" s="57" t="s">
        <v>986</v>
      </c>
      <c r="C38" s="58" t="s">
        <v>985</v>
      </c>
      <c r="D38" s="59" t="s">
        <v>985</v>
      </c>
      <c r="E38" s="61"/>
      <c r="F38" s="60" t="s">
        <v>95</v>
      </c>
      <c r="G38" s="61"/>
      <c r="H38" s="62"/>
      <c r="I38" s="75"/>
      <c r="J38" s="60" t="s">
        <v>95</v>
      </c>
      <c r="K38" s="64"/>
      <c r="L38" s="64"/>
      <c r="M38" s="64" t="s">
        <v>96</v>
      </c>
      <c r="N38" s="64" t="s">
        <v>97</v>
      </c>
      <c r="O38" s="65" t="s">
        <v>986</v>
      </c>
      <c r="P38" s="70" t="s">
        <v>96</v>
      </c>
      <c r="Q38" s="60" t="s">
        <v>95</v>
      </c>
      <c r="R38" s="60" t="s">
        <v>96</v>
      </c>
      <c r="S38" s="66" t="s">
        <v>96</v>
      </c>
      <c r="T38" s="67" t="s">
        <v>96</v>
      </c>
      <c r="U38" s="60" t="s">
        <v>96</v>
      </c>
      <c r="V38" s="60" t="s">
        <v>96</v>
      </c>
      <c r="W38" s="60" t="str" cm="1">
        <f t="array" ref="W38">_xlfn.LET(_xlpm.resultados,_xlfn.UNIQUE(_xlfn._xlws.FILTER(Tabla1[Proceso],(Tabla1[Metal Base]=Q38)*(Tabla1[Etiquetas]=_xlfn.TEXTJOIN(" + ",TRUE,IF((TRIM(Upload!R38:V38)="")+(LOWER(TRIM(Upload!R38:V38))="(seleccione)"),"",PROPER(TRIM(Upload!R38:V38)))))*(Tabla1[Línea2]=IFERROR(VLOOKUP(Upload!P38&amp;"*",CAT_Procesos!D:D,1,FALSE),"")))),_xlpm.cantidad,ROWS(_xlpm.resultados),IF(ISERROR(_xlpm.cantidad),"Combinación no existente",IF(_xlpm.cantidad=1,INDEX(_xlpm.resultados,1),"(seleccione)")))</f>
        <v>Combinación no existente</v>
      </c>
      <c r="X38" s="67" t="s">
        <v>96</v>
      </c>
      <c r="Y38" s="64"/>
      <c r="Z38" s="64"/>
      <c r="AA38" s="64"/>
      <c r="AB38" s="133" t="s">
        <v>96</v>
      </c>
      <c r="AC38" s="64"/>
      <c r="AD38" s="64"/>
      <c r="AE38" s="64"/>
      <c r="AF38" s="60" t="s">
        <v>96</v>
      </c>
      <c r="AG38" s="64"/>
      <c r="AH38" s="64"/>
      <c r="AI38" s="64"/>
      <c r="AJ38" s="68" t="s">
        <v>96</v>
      </c>
      <c r="AK38" s="69" t="str">
        <f t="shared" si="0"/>
        <v/>
      </c>
      <c r="AL38" s="70" t="s">
        <v>96</v>
      </c>
      <c r="AM38" s="69" t="str">
        <f t="shared" si="1"/>
        <v/>
      </c>
      <c r="AN38" s="71"/>
      <c r="AO38" s="71"/>
      <c r="AP38" s="71"/>
      <c r="AQ38" s="71"/>
      <c r="AR38" s="71" t="s">
        <v>96</v>
      </c>
      <c r="AS38" s="71"/>
      <c r="AT38" s="71" t="s">
        <v>96</v>
      </c>
      <c r="AU38" s="71"/>
      <c r="AV38" s="71" t="s">
        <v>95</v>
      </c>
      <c r="AW38" s="71"/>
      <c r="AX38" s="71"/>
      <c r="AY38" s="71"/>
      <c r="AZ38" s="71"/>
      <c r="BA38" s="71"/>
      <c r="BB38" s="70" t="s">
        <v>218</v>
      </c>
      <c r="BC38" s="70" t="s">
        <v>98</v>
      </c>
      <c r="BD38" s="72" t="str">
        <f>IF('Cálculo MP'!K48="","",'Cálculo MP'!K48)</f>
        <v/>
      </c>
      <c r="BE38" s="72" t="str">
        <f>IF('Cálculo MP'!L48="","",'Cálculo MP'!L48)</f>
        <v/>
      </c>
      <c r="BF38" s="72" t="str">
        <f>IF('Cálculo MP'!M48="","",'Cálculo MP'!M48)</f>
        <v/>
      </c>
      <c r="BG38" s="72" t="str">
        <f>IF('Cálculo MP'!N48="","",'Cálculo MP'!N48)</f>
        <v/>
      </c>
      <c r="BH38" s="72" t="str">
        <f>IF('Cálculo MP'!O48="","",'Cálculo MP'!O48)</f>
        <v/>
      </c>
      <c r="BI38" s="72" t="str">
        <f>IF('Cálculo MP'!P48="","",'Cálculo MP'!P48)</f>
        <v/>
      </c>
      <c r="BJ38" s="72" t="str">
        <f>IF('Cálculo MP'!Q48="","",'Cálculo MP'!Q48)</f>
        <v/>
      </c>
      <c r="BK38" s="72" t="str">
        <f>IF('Cálculo MP'!R48="","",'Cálculo MP'!R48)</f>
        <v/>
      </c>
      <c r="BL38" s="72" t="str">
        <f>IF('Cálculo MP'!S48="","",'Cálculo MP'!S48)</f>
        <v/>
      </c>
      <c r="BM38" s="73"/>
      <c r="BN38" s="73"/>
      <c r="BO38" s="73"/>
      <c r="BP38" s="73"/>
      <c r="BQ38" s="73"/>
      <c r="BR38" s="73"/>
      <c r="BS38" s="73"/>
    </row>
    <row r="39" spans="1:71" ht="19.5" customHeight="1" x14ac:dyDescent="0.15">
      <c r="A39" s="56" t="s">
        <v>985</v>
      </c>
      <c r="B39" s="57" t="s">
        <v>986</v>
      </c>
      <c r="C39" s="58" t="s">
        <v>985</v>
      </c>
      <c r="D39" s="59" t="s">
        <v>985</v>
      </c>
      <c r="E39" s="61"/>
      <c r="F39" s="60" t="s">
        <v>95</v>
      </c>
      <c r="G39" s="61"/>
      <c r="H39" s="62"/>
      <c r="I39" s="75"/>
      <c r="J39" s="60" t="s">
        <v>95</v>
      </c>
      <c r="K39" s="64"/>
      <c r="L39" s="64"/>
      <c r="M39" s="64" t="s">
        <v>96</v>
      </c>
      <c r="N39" s="64" t="s">
        <v>97</v>
      </c>
      <c r="O39" s="65" t="s">
        <v>986</v>
      </c>
      <c r="P39" s="70" t="s">
        <v>96</v>
      </c>
      <c r="Q39" s="60" t="s">
        <v>95</v>
      </c>
      <c r="R39" s="60" t="s">
        <v>96</v>
      </c>
      <c r="S39" s="66" t="s">
        <v>96</v>
      </c>
      <c r="T39" s="67" t="s">
        <v>96</v>
      </c>
      <c r="U39" s="60" t="s">
        <v>96</v>
      </c>
      <c r="V39" s="60" t="s">
        <v>96</v>
      </c>
      <c r="W39" s="60" t="str" cm="1">
        <f t="array" ref="W39">_xlfn.LET(_xlpm.resultados,_xlfn.UNIQUE(_xlfn._xlws.FILTER(Tabla1[Proceso],(Tabla1[Metal Base]=Q39)*(Tabla1[Etiquetas]=_xlfn.TEXTJOIN(" + ",TRUE,IF((TRIM(Upload!R39:V39)="")+(LOWER(TRIM(Upload!R39:V39))="(seleccione)"),"",PROPER(TRIM(Upload!R39:V39)))))*(Tabla1[Línea2]=IFERROR(VLOOKUP(Upload!P39&amp;"*",CAT_Procesos!D:D,1,FALSE),"")))),_xlpm.cantidad,ROWS(_xlpm.resultados),IF(ISERROR(_xlpm.cantidad),"Combinación no existente",IF(_xlpm.cantidad=1,INDEX(_xlpm.resultados,1),"(seleccione)")))</f>
        <v>Combinación no existente</v>
      </c>
      <c r="X39" s="67" t="s">
        <v>96</v>
      </c>
      <c r="Y39" s="64"/>
      <c r="Z39" s="64"/>
      <c r="AA39" s="64"/>
      <c r="AB39" s="133" t="s">
        <v>96</v>
      </c>
      <c r="AC39" s="64"/>
      <c r="AD39" s="64"/>
      <c r="AE39" s="64"/>
      <c r="AF39" s="60" t="s">
        <v>96</v>
      </c>
      <c r="AG39" s="64"/>
      <c r="AH39" s="64"/>
      <c r="AI39" s="64"/>
      <c r="AJ39" s="68" t="s">
        <v>96</v>
      </c>
      <c r="AK39" s="69" t="str">
        <f t="shared" si="0"/>
        <v/>
      </c>
      <c r="AL39" s="70" t="s">
        <v>96</v>
      </c>
      <c r="AM39" s="69" t="str">
        <f t="shared" si="1"/>
        <v/>
      </c>
      <c r="AN39" s="71"/>
      <c r="AO39" s="71"/>
      <c r="AP39" s="71"/>
      <c r="AQ39" s="71"/>
      <c r="AR39" s="71" t="s">
        <v>96</v>
      </c>
      <c r="AS39" s="71"/>
      <c r="AT39" s="71" t="s">
        <v>96</v>
      </c>
      <c r="AU39" s="71"/>
      <c r="AV39" s="71" t="s">
        <v>95</v>
      </c>
      <c r="AW39" s="71"/>
      <c r="AX39" s="71"/>
      <c r="AY39" s="71"/>
      <c r="AZ39" s="71"/>
      <c r="BA39" s="71"/>
      <c r="BB39" s="70" t="s">
        <v>218</v>
      </c>
      <c r="BC39" s="70" t="s">
        <v>98</v>
      </c>
      <c r="BD39" s="72" t="str">
        <f>IF('Cálculo MP'!K49="","",'Cálculo MP'!K49)</f>
        <v/>
      </c>
      <c r="BE39" s="72" t="str">
        <f>IF('Cálculo MP'!L49="","",'Cálculo MP'!L49)</f>
        <v/>
      </c>
      <c r="BF39" s="72" t="str">
        <f>IF('Cálculo MP'!M49="","",'Cálculo MP'!M49)</f>
        <v/>
      </c>
      <c r="BG39" s="72" t="str">
        <f>IF('Cálculo MP'!N49="","",'Cálculo MP'!N49)</f>
        <v/>
      </c>
      <c r="BH39" s="72" t="str">
        <f>IF('Cálculo MP'!O49="","",'Cálculo MP'!O49)</f>
        <v/>
      </c>
      <c r="BI39" s="72" t="str">
        <f>IF('Cálculo MP'!P49="","",'Cálculo MP'!P49)</f>
        <v/>
      </c>
      <c r="BJ39" s="72" t="str">
        <f>IF('Cálculo MP'!Q49="","",'Cálculo MP'!Q49)</f>
        <v/>
      </c>
      <c r="BK39" s="72" t="str">
        <f>IF('Cálculo MP'!R49="","",'Cálculo MP'!R49)</f>
        <v/>
      </c>
      <c r="BL39" s="72" t="str">
        <f>IF('Cálculo MP'!S49="","",'Cálculo MP'!S49)</f>
        <v/>
      </c>
      <c r="BM39" s="73"/>
      <c r="BN39" s="73"/>
      <c r="BO39" s="73"/>
      <c r="BP39" s="73"/>
      <c r="BQ39" s="73"/>
      <c r="BR39" s="73"/>
      <c r="BS39" s="73"/>
    </row>
    <row r="40" spans="1:71" ht="19.5" customHeight="1" x14ac:dyDescent="0.15">
      <c r="A40" s="56" t="s">
        <v>985</v>
      </c>
      <c r="B40" s="57" t="s">
        <v>986</v>
      </c>
      <c r="C40" s="58" t="s">
        <v>985</v>
      </c>
      <c r="D40" s="59" t="s">
        <v>985</v>
      </c>
      <c r="E40" s="61"/>
      <c r="F40" s="60" t="s">
        <v>95</v>
      </c>
      <c r="G40" s="61"/>
      <c r="H40" s="62"/>
      <c r="I40" s="75"/>
      <c r="J40" s="60" t="s">
        <v>95</v>
      </c>
      <c r="K40" s="64"/>
      <c r="L40" s="64"/>
      <c r="M40" s="64" t="s">
        <v>96</v>
      </c>
      <c r="N40" s="64" t="s">
        <v>97</v>
      </c>
      <c r="O40" s="65" t="s">
        <v>986</v>
      </c>
      <c r="P40" s="70" t="s">
        <v>96</v>
      </c>
      <c r="Q40" s="60" t="s">
        <v>95</v>
      </c>
      <c r="R40" s="60" t="s">
        <v>96</v>
      </c>
      <c r="S40" s="66" t="s">
        <v>96</v>
      </c>
      <c r="T40" s="67" t="s">
        <v>96</v>
      </c>
      <c r="U40" s="60" t="s">
        <v>96</v>
      </c>
      <c r="V40" s="60" t="s">
        <v>96</v>
      </c>
      <c r="W40" s="60" t="str" cm="1">
        <f t="array" ref="W40">_xlfn.LET(_xlpm.resultados,_xlfn.UNIQUE(_xlfn._xlws.FILTER(Tabla1[Proceso],(Tabla1[Metal Base]=Q40)*(Tabla1[Etiquetas]=_xlfn.TEXTJOIN(" + ",TRUE,IF((TRIM(Upload!R40:V40)="")+(LOWER(TRIM(Upload!R40:V40))="(seleccione)"),"",PROPER(TRIM(Upload!R40:V40)))))*(Tabla1[Línea2]=IFERROR(VLOOKUP(Upload!P40&amp;"*",CAT_Procesos!D:D,1,FALSE),"")))),_xlpm.cantidad,ROWS(_xlpm.resultados),IF(ISERROR(_xlpm.cantidad),"Combinación no existente",IF(_xlpm.cantidad=1,INDEX(_xlpm.resultados,1),"(seleccione)")))</f>
        <v>Combinación no existente</v>
      </c>
      <c r="X40" s="67" t="s">
        <v>96</v>
      </c>
      <c r="Y40" s="64"/>
      <c r="Z40" s="64"/>
      <c r="AA40" s="64"/>
      <c r="AB40" s="133" t="s">
        <v>96</v>
      </c>
      <c r="AC40" s="64"/>
      <c r="AD40" s="64"/>
      <c r="AE40" s="64"/>
      <c r="AF40" s="60" t="s">
        <v>96</v>
      </c>
      <c r="AG40" s="64"/>
      <c r="AH40" s="64"/>
      <c r="AI40" s="64"/>
      <c r="AJ40" s="68" t="s">
        <v>96</v>
      </c>
      <c r="AK40" s="69" t="str">
        <f t="shared" si="0"/>
        <v/>
      </c>
      <c r="AL40" s="70" t="s">
        <v>96</v>
      </c>
      <c r="AM40" s="69" t="str">
        <f t="shared" si="1"/>
        <v/>
      </c>
      <c r="AN40" s="71"/>
      <c r="AO40" s="71"/>
      <c r="AP40" s="71"/>
      <c r="AQ40" s="71"/>
      <c r="AR40" s="71" t="s">
        <v>96</v>
      </c>
      <c r="AS40" s="71"/>
      <c r="AT40" s="71" t="s">
        <v>96</v>
      </c>
      <c r="AU40" s="71"/>
      <c r="AV40" s="71" t="s">
        <v>95</v>
      </c>
      <c r="AW40" s="71"/>
      <c r="AX40" s="71"/>
      <c r="AY40" s="71"/>
      <c r="AZ40" s="71"/>
      <c r="BA40" s="71"/>
      <c r="BB40" s="70" t="s">
        <v>218</v>
      </c>
      <c r="BC40" s="70" t="s">
        <v>98</v>
      </c>
      <c r="BD40" s="72" t="str">
        <f>IF('Cálculo MP'!K50="","",'Cálculo MP'!K50)</f>
        <v/>
      </c>
      <c r="BE40" s="72" t="str">
        <f>IF('Cálculo MP'!L50="","",'Cálculo MP'!L50)</f>
        <v/>
      </c>
      <c r="BF40" s="72" t="str">
        <f>IF('Cálculo MP'!M50="","",'Cálculo MP'!M50)</f>
        <v/>
      </c>
      <c r="BG40" s="72" t="str">
        <f>IF('Cálculo MP'!N50="","",'Cálculo MP'!N50)</f>
        <v/>
      </c>
      <c r="BH40" s="72" t="str">
        <f>IF('Cálculo MP'!O50="","",'Cálculo MP'!O50)</f>
        <v/>
      </c>
      <c r="BI40" s="72" t="str">
        <f>IF('Cálculo MP'!P50="","",'Cálculo MP'!P50)</f>
        <v/>
      </c>
      <c r="BJ40" s="72" t="str">
        <f>IF('Cálculo MP'!Q50="","",'Cálculo MP'!Q50)</f>
        <v/>
      </c>
      <c r="BK40" s="72" t="str">
        <f>IF('Cálculo MP'!R50="","",'Cálculo MP'!R50)</f>
        <v/>
      </c>
      <c r="BL40" s="72" t="str">
        <f>IF('Cálculo MP'!S50="","",'Cálculo MP'!S50)</f>
        <v/>
      </c>
      <c r="BM40" s="73"/>
      <c r="BN40" s="73"/>
      <c r="BO40" s="73"/>
      <c r="BP40" s="73"/>
      <c r="BQ40" s="73"/>
      <c r="BR40" s="73"/>
      <c r="BS40" s="73"/>
    </row>
    <row r="41" spans="1:71" ht="19.5" customHeight="1" x14ac:dyDescent="0.15">
      <c r="A41" s="56" t="s">
        <v>985</v>
      </c>
      <c r="B41" s="57" t="s">
        <v>986</v>
      </c>
      <c r="C41" s="58" t="s">
        <v>985</v>
      </c>
      <c r="D41" s="59" t="s">
        <v>985</v>
      </c>
      <c r="E41" s="61"/>
      <c r="F41" s="60" t="s">
        <v>95</v>
      </c>
      <c r="G41" s="61"/>
      <c r="H41" s="62"/>
      <c r="I41" s="75"/>
      <c r="J41" s="60" t="s">
        <v>95</v>
      </c>
      <c r="K41" s="64"/>
      <c r="L41" s="64"/>
      <c r="M41" s="64" t="s">
        <v>96</v>
      </c>
      <c r="N41" s="64" t="s">
        <v>97</v>
      </c>
      <c r="O41" s="65" t="s">
        <v>986</v>
      </c>
      <c r="P41" s="70" t="s">
        <v>96</v>
      </c>
      <c r="Q41" s="60" t="s">
        <v>95</v>
      </c>
      <c r="R41" s="60" t="s">
        <v>96</v>
      </c>
      <c r="S41" s="66" t="s">
        <v>96</v>
      </c>
      <c r="T41" s="67" t="s">
        <v>96</v>
      </c>
      <c r="U41" s="60" t="s">
        <v>96</v>
      </c>
      <c r="V41" s="60" t="s">
        <v>96</v>
      </c>
      <c r="W41" s="60" t="str" cm="1">
        <f t="array" ref="W41">_xlfn.LET(_xlpm.resultados,_xlfn.UNIQUE(_xlfn._xlws.FILTER(Tabla1[Proceso],(Tabla1[Metal Base]=Q41)*(Tabla1[Etiquetas]=_xlfn.TEXTJOIN(" + ",TRUE,IF((TRIM(Upload!R41:V41)="")+(LOWER(TRIM(Upload!R41:V41))="(seleccione)"),"",PROPER(TRIM(Upload!R41:V41)))))*(Tabla1[Línea2]=IFERROR(VLOOKUP(Upload!P41&amp;"*",CAT_Procesos!D:D,1,FALSE),"")))),_xlpm.cantidad,ROWS(_xlpm.resultados),IF(ISERROR(_xlpm.cantidad),"Combinación no existente",IF(_xlpm.cantidad=1,INDEX(_xlpm.resultados,1),"(seleccione)")))</f>
        <v>Combinación no existente</v>
      </c>
      <c r="X41" s="67" t="s">
        <v>96</v>
      </c>
      <c r="Y41" s="64"/>
      <c r="Z41" s="64"/>
      <c r="AA41" s="64"/>
      <c r="AB41" s="133" t="s">
        <v>96</v>
      </c>
      <c r="AC41" s="64"/>
      <c r="AD41" s="64"/>
      <c r="AE41" s="64"/>
      <c r="AF41" s="60" t="s">
        <v>96</v>
      </c>
      <c r="AG41" s="64"/>
      <c r="AH41" s="64"/>
      <c r="AI41" s="64"/>
      <c r="AJ41" s="68" t="s">
        <v>96</v>
      </c>
      <c r="AK41" s="69" t="str">
        <f t="shared" si="0"/>
        <v/>
      </c>
      <c r="AL41" s="70" t="s">
        <v>96</v>
      </c>
      <c r="AM41" s="69" t="str">
        <f t="shared" si="1"/>
        <v/>
      </c>
      <c r="AN41" s="71"/>
      <c r="AO41" s="71"/>
      <c r="AP41" s="71"/>
      <c r="AQ41" s="71"/>
      <c r="AR41" s="71" t="s">
        <v>96</v>
      </c>
      <c r="AS41" s="71"/>
      <c r="AT41" s="71" t="s">
        <v>96</v>
      </c>
      <c r="AU41" s="71"/>
      <c r="AV41" s="71" t="s">
        <v>95</v>
      </c>
      <c r="AW41" s="71"/>
      <c r="AX41" s="71"/>
      <c r="AY41" s="71"/>
      <c r="AZ41" s="71"/>
      <c r="BA41" s="71"/>
      <c r="BB41" s="70" t="s">
        <v>218</v>
      </c>
      <c r="BC41" s="70" t="s">
        <v>98</v>
      </c>
      <c r="BD41" s="72" t="str">
        <f>IF('Cálculo MP'!K51="","",'Cálculo MP'!K51)</f>
        <v/>
      </c>
      <c r="BE41" s="72" t="str">
        <f>IF('Cálculo MP'!L51="","",'Cálculo MP'!L51)</f>
        <v/>
      </c>
      <c r="BF41" s="72" t="str">
        <f>IF('Cálculo MP'!M51="","",'Cálculo MP'!M51)</f>
        <v/>
      </c>
      <c r="BG41" s="72" t="str">
        <f>IF('Cálculo MP'!N51="","",'Cálculo MP'!N51)</f>
        <v/>
      </c>
      <c r="BH41" s="72" t="str">
        <f>IF('Cálculo MP'!O51="","",'Cálculo MP'!O51)</f>
        <v/>
      </c>
      <c r="BI41" s="72" t="str">
        <f>IF('Cálculo MP'!P51="","",'Cálculo MP'!P51)</f>
        <v/>
      </c>
      <c r="BJ41" s="72" t="str">
        <f>IF('Cálculo MP'!Q51="","",'Cálculo MP'!Q51)</f>
        <v/>
      </c>
      <c r="BK41" s="72" t="str">
        <f>IF('Cálculo MP'!R51="","",'Cálculo MP'!R51)</f>
        <v/>
      </c>
      <c r="BL41" s="72" t="str">
        <f>IF('Cálculo MP'!S51="","",'Cálculo MP'!S51)</f>
        <v/>
      </c>
      <c r="BM41" s="73"/>
      <c r="BN41" s="73"/>
      <c r="BO41" s="73"/>
      <c r="BP41" s="73"/>
      <c r="BQ41" s="73"/>
      <c r="BR41" s="73"/>
      <c r="BS41" s="73"/>
    </row>
    <row r="42" spans="1:71" ht="19.5" customHeight="1" x14ac:dyDescent="0.15">
      <c r="A42" s="56" t="s">
        <v>985</v>
      </c>
      <c r="B42" s="57" t="s">
        <v>986</v>
      </c>
      <c r="C42" s="58" t="s">
        <v>985</v>
      </c>
      <c r="D42" s="59" t="s">
        <v>985</v>
      </c>
      <c r="E42" s="61"/>
      <c r="F42" s="60" t="s">
        <v>95</v>
      </c>
      <c r="G42" s="61"/>
      <c r="H42" s="62"/>
      <c r="I42" s="75"/>
      <c r="J42" s="60" t="s">
        <v>95</v>
      </c>
      <c r="K42" s="64"/>
      <c r="L42" s="64"/>
      <c r="M42" s="64" t="s">
        <v>96</v>
      </c>
      <c r="N42" s="64" t="s">
        <v>97</v>
      </c>
      <c r="O42" s="65" t="s">
        <v>986</v>
      </c>
      <c r="P42" s="70" t="s">
        <v>96</v>
      </c>
      <c r="Q42" s="60" t="s">
        <v>95</v>
      </c>
      <c r="R42" s="60" t="s">
        <v>96</v>
      </c>
      <c r="S42" s="66" t="s">
        <v>96</v>
      </c>
      <c r="T42" s="67" t="s">
        <v>96</v>
      </c>
      <c r="U42" s="60" t="s">
        <v>96</v>
      </c>
      <c r="V42" s="60" t="s">
        <v>96</v>
      </c>
      <c r="W42" s="60" t="str" cm="1">
        <f t="array" ref="W42">_xlfn.LET(_xlpm.resultados,_xlfn.UNIQUE(_xlfn._xlws.FILTER(Tabla1[Proceso],(Tabla1[Metal Base]=Q42)*(Tabla1[Etiquetas]=_xlfn.TEXTJOIN(" + ",TRUE,IF((TRIM(Upload!R42:V42)="")+(LOWER(TRIM(Upload!R42:V42))="(seleccione)"),"",PROPER(TRIM(Upload!R42:V42)))))*(Tabla1[Línea2]=IFERROR(VLOOKUP(Upload!P42&amp;"*",CAT_Procesos!D:D,1,FALSE),"")))),_xlpm.cantidad,ROWS(_xlpm.resultados),IF(ISERROR(_xlpm.cantidad),"Combinación no existente",IF(_xlpm.cantidad=1,INDEX(_xlpm.resultados,1),"(seleccione)")))</f>
        <v>Combinación no existente</v>
      </c>
      <c r="X42" s="67" t="s">
        <v>96</v>
      </c>
      <c r="Y42" s="64"/>
      <c r="Z42" s="64"/>
      <c r="AA42" s="64"/>
      <c r="AB42" s="133" t="s">
        <v>96</v>
      </c>
      <c r="AC42" s="64"/>
      <c r="AD42" s="64"/>
      <c r="AE42" s="64"/>
      <c r="AF42" s="60" t="s">
        <v>96</v>
      </c>
      <c r="AG42" s="64"/>
      <c r="AH42" s="64"/>
      <c r="AI42" s="64"/>
      <c r="AJ42" s="68" t="s">
        <v>96</v>
      </c>
      <c r="AK42" s="69" t="str">
        <f t="shared" si="0"/>
        <v/>
      </c>
      <c r="AL42" s="70" t="s">
        <v>96</v>
      </c>
      <c r="AM42" s="69" t="str">
        <f t="shared" si="1"/>
        <v/>
      </c>
      <c r="AN42" s="71"/>
      <c r="AO42" s="71"/>
      <c r="AP42" s="71"/>
      <c r="AQ42" s="71"/>
      <c r="AR42" s="71" t="s">
        <v>96</v>
      </c>
      <c r="AS42" s="71"/>
      <c r="AT42" s="71" t="s">
        <v>96</v>
      </c>
      <c r="AU42" s="71"/>
      <c r="AV42" s="71" t="s">
        <v>95</v>
      </c>
      <c r="AW42" s="71"/>
      <c r="AX42" s="71"/>
      <c r="AY42" s="71"/>
      <c r="AZ42" s="71"/>
      <c r="BA42" s="71"/>
      <c r="BB42" s="70" t="s">
        <v>218</v>
      </c>
      <c r="BC42" s="70" t="s">
        <v>98</v>
      </c>
      <c r="BD42" s="72" t="str">
        <f>IF('Cálculo MP'!K52="","",'Cálculo MP'!K52)</f>
        <v/>
      </c>
      <c r="BE42" s="72" t="str">
        <f>IF('Cálculo MP'!L52="","",'Cálculo MP'!L52)</f>
        <v/>
      </c>
      <c r="BF42" s="72" t="str">
        <f>IF('Cálculo MP'!M52="","",'Cálculo MP'!M52)</f>
        <v/>
      </c>
      <c r="BG42" s="72" t="str">
        <f>IF('Cálculo MP'!N52="","",'Cálculo MP'!N52)</f>
        <v/>
      </c>
      <c r="BH42" s="72" t="str">
        <f>IF('Cálculo MP'!O52="","",'Cálculo MP'!O52)</f>
        <v/>
      </c>
      <c r="BI42" s="72" t="str">
        <f>IF('Cálculo MP'!P52="","",'Cálculo MP'!P52)</f>
        <v/>
      </c>
      <c r="BJ42" s="72" t="str">
        <f>IF('Cálculo MP'!Q52="","",'Cálculo MP'!Q52)</f>
        <v/>
      </c>
      <c r="BK42" s="72" t="str">
        <f>IF('Cálculo MP'!R52="","",'Cálculo MP'!R52)</f>
        <v/>
      </c>
      <c r="BL42" s="72" t="str">
        <f>IF('Cálculo MP'!S52="","",'Cálculo MP'!S52)</f>
        <v/>
      </c>
      <c r="BM42" s="73"/>
      <c r="BN42" s="73"/>
      <c r="BO42" s="73"/>
      <c r="BP42" s="73"/>
      <c r="BQ42" s="73"/>
      <c r="BR42" s="73"/>
      <c r="BS42" s="73"/>
    </row>
    <row r="43" spans="1:71" ht="19.5" customHeight="1" x14ac:dyDescent="0.15">
      <c r="A43" s="56" t="s">
        <v>985</v>
      </c>
      <c r="B43" s="57" t="s">
        <v>986</v>
      </c>
      <c r="C43" s="58" t="s">
        <v>985</v>
      </c>
      <c r="D43" s="59" t="s">
        <v>985</v>
      </c>
      <c r="E43" s="61"/>
      <c r="F43" s="60" t="s">
        <v>95</v>
      </c>
      <c r="G43" s="61"/>
      <c r="H43" s="62"/>
      <c r="I43" s="75"/>
      <c r="J43" s="60" t="s">
        <v>95</v>
      </c>
      <c r="K43" s="64"/>
      <c r="L43" s="64"/>
      <c r="M43" s="64" t="s">
        <v>96</v>
      </c>
      <c r="N43" s="64" t="s">
        <v>97</v>
      </c>
      <c r="O43" s="65" t="s">
        <v>986</v>
      </c>
      <c r="P43" s="70" t="s">
        <v>96</v>
      </c>
      <c r="Q43" s="60" t="s">
        <v>95</v>
      </c>
      <c r="R43" s="60" t="s">
        <v>96</v>
      </c>
      <c r="S43" s="66" t="s">
        <v>96</v>
      </c>
      <c r="T43" s="67" t="s">
        <v>96</v>
      </c>
      <c r="U43" s="60" t="s">
        <v>96</v>
      </c>
      <c r="V43" s="60" t="s">
        <v>96</v>
      </c>
      <c r="W43" s="60" t="str" cm="1">
        <f t="array" ref="W43">_xlfn.LET(_xlpm.resultados,_xlfn.UNIQUE(_xlfn._xlws.FILTER(Tabla1[Proceso],(Tabla1[Metal Base]=Q43)*(Tabla1[Etiquetas]=_xlfn.TEXTJOIN(" + ",TRUE,IF((TRIM(Upload!R43:V43)="")+(LOWER(TRIM(Upload!R43:V43))="(seleccione)"),"",PROPER(TRIM(Upload!R43:V43)))))*(Tabla1[Línea2]=IFERROR(VLOOKUP(Upload!P43&amp;"*",CAT_Procesos!D:D,1,FALSE),"")))),_xlpm.cantidad,ROWS(_xlpm.resultados),IF(ISERROR(_xlpm.cantidad),"Combinación no existente",IF(_xlpm.cantidad=1,INDEX(_xlpm.resultados,1),"(seleccione)")))</f>
        <v>Combinación no existente</v>
      </c>
      <c r="X43" s="67" t="s">
        <v>96</v>
      </c>
      <c r="Y43" s="64"/>
      <c r="Z43" s="64"/>
      <c r="AA43" s="64"/>
      <c r="AB43" s="133" t="s">
        <v>96</v>
      </c>
      <c r="AC43" s="64"/>
      <c r="AD43" s="64"/>
      <c r="AE43" s="64"/>
      <c r="AF43" s="60" t="s">
        <v>96</v>
      </c>
      <c r="AG43" s="64"/>
      <c r="AH43" s="64"/>
      <c r="AI43" s="64"/>
      <c r="AJ43" s="68" t="s">
        <v>96</v>
      </c>
      <c r="AK43" s="69" t="str">
        <f t="shared" si="0"/>
        <v/>
      </c>
      <c r="AL43" s="70" t="s">
        <v>96</v>
      </c>
      <c r="AM43" s="69" t="str">
        <f t="shared" si="1"/>
        <v/>
      </c>
      <c r="AN43" s="71"/>
      <c r="AO43" s="71"/>
      <c r="AP43" s="71"/>
      <c r="AQ43" s="71"/>
      <c r="AR43" s="71" t="s">
        <v>96</v>
      </c>
      <c r="AS43" s="71"/>
      <c r="AT43" s="71" t="s">
        <v>96</v>
      </c>
      <c r="AU43" s="71"/>
      <c r="AV43" s="71" t="s">
        <v>95</v>
      </c>
      <c r="AW43" s="71"/>
      <c r="AX43" s="71"/>
      <c r="AY43" s="71"/>
      <c r="AZ43" s="71"/>
      <c r="BA43" s="71"/>
      <c r="BB43" s="70" t="s">
        <v>218</v>
      </c>
      <c r="BC43" s="70" t="s">
        <v>98</v>
      </c>
      <c r="BD43" s="72" t="str">
        <f>IF('Cálculo MP'!K53="","",'Cálculo MP'!K53)</f>
        <v/>
      </c>
      <c r="BE43" s="72" t="str">
        <f>IF('Cálculo MP'!L53="","",'Cálculo MP'!L53)</f>
        <v/>
      </c>
      <c r="BF43" s="72" t="str">
        <f>IF('Cálculo MP'!M53="","",'Cálculo MP'!M53)</f>
        <v/>
      </c>
      <c r="BG43" s="72" t="str">
        <f>IF('Cálculo MP'!N53="","",'Cálculo MP'!N53)</f>
        <v/>
      </c>
      <c r="BH43" s="72" t="str">
        <f>IF('Cálculo MP'!O53="","",'Cálculo MP'!O53)</f>
        <v/>
      </c>
      <c r="BI43" s="72" t="str">
        <f>IF('Cálculo MP'!P53="","",'Cálculo MP'!P53)</f>
        <v/>
      </c>
      <c r="BJ43" s="72" t="str">
        <f>IF('Cálculo MP'!Q53="","",'Cálculo MP'!Q53)</f>
        <v/>
      </c>
      <c r="BK43" s="72" t="str">
        <f>IF('Cálculo MP'!R53="","",'Cálculo MP'!R53)</f>
        <v/>
      </c>
      <c r="BL43" s="72" t="str">
        <f>IF('Cálculo MP'!S53="","",'Cálculo MP'!S53)</f>
        <v/>
      </c>
      <c r="BM43" s="73"/>
      <c r="BN43" s="73"/>
      <c r="BO43" s="73"/>
      <c r="BP43" s="73"/>
      <c r="BQ43" s="73"/>
      <c r="BR43" s="73"/>
      <c r="BS43" s="73"/>
    </row>
    <row r="44" spans="1:71" ht="19.5" customHeight="1" x14ac:dyDescent="0.15">
      <c r="A44" s="56" t="s">
        <v>985</v>
      </c>
      <c r="B44" s="57" t="s">
        <v>986</v>
      </c>
      <c r="C44" s="58" t="s">
        <v>985</v>
      </c>
      <c r="D44" s="59" t="s">
        <v>985</v>
      </c>
      <c r="E44" s="61"/>
      <c r="F44" s="60" t="s">
        <v>95</v>
      </c>
      <c r="G44" s="61"/>
      <c r="H44" s="62"/>
      <c r="I44" s="75"/>
      <c r="J44" s="60" t="s">
        <v>95</v>
      </c>
      <c r="K44" s="64"/>
      <c r="L44" s="64"/>
      <c r="M44" s="64" t="s">
        <v>96</v>
      </c>
      <c r="N44" s="64" t="s">
        <v>97</v>
      </c>
      <c r="O44" s="65" t="s">
        <v>986</v>
      </c>
      <c r="P44" s="70" t="s">
        <v>96</v>
      </c>
      <c r="Q44" s="60" t="s">
        <v>95</v>
      </c>
      <c r="R44" s="60" t="s">
        <v>96</v>
      </c>
      <c r="S44" s="66" t="s">
        <v>96</v>
      </c>
      <c r="T44" s="67" t="s">
        <v>96</v>
      </c>
      <c r="U44" s="60" t="s">
        <v>96</v>
      </c>
      <c r="V44" s="60" t="s">
        <v>96</v>
      </c>
      <c r="W44" s="60" t="str" cm="1">
        <f t="array" ref="W44">_xlfn.LET(_xlpm.resultados,_xlfn.UNIQUE(_xlfn._xlws.FILTER(Tabla1[Proceso],(Tabla1[Metal Base]=Q44)*(Tabla1[Etiquetas]=_xlfn.TEXTJOIN(" + ",TRUE,IF((TRIM(Upload!R44:V44)="")+(LOWER(TRIM(Upload!R44:V44))="(seleccione)"),"",PROPER(TRIM(Upload!R44:V44)))))*(Tabla1[Línea2]=IFERROR(VLOOKUP(Upload!P44&amp;"*",CAT_Procesos!D:D,1,FALSE),"")))),_xlpm.cantidad,ROWS(_xlpm.resultados),IF(ISERROR(_xlpm.cantidad),"Combinación no existente",IF(_xlpm.cantidad=1,INDEX(_xlpm.resultados,1),"(seleccione)")))</f>
        <v>Combinación no existente</v>
      </c>
      <c r="X44" s="67" t="s">
        <v>96</v>
      </c>
      <c r="Y44" s="64"/>
      <c r="Z44" s="64"/>
      <c r="AA44" s="64"/>
      <c r="AB44" s="133" t="s">
        <v>96</v>
      </c>
      <c r="AC44" s="64"/>
      <c r="AD44" s="64"/>
      <c r="AE44" s="64"/>
      <c r="AF44" s="60" t="s">
        <v>96</v>
      </c>
      <c r="AG44" s="64"/>
      <c r="AH44" s="64"/>
      <c r="AI44" s="64"/>
      <c r="AJ44" s="68" t="s">
        <v>96</v>
      </c>
      <c r="AK44" s="69" t="str">
        <f t="shared" si="0"/>
        <v/>
      </c>
      <c r="AL44" s="70" t="s">
        <v>96</v>
      </c>
      <c r="AM44" s="69" t="str">
        <f t="shared" si="1"/>
        <v/>
      </c>
      <c r="AN44" s="71"/>
      <c r="AO44" s="71"/>
      <c r="AP44" s="71"/>
      <c r="AQ44" s="71"/>
      <c r="AR44" s="71" t="s">
        <v>96</v>
      </c>
      <c r="AS44" s="71"/>
      <c r="AT44" s="71" t="s">
        <v>96</v>
      </c>
      <c r="AU44" s="71"/>
      <c r="AV44" s="71" t="s">
        <v>95</v>
      </c>
      <c r="AW44" s="71"/>
      <c r="AX44" s="71"/>
      <c r="AY44" s="71"/>
      <c r="AZ44" s="71"/>
      <c r="BA44" s="71"/>
      <c r="BB44" s="70" t="s">
        <v>218</v>
      </c>
      <c r="BC44" s="70" t="s">
        <v>98</v>
      </c>
      <c r="BD44" s="72" t="str">
        <f>IF('Cálculo MP'!K54="","",'Cálculo MP'!K54)</f>
        <v/>
      </c>
      <c r="BE44" s="72" t="str">
        <f>IF('Cálculo MP'!L54="","",'Cálculo MP'!L54)</f>
        <v/>
      </c>
      <c r="BF44" s="72" t="str">
        <f>IF('Cálculo MP'!M54="","",'Cálculo MP'!M54)</f>
        <v/>
      </c>
      <c r="BG44" s="72" t="str">
        <f>IF('Cálculo MP'!N54="","",'Cálculo MP'!N54)</f>
        <v/>
      </c>
      <c r="BH44" s="72" t="str">
        <f>IF('Cálculo MP'!O54="","",'Cálculo MP'!O54)</f>
        <v/>
      </c>
      <c r="BI44" s="72" t="str">
        <f>IF('Cálculo MP'!P54="","",'Cálculo MP'!P54)</f>
        <v/>
      </c>
      <c r="BJ44" s="72" t="str">
        <f>IF('Cálculo MP'!Q54="","",'Cálculo MP'!Q54)</f>
        <v/>
      </c>
      <c r="BK44" s="72" t="str">
        <f>IF('Cálculo MP'!R54="","",'Cálculo MP'!R54)</f>
        <v/>
      </c>
      <c r="BL44" s="72" t="str">
        <f>IF('Cálculo MP'!S54="","",'Cálculo MP'!S54)</f>
        <v/>
      </c>
      <c r="BM44" s="73"/>
      <c r="BN44" s="73"/>
      <c r="BO44" s="73"/>
      <c r="BP44" s="73"/>
      <c r="BQ44" s="73"/>
      <c r="BR44" s="73"/>
      <c r="BS44" s="73"/>
    </row>
    <row r="45" spans="1:71" ht="19.5" customHeight="1" x14ac:dyDescent="0.15">
      <c r="A45" s="56" t="s">
        <v>985</v>
      </c>
      <c r="B45" s="57" t="s">
        <v>986</v>
      </c>
      <c r="C45" s="58" t="s">
        <v>985</v>
      </c>
      <c r="D45" s="59" t="s">
        <v>985</v>
      </c>
      <c r="E45" s="61"/>
      <c r="F45" s="60" t="s">
        <v>95</v>
      </c>
      <c r="G45" s="61"/>
      <c r="H45" s="62"/>
      <c r="I45" s="75"/>
      <c r="J45" s="60" t="s">
        <v>95</v>
      </c>
      <c r="K45" s="64"/>
      <c r="L45" s="64"/>
      <c r="M45" s="64" t="s">
        <v>96</v>
      </c>
      <c r="N45" s="64" t="s">
        <v>97</v>
      </c>
      <c r="O45" s="65" t="s">
        <v>986</v>
      </c>
      <c r="P45" s="70" t="s">
        <v>96</v>
      </c>
      <c r="Q45" s="60" t="s">
        <v>95</v>
      </c>
      <c r="R45" s="60" t="s">
        <v>96</v>
      </c>
      <c r="S45" s="66" t="s">
        <v>96</v>
      </c>
      <c r="T45" s="67" t="s">
        <v>96</v>
      </c>
      <c r="U45" s="60" t="s">
        <v>96</v>
      </c>
      <c r="V45" s="60" t="s">
        <v>96</v>
      </c>
      <c r="W45" s="60" t="str" cm="1">
        <f t="array" ref="W45">_xlfn.LET(_xlpm.resultados,_xlfn.UNIQUE(_xlfn._xlws.FILTER(Tabla1[Proceso],(Tabla1[Metal Base]=Q45)*(Tabla1[Etiquetas]=_xlfn.TEXTJOIN(" + ",TRUE,IF((TRIM(Upload!R45:V45)="")+(LOWER(TRIM(Upload!R45:V45))="(seleccione)"),"",PROPER(TRIM(Upload!R45:V45)))))*(Tabla1[Línea2]=IFERROR(VLOOKUP(Upload!P45&amp;"*",CAT_Procesos!D:D,1,FALSE),"")))),_xlpm.cantidad,ROWS(_xlpm.resultados),IF(ISERROR(_xlpm.cantidad),"Combinación no existente",IF(_xlpm.cantidad=1,INDEX(_xlpm.resultados,1),"(seleccione)")))</f>
        <v>Combinación no existente</v>
      </c>
      <c r="X45" s="67" t="s">
        <v>96</v>
      </c>
      <c r="Y45" s="64"/>
      <c r="Z45" s="64"/>
      <c r="AA45" s="64"/>
      <c r="AB45" s="133" t="s">
        <v>96</v>
      </c>
      <c r="AC45" s="64"/>
      <c r="AD45" s="64"/>
      <c r="AE45" s="64"/>
      <c r="AF45" s="60" t="s">
        <v>96</v>
      </c>
      <c r="AG45" s="64"/>
      <c r="AH45" s="64"/>
      <c r="AI45" s="64"/>
      <c r="AJ45" s="68" t="s">
        <v>96</v>
      </c>
      <c r="AK45" s="69" t="str">
        <f t="shared" si="0"/>
        <v/>
      </c>
      <c r="AL45" s="70" t="s">
        <v>96</v>
      </c>
      <c r="AM45" s="69" t="str">
        <f t="shared" si="1"/>
        <v/>
      </c>
      <c r="AN45" s="71"/>
      <c r="AO45" s="71"/>
      <c r="AP45" s="71"/>
      <c r="AQ45" s="71"/>
      <c r="AR45" s="71" t="s">
        <v>96</v>
      </c>
      <c r="AS45" s="71"/>
      <c r="AT45" s="71" t="s">
        <v>96</v>
      </c>
      <c r="AU45" s="71"/>
      <c r="AV45" s="71" t="s">
        <v>95</v>
      </c>
      <c r="AW45" s="71"/>
      <c r="AX45" s="71"/>
      <c r="AY45" s="71"/>
      <c r="AZ45" s="71"/>
      <c r="BA45" s="71"/>
      <c r="BB45" s="70" t="s">
        <v>218</v>
      </c>
      <c r="BC45" s="70" t="s">
        <v>98</v>
      </c>
      <c r="BD45" s="72" t="str">
        <f>IF('Cálculo MP'!K55="","",'Cálculo MP'!K55)</f>
        <v/>
      </c>
      <c r="BE45" s="72" t="str">
        <f>IF('Cálculo MP'!L55="","",'Cálculo MP'!L55)</f>
        <v/>
      </c>
      <c r="BF45" s="72" t="str">
        <f>IF('Cálculo MP'!M55="","",'Cálculo MP'!M55)</f>
        <v/>
      </c>
      <c r="BG45" s="72" t="str">
        <f>IF('Cálculo MP'!N55="","",'Cálculo MP'!N55)</f>
        <v/>
      </c>
      <c r="BH45" s="72" t="str">
        <f>IF('Cálculo MP'!O55="","",'Cálculo MP'!O55)</f>
        <v/>
      </c>
      <c r="BI45" s="72" t="str">
        <f>IF('Cálculo MP'!P55="","",'Cálculo MP'!P55)</f>
        <v/>
      </c>
      <c r="BJ45" s="72" t="str">
        <f>IF('Cálculo MP'!Q55="","",'Cálculo MP'!Q55)</f>
        <v/>
      </c>
      <c r="BK45" s="72" t="str">
        <f>IF('Cálculo MP'!R55="","",'Cálculo MP'!R55)</f>
        <v/>
      </c>
      <c r="BL45" s="72" t="str">
        <f>IF('Cálculo MP'!S55="","",'Cálculo MP'!S55)</f>
        <v/>
      </c>
      <c r="BM45" s="73"/>
      <c r="BN45" s="73"/>
      <c r="BO45" s="73"/>
      <c r="BP45" s="73"/>
      <c r="BQ45" s="73"/>
      <c r="BR45" s="73"/>
      <c r="BS45" s="73"/>
    </row>
    <row r="46" spans="1:71" ht="19.5" customHeight="1" x14ac:dyDescent="0.15">
      <c r="A46" s="56" t="s">
        <v>985</v>
      </c>
      <c r="B46" s="57" t="s">
        <v>986</v>
      </c>
      <c r="C46" s="58" t="s">
        <v>985</v>
      </c>
      <c r="D46" s="59" t="s">
        <v>985</v>
      </c>
      <c r="E46" s="61"/>
      <c r="F46" s="60" t="s">
        <v>95</v>
      </c>
      <c r="G46" s="61"/>
      <c r="H46" s="62"/>
      <c r="I46" s="75"/>
      <c r="J46" s="60" t="s">
        <v>95</v>
      </c>
      <c r="K46" s="64"/>
      <c r="L46" s="64"/>
      <c r="M46" s="64" t="s">
        <v>96</v>
      </c>
      <c r="N46" s="64" t="s">
        <v>97</v>
      </c>
      <c r="O46" s="65" t="s">
        <v>986</v>
      </c>
      <c r="P46" s="70" t="s">
        <v>96</v>
      </c>
      <c r="Q46" s="60" t="s">
        <v>95</v>
      </c>
      <c r="R46" s="60" t="s">
        <v>96</v>
      </c>
      <c r="S46" s="66" t="s">
        <v>96</v>
      </c>
      <c r="T46" s="67" t="s">
        <v>96</v>
      </c>
      <c r="U46" s="60" t="s">
        <v>96</v>
      </c>
      <c r="V46" s="60" t="s">
        <v>96</v>
      </c>
      <c r="W46" s="60" t="str" cm="1">
        <f t="array" ref="W46">_xlfn.LET(_xlpm.resultados,_xlfn.UNIQUE(_xlfn._xlws.FILTER(Tabla1[Proceso],(Tabla1[Metal Base]=Q46)*(Tabla1[Etiquetas]=_xlfn.TEXTJOIN(" + ",TRUE,IF((TRIM(Upload!R46:V46)="")+(LOWER(TRIM(Upload!R46:V46))="(seleccione)"),"",PROPER(TRIM(Upload!R46:V46)))))*(Tabla1[Línea2]=IFERROR(VLOOKUP(Upload!P46&amp;"*",CAT_Procesos!D:D,1,FALSE),"")))),_xlpm.cantidad,ROWS(_xlpm.resultados),IF(ISERROR(_xlpm.cantidad),"Combinación no existente",IF(_xlpm.cantidad=1,INDEX(_xlpm.resultados,1),"(seleccione)")))</f>
        <v>Combinación no existente</v>
      </c>
      <c r="X46" s="67" t="s">
        <v>96</v>
      </c>
      <c r="Y46" s="64"/>
      <c r="Z46" s="64"/>
      <c r="AA46" s="64"/>
      <c r="AB46" s="133" t="s">
        <v>96</v>
      </c>
      <c r="AC46" s="64"/>
      <c r="AD46" s="64"/>
      <c r="AE46" s="64"/>
      <c r="AF46" s="60" t="s">
        <v>96</v>
      </c>
      <c r="AG46" s="64"/>
      <c r="AH46" s="64"/>
      <c r="AI46" s="64"/>
      <c r="AJ46" s="68" t="s">
        <v>96</v>
      </c>
      <c r="AK46" s="69" t="str">
        <f t="shared" si="0"/>
        <v/>
      </c>
      <c r="AL46" s="70" t="s">
        <v>96</v>
      </c>
      <c r="AM46" s="69" t="str">
        <f t="shared" si="1"/>
        <v/>
      </c>
      <c r="AN46" s="71"/>
      <c r="AO46" s="71"/>
      <c r="AP46" s="71"/>
      <c r="AQ46" s="71"/>
      <c r="AR46" s="71" t="s">
        <v>96</v>
      </c>
      <c r="AS46" s="71"/>
      <c r="AT46" s="71" t="s">
        <v>96</v>
      </c>
      <c r="AU46" s="71"/>
      <c r="AV46" s="71" t="s">
        <v>95</v>
      </c>
      <c r="AW46" s="71"/>
      <c r="AX46" s="71"/>
      <c r="AY46" s="71"/>
      <c r="AZ46" s="71"/>
      <c r="BA46" s="71"/>
      <c r="BB46" s="70" t="s">
        <v>218</v>
      </c>
      <c r="BC46" s="70" t="s">
        <v>98</v>
      </c>
      <c r="BD46" s="72" t="str">
        <f>IF('Cálculo MP'!K56="","",'Cálculo MP'!K56)</f>
        <v/>
      </c>
      <c r="BE46" s="72" t="str">
        <f>IF('Cálculo MP'!L56="","",'Cálculo MP'!L56)</f>
        <v/>
      </c>
      <c r="BF46" s="72" t="str">
        <f>IF('Cálculo MP'!M56="","",'Cálculo MP'!M56)</f>
        <v/>
      </c>
      <c r="BG46" s="72" t="str">
        <f>IF('Cálculo MP'!N56="","",'Cálculo MP'!N56)</f>
        <v/>
      </c>
      <c r="BH46" s="72" t="str">
        <f>IF('Cálculo MP'!O56="","",'Cálculo MP'!O56)</f>
        <v/>
      </c>
      <c r="BI46" s="72" t="str">
        <f>IF('Cálculo MP'!P56="","",'Cálculo MP'!P56)</f>
        <v/>
      </c>
      <c r="BJ46" s="72" t="str">
        <f>IF('Cálculo MP'!Q56="","",'Cálculo MP'!Q56)</f>
        <v/>
      </c>
      <c r="BK46" s="72" t="str">
        <f>IF('Cálculo MP'!R56="","",'Cálculo MP'!R56)</f>
        <v/>
      </c>
      <c r="BL46" s="72" t="str">
        <f>IF('Cálculo MP'!S56="","",'Cálculo MP'!S56)</f>
        <v/>
      </c>
      <c r="BM46" s="73"/>
      <c r="BN46" s="73"/>
      <c r="BO46" s="73"/>
      <c r="BP46" s="73"/>
      <c r="BQ46" s="73"/>
      <c r="BR46" s="73"/>
      <c r="BS46" s="73"/>
    </row>
    <row r="47" spans="1:71" ht="19.5" customHeight="1" x14ac:dyDescent="0.15">
      <c r="A47" s="56" t="s">
        <v>985</v>
      </c>
      <c r="B47" s="57" t="s">
        <v>986</v>
      </c>
      <c r="C47" s="58" t="s">
        <v>985</v>
      </c>
      <c r="D47" s="59" t="s">
        <v>985</v>
      </c>
      <c r="E47" s="61"/>
      <c r="F47" s="60" t="s">
        <v>95</v>
      </c>
      <c r="G47" s="61"/>
      <c r="H47" s="62"/>
      <c r="I47" s="75"/>
      <c r="J47" s="60" t="s">
        <v>95</v>
      </c>
      <c r="K47" s="64"/>
      <c r="L47" s="64"/>
      <c r="M47" s="64" t="s">
        <v>96</v>
      </c>
      <c r="N47" s="64" t="s">
        <v>97</v>
      </c>
      <c r="O47" s="65" t="s">
        <v>986</v>
      </c>
      <c r="P47" s="70" t="s">
        <v>96</v>
      </c>
      <c r="Q47" s="60" t="s">
        <v>95</v>
      </c>
      <c r="R47" s="60" t="s">
        <v>96</v>
      </c>
      <c r="S47" s="66" t="s">
        <v>96</v>
      </c>
      <c r="T47" s="67" t="s">
        <v>96</v>
      </c>
      <c r="U47" s="60" t="s">
        <v>96</v>
      </c>
      <c r="V47" s="60" t="s">
        <v>96</v>
      </c>
      <c r="W47" s="60" t="str" cm="1">
        <f t="array" ref="W47">_xlfn.LET(_xlpm.resultados,_xlfn.UNIQUE(_xlfn._xlws.FILTER(Tabla1[Proceso],(Tabla1[Metal Base]=Q47)*(Tabla1[Etiquetas]=_xlfn.TEXTJOIN(" + ",TRUE,IF((TRIM(Upload!R47:V47)="")+(LOWER(TRIM(Upload!R47:V47))="(seleccione)"),"",PROPER(TRIM(Upload!R47:V47)))))*(Tabla1[Línea2]=IFERROR(VLOOKUP(Upload!P47&amp;"*",CAT_Procesos!D:D,1,FALSE),"")))),_xlpm.cantidad,ROWS(_xlpm.resultados),IF(ISERROR(_xlpm.cantidad),"Combinación no existente",IF(_xlpm.cantidad=1,INDEX(_xlpm.resultados,1),"(seleccione)")))</f>
        <v>Combinación no existente</v>
      </c>
      <c r="X47" s="67" t="s">
        <v>96</v>
      </c>
      <c r="Y47" s="64"/>
      <c r="Z47" s="64"/>
      <c r="AA47" s="64"/>
      <c r="AB47" s="133" t="s">
        <v>96</v>
      </c>
      <c r="AC47" s="64"/>
      <c r="AD47" s="64"/>
      <c r="AE47" s="64"/>
      <c r="AF47" s="60" t="s">
        <v>96</v>
      </c>
      <c r="AG47" s="64"/>
      <c r="AH47" s="64"/>
      <c r="AI47" s="64"/>
      <c r="AJ47" s="68" t="s">
        <v>96</v>
      </c>
      <c r="AK47" s="69" t="str">
        <f t="shared" si="0"/>
        <v/>
      </c>
      <c r="AL47" s="70" t="s">
        <v>96</v>
      </c>
      <c r="AM47" s="69" t="str">
        <f t="shared" si="1"/>
        <v/>
      </c>
      <c r="AN47" s="71"/>
      <c r="AO47" s="71"/>
      <c r="AP47" s="71"/>
      <c r="AQ47" s="71"/>
      <c r="AR47" s="71" t="s">
        <v>96</v>
      </c>
      <c r="AS47" s="71"/>
      <c r="AT47" s="71" t="s">
        <v>96</v>
      </c>
      <c r="AU47" s="71"/>
      <c r="AV47" s="71" t="s">
        <v>95</v>
      </c>
      <c r="AW47" s="71"/>
      <c r="AX47" s="71"/>
      <c r="AY47" s="71"/>
      <c r="AZ47" s="71"/>
      <c r="BA47" s="71"/>
      <c r="BB47" s="70" t="s">
        <v>218</v>
      </c>
      <c r="BC47" s="70" t="s">
        <v>98</v>
      </c>
      <c r="BD47" s="72" t="str">
        <f>IF('Cálculo MP'!K57="","",'Cálculo MP'!K57)</f>
        <v/>
      </c>
      <c r="BE47" s="72" t="str">
        <f>IF('Cálculo MP'!L57="","",'Cálculo MP'!L57)</f>
        <v/>
      </c>
      <c r="BF47" s="72" t="str">
        <f>IF('Cálculo MP'!M57="","",'Cálculo MP'!M57)</f>
        <v/>
      </c>
      <c r="BG47" s="72" t="str">
        <f>IF('Cálculo MP'!N57="","",'Cálculo MP'!N57)</f>
        <v/>
      </c>
      <c r="BH47" s="72" t="str">
        <f>IF('Cálculo MP'!O57="","",'Cálculo MP'!O57)</f>
        <v/>
      </c>
      <c r="BI47" s="72" t="str">
        <f>IF('Cálculo MP'!P57="","",'Cálculo MP'!P57)</f>
        <v/>
      </c>
      <c r="BJ47" s="72" t="str">
        <f>IF('Cálculo MP'!Q57="","",'Cálculo MP'!Q57)</f>
        <v/>
      </c>
      <c r="BK47" s="72" t="str">
        <f>IF('Cálculo MP'!R57="","",'Cálculo MP'!R57)</f>
        <v/>
      </c>
      <c r="BL47" s="72" t="str">
        <f>IF('Cálculo MP'!S57="","",'Cálculo MP'!S57)</f>
        <v/>
      </c>
      <c r="BM47" s="73"/>
      <c r="BN47" s="73"/>
      <c r="BO47" s="73"/>
      <c r="BP47" s="73"/>
      <c r="BQ47" s="73"/>
      <c r="BR47" s="73"/>
      <c r="BS47" s="73"/>
    </row>
    <row r="48" spans="1:71" ht="19.5" customHeight="1" x14ac:dyDescent="0.15">
      <c r="A48" s="56" t="s">
        <v>985</v>
      </c>
      <c r="B48" s="57" t="s">
        <v>986</v>
      </c>
      <c r="C48" s="58" t="s">
        <v>985</v>
      </c>
      <c r="D48" s="59" t="s">
        <v>985</v>
      </c>
      <c r="E48" s="61"/>
      <c r="F48" s="60" t="s">
        <v>95</v>
      </c>
      <c r="G48" s="61"/>
      <c r="H48" s="62"/>
      <c r="I48" s="75"/>
      <c r="J48" s="60" t="s">
        <v>95</v>
      </c>
      <c r="K48" s="64"/>
      <c r="L48" s="64"/>
      <c r="M48" s="64" t="s">
        <v>96</v>
      </c>
      <c r="N48" s="64" t="s">
        <v>97</v>
      </c>
      <c r="O48" s="65" t="s">
        <v>986</v>
      </c>
      <c r="P48" s="70" t="s">
        <v>96</v>
      </c>
      <c r="Q48" s="60" t="s">
        <v>95</v>
      </c>
      <c r="R48" s="60" t="s">
        <v>96</v>
      </c>
      <c r="S48" s="66" t="s">
        <v>96</v>
      </c>
      <c r="T48" s="67" t="s">
        <v>96</v>
      </c>
      <c r="U48" s="60" t="s">
        <v>96</v>
      </c>
      <c r="V48" s="60" t="s">
        <v>96</v>
      </c>
      <c r="W48" s="60" t="str" cm="1">
        <f t="array" ref="W48">_xlfn.LET(_xlpm.resultados,_xlfn.UNIQUE(_xlfn._xlws.FILTER(Tabla1[Proceso],(Tabla1[Metal Base]=Q48)*(Tabla1[Etiquetas]=_xlfn.TEXTJOIN(" + ",TRUE,IF((TRIM(Upload!R48:V48)="")+(LOWER(TRIM(Upload!R48:V48))="(seleccione)"),"",PROPER(TRIM(Upload!R48:V48)))))*(Tabla1[Línea2]=IFERROR(VLOOKUP(Upload!P48&amp;"*",CAT_Procesos!D:D,1,FALSE),"")))),_xlpm.cantidad,ROWS(_xlpm.resultados),IF(ISERROR(_xlpm.cantidad),"Combinación no existente",IF(_xlpm.cantidad=1,INDEX(_xlpm.resultados,1),"(seleccione)")))</f>
        <v>Combinación no existente</v>
      </c>
      <c r="X48" s="67" t="s">
        <v>96</v>
      </c>
      <c r="Y48" s="64"/>
      <c r="Z48" s="64"/>
      <c r="AA48" s="64"/>
      <c r="AB48" s="133" t="s">
        <v>96</v>
      </c>
      <c r="AC48" s="64"/>
      <c r="AD48" s="64"/>
      <c r="AE48" s="64"/>
      <c r="AF48" s="60" t="s">
        <v>96</v>
      </c>
      <c r="AG48" s="64"/>
      <c r="AH48" s="64"/>
      <c r="AI48" s="64"/>
      <c r="AJ48" s="68" t="s">
        <v>96</v>
      </c>
      <c r="AK48" s="69" t="str">
        <f t="shared" si="0"/>
        <v/>
      </c>
      <c r="AL48" s="70" t="s">
        <v>96</v>
      </c>
      <c r="AM48" s="69" t="str">
        <f t="shared" si="1"/>
        <v/>
      </c>
      <c r="AN48" s="71"/>
      <c r="AO48" s="71"/>
      <c r="AP48" s="71"/>
      <c r="AQ48" s="71"/>
      <c r="AR48" s="71" t="s">
        <v>96</v>
      </c>
      <c r="AS48" s="71"/>
      <c r="AT48" s="71" t="s">
        <v>96</v>
      </c>
      <c r="AU48" s="71"/>
      <c r="AV48" s="71" t="s">
        <v>95</v>
      </c>
      <c r="AW48" s="71"/>
      <c r="AX48" s="71"/>
      <c r="AY48" s="71"/>
      <c r="AZ48" s="71"/>
      <c r="BA48" s="71"/>
      <c r="BB48" s="70" t="s">
        <v>218</v>
      </c>
      <c r="BC48" s="70" t="s">
        <v>98</v>
      </c>
      <c r="BD48" s="72" t="str">
        <f>IF('Cálculo MP'!K58="","",'Cálculo MP'!K58)</f>
        <v/>
      </c>
      <c r="BE48" s="72" t="str">
        <f>IF('Cálculo MP'!L58="","",'Cálculo MP'!L58)</f>
        <v/>
      </c>
      <c r="BF48" s="72" t="str">
        <f>IF('Cálculo MP'!M58="","",'Cálculo MP'!M58)</f>
        <v/>
      </c>
      <c r="BG48" s="72" t="str">
        <f>IF('Cálculo MP'!N58="","",'Cálculo MP'!N58)</f>
        <v/>
      </c>
      <c r="BH48" s="72" t="str">
        <f>IF('Cálculo MP'!O58="","",'Cálculo MP'!O58)</f>
        <v/>
      </c>
      <c r="BI48" s="72" t="str">
        <f>IF('Cálculo MP'!P58="","",'Cálculo MP'!P58)</f>
        <v/>
      </c>
      <c r="BJ48" s="72" t="str">
        <f>IF('Cálculo MP'!Q58="","",'Cálculo MP'!Q58)</f>
        <v/>
      </c>
      <c r="BK48" s="72" t="str">
        <f>IF('Cálculo MP'!R58="","",'Cálculo MP'!R58)</f>
        <v/>
      </c>
      <c r="BL48" s="72" t="str">
        <f>IF('Cálculo MP'!S58="","",'Cálculo MP'!S58)</f>
        <v/>
      </c>
      <c r="BM48" s="73"/>
      <c r="BN48" s="73"/>
      <c r="BO48" s="73"/>
      <c r="BP48" s="73"/>
      <c r="BQ48" s="73"/>
      <c r="BR48" s="73"/>
      <c r="BS48" s="73"/>
    </row>
    <row r="49" spans="1:71" ht="19.5" customHeight="1" x14ac:dyDescent="0.15">
      <c r="A49" s="56" t="s">
        <v>985</v>
      </c>
      <c r="B49" s="57" t="s">
        <v>986</v>
      </c>
      <c r="C49" s="58" t="s">
        <v>985</v>
      </c>
      <c r="D49" s="59" t="s">
        <v>985</v>
      </c>
      <c r="E49" s="61"/>
      <c r="F49" s="60" t="s">
        <v>95</v>
      </c>
      <c r="G49" s="61"/>
      <c r="H49" s="62"/>
      <c r="I49" s="75"/>
      <c r="J49" s="60" t="s">
        <v>95</v>
      </c>
      <c r="K49" s="64"/>
      <c r="L49" s="64"/>
      <c r="M49" s="64" t="s">
        <v>96</v>
      </c>
      <c r="N49" s="64" t="s">
        <v>97</v>
      </c>
      <c r="O49" s="65" t="s">
        <v>986</v>
      </c>
      <c r="P49" s="70" t="s">
        <v>96</v>
      </c>
      <c r="Q49" s="60" t="s">
        <v>95</v>
      </c>
      <c r="R49" s="60" t="s">
        <v>96</v>
      </c>
      <c r="S49" s="66" t="s">
        <v>96</v>
      </c>
      <c r="T49" s="67" t="s">
        <v>96</v>
      </c>
      <c r="U49" s="60" t="s">
        <v>96</v>
      </c>
      <c r="V49" s="60" t="s">
        <v>96</v>
      </c>
      <c r="W49" s="60" t="str" cm="1">
        <f t="array" ref="W49">_xlfn.LET(_xlpm.resultados,_xlfn.UNIQUE(_xlfn._xlws.FILTER(Tabla1[Proceso],(Tabla1[Metal Base]=Q49)*(Tabla1[Etiquetas]=_xlfn.TEXTJOIN(" + ",TRUE,IF((TRIM(Upload!R49:V49)="")+(LOWER(TRIM(Upload!R49:V49))="(seleccione)"),"",PROPER(TRIM(Upload!R49:V49)))))*(Tabla1[Línea2]=IFERROR(VLOOKUP(Upload!P49&amp;"*",CAT_Procesos!D:D,1,FALSE),"")))),_xlpm.cantidad,ROWS(_xlpm.resultados),IF(ISERROR(_xlpm.cantidad),"Combinación no existente",IF(_xlpm.cantidad=1,INDEX(_xlpm.resultados,1),"(seleccione)")))</f>
        <v>Combinación no existente</v>
      </c>
      <c r="X49" s="67" t="s">
        <v>96</v>
      </c>
      <c r="Y49" s="64"/>
      <c r="Z49" s="64"/>
      <c r="AA49" s="64"/>
      <c r="AB49" s="133" t="s">
        <v>96</v>
      </c>
      <c r="AC49" s="64"/>
      <c r="AD49" s="64"/>
      <c r="AE49" s="64"/>
      <c r="AF49" s="60" t="s">
        <v>96</v>
      </c>
      <c r="AG49" s="64"/>
      <c r="AH49" s="64"/>
      <c r="AI49" s="64"/>
      <c r="AJ49" s="68" t="s">
        <v>96</v>
      </c>
      <c r="AK49" s="69" t="str">
        <f t="shared" si="0"/>
        <v/>
      </c>
      <c r="AL49" s="70" t="s">
        <v>96</v>
      </c>
      <c r="AM49" s="69" t="str">
        <f t="shared" si="1"/>
        <v/>
      </c>
      <c r="AN49" s="71"/>
      <c r="AO49" s="71"/>
      <c r="AP49" s="71"/>
      <c r="AQ49" s="71"/>
      <c r="AR49" s="71" t="s">
        <v>96</v>
      </c>
      <c r="AS49" s="71"/>
      <c r="AT49" s="71" t="s">
        <v>96</v>
      </c>
      <c r="AU49" s="71"/>
      <c r="AV49" s="71" t="s">
        <v>95</v>
      </c>
      <c r="AW49" s="71"/>
      <c r="AX49" s="71"/>
      <c r="AY49" s="71"/>
      <c r="AZ49" s="71"/>
      <c r="BA49" s="71"/>
      <c r="BB49" s="70" t="s">
        <v>218</v>
      </c>
      <c r="BC49" s="70" t="s">
        <v>98</v>
      </c>
      <c r="BD49" s="72" t="str">
        <f>IF('Cálculo MP'!K59="","",'Cálculo MP'!K59)</f>
        <v/>
      </c>
      <c r="BE49" s="72" t="str">
        <f>IF('Cálculo MP'!L59="","",'Cálculo MP'!L59)</f>
        <v/>
      </c>
      <c r="BF49" s="72" t="str">
        <f>IF('Cálculo MP'!M59="","",'Cálculo MP'!M59)</f>
        <v/>
      </c>
      <c r="BG49" s="72" t="str">
        <f>IF('Cálculo MP'!N59="","",'Cálculo MP'!N59)</f>
        <v/>
      </c>
      <c r="BH49" s="72" t="str">
        <f>IF('Cálculo MP'!O59="","",'Cálculo MP'!O59)</f>
        <v/>
      </c>
      <c r="BI49" s="72" t="str">
        <f>IF('Cálculo MP'!P59="","",'Cálculo MP'!P59)</f>
        <v/>
      </c>
      <c r="BJ49" s="72" t="str">
        <f>IF('Cálculo MP'!Q59="","",'Cálculo MP'!Q59)</f>
        <v/>
      </c>
      <c r="BK49" s="72" t="str">
        <f>IF('Cálculo MP'!R59="","",'Cálculo MP'!R59)</f>
        <v/>
      </c>
      <c r="BL49" s="72" t="str">
        <f>IF('Cálculo MP'!S59="","",'Cálculo MP'!S59)</f>
        <v/>
      </c>
      <c r="BM49" s="73"/>
      <c r="BN49" s="73"/>
      <c r="BO49" s="73"/>
      <c r="BP49" s="73"/>
      <c r="BQ49" s="73"/>
      <c r="BR49" s="73"/>
      <c r="BS49" s="73"/>
    </row>
    <row r="50" spans="1:71" ht="19.5" customHeight="1" x14ac:dyDescent="0.15">
      <c r="A50" s="56" t="s">
        <v>985</v>
      </c>
      <c r="B50" s="57" t="s">
        <v>986</v>
      </c>
      <c r="C50" s="58" t="s">
        <v>985</v>
      </c>
      <c r="D50" s="59" t="s">
        <v>985</v>
      </c>
      <c r="E50" s="61"/>
      <c r="F50" s="60" t="s">
        <v>95</v>
      </c>
      <c r="G50" s="61"/>
      <c r="H50" s="62"/>
      <c r="I50" s="75"/>
      <c r="J50" s="60" t="s">
        <v>95</v>
      </c>
      <c r="K50" s="64"/>
      <c r="L50" s="64"/>
      <c r="M50" s="64" t="s">
        <v>96</v>
      </c>
      <c r="N50" s="64" t="s">
        <v>97</v>
      </c>
      <c r="O50" s="65" t="s">
        <v>986</v>
      </c>
      <c r="P50" s="70" t="s">
        <v>96</v>
      </c>
      <c r="Q50" s="60" t="s">
        <v>95</v>
      </c>
      <c r="R50" s="60" t="s">
        <v>96</v>
      </c>
      <c r="S50" s="66" t="s">
        <v>96</v>
      </c>
      <c r="T50" s="67" t="s">
        <v>96</v>
      </c>
      <c r="U50" s="60" t="s">
        <v>96</v>
      </c>
      <c r="V50" s="60" t="s">
        <v>96</v>
      </c>
      <c r="W50" s="60" t="str" cm="1">
        <f t="array" ref="W50">_xlfn.LET(_xlpm.resultados,_xlfn.UNIQUE(_xlfn._xlws.FILTER(Tabla1[Proceso],(Tabla1[Metal Base]=Q50)*(Tabla1[Etiquetas]=_xlfn.TEXTJOIN(" + ",TRUE,IF((TRIM(Upload!R50:V50)="")+(LOWER(TRIM(Upload!R50:V50))="(seleccione)"),"",PROPER(TRIM(Upload!R50:V50)))))*(Tabla1[Línea2]=IFERROR(VLOOKUP(Upload!P50&amp;"*",CAT_Procesos!D:D,1,FALSE),"")))),_xlpm.cantidad,ROWS(_xlpm.resultados),IF(ISERROR(_xlpm.cantidad),"Combinación no existente",IF(_xlpm.cantidad=1,INDEX(_xlpm.resultados,1),"(seleccione)")))</f>
        <v>Combinación no existente</v>
      </c>
      <c r="X50" s="67" t="s">
        <v>96</v>
      </c>
      <c r="Y50" s="64"/>
      <c r="Z50" s="64"/>
      <c r="AA50" s="64"/>
      <c r="AB50" s="133" t="s">
        <v>96</v>
      </c>
      <c r="AC50" s="64"/>
      <c r="AD50" s="64"/>
      <c r="AE50" s="64"/>
      <c r="AF50" s="60" t="s">
        <v>96</v>
      </c>
      <c r="AG50" s="64"/>
      <c r="AH50" s="64"/>
      <c r="AI50" s="64"/>
      <c r="AJ50" s="68" t="s">
        <v>96</v>
      </c>
      <c r="AK50" s="69" t="str">
        <f t="shared" si="0"/>
        <v/>
      </c>
      <c r="AL50" s="70" t="s">
        <v>96</v>
      </c>
      <c r="AM50" s="69" t="str">
        <f t="shared" si="1"/>
        <v/>
      </c>
      <c r="AN50" s="71"/>
      <c r="AO50" s="71"/>
      <c r="AP50" s="71"/>
      <c r="AQ50" s="71"/>
      <c r="AR50" s="71" t="s">
        <v>96</v>
      </c>
      <c r="AS50" s="71"/>
      <c r="AT50" s="71" t="s">
        <v>96</v>
      </c>
      <c r="AU50" s="71"/>
      <c r="AV50" s="71" t="s">
        <v>95</v>
      </c>
      <c r="AW50" s="71"/>
      <c r="AX50" s="71"/>
      <c r="AY50" s="71"/>
      <c r="AZ50" s="71"/>
      <c r="BA50" s="71"/>
      <c r="BB50" s="70" t="s">
        <v>218</v>
      </c>
      <c r="BC50" s="70" t="s">
        <v>98</v>
      </c>
      <c r="BD50" s="72" t="str">
        <f>IF('Cálculo MP'!K60="","",'Cálculo MP'!K60)</f>
        <v/>
      </c>
      <c r="BE50" s="72" t="str">
        <f>IF('Cálculo MP'!L60="","",'Cálculo MP'!L60)</f>
        <v/>
      </c>
      <c r="BF50" s="72" t="str">
        <f>IF('Cálculo MP'!M60="","",'Cálculo MP'!M60)</f>
        <v/>
      </c>
      <c r="BG50" s="72" t="str">
        <f>IF('Cálculo MP'!N60="","",'Cálculo MP'!N60)</f>
        <v/>
      </c>
      <c r="BH50" s="72" t="str">
        <f>IF('Cálculo MP'!O60="","",'Cálculo MP'!O60)</f>
        <v/>
      </c>
      <c r="BI50" s="72" t="str">
        <f>IF('Cálculo MP'!P60="","",'Cálculo MP'!P60)</f>
        <v/>
      </c>
      <c r="BJ50" s="72" t="str">
        <f>IF('Cálculo MP'!Q60="","",'Cálculo MP'!Q60)</f>
        <v/>
      </c>
      <c r="BK50" s="72" t="str">
        <f>IF('Cálculo MP'!R60="","",'Cálculo MP'!R60)</f>
        <v/>
      </c>
      <c r="BL50" s="72" t="str">
        <f>IF('Cálculo MP'!S60="","",'Cálculo MP'!S60)</f>
        <v/>
      </c>
      <c r="BM50" s="73"/>
      <c r="BN50" s="73"/>
      <c r="BO50" s="73"/>
      <c r="BP50" s="73"/>
      <c r="BQ50" s="73"/>
      <c r="BR50" s="73"/>
      <c r="BS50" s="73"/>
    </row>
    <row r="51" spans="1:71" ht="19.5" customHeight="1" x14ac:dyDescent="0.15">
      <c r="A51" s="56" t="s">
        <v>985</v>
      </c>
      <c r="B51" s="57" t="s">
        <v>986</v>
      </c>
      <c r="C51" s="58" t="s">
        <v>985</v>
      </c>
      <c r="D51" s="59" t="s">
        <v>985</v>
      </c>
      <c r="E51" s="61"/>
      <c r="F51" s="60" t="s">
        <v>95</v>
      </c>
      <c r="G51" s="61"/>
      <c r="H51" s="62"/>
      <c r="I51" s="75"/>
      <c r="J51" s="60" t="s">
        <v>95</v>
      </c>
      <c r="K51" s="64"/>
      <c r="L51" s="64"/>
      <c r="M51" s="64" t="s">
        <v>96</v>
      </c>
      <c r="N51" s="64" t="s">
        <v>97</v>
      </c>
      <c r="O51" s="65" t="s">
        <v>986</v>
      </c>
      <c r="P51" s="70" t="s">
        <v>96</v>
      </c>
      <c r="Q51" s="60" t="s">
        <v>95</v>
      </c>
      <c r="R51" s="60" t="s">
        <v>96</v>
      </c>
      <c r="S51" s="66" t="s">
        <v>96</v>
      </c>
      <c r="T51" s="67" t="s">
        <v>96</v>
      </c>
      <c r="U51" s="60" t="s">
        <v>96</v>
      </c>
      <c r="V51" s="60" t="s">
        <v>96</v>
      </c>
      <c r="W51" s="60" t="str" cm="1">
        <f t="array" ref="W51">_xlfn.LET(_xlpm.resultados,_xlfn.UNIQUE(_xlfn._xlws.FILTER(Tabla1[Proceso],(Tabla1[Metal Base]=Q51)*(Tabla1[Etiquetas]=_xlfn.TEXTJOIN(" + ",TRUE,IF((TRIM(Upload!R51:V51)="")+(LOWER(TRIM(Upload!R51:V51))="(seleccione)"),"",PROPER(TRIM(Upload!R51:V51)))))*(Tabla1[Línea2]=IFERROR(VLOOKUP(Upload!P51&amp;"*",CAT_Procesos!D:D,1,FALSE),"")))),_xlpm.cantidad,ROWS(_xlpm.resultados),IF(ISERROR(_xlpm.cantidad),"Combinación no existente",IF(_xlpm.cantidad=1,INDEX(_xlpm.resultados,1),"(seleccione)")))</f>
        <v>Combinación no existente</v>
      </c>
      <c r="X51" s="67" t="s">
        <v>96</v>
      </c>
      <c r="Y51" s="64"/>
      <c r="Z51" s="64"/>
      <c r="AA51" s="64"/>
      <c r="AB51" s="133" t="s">
        <v>96</v>
      </c>
      <c r="AC51" s="64"/>
      <c r="AD51" s="64"/>
      <c r="AE51" s="64"/>
      <c r="AF51" s="60" t="s">
        <v>96</v>
      </c>
      <c r="AG51" s="64"/>
      <c r="AH51" s="64"/>
      <c r="AI51" s="64"/>
      <c r="AJ51" s="68" t="s">
        <v>96</v>
      </c>
      <c r="AK51" s="69" t="str">
        <f t="shared" si="0"/>
        <v/>
      </c>
      <c r="AL51" s="70" t="s">
        <v>96</v>
      </c>
      <c r="AM51" s="69" t="str">
        <f t="shared" si="1"/>
        <v/>
      </c>
      <c r="AN51" s="71"/>
      <c r="AO51" s="71"/>
      <c r="AP51" s="71"/>
      <c r="AQ51" s="71"/>
      <c r="AR51" s="71" t="s">
        <v>96</v>
      </c>
      <c r="AS51" s="71"/>
      <c r="AT51" s="71" t="s">
        <v>96</v>
      </c>
      <c r="AU51" s="71"/>
      <c r="AV51" s="71" t="s">
        <v>95</v>
      </c>
      <c r="AW51" s="71"/>
      <c r="AX51" s="71"/>
      <c r="AY51" s="71"/>
      <c r="AZ51" s="71"/>
      <c r="BA51" s="71"/>
      <c r="BB51" s="70" t="s">
        <v>218</v>
      </c>
      <c r="BC51" s="70" t="s">
        <v>98</v>
      </c>
      <c r="BD51" s="72" t="str">
        <f>IF('Cálculo MP'!K61="","",'Cálculo MP'!K61)</f>
        <v/>
      </c>
      <c r="BE51" s="72" t="str">
        <f>IF('Cálculo MP'!L61="","",'Cálculo MP'!L61)</f>
        <v/>
      </c>
      <c r="BF51" s="72" t="str">
        <f>IF('Cálculo MP'!M61="","",'Cálculo MP'!M61)</f>
        <v/>
      </c>
      <c r="BG51" s="72" t="str">
        <f>IF('Cálculo MP'!N61="","",'Cálculo MP'!N61)</f>
        <v/>
      </c>
      <c r="BH51" s="72" t="str">
        <f>IF('Cálculo MP'!O61="","",'Cálculo MP'!O61)</f>
        <v/>
      </c>
      <c r="BI51" s="72" t="str">
        <f>IF('Cálculo MP'!P61="","",'Cálculo MP'!P61)</f>
        <v/>
      </c>
      <c r="BJ51" s="72" t="str">
        <f>IF('Cálculo MP'!Q61="","",'Cálculo MP'!Q61)</f>
        <v/>
      </c>
      <c r="BK51" s="72" t="str">
        <f>IF('Cálculo MP'!R61="","",'Cálculo MP'!R61)</f>
        <v/>
      </c>
      <c r="BL51" s="72" t="str">
        <f>IF('Cálculo MP'!S61="","",'Cálculo MP'!S61)</f>
        <v/>
      </c>
      <c r="BM51" s="73"/>
      <c r="BN51" s="73"/>
      <c r="BO51" s="73"/>
      <c r="BP51" s="73"/>
      <c r="BQ51" s="73"/>
      <c r="BR51" s="73"/>
      <c r="BS51" s="73"/>
    </row>
    <row r="52" spans="1:71" ht="19.5" customHeight="1" x14ac:dyDescent="0.15">
      <c r="A52" s="56" t="s">
        <v>985</v>
      </c>
      <c r="B52" s="57" t="s">
        <v>986</v>
      </c>
      <c r="C52" s="58" t="s">
        <v>985</v>
      </c>
      <c r="D52" s="59" t="s">
        <v>985</v>
      </c>
      <c r="E52" s="61"/>
      <c r="F52" s="60" t="s">
        <v>95</v>
      </c>
      <c r="G52" s="61"/>
      <c r="H52" s="62"/>
      <c r="I52" s="75"/>
      <c r="J52" s="60" t="s">
        <v>95</v>
      </c>
      <c r="K52" s="64"/>
      <c r="L52" s="64"/>
      <c r="M52" s="64" t="s">
        <v>96</v>
      </c>
      <c r="N52" s="64" t="s">
        <v>97</v>
      </c>
      <c r="O52" s="65" t="s">
        <v>986</v>
      </c>
      <c r="P52" s="70" t="s">
        <v>96</v>
      </c>
      <c r="Q52" s="60" t="s">
        <v>95</v>
      </c>
      <c r="R52" s="60" t="s">
        <v>96</v>
      </c>
      <c r="S52" s="66" t="s">
        <v>96</v>
      </c>
      <c r="T52" s="67" t="s">
        <v>96</v>
      </c>
      <c r="U52" s="60" t="s">
        <v>96</v>
      </c>
      <c r="V52" s="60" t="s">
        <v>96</v>
      </c>
      <c r="W52" s="60" t="str" cm="1">
        <f t="array" ref="W52">_xlfn.LET(_xlpm.resultados,_xlfn.UNIQUE(_xlfn._xlws.FILTER(Tabla1[Proceso],(Tabla1[Metal Base]=Q52)*(Tabla1[Etiquetas]=_xlfn.TEXTJOIN(" + ",TRUE,IF((TRIM(Upload!R52:V52)="")+(LOWER(TRIM(Upload!R52:V52))="(seleccione)"),"",PROPER(TRIM(Upload!R52:V52)))))*(Tabla1[Línea2]=IFERROR(VLOOKUP(Upload!P52&amp;"*",CAT_Procesos!D:D,1,FALSE),"")))),_xlpm.cantidad,ROWS(_xlpm.resultados),IF(ISERROR(_xlpm.cantidad),"Combinación no existente",IF(_xlpm.cantidad=1,INDEX(_xlpm.resultados,1),"(seleccione)")))</f>
        <v>Combinación no existente</v>
      </c>
      <c r="X52" s="67" t="s">
        <v>96</v>
      </c>
      <c r="Y52" s="64"/>
      <c r="Z52" s="64"/>
      <c r="AA52" s="64"/>
      <c r="AB52" s="133" t="s">
        <v>96</v>
      </c>
      <c r="AC52" s="64"/>
      <c r="AD52" s="64"/>
      <c r="AE52" s="64"/>
      <c r="AF52" s="60" t="s">
        <v>96</v>
      </c>
      <c r="AG52" s="64"/>
      <c r="AH52" s="64"/>
      <c r="AI52" s="64"/>
      <c r="AJ52" s="68" t="s">
        <v>96</v>
      </c>
      <c r="AK52" s="69" t="str">
        <f t="shared" si="0"/>
        <v/>
      </c>
      <c r="AL52" s="70" t="s">
        <v>96</v>
      </c>
      <c r="AM52" s="69" t="str">
        <f t="shared" si="1"/>
        <v/>
      </c>
      <c r="AN52" s="71"/>
      <c r="AO52" s="71"/>
      <c r="AP52" s="71"/>
      <c r="AQ52" s="71"/>
      <c r="AR52" s="71" t="s">
        <v>96</v>
      </c>
      <c r="AS52" s="71"/>
      <c r="AT52" s="71" t="s">
        <v>96</v>
      </c>
      <c r="AU52" s="71"/>
      <c r="AV52" s="71" t="s">
        <v>95</v>
      </c>
      <c r="AW52" s="71"/>
      <c r="AX52" s="71"/>
      <c r="AY52" s="71"/>
      <c r="AZ52" s="71"/>
      <c r="BA52" s="71"/>
      <c r="BB52" s="70" t="s">
        <v>218</v>
      </c>
      <c r="BC52" s="70" t="s">
        <v>98</v>
      </c>
      <c r="BD52" s="72" t="str">
        <f>IF('Cálculo MP'!K62="","",'Cálculo MP'!K62)</f>
        <v/>
      </c>
      <c r="BE52" s="72" t="str">
        <f>IF('Cálculo MP'!L62="","",'Cálculo MP'!L62)</f>
        <v/>
      </c>
      <c r="BF52" s="72" t="str">
        <f>IF('Cálculo MP'!M62="","",'Cálculo MP'!M62)</f>
        <v/>
      </c>
      <c r="BG52" s="72" t="str">
        <f>IF('Cálculo MP'!N62="","",'Cálculo MP'!N62)</f>
        <v/>
      </c>
      <c r="BH52" s="72" t="str">
        <f>IF('Cálculo MP'!O62="","",'Cálculo MP'!O62)</f>
        <v/>
      </c>
      <c r="BI52" s="72" t="str">
        <f>IF('Cálculo MP'!P62="","",'Cálculo MP'!P62)</f>
        <v/>
      </c>
      <c r="BJ52" s="72" t="str">
        <f>IF('Cálculo MP'!Q62="","",'Cálculo MP'!Q62)</f>
        <v/>
      </c>
      <c r="BK52" s="72" t="str">
        <f>IF('Cálculo MP'!R62="","",'Cálculo MP'!R62)</f>
        <v/>
      </c>
      <c r="BL52" s="72" t="str">
        <f>IF('Cálculo MP'!S62="","",'Cálculo MP'!S62)</f>
        <v/>
      </c>
      <c r="BM52" s="73"/>
      <c r="BN52" s="73"/>
      <c r="BO52" s="73"/>
      <c r="BP52" s="73"/>
      <c r="BQ52" s="73"/>
      <c r="BR52" s="73"/>
      <c r="BS52" s="73"/>
    </row>
    <row r="53" spans="1:71" ht="19.5" customHeight="1" x14ac:dyDescent="0.15">
      <c r="A53" s="56" t="s">
        <v>985</v>
      </c>
      <c r="B53" s="57" t="s">
        <v>986</v>
      </c>
      <c r="C53" s="58" t="s">
        <v>985</v>
      </c>
      <c r="D53" s="59" t="s">
        <v>985</v>
      </c>
      <c r="E53" s="61"/>
      <c r="F53" s="60" t="s">
        <v>95</v>
      </c>
      <c r="G53" s="61"/>
      <c r="H53" s="62"/>
      <c r="I53" s="75"/>
      <c r="J53" s="60" t="s">
        <v>95</v>
      </c>
      <c r="K53" s="64"/>
      <c r="L53" s="64"/>
      <c r="M53" s="64" t="s">
        <v>96</v>
      </c>
      <c r="N53" s="64" t="s">
        <v>97</v>
      </c>
      <c r="O53" s="65" t="s">
        <v>986</v>
      </c>
      <c r="P53" s="70" t="s">
        <v>96</v>
      </c>
      <c r="Q53" s="60" t="s">
        <v>95</v>
      </c>
      <c r="R53" s="60" t="s">
        <v>96</v>
      </c>
      <c r="S53" s="66" t="s">
        <v>96</v>
      </c>
      <c r="T53" s="67" t="s">
        <v>96</v>
      </c>
      <c r="U53" s="60" t="s">
        <v>96</v>
      </c>
      <c r="V53" s="60" t="s">
        <v>96</v>
      </c>
      <c r="W53" s="60" t="str" cm="1">
        <f t="array" ref="W53">_xlfn.LET(_xlpm.resultados,_xlfn.UNIQUE(_xlfn._xlws.FILTER(Tabla1[Proceso],(Tabla1[Metal Base]=Q53)*(Tabla1[Etiquetas]=_xlfn.TEXTJOIN(" + ",TRUE,IF((TRIM(Upload!R53:V53)="")+(LOWER(TRIM(Upload!R53:V53))="(seleccione)"),"",PROPER(TRIM(Upload!R53:V53)))))*(Tabla1[Línea2]=IFERROR(VLOOKUP(Upload!P53&amp;"*",CAT_Procesos!D:D,1,FALSE),"")))),_xlpm.cantidad,ROWS(_xlpm.resultados),IF(ISERROR(_xlpm.cantidad),"Combinación no existente",IF(_xlpm.cantidad=1,INDEX(_xlpm.resultados,1),"(seleccione)")))</f>
        <v>Combinación no existente</v>
      </c>
      <c r="X53" s="67" t="s">
        <v>96</v>
      </c>
      <c r="Y53" s="64"/>
      <c r="Z53" s="64"/>
      <c r="AA53" s="64"/>
      <c r="AB53" s="133" t="s">
        <v>96</v>
      </c>
      <c r="AC53" s="64"/>
      <c r="AD53" s="64"/>
      <c r="AE53" s="64"/>
      <c r="AF53" s="60" t="s">
        <v>96</v>
      </c>
      <c r="AG53" s="64"/>
      <c r="AH53" s="64"/>
      <c r="AI53" s="64"/>
      <c r="AJ53" s="68" t="s">
        <v>96</v>
      </c>
      <c r="AK53" s="69" t="str">
        <f t="shared" si="0"/>
        <v/>
      </c>
      <c r="AL53" s="70" t="s">
        <v>96</v>
      </c>
      <c r="AM53" s="69" t="str">
        <f t="shared" si="1"/>
        <v/>
      </c>
      <c r="AN53" s="71"/>
      <c r="AO53" s="71"/>
      <c r="AP53" s="71"/>
      <c r="AQ53" s="71"/>
      <c r="AR53" s="71" t="s">
        <v>96</v>
      </c>
      <c r="AS53" s="71"/>
      <c r="AT53" s="71" t="s">
        <v>96</v>
      </c>
      <c r="AU53" s="71"/>
      <c r="AV53" s="71" t="s">
        <v>95</v>
      </c>
      <c r="AW53" s="71"/>
      <c r="AX53" s="71"/>
      <c r="AY53" s="71"/>
      <c r="AZ53" s="71"/>
      <c r="BA53" s="71"/>
      <c r="BB53" s="70" t="s">
        <v>218</v>
      </c>
      <c r="BC53" s="70" t="s">
        <v>98</v>
      </c>
      <c r="BD53" s="72" t="str">
        <f>IF('Cálculo MP'!K63="","",'Cálculo MP'!K63)</f>
        <v/>
      </c>
      <c r="BE53" s="72" t="str">
        <f>IF('Cálculo MP'!L63="","",'Cálculo MP'!L63)</f>
        <v/>
      </c>
      <c r="BF53" s="72" t="str">
        <f>IF('Cálculo MP'!M63="","",'Cálculo MP'!M63)</f>
        <v/>
      </c>
      <c r="BG53" s="72" t="str">
        <f>IF('Cálculo MP'!N63="","",'Cálculo MP'!N63)</f>
        <v/>
      </c>
      <c r="BH53" s="72" t="str">
        <f>IF('Cálculo MP'!O63="","",'Cálculo MP'!O63)</f>
        <v/>
      </c>
      <c r="BI53" s="72" t="str">
        <f>IF('Cálculo MP'!P63="","",'Cálculo MP'!P63)</f>
        <v/>
      </c>
      <c r="BJ53" s="72" t="str">
        <f>IF('Cálculo MP'!Q63="","",'Cálculo MP'!Q63)</f>
        <v/>
      </c>
      <c r="BK53" s="72" t="str">
        <f>IF('Cálculo MP'!R63="","",'Cálculo MP'!R63)</f>
        <v/>
      </c>
      <c r="BL53" s="72" t="str">
        <f>IF('Cálculo MP'!S63="","",'Cálculo MP'!S63)</f>
        <v/>
      </c>
      <c r="BM53" s="73"/>
      <c r="BN53" s="73"/>
      <c r="BO53" s="73"/>
      <c r="BP53" s="73"/>
      <c r="BQ53" s="73"/>
      <c r="BR53" s="73"/>
      <c r="BS53" s="73"/>
    </row>
    <row r="54" spans="1:71" ht="19.5" customHeight="1" x14ac:dyDescent="0.15">
      <c r="A54" s="56" t="s">
        <v>985</v>
      </c>
      <c r="B54" s="57" t="s">
        <v>986</v>
      </c>
      <c r="C54" s="58" t="s">
        <v>985</v>
      </c>
      <c r="D54" s="59" t="s">
        <v>985</v>
      </c>
      <c r="E54" s="61"/>
      <c r="F54" s="60" t="s">
        <v>95</v>
      </c>
      <c r="G54" s="61"/>
      <c r="H54" s="62"/>
      <c r="I54" s="75"/>
      <c r="J54" s="60" t="s">
        <v>95</v>
      </c>
      <c r="K54" s="64"/>
      <c r="L54" s="64"/>
      <c r="M54" s="64" t="s">
        <v>96</v>
      </c>
      <c r="N54" s="64" t="s">
        <v>97</v>
      </c>
      <c r="O54" s="65" t="s">
        <v>986</v>
      </c>
      <c r="P54" s="70" t="s">
        <v>96</v>
      </c>
      <c r="Q54" s="60" t="s">
        <v>95</v>
      </c>
      <c r="R54" s="60" t="s">
        <v>96</v>
      </c>
      <c r="S54" s="66" t="s">
        <v>96</v>
      </c>
      <c r="T54" s="67" t="s">
        <v>96</v>
      </c>
      <c r="U54" s="60" t="s">
        <v>96</v>
      </c>
      <c r="V54" s="60" t="s">
        <v>96</v>
      </c>
      <c r="W54" s="60" t="str" cm="1">
        <f t="array" ref="W54">_xlfn.LET(_xlpm.resultados,_xlfn.UNIQUE(_xlfn._xlws.FILTER(Tabla1[Proceso],(Tabla1[Metal Base]=Q54)*(Tabla1[Etiquetas]=_xlfn.TEXTJOIN(" + ",TRUE,IF((TRIM(Upload!R54:V54)="")+(LOWER(TRIM(Upload!R54:V54))="(seleccione)"),"",PROPER(TRIM(Upload!R54:V54)))))*(Tabla1[Línea2]=IFERROR(VLOOKUP(Upload!P54&amp;"*",CAT_Procesos!D:D,1,FALSE),"")))),_xlpm.cantidad,ROWS(_xlpm.resultados),IF(ISERROR(_xlpm.cantidad),"Combinación no existente",IF(_xlpm.cantidad=1,INDEX(_xlpm.resultados,1),"(seleccione)")))</f>
        <v>Combinación no existente</v>
      </c>
      <c r="X54" s="67" t="s">
        <v>96</v>
      </c>
      <c r="Y54" s="64"/>
      <c r="Z54" s="64"/>
      <c r="AA54" s="64"/>
      <c r="AB54" s="133" t="s">
        <v>96</v>
      </c>
      <c r="AC54" s="64"/>
      <c r="AD54" s="64"/>
      <c r="AE54" s="64"/>
      <c r="AF54" s="60" t="s">
        <v>96</v>
      </c>
      <c r="AG54" s="64"/>
      <c r="AH54" s="64"/>
      <c r="AI54" s="64"/>
      <c r="AJ54" s="68" t="s">
        <v>96</v>
      </c>
      <c r="AK54" s="69" t="str">
        <f t="shared" si="0"/>
        <v/>
      </c>
      <c r="AL54" s="70" t="s">
        <v>96</v>
      </c>
      <c r="AM54" s="69" t="str">
        <f t="shared" si="1"/>
        <v/>
      </c>
      <c r="AN54" s="71"/>
      <c r="AO54" s="71"/>
      <c r="AP54" s="71"/>
      <c r="AQ54" s="71"/>
      <c r="AR54" s="71" t="s">
        <v>96</v>
      </c>
      <c r="AS54" s="71"/>
      <c r="AT54" s="71" t="s">
        <v>96</v>
      </c>
      <c r="AU54" s="71"/>
      <c r="AV54" s="71" t="s">
        <v>95</v>
      </c>
      <c r="AW54" s="71"/>
      <c r="AX54" s="71"/>
      <c r="AY54" s="71"/>
      <c r="AZ54" s="71"/>
      <c r="BA54" s="71"/>
      <c r="BB54" s="70" t="s">
        <v>218</v>
      </c>
      <c r="BC54" s="70" t="s">
        <v>98</v>
      </c>
      <c r="BD54" s="72" t="str">
        <f>IF('Cálculo MP'!K64="","",'Cálculo MP'!K64)</f>
        <v/>
      </c>
      <c r="BE54" s="72" t="str">
        <f>IF('Cálculo MP'!L64="","",'Cálculo MP'!L64)</f>
        <v/>
      </c>
      <c r="BF54" s="72" t="str">
        <f>IF('Cálculo MP'!M64="","",'Cálculo MP'!M64)</f>
        <v/>
      </c>
      <c r="BG54" s="72" t="str">
        <f>IF('Cálculo MP'!N64="","",'Cálculo MP'!N64)</f>
        <v/>
      </c>
      <c r="BH54" s="72" t="str">
        <f>IF('Cálculo MP'!O64="","",'Cálculo MP'!O64)</f>
        <v/>
      </c>
      <c r="BI54" s="72" t="str">
        <f>IF('Cálculo MP'!P64="","",'Cálculo MP'!P64)</f>
        <v/>
      </c>
      <c r="BJ54" s="72" t="str">
        <f>IF('Cálculo MP'!Q64="","",'Cálculo MP'!Q64)</f>
        <v/>
      </c>
      <c r="BK54" s="72" t="str">
        <f>IF('Cálculo MP'!R64="","",'Cálculo MP'!R64)</f>
        <v/>
      </c>
      <c r="BL54" s="72" t="str">
        <f>IF('Cálculo MP'!S64="","",'Cálculo MP'!S64)</f>
        <v/>
      </c>
      <c r="BM54" s="73"/>
      <c r="BN54" s="73"/>
      <c r="BO54" s="73"/>
      <c r="BP54" s="73"/>
      <c r="BQ54" s="73"/>
      <c r="BR54" s="73"/>
      <c r="BS54" s="73"/>
    </row>
    <row r="55" spans="1:71" ht="19.5" customHeight="1" x14ac:dyDescent="0.15">
      <c r="A55" s="56" t="s">
        <v>985</v>
      </c>
      <c r="B55" s="57" t="s">
        <v>986</v>
      </c>
      <c r="C55" s="58" t="s">
        <v>985</v>
      </c>
      <c r="D55" s="59" t="s">
        <v>985</v>
      </c>
      <c r="E55" s="61"/>
      <c r="F55" s="60" t="s">
        <v>95</v>
      </c>
      <c r="G55" s="61"/>
      <c r="H55" s="62"/>
      <c r="I55" s="75"/>
      <c r="J55" s="60" t="s">
        <v>95</v>
      </c>
      <c r="K55" s="64"/>
      <c r="L55" s="64"/>
      <c r="M55" s="64" t="s">
        <v>96</v>
      </c>
      <c r="N55" s="64" t="s">
        <v>97</v>
      </c>
      <c r="O55" s="65" t="s">
        <v>986</v>
      </c>
      <c r="P55" s="70" t="s">
        <v>96</v>
      </c>
      <c r="Q55" s="60" t="s">
        <v>95</v>
      </c>
      <c r="R55" s="60" t="s">
        <v>96</v>
      </c>
      <c r="S55" s="66" t="s">
        <v>96</v>
      </c>
      <c r="T55" s="67" t="s">
        <v>96</v>
      </c>
      <c r="U55" s="60" t="s">
        <v>96</v>
      </c>
      <c r="V55" s="60" t="s">
        <v>96</v>
      </c>
      <c r="W55" s="60" t="str" cm="1">
        <f t="array" ref="W55">_xlfn.LET(_xlpm.resultados,_xlfn.UNIQUE(_xlfn._xlws.FILTER(Tabla1[Proceso],(Tabla1[Metal Base]=Q55)*(Tabla1[Etiquetas]=_xlfn.TEXTJOIN(" + ",TRUE,IF((TRIM(Upload!R55:V55)="")+(LOWER(TRIM(Upload!R55:V55))="(seleccione)"),"",PROPER(TRIM(Upload!R55:V55)))))*(Tabla1[Línea2]=IFERROR(VLOOKUP(Upload!P55&amp;"*",CAT_Procesos!D:D,1,FALSE),"")))),_xlpm.cantidad,ROWS(_xlpm.resultados),IF(ISERROR(_xlpm.cantidad),"Combinación no existente",IF(_xlpm.cantidad=1,INDEX(_xlpm.resultados,1),"(seleccione)")))</f>
        <v>Combinación no existente</v>
      </c>
      <c r="X55" s="67" t="s">
        <v>96</v>
      </c>
      <c r="Y55" s="64"/>
      <c r="Z55" s="64"/>
      <c r="AA55" s="64"/>
      <c r="AB55" s="133" t="s">
        <v>96</v>
      </c>
      <c r="AC55" s="64"/>
      <c r="AD55" s="64"/>
      <c r="AE55" s="64"/>
      <c r="AF55" s="60" t="s">
        <v>96</v>
      </c>
      <c r="AG55" s="64"/>
      <c r="AH55" s="64"/>
      <c r="AI55" s="64"/>
      <c r="AJ55" s="68" t="s">
        <v>96</v>
      </c>
      <c r="AK55" s="69" t="str">
        <f t="shared" si="0"/>
        <v/>
      </c>
      <c r="AL55" s="70" t="s">
        <v>96</v>
      </c>
      <c r="AM55" s="69" t="str">
        <f t="shared" si="1"/>
        <v/>
      </c>
      <c r="AN55" s="71"/>
      <c r="AO55" s="71"/>
      <c r="AP55" s="71"/>
      <c r="AQ55" s="71"/>
      <c r="AR55" s="71" t="s">
        <v>96</v>
      </c>
      <c r="AS55" s="71"/>
      <c r="AT55" s="71" t="s">
        <v>96</v>
      </c>
      <c r="AU55" s="71"/>
      <c r="AV55" s="71" t="s">
        <v>95</v>
      </c>
      <c r="AW55" s="71"/>
      <c r="AX55" s="71"/>
      <c r="AY55" s="71"/>
      <c r="AZ55" s="71"/>
      <c r="BA55" s="71"/>
      <c r="BB55" s="70" t="s">
        <v>218</v>
      </c>
      <c r="BC55" s="70" t="s">
        <v>98</v>
      </c>
      <c r="BD55" s="72" t="str">
        <f>IF('Cálculo MP'!K65="","",'Cálculo MP'!K65)</f>
        <v/>
      </c>
      <c r="BE55" s="72" t="str">
        <f>IF('Cálculo MP'!L65="","",'Cálculo MP'!L65)</f>
        <v/>
      </c>
      <c r="BF55" s="72" t="str">
        <f>IF('Cálculo MP'!M65="","",'Cálculo MP'!M65)</f>
        <v/>
      </c>
      <c r="BG55" s="72" t="str">
        <f>IF('Cálculo MP'!N65="","",'Cálculo MP'!N65)</f>
        <v/>
      </c>
      <c r="BH55" s="72" t="str">
        <f>IF('Cálculo MP'!O65="","",'Cálculo MP'!O65)</f>
        <v/>
      </c>
      <c r="BI55" s="72" t="str">
        <f>IF('Cálculo MP'!P65="","",'Cálculo MP'!P65)</f>
        <v/>
      </c>
      <c r="BJ55" s="72" t="str">
        <f>IF('Cálculo MP'!Q65="","",'Cálculo MP'!Q65)</f>
        <v/>
      </c>
      <c r="BK55" s="72" t="str">
        <f>IF('Cálculo MP'!R65="","",'Cálculo MP'!R65)</f>
        <v/>
      </c>
      <c r="BL55" s="72" t="str">
        <f>IF('Cálculo MP'!S65="","",'Cálculo MP'!S65)</f>
        <v/>
      </c>
      <c r="BM55" s="73"/>
      <c r="BN55" s="73"/>
      <c r="BO55" s="73"/>
      <c r="BP55" s="73"/>
      <c r="BQ55" s="73"/>
      <c r="BR55" s="73"/>
      <c r="BS55" s="73"/>
    </row>
    <row r="56" spans="1:71" ht="19.5" customHeight="1" x14ac:dyDescent="0.15">
      <c r="A56" s="56" t="s">
        <v>985</v>
      </c>
      <c r="B56" s="57" t="s">
        <v>986</v>
      </c>
      <c r="C56" s="58" t="s">
        <v>985</v>
      </c>
      <c r="D56" s="59" t="s">
        <v>985</v>
      </c>
      <c r="E56" s="61"/>
      <c r="F56" s="60" t="s">
        <v>95</v>
      </c>
      <c r="G56" s="61"/>
      <c r="H56" s="62"/>
      <c r="I56" s="75"/>
      <c r="J56" s="60" t="s">
        <v>95</v>
      </c>
      <c r="K56" s="64"/>
      <c r="L56" s="64"/>
      <c r="M56" s="64" t="s">
        <v>96</v>
      </c>
      <c r="N56" s="64" t="s">
        <v>97</v>
      </c>
      <c r="O56" s="65" t="s">
        <v>986</v>
      </c>
      <c r="P56" s="70" t="s">
        <v>96</v>
      </c>
      <c r="Q56" s="60" t="s">
        <v>95</v>
      </c>
      <c r="R56" s="60" t="s">
        <v>96</v>
      </c>
      <c r="S56" s="66" t="s">
        <v>96</v>
      </c>
      <c r="T56" s="67" t="s">
        <v>96</v>
      </c>
      <c r="U56" s="60" t="s">
        <v>96</v>
      </c>
      <c r="V56" s="60" t="s">
        <v>96</v>
      </c>
      <c r="W56" s="60" t="str" cm="1">
        <f t="array" ref="W56">_xlfn.LET(_xlpm.resultados,_xlfn.UNIQUE(_xlfn._xlws.FILTER(Tabla1[Proceso],(Tabla1[Metal Base]=Q56)*(Tabla1[Etiquetas]=_xlfn.TEXTJOIN(" + ",TRUE,IF((TRIM(Upload!R56:V56)="")+(LOWER(TRIM(Upload!R56:V56))="(seleccione)"),"",PROPER(TRIM(Upload!R56:V56)))))*(Tabla1[Línea2]=IFERROR(VLOOKUP(Upload!P56&amp;"*",CAT_Procesos!D:D,1,FALSE),"")))),_xlpm.cantidad,ROWS(_xlpm.resultados),IF(ISERROR(_xlpm.cantidad),"Combinación no existente",IF(_xlpm.cantidad=1,INDEX(_xlpm.resultados,1),"(seleccione)")))</f>
        <v>Combinación no existente</v>
      </c>
      <c r="X56" s="67" t="s">
        <v>96</v>
      </c>
      <c r="Y56" s="64"/>
      <c r="Z56" s="64"/>
      <c r="AA56" s="64"/>
      <c r="AB56" s="133" t="s">
        <v>96</v>
      </c>
      <c r="AC56" s="64"/>
      <c r="AD56" s="64"/>
      <c r="AE56" s="64"/>
      <c r="AF56" s="60" t="s">
        <v>96</v>
      </c>
      <c r="AG56" s="64"/>
      <c r="AH56" s="64"/>
      <c r="AI56" s="64"/>
      <c r="AJ56" s="68" t="s">
        <v>96</v>
      </c>
      <c r="AK56" s="69" t="str">
        <f t="shared" si="0"/>
        <v/>
      </c>
      <c r="AL56" s="70" t="s">
        <v>96</v>
      </c>
      <c r="AM56" s="69" t="str">
        <f t="shared" si="1"/>
        <v/>
      </c>
      <c r="AN56" s="71"/>
      <c r="AO56" s="71"/>
      <c r="AP56" s="71"/>
      <c r="AQ56" s="71"/>
      <c r="AR56" s="71" t="s">
        <v>96</v>
      </c>
      <c r="AS56" s="71"/>
      <c r="AT56" s="71" t="s">
        <v>96</v>
      </c>
      <c r="AU56" s="71"/>
      <c r="AV56" s="71" t="s">
        <v>95</v>
      </c>
      <c r="AW56" s="71"/>
      <c r="AX56" s="71"/>
      <c r="AY56" s="71"/>
      <c r="AZ56" s="71"/>
      <c r="BA56" s="71"/>
      <c r="BB56" s="70" t="s">
        <v>218</v>
      </c>
      <c r="BC56" s="70" t="s">
        <v>98</v>
      </c>
      <c r="BD56" s="72" t="str">
        <f>IF('Cálculo MP'!K66="","",'Cálculo MP'!K66)</f>
        <v/>
      </c>
      <c r="BE56" s="72" t="str">
        <f>IF('Cálculo MP'!L66="","",'Cálculo MP'!L66)</f>
        <v/>
      </c>
      <c r="BF56" s="72" t="str">
        <f>IF('Cálculo MP'!M66="","",'Cálculo MP'!M66)</f>
        <v/>
      </c>
      <c r="BG56" s="72" t="str">
        <f>IF('Cálculo MP'!N66="","",'Cálculo MP'!N66)</f>
        <v/>
      </c>
      <c r="BH56" s="72" t="str">
        <f>IF('Cálculo MP'!O66="","",'Cálculo MP'!O66)</f>
        <v/>
      </c>
      <c r="BI56" s="72" t="str">
        <f>IF('Cálculo MP'!P66="","",'Cálculo MP'!P66)</f>
        <v/>
      </c>
      <c r="BJ56" s="72" t="str">
        <f>IF('Cálculo MP'!Q66="","",'Cálculo MP'!Q66)</f>
        <v/>
      </c>
      <c r="BK56" s="72" t="str">
        <f>IF('Cálculo MP'!R66="","",'Cálculo MP'!R66)</f>
        <v/>
      </c>
      <c r="BL56" s="72" t="str">
        <f>IF('Cálculo MP'!S66="","",'Cálculo MP'!S66)</f>
        <v/>
      </c>
      <c r="BM56" s="73"/>
      <c r="BN56" s="73"/>
      <c r="BO56" s="73"/>
      <c r="BP56" s="73"/>
      <c r="BQ56" s="73"/>
      <c r="BR56" s="73"/>
      <c r="BS56" s="73"/>
    </row>
    <row r="57" spans="1:71" ht="19.5" customHeight="1" x14ac:dyDescent="0.15">
      <c r="A57" s="56" t="s">
        <v>985</v>
      </c>
      <c r="B57" s="57" t="s">
        <v>986</v>
      </c>
      <c r="C57" s="58" t="s">
        <v>985</v>
      </c>
      <c r="D57" s="59" t="s">
        <v>985</v>
      </c>
      <c r="E57" s="61"/>
      <c r="F57" s="60" t="s">
        <v>95</v>
      </c>
      <c r="G57" s="61"/>
      <c r="H57" s="62"/>
      <c r="I57" s="75"/>
      <c r="J57" s="60" t="s">
        <v>95</v>
      </c>
      <c r="K57" s="64"/>
      <c r="L57" s="64"/>
      <c r="M57" s="64" t="s">
        <v>96</v>
      </c>
      <c r="N57" s="64" t="s">
        <v>97</v>
      </c>
      <c r="O57" s="65" t="s">
        <v>986</v>
      </c>
      <c r="P57" s="70" t="s">
        <v>96</v>
      </c>
      <c r="Q57" s="60" t="s">
        <v>95</v>
      </c>
      <c r="R57" s="60" t="s">
        <v>96</v>
      </c>
      <c r="S57" s="66" t="s">
        <v>96</v>
      </c>
      <c r="T57" s="67" t="s">
        <v>96</v>
      </c>
      <c r="U57" s="60" t="s">
        <v>96</v>
      </c>
      <c r="V57" s="60" t="s">
        <v>96</v>
      </c>
      <c r="W57" s="60" t="str" cm="1">
        <f t="array" ref="W57">_xlfn.LET(_xlpm.resultados,_xlfn.UNIQUE(_xlfn._xlws.FILTER(Tabla1[Proceso],(Tabla1[Metal Base]=Q57)*(Tabla1[Etiquetas]=_xlfn.TEXTJOIN(" + ",TRUE,IF((TRIM(Upload!R57:V57)="")+(LOWER(TRIM(Upload!R57:V57))="(seleccione)"),"",PROPER(TRIM(Upload!R57:V57)))))*(Tabla1[Línea2]=IFERROR(VLOOKUP(Upload!P57&amp;"*",CAT_Procesos!D:D,1,FALSE),"")))),_xlpm.cantidad,ROWS(_xlpm.resultados),IF(ISERROR(_xlpm.cantidad),"Combinación no existente",IF(_xlpm.cantidad=1,INDEX(_xlpm.resultados,1),"(seleccione)")))</f>
        <v>Combinación no existente</v>
      </c>
      <c r="X57" s="67" t="s">
        <v>96</v>
      </c>
      <c r="Y57" s="64"/>
      <c r="Z57" s="64"/>
      <c r="AA57" s="64"/>
      <c r="AB57" s="133" t="s">
        <v>96</v>
      </c>
      <c r="AC57" s="64"/>
      <c r="AD57" s="64"/>
      <c r="AE57" s="64"/>
      <c r="AF57" s="60" t="s">
        <v>96</v>
      </c>
      <c r="AG57" s="64"/>
      <c r="AH57" s="64"/>
      <c r="AI57" s="64"/>
      <c r="AJ57" s="68" t="s">
        <v>96</v>
      </c>
      <c r="AK57" s="69" t="str">
        <f t="shared" si="0"/>
        <v/>
      </c>
      <c r="AL57" s="70" t="s">
        <v>96</v>
      </c>
      <c r="AM57" s="69" t="str">
        <f t="shared" si="1"/>
        <v/>
      </c>
      <c r="AN57" s="71"/>
      <c r="AO57" s="71"/>
      <c r="AP57" s="71"/>
      <c r="AQ57" s="71"/>
      <c r="AR57" s="71" t="s">
        <v>96</v>
      </c>
      <c r="AS57" s="71"/>
      <c r="AT57" s="71" t="s">
        <v>96</v>
      </c>
      <c r="AU57" s="71"/>
      <c r="AV57" s="71" t="s">
        <v>95</v>
      </c>
      <c r="AW57" s="71"/>
      <c r="AX57" s="71"/>
      <c r="AY57" s="71"/>
      <c r="AZ57" s="71"/>
      <c r="BA57" s="71"/>
      <c r="BB57" s="70" t="s">
        <v>218</v>
      </c>
      <c r="BC57" s="70" t="s">
        <v>98</v>
      </c>
      <c r="BD57" s="72" t="str">
        <f>IF('Cálculo MP'!K67="","",'Cálculo MP'!K67)</f>
        <v/>
      </c>
      <c r="BE57" s="72" t="str">
        <f>IF('Cálculo MP'!L67="","",'Cálculo MP'!L67)</f>
        <v/>
      </c>
      <c r="BF57" s="72" t="str">
        <f>IF('Cálculo MP'!M67="","",'Cálculo MP'!M67)</f>
        <v/>
      </c>
      <c r="BG57" s="72" t="str">
        <f>IF('Cálculo MP'!N67="","",'Cálculo MP'!N67)</f>
        <v/>
      </c>
      <c r="BH57" s="72" t="str">
        <f>IF('Cálculo MP'!O67="","",'Cálculo MP'!O67)</f>
        <v/>
      </c>
      <c r="BI57" s="72" t="str">
        <f>IF('Cálculo MP'!P67="","",'Cálculo MP'!P67)</f>
        <v/>
      </c>
      <c r="BJ57" s="72" t="str">
        <f>IF('Cálculo MP'!Q67="","",'Cálculo MP'!Q67)</f>
        <v/>
      </c>
      <c r="BK57" s="72" t="str">
        <f>IF('Cálculo MP'!R67="","",'Cálculo MP'!R67)</f>
        <v/>
      </c>
      <c r="BL57" s="72" t="str">
        <f>IF('Cálculo MP'!S67="","",'Cálculo MP'!S67)</f>
        <v/>
      </c>
      <c r="BM57" s="73"/>
      <c r="BN57" s="73"/>
      <c r="BO57" s="73"/>
      <c r="BP57" s="73"/>
      <c r="BQ57" s="73"/>
      <c r="BR57" s="73"/>
      <c r="BS57" s="73"/>
    </row>
    <row r="58" spans="1:71" ht="19.5" customHeight="1" x14ac:dyDescent="0.15">
      <c r="A58" s="56" t="s">
        <v>985</v>
      </c>
      <c r="B58" s="57" t="s">
        <v>986</v>
      </c>
      <c r="C58" s="58" t="s">
        <v>985</v>
      </c>
      <c r="D58" s="59" t="s">
        <v>985</v>
      </c>
      <c r="E58" s="61"/>
      <c r="F58" s="60" t="s">
        <v>95</v>
      </c>
      <c r="G58" s="61"/>
      <c r="H58" s="62"/>
      <c r="I58" s="75"/>
      <c r="J58" s="60" t="s">
        <v>95</v>
      </c>
      <c r="K58" s="64"/>
      <c r="L58" s="64"/>
      <c r="M58" s="64" t="s">
        <v>96</v>
      </c>
      <c r="N58" s="64" t="s">
        <v>97</v>
      </c>
      <c r="O58" s="65" t="s">
        <v>986</v>
      </c>
      <c r="P58" s="70" t="s">
        <v>96</v>
      </c>
      <c r="Q58" s="60" t="s">
        <v>95</v>
      </c>
      <c r="R58" s="60" t="s">
        <v>96</v>
      </c>
      <c r="S58" s="66" t="s">
        <v>96</v>
      </c>
      <c r="T58" s="67" t="s">
        <v>96</v>
      </c>
      <c r="U58" s="60" t="s">
        <v>96</v>
      </c>
      <c r="V58" s="60" t="s">
        <v>96</v>
      </c>
      <c r="W58" s="60" t="str" cm="1">
        <f t="array" ref="W58">_xlfn.LET(_xlpm.resultados,_xlfn.UNIQUE(_xlfn._xlws.FILTER(Tabla1[Proceso],(Tabla1[Metal Base]=Q58)*(Tabla1[Etiquetas]=_xlfn.TEXTJOIN(" + ",TRUE,IF((TRIM(Upload!R58:V58)="")+(LOWER(TRIM(Upload!R58:V58))="(seleccione)"),"",PROPER(TRIM(Upload!R58:V58)))))*(Tabla1[Línea2]=IFERROR(VLOOKUP(Upload!P58&amp;"*",CAT_Procesos!D:D,1,FALSE),"")))),_xlpm.cantidad,ROWS(_xlpm.resultados),IF(ISERROR(_xlpm.cantidad),"Combinación no existente",IF(_xlpm.cantidad=1,INDEX(_xlpm.resultados,1),"(seleccione)")))</f>
        <v>Combinación no existente</v>
      </c>
      <c r="X58" s="67" t="s">
        <v>96</v>
      </c>
      <c r="Y58" s="64"/>
      <c r="Z58" s="64"/>
      <c r="AA58" s="64"/>
      <c r="AB58" s="133" t="s">
        <v>96</v>
      </c>
      <c r="AC58" s="64"/>
      <c r="AD58" s="64"/>
      <c r="AE58" s="64"/>
      <c r="AF58" s="60" t="s">
        <v>96</v>
      </c>
      <c r="AG58" s="64"/>
      <c r="AH58" s="64"/>
      <c r="AI58" s="64"/>
      <c r="AJ58" s="68" t="s">
        <v>96</v>
      </c>
      <c r="AK58" s="69" t="str">
        <f t="shared" si="0"/>
        <v/>
      </c>
      <c r="AL58" s="70" t="s">
        <v>96</v>
      </c>
      <c r="AM58" s="69" t="str">
        <f t="shared" si="1"/>
        <v/>
      </c>
      <c r="AN58" s="71"/>
      <c r="AO58" s="71"/>
      <c r="AP58" s="71"/>
      <c r="AQ58" s="71"/>
      <c r="AR58" s="71" t="s">
        <v>96</v>
      </c>
      <c r="AS58" s="71"/>
      <c r="AT58" s="71" t="s">
        <v>96</v>
      </c>
      <c r="AU58" s="71"/>
      <c r="AV58" s="71" t="s">
        <v>95</v>
      </c>
      <c r="AW58" s="71"/>
      <c r="AX58" s="71"/>
      <c r="AY58" s="71"/>
      <c r="AZ58" s="71"/>
      <c r="BA58" s="71"/>
      <c r="BB58" s="70" t="s">
        <v>218</v>
      </c>
      <c r="BC58" s="70" t="s">
        <v>98</v>
      </c>
      <c r="BD58" s="72" t="str">
        <f>IF('Cálculo MP'!K68="","",'Cálculo MP'!K68)</f>
        <v/>
      </c>
      <c r="BE58" s="72" t="str">
        <f>IF('Cálculo MP'!L68="","",'Cálculo MP'!L68)</f>
        <v/>
      </c>
      <c r="BF58" s="72" t="str">
        <f>IF('Cálculo MP'!M68="","",'Cálculo MP'!M68)</f>
        <v/>
      </c>
      <c r="BG58" s="72" t="str">
        <f>IF('Cálculo MP'!N68="","",'Cálculo MP'!N68)</f>
        <v/>
      </c>
      <c r="BH58" s="72" t="str">
        <f>IF('Cálculo MP'!O68="","",'Cálculo MP'!O68)</f>
        <v/>
      </c>
      <c r="BI58" s="72" t="str">
        <f>IF('Cálculo MP'!P68="","",'Cálculo MP'!P68)</f>
        <v/>
      </c>
      <c r="BJ58" s="72" t="str">
        <f>IF('Cálculo MP'!Q68="","",'Cálculo MP'!Q68)</f>
        <v/>
      </c>
      <c r="BK58" s="72" t="str">
        <f>IF('Cálculo MP'!R68="","",'Cálculo MP'!R68)</f>
        <v/>
      </c>
      <c r="BL58" s="72" t="str">
        <f>IF('Cálculo MP'!S68="","",'Cálculo MP'!S68)</f>
        <v/>
      </c>
      <c r="BM58" s="73"/>
      <c r="BN58" s="73"/>
      <c r="BO58" s="73"/>
      <c r="BP58" s="73"/>
      <c r="BQ58" s="73"/>
      <c r="BR58" s="73"/>
      <c r="BS58" s="73"/>
    </row>
    <row r="59" spans="1:71" ht="19.5" customHeight="1" x14ac:dyDescent="0.15">
      <c r="A59" s="56" t="s">
        <v>985</v>
      </c>
      <c r="B59" s="57" t="s">
        <v>986</v>
      </c>
      <c r="C59" s="58" t="s">
        <v>985</v>
      </c>
      <c r="D59" s="59" t="s">
        <v>985</v>
      </c>
      <c r="E59" s="61"/>
      <c r="F59" s="60" t="s">
        <v>95</v>
      </c>
      <c r="G59" s="61"/>
      <c r="H59" s="62"/>
      <c r="I59" s="75"/>
      <c r="J59" s="60" t="s">
        <v>95</v>
      </c>
      <c r="K59" s="64"/>
      <c r="L59" s="64"/>
      <c r="M59" s="64" t="s">
        <v>96</v>
      </c>
      <c r="N59" s="64" t="s">
        <v>97</v>
      </c>
      <c r="O59" s="65" t="s">
        <v>986</v>
      </c>
      <c r="P59" s="70" t="s">
        <v>96</v>
      </c>
      <c r="Q59" s="60" t="s">
        <v>95</v>
      </c>
      <c r="R59" s="60" t="s">
        <v>96</v>
      </c>
      <c r="S59" s="66" t="s">
        <v>96</v>
      </c>
      <c r="T59" s="67" t="s">
        <v>96</v>
      </c>
      <c r="U59" s="60" t="s">
        <v>96</v>
      </c>
      <c r="V59" s="60" t="s">
        <v>96</v>
      </c>
      <c r="W59" s="60" t="str" cm="1">
        <f t="array" ref="W59">_xlfn.LET(_xlpm.resultados,_xlfn.UNIQUE(_xlfn._xlws.FILTER(Tabla1[Proceso],(Tabla1[Metal Base]=Q59)*(Tabla1[Etiquetas]=_xlfn.TEXTJOIN(" + ",TRUE,IF((TRIM(Upload!R59:V59)="")+(LOWER(TRIM(Upload!R59:V59))="(seleccione)"),"",PROPER(TRIM(Upload!R59:V59)))))*(Tabla1[Línea2]=IFERROR(VLOOKUP(Upload!P59&amp;"*",CAT_Procesos!D:D,1,FALSE),"")))),_xlpm.cantidad,ROWS(_xlpm.resultados),IF(ISERROR(_xlpm.cantidad),"Combinación no existente",IF(_xlpm.cantidad=1,INDEX(_xlpm.resultados,1),"(seleccione)")))</f>
        <v>Combinación no existente</v>
      </c>
      <c r="X59" s="67" t="s">
        <v>96</v>
      </c>
      <c r="Y59" s="64"/>
      <c r="Z59" s="64"/>
      <c r="AA59" s="64"/>
      <c r="AB59" s="133" t="s">
        <v>96</v>
      </c>
      <c r="AC59" s="64"/>
      <c r="AD59" s="64"/>
      <c r="AE59" s="64"/>
      <c r="AF59" s="60" t="s">
        <v>96</v>
      </c>
      <c r="AG59" s="64"/>
      <c r="AH59" s="64"/>
      <c r="AI59" s="64"/>
      <c r="AJ59" s="68" t="s">
        <v>96</v>
      </c>
      <c r="AK59" s="69" t="str">
        <f t="shared" si="0"/>
        <v/>
      </c>
      <c r="AL59" s="70" t="s">
        <v>96</v>
      </c>
      <c r="AM59" s="69" t="str">
        <f t="shared" si="1"/>
        <v/>
      </c>
      <c r="AN59" s="71"/>
      <c r="AO59" s="71"/>
      <c r="AP59" s="71"/>
      <c r="AQ59" s="71"/>
      <c r="AR59" s="71" t="s">
        <v>96</v>
      </c>
      <c r="AS59" s="71"/>
      <c r="AT59" s="71" t="s">
        <v>96</v>
      </c>
      <c r="AU59" s="71"/>
      <c r="AV59" s="71" t="s">
        <v>95</v>
      </c>
      <c r="AW59" s="71"/>
      <c r="AX59" s="71"/>
      <c r="AY59" s="71"/>
      <c r="AZ59" s="71"/>
      <c r="BA59" s="71"/>
      <c r="BB59" s="70" t="s">
        <v>218</v>
      </c>
      <c r="BC59" s="70" t="s">
        <v>98</v>
      </c>
      <c r="BD59" s="72" t="str">
        <f>IF('Cálculo MP'!K69="","",'Cálculo MP'!K69)</f>
        <v/>
      </c>
      <c r="BE59" s="72" t="str">
        <f>IF('Cálculo MP'!L69="","",'Cálculo MP'!L69)</f>
        <v/>
      </c>
      <c r="BF59" s="72" t="str">
        <f>IF('Cálculo MP'!M69="","",'Cálculo MP'!M69)</f>
        <v/>
      </c>
      <c r="BG59" s="72" t="str">
        <f>IF('Cálculo MP'!N69="","",'Cálculo MP'!N69)</f>
        <v/>
      </c>
      <c r="BH59" s="72" t="str">
        <f>IF('Cálculo MP'!O69="","",'Cálculo MP'!O69)</f>
        <v/>
      </c>
      <c r="BI59" s="72" t="str">
        <f>IF('Cálculo MP'!P69="","",'Cálculo MP'!P69)</f>
        <v/>
      </c>
      <c r="BJ59" s="72" t="str">
        <f>IF('Cálculo MP'!Q69="","",'Cálculo MP'!Q69)</f>
        <v/>
      </c>
      <c r="BK59" s="72" t="str">
        <f>IF('Cálculo MP'!R69="","",'Cálculo MP'!R69)</f>
        <v/>
      </c>
      <c r="BL59" s="72" t="str">
        <f>IF('Cálculo MP'!S69="","",'Cálculo MP'!S69)</f>
        <v/>
      </c>
      <c r="BM59" s="73"/>
      <c r="BN59" s="73"/>
      <c r="BO59" s="73"/>
      <c r="BP59" s="73"/>
      <c r="BQ59" s="73"/>
      <c r="BR59" s="73"/>
      <c r="BS59" s="73"/>
    </row>
    <row r="60" spans="1:71" ht="19.5" customHeight="1" x14ac:dyDescent="0.15">
      <c r="A60" s="56" t="s">
        <v>985</v>
      </c>
      <c r="B60" s="57" t="s">
        <v>986</v>
      </c>
      <c r="C60" s="58" t="s">
        <v>985</v>
      </c>
      <c r="D60" s="59" t="s">
        <v>985</v>
      </c>
      <c r="E60" s="61"/>
      <c r="F60" s="60" t="s">
        <v>95</v>
      </c>
      <c r="G60" s="61"/>
      <c r="H60" s="62"/>
      <c r="I60" s="75"/>
      <c r="J60" s="60" t="s">
        <v>95</v>
      </c>
      <c r="K60" s="64"/>
      <c r="L60" s="64"/>
      <c r="M60" s="64" t="s">
        <v>96</v>
      </c>
      <c r="N60" s="64" t="s">
        <v>97</v>
      </c>
      <c r="O60" s="65" t="s">
        <v>986</v>
      </c>
      <c r="P60" s="70" t="s">
        <v>96</v>
      </c>
      <c r="Q60" s="60" t="s">
        <v>95</v>
      </c>
      <c r="R60" s="60" t="s">
        <v>96</v>
      </c>
      <c r="S60" s="66" t="s">
        <v>96</v>
      </c>
      <c r="T60" s="67" t="s">
        <v>96</v>
      </c>
      <c r="U60" s="60" t="s">
        <v>96</v>
      </c>
      <c r="V60" s="60" t="s">
        <v>96</v>
      </c>
      <c r="W60" s="60" t="str" cm="1">
        <f t="array" ref="W60">_xlfn.LET(_xlpm.resultados,_xlfn.UNIQUE(_xlfn._xlws.FILTER(Tabla1[Proceso],(Tabla1[Metal Base]=Q60)*(Tabla1[Etiquetas]=_xlfn.TEXTJOIN(" + ",TRUE,IF((TRIM(Upload!R60:V60)="")+(LOWER(TRIM(Upload!R60:V60))="(seleccione)"),"",PROPER(TRIM(Upload!R60:V60)))))*(Tabla1[Línea2]=IFERROR(VLOOKUP(Upload!P60&amp;"*",CAT_Procesos!D:D,1,FALSE),"")))),_xlpm.cantidad,ROWS(_xlpm.resultados),IF(ISERROR(_xlpm.cantidad),"Combinación no existente",IF(_xlpm.cantidad=1,INDEX(_xlpm.resultados,1),"(seleccione)")))</f>
        <v>Combinación no existente</v>
      </c>
      <c r="X60" s="67" t="s">
        <v>96</v>
      </c>
      <c r="Y60" s="64"/>
      <c r="Z60" s="64"/>
      <c r="AA60" s="64"/>
      <c r="AB60" s="133" t="s">
        <v>96</v>
      </c>
      <c r="AC60" s="64"/>
      <c r="AD60" s="64"/>
      <c r="AE60" s="64"/>
      <c r="AF60" s="60" t="s">
        <v>96</v>
      </c>
      <c r="AG60" s="64"/>
      <c r="AH60" s="64"/>
      <c r="AI60" s="64"/>
      <c r="AJ60" s="68" t="s">
        <v>96</v>
      </c>
      <c r="AK60" s="69" t="str">
        <f t="shared" si="0"/>
        <v/>
      </c>
      <c r="AL60" s="70" t="s">
        <v>96</v>
      </c>
      <c r="AM60" s="69" t="str">
        <f t="shared" si="1"/>
        <v/>
      </c>
      <c r="AN60" s="71"/>
      <c r="AO60" s="71"/>
      <c r="AP60" s="71"/>
      <c r="AQ60" s="71"/>
      <c r="AR60" s="71" t="s">
        <v>96</v>
      </c>
      <c r="AS60" s="71"/>
      <c r="AT60" s="71" t="s">
        <v>96</v>
      </c>
      <c r="AU60" s="71"/>
      <c r="AV60" s="71" t="s">
        <v>95</v>
      </c>
      <c r="AW60" s="71"/>
      <c r="AX60" s="71"/>
      <c r="AY60" s="71"/>
      <c r="AZ60" s="71"/>
      <c r="BA60" s="71"/>
      <c r="BB60" s="70" t="s">
        <v>218</v>
      </c>
      <c r="BC60" s="70" t="s">
        <v>98</v>
      </c>
      <c r="BD60" s="72" t="str">
        <f>IF('Cálculo MP'!K70="","",'Cálculo MP'!K70)</f>
        <v/>
      </c>
      <c r="BE60" s="72" t="str">
        <f>IF('Cálculo MP'!L70="","",'Cálculo MP'!L70)</f>
        <v/>
      </c>
      <c r="BF60" s="72" t="str">
        <f>IF('Cálculo MP'!M70="","",'Cálculo MP'!M70)</f>
        <v/>
      </c>
      <c r="BG60" s="72" t="str">
        <f>IF('Cálculo MP'!N70="","",'Cálculo MP'!N70)</f>
        <v/>
      </c>
      <c r="BH60" s="72" t="str">
        <f>IF('Cálculo MP'!O70="","",'Cálculo MP'!O70)</f>
        <v/>
      </c>
      <c r="BI60" s="72" t="str">
        <f>IF('Cálculo MP'!P70="","",'Cálculo MP'!P70)</f>
        <v/>
      </c>
      <c r="BJ60" s="72" t="str">
        <f>IF('Cálculo MP'!Q70="","",'Cálculo MP'!Q70)</f>
        <v/>
      </c>
      <c r="BK60" s="72" t="str">
        <f>IF('Cálculo MP'!R70="","",'Cálculo MP'!R70)</f>
        <v/>
      </c>
      <c r="BL60" s="72" t="str">
        <f>IF('Cálculo MP'!S70="","",'Cálculo MP'!S70)</f>
        <v/>
      </c>
      <c r="BM60" s="71"/>
      <c r="BN60" s="71"/>
      <c r="BO60" s="71"/>
      <c r="BP60" s="71"/>
      <c r="BQ60" s="71"/>
      <c r="BR60" s="71"/>
      <c r="BS60" s="71"/>
    </row>
    <row r="61" spans="1:71" ht="19.5" customHeight="1" x14ac:dyDescent="0.15">
      <c r="A61" s="56" t="s">
        <v>985</v>
      </c>
      <c r="B61" s="57" t="s">
        <v>986</v>
      </c>
      <c r="C61" s="58" t="s">
        <v>985</v>
      </c>
      <c r="D61" s="59" t="s">
        <v>985</v>
      </c>
      <c r="E61" s="61"/>
      <c r="F61" s="60" t="s">
        <v>95</v>
      </c>
      <c r="G61" s="61"/>
      <c r="H61" s="62"/>
      <c r="I61" s="75"/>
      <c r="J61" s="60" t="s">
        <v>95</v>
      </c>
      <c r="K61" s="64"/>
      <c r="L61" s="64"/>
      <c r="M61" s="64" t="s">
        <v>96</v>
      </c>
      <c r="N61" s="64" t="s">
        <v>97</v>
      </c>
      <c r="O61" s="65" t="s">
        <v>986</v>
      </c>
      <c r="P61" s="70" t="s">
        <v>96</v>
      </c>
      <c r="Q61" s="60" t="s">
        <v>95</v>
      </c>
      <c r="R61" s="60" t="s">
        <v>96</v>
      </c>
      <c r="S61" s="66" t="s">
        <v>96</v>
      </c>
      <c r="T61" s="67" t="s">
        <v>96</v>
      </c>
      <c r="U61" s="60" t="s">
        <v>96</v>
      </c>
      <c r="V61" s="60" t="s">
        <v>96</v>
      </c>
      <c r="W61" s="60" t="str" cm="1">
        <f t="array" ref="W61">_xlfn.LET(_xlpm.resultados,_xlfn.UNIQUE(_xlfn._xlws.FILTER(Tabla1[Proceso],(Tabla1[Metal Base]=Q61)*(Tabla1[Etiquetas]=_xlfn.TEXTJOIN(" + ",TRUE,IF((TRIM(Upload!R61:V61)="")+(LOWER(TRIM(Upload!R61:V61))="(seleccione)"),"",PROPER(TRIM(Upload!R61:V61)))))*(Tabla1[Línea2]=IFERROR(VLOOKUP(Upload!P61&amp;"*",CAT_Procesos!D:D,1,FALSE),"")))),_xlpm.cantidad,ROWS(_xlpm.resultados),IF(ISERROR(_xlpm.cantidad),"Combinación no existente",IF(_xlpm.cantidad=1,INDEX(_xlpm.resultados,1),"(seleccione)")))</f>
        <v>Combinación no existente</v>
      </c>
      <c r="X61" s="67" t="s">
        <v>96</v>
      </c>
      <c r="Y61" s="64"/>
      <c r="Z61" s="64"/>
      <c r="AA61" s="64"/>
      <c r="AB61" s="133" t="s">
        <v>96</v>
      </c>
      <c r="AC61" s="64"/>
      <c r="AD61" s="64"/>
      <c r="AE61" s="64"/>
      <c r="AF61" s="60" t="s">
        <v>96</v>
      </c>
      <c r="AG61" s="64"/>
      <c r="AH61" s="64"/>
      <c r="AI61" s="64"/>
      <c r="AJ61" s="68" t="s">
        <v>96</v>
      </c>
      <c r="AK61" s="69" t="str">
        <f t="shared" si="0"/>
        <v/>
      </c>
      <c r="AL61" s="70" t="s">
        <v>96</v>
      </c>
      <c r="AM61" s="69" t="str">
        <f t="shared" si="1"/>
        <v/>
      </c>
      <c r="AN61" s="71"/>
      <c r="AO61" s="71"/>
      <c r="AP61" s="71"/>
      <c r="AQ61" s="71"/>
      <c r="AR61" s="71" t="s">
        <v>96</v>
      </c>
      <c r="AS61" s="71"/>
      <c r="AT61" s="71" t="s">
        <v>96</v>
      </c>
      <c r="AU61" s="71"/>
      <c r="AV61" s="71" t="s">
        <v>95</v>
      </c>
      <c r="AW61" s="71"/>
      <c r="AX61" s="71"/>
      <c r="AY61" s="71"/>
      <c r="AZ61" s="71"/>
      <c r="BA61" s="71"/>
      <c r="BB61" s="70" t="s">
        <v>218</v>
      </c>
      <c r="BC61" s="70" t="s">
        <v>98</v>
      </c>
      <c r="BD61" s="72" t="str">
        <f>IF('Cálculo MP'!K71="","",'Cálculo MP'!K71)</f>
        <v/>
      </c>
      <c r="BE61" s="72" t="str">
        <f>IF('Cálculo MP'!L71="","",'Cálculo MP'!L71)</f>
        <v/>
      </c>
      <c r="BF61" s="72" t="str">
        <f>IF('Cálculo MP'!M71="","",'Cálculo MP'!M71)</f>
        <v/>
      </c>
      <c r="BG61" s="72" t="str">
        <f>IF('Cálculo MP'!N71="","",'Cálculo MP'!N71)</f>
        <v/>
      </c>
      <c r="BH61" s="72" t="str">
        <f>IF('Cálculo MP'!O71="","",'Cálculo MP'!O71)</f>
        <v/>
      </c>
      <c r="BI61" s="72" t="str">
        <f>IF('Cálculo MP'!P71="","",'Cálculo MP'!P71)</f>
        <v/>
      </c>
      <c r="BJ61" s="72" t="str">
        <f>IF('Cálculo MP'!Q71="","",'Cálculo MP'!Q71)</f>
        <v/>
      </c>
      <c r="BK61" s="72" t="str">
        <f>IF('Cálculo MP'!R71="","",'Cálculo MP'!R71)</f>
        <v/>
      </c>
      <c r="BL61" s="72" t="str">
        <f>IF('Cálculo MP'!S71="","",'Cálculo MP'!S71)</f>
        <v/>
      </c>
      <c r="BM61" s="71"/>
      <c r="BN61" s="71"/>
      <c r="BO61" s="71"/>
      <c r="BP61" s="71"/>
      <c r="BQ61" s="71"/>
      <c r="BR61" s="71"/>
      <c r="BS61" s="71"/>
    </row>
    <row r="62" spans="1:71" ht="19.5" customHeight="1" x14ac:dyDescent="0.15">
      <c r="A62" s="56" t="s">
        <v>985</v>
      </c>
      <c r="B62" s="57" t="s">
        <v>986</v>
      </c>
      <c r="C62" s="58" t="s">
        <v>985</v>
      </c>
      <c r="D62" s="59" t="s">
        <v>985</v>
      </c>
      <c r="E62" s="61"/>
      <c r="F62" s="60" t="s">
        <v>95</v>
      </c>
      <c r="G62" s="61"/>
      <c r="H62" s="62"/>
      <c r="I62" s="75"/>
      <c r="J62" s="60" t="s">
        <v>95</v>
      </c>
      <c r="K62" s="64"/>
      <c r="L62" s="64"/>
      <c r="M62" s="64" t="s">
        <v>96</v>
      </c>
      <c r="N62" s="64" t="s">
        <v>97</v>
      </c>
      <c r="O62" s="65" t="s">
        <v>986</v>
      </c>
      <c r="P62" s="70" t="s">
        <v>96</v>
      </c>
      <c r="Q62" s="60" t="s">
        <v>95</v>
      </c>
      <c r="R62" s="60" t="s">
        <v>96</v>
      </c>
      <c r="S62" s="66" t="s">
        <v>96</v>
      </c>
      <c r="T62" s="67" t="s">
        <v>96</v>
      </c>
      <c r="U62" s="60" t="s">
        <v>96</v>
      </c>
      <c r="V62" s="60" t="s">
        <v>96</v>
      </c>
      <c r="W62" s="60" t="str" cm="1">
        <f t="array" ref="W62">_xlfn.LET(_xlpm.resultados,_xlfn.UNIQUE(_xlfn._xlws.FILTER(Tabla1[Proceso],(Tabla1[Metal Base]=Q62)*(Tabla1[Etiquetas]=_xlfn.TEXTJOIN(" + ",TRUE,IF((TRIM(Upload!R62:V62)="")+(LOWER(TRIM(Upload!R62:V62))="(seleccione)"),"",PROPER(TRIM(Upload!R62:V62)))))*(Tabla1[Línea2]=IFERROR(VLOOKUP(Upload!P62&amp;"*",CAT_Procesos!D:D,1,FALSE),"")))),_xlpm.cantidad,ROWS(_xlpm.resultados),IF(ISERROR(_xlpm.cantidad),"Combinación no existente",IF(_xlpm.cantidad=1,INDEX(_xlpm.resultados,1),"(seleccione)")))</f>
        <v>Combinación no existente</v>
      </c>
      <c r="X62" s="67" t="s">
        <v>96</v>
      </c>
      <c r="Y62" s="64"/>
      <c r="Z62" s="64"/>
      <c r="AA62" s="64"/>
      <c r="AB62" s="133" t="s">
        <v>96</v>
      </c>
      <c r="AC62" s="64"/>
      <c r="AD62" s="64"/>
      <c r="AE62" s="64"/>
      <c r="AF62" s="60" t="s">
        <v>96</v>
      </c>
      <c r="AG62" s="64"/>
      <c r="AH62" s="64"/>
      <c r="AI62" s="64"/>
      <c r="AJ62" s="68" t="s">
        <v>96</v>
      </c>
      <c r="AK62" s="69" t="str">
        <f t="shared" si="0"/>
        <v/>
      </c>
      <c r="AL62" s="70" t="s">
        <v>96</v>
      </c>
      <c r="AM62" s="69" t="str">
        <f t="shared" si="1"/>
        <v/>
      </c>
      <c r="AN62" s="71"/>
      <c r="AO62" s="71"/>
      <c r="AP62" s="71"/>
      <c r="AQ62" s="71"/>
      <c r="AR62" s="71" t="s">
        <v>96</v>
      </c>
      <c r="AS62" s="71"/>
      <c r="AT62" s="71" t="s">
        <v>96</v>
      </c>
      <c r="AU62" s="71"/>
      <c r="AV62" s="71" t="s">
        <v>95</v>
      </c>
      <c r="AW62" s="71"/>
      <c r="AX62" s="71"/>
      <c r="AY62" s="71"/>
      <c r="AZ62" s="71"/>
      <c r="BA62" s="71"/>
      <c r="BB62" s="70" t="s">
        <v>218</v>
      </c>
      <c r="BC62" s="70" t="s">
        <v>98</v>
      </c>
      <c r="BD62" s="72" t="str">
        <f>IF('Cálculo MP'!K72="","",'Cálculo MP'!K72)</f>
        <v/>
      </c>
      <c r="BE62" s="72" t="str">
        <f>IF('Cálculo MP'!L72="","",'Cálculo MP'!L72)</f>
        <v/>
      </c>
      <c r="BF62" s="72" t="str">
        <f>IF('Cálculo MP'!M72="","",'Cálculo MP'!M72)</f>
        <v/>
      </c>
      <c r="BG62" s="72" t="str">
        <f>IF('Cálculo MP'!N72="","",'Cálculo MP'!N72)</f>
        <v/>
      </c>
      <c r="BH62" s="72" t="str">
        <f>IF('Cálculo MP'!O72="","",'Cálculo MP'!O72)</f>
        <v/>
      </c>
      <c r="BI62" s="72" t="str">
        <f>IF('Cálculo MP'!P72="","",'Cálculo MP'!P72)</f>
        <v/>
      </c>
      <c r="BJ62" s="72" t="str">
        <f>IF('Cálculo MP'!Q72="","",'Cálculo MP'!Q72)</f>
        <v/>
      </c>
      <c r="BK62" s="72" t="str">
        <f>IF('Cálculo MP'!R72="","",'Cálculo MP'!R72)</f>
        <v/>
      </c>
      <c r="BL62" s="72" t="str">
        <f>IF('Cálculo MP'!S72="","",'Cálculo MP'!S72)</f>
        <v/>
      </c>
      <c r="BM62" s="71"/>
      <c r="BN62" s="71"/>
      <c r="BO62" s="71"/>
      <c r="BP62" s="71"/>
      <c r="BQ62" s="71"/>
      <c r="BR62" s="71"/>
      <c r="BS62" s="71"/>
    </row>
    <row r="63" spans="1:71" ht="19.5" customHeight="1" x14ac:dyDescent="0.15">
      <c r="A63" s="56" t="s">
        <v>985</v>
      </c>
      <c r="B63" s="57" t="s">
        <v>986</v>
      </c>
      <c r="C63" s="58" t="s">
        <v>985</v>
      </c>
      <c r="D63" s="59" t="s">
        <v>985</v>
      </c>
      <c r="E63" s="61"/>
      <c r="F63" s="60" t="s">
        <v>95</v>
      </c>
      <c r="G63" s="61"/>
      <c r="H63" s="62"/>
      <c r="I63" s="75"/>
      <c r="J63" s="60" t="s">
        <v>95</v>
      </c>
      <c r="K63" s="64"/>
      <c r="L63" s="64"/>
      <c r="M63" s="64" t="s">
        <v>96</v>
      </c>
      <c r="N63" s="64" t="s">
        <v>97</v>
      </c>
      <c r="O63" s="65" t="s">
        <v>986</v>
      </c>
      <c r="P63" s="70" t="s">
        <v>96</v>
      </c>
      <c r="Q63" s="60" t="s">
        <v>95</v>
      </c>
      <c r="R63" s="60" t="s">
        <v>96</v>
      </c>
      <c r="S63" s="66" t="s">
        <v>96</v>
      </c>
      <c r="T63" s="67" t="s">
        <v>96</v>
      </c>
      <c r="U63" s="60" t="s">
        <v>96</v>
      </c>
      <c r="V63" s="60" t="s">
        <v>96</v>
      </c>
      <c r="W63" s="60" t="str" cm="1">
        <f t="array" ref="W63">_xlfn.LET(_xlpm.resultados,_xlfn.UNIQUE(_xlfn._xlws.FILTER(Tabla1[Proceso],(Tabla1[Metal Base]=Q63)*(Tabla1[Etiquetas]=_xlfn.TEXTJOIN(" + ",TRUE,IF((TRIM(Upload!R63:V63)="")+(LOWER(TRIM(Upload!R63:V63))="(seleccione)"),"",PROPER(TRIM(Upload!R63:V63)))))*(Tabla1[Línea2]=IFERROR(VLOOKUP(Upload!P63&amp;"*",CAT_Procesos!D:D,1,FALSE),"")))),_xlpm.cantidad,ROWS(_xlpm.resultados),IF(ISERROR(_xlpm.cantidad),"Combinación no existente",IF(_xlpm.cantidad=1,INDEX(_xlpm.resultados,1),"(seleccione)")))</f>
        <v>Combinación no existente</v>
      </c>
      <c r="X63" s="67" t="s">
        <v>96</v>
      </c>
      <c r="Y63" s="64"/>
      <c r="Z63" s="64"/>
      <c r="AA63" s="64"/>
      <c r="AB63" s="133" t="s">
        <v>96</v>
      </c>
      <c r="AC63" s="64"/>
      <c r="AD63" s="64"/>
      <c r="AE63" s="64"/>
      <c r="AF63" s="60" t="s">
        <v>96</v>
      </c>
      <c r="AG63" s="64"/>
      <c r="AH63" s="64"/>
      <c r="AI63" s="64"/>
      <c r="AJ63" s="68" t="s">
        <v>96</v>
      </c>
      <c r="AK63" s="69" t="str">
        <f t="shared" si="0"/>
        <v/>
      </c>
      <c r="AL63" s="70" t="s">
        <v>96</v>
      </c>
      <c r="AM63" s="69" t="str">
        <f t="shared" si="1"/>
        <v/>
      </c>
      <c r="AN63" s="71"/>
      <c r="AO63" s="71"/>
      <c r="AP63" s="71"/>
      <c r="AQ63" s="71"/>
      <c r="AR63" s="71" t="s">
        <v>96</v>
      </c>
      <c r="AS63" s="71"/>
      <c r="AT63" s="71" t="s">
        <v>96</v>
      </c>
      <c r="AU63" s="71"/>
      <c r="AV63" s="71" t="s">
        <v>95</v>
      </c>
      <c r="AW63" s="71"/>
      <c r="AX63" s="71"/>
      <c r="AY63" s="71"/>
      <c r="AZ63" s="71"/>
      <c r="BA63" s="71"/>
      <c r="BB63" s="70" t="s">
        <v>218</v>
      </c>
      <c r="BC63" s="70" t="s">
        <v>98</v>
      </c>
      <c r="BD63" s="72" t="str">
        <f>IF('Cálculo MP'!K73="","",'Cálculo MP'!K73)</f>
        <v/>
      </c>
      <c r="BE63" s="72" t="str">
        <f>IF('Cálculo MP'!L73="","",'Cálculo MP'!L73)</f>
        <v/>
      </c>
      <c r="BF63" s="72" t="str">
        <f>IF('Cálculo MP'!M73="","",'Cálculo MP'!M73)</f>
        <v/>
      </c>
      <c r="BG63" s="72" t="str">
        <f>IF('Cálculo MP'!N73="","",'Cálculo MP'!N73)</f>
        <v/>
      </c>
      <c r="BH63" s="72" t="str">
        <f>IF('Cálculo MP'!O73="","",'Cálculo MP'!O73)</f>
        <v/>
      </c>
      <c r="BI63" s="72" t="str">
        <f>IF('Cálculo MP'!P73="","",'Cálculo MP'!P73)</f>
        <v/>
      </c>
      <c r="BJ63" s="72" t="str">
        <f>IF('Cálculo MP'!Q73="","",'Cálculo MP'!Q73)</f>
        <v/>
      </c>
      <c r="BK63" s="72" t="str">
        <f>IF('Cálculo MP'!R73="","",'Cálculo MP'!R73)</f>
        <v/>
      </c>
      <c r="BL63" s="72" t="str">
        <f>IF('Cálculo MP'!S73="","",'Cálculo MP'!S73)</f>
        <v/>
      </c>
      <c r="BM63" s="71"/>
      <c r="BN63" s="71"/>
      <c r="BO63" s="71"/>
      <c r="BP63" s="71"/>
      <c r="BQ63" s="71"/>
      <c r="BR63" s="71"/>
      <c r="BS63" s="71"/>
    </row>
    <row r="64" spans="1:71" ht="19.5" customHeight="1" x14ac:dyDescent="0.15">
      <c r="A64" s="56" t="s">
        <v>985</v>
      </c>
      <c r="B64" s="57" t="s">
        <v>986</v>
      </c>
      <c r="C64" s="58" t="s">
        <v>985</v>
      </c>
      <c r="D64" s="59" t="s">
        <v>985</v>
      </c>
      <c r="E64" s="61"/>
      <c r="F64" s="60" t="s">
        <v>95</v>
      </c>
      <c r="G64" s="61"/>
      <c r="H64" s="62"/>
      <c r="I64" s="75"/>
      <c r="J64" s="60" t="s">
        <v>95</v>
      </c>
      <c r="K64" s="64"/>
      <c r="L64" s="64"/>
      <c r="M64" s="64" t="s">
        <v>96</v>
      </c>
      <c r="N64" s="64" t="s">
        <v>97</v>
      </c>
      <c r="O64" s="65" t="s">
        <v>986</v>
      </c>
      <c r="P64" s="70" t="s">
        <v>96</v>
      </c>
      <c r="Q64" s="60" t="s">
        <v>95</v>
      </c>
      <c r="R64" s="60" t="s">
        <v>96</v>
      </c>
      <c r="S64" s="66" t="s">
        <v>96</v>
      </c>
      <c r="T64" s="67" t="s">
        <v>96</v>
      </c>
      <c r="U64" s="60" t="s">
        <v>96</v>
      </c>
      <c r="V64" s="60" t="s">
        <v>96</v>
      </c>
      <c r="W64" s="60" t="str" cm="1">
        <f t="array" ref="W64">_xlfn.LET(_xlpm.resultados,_xlfn.UNIQUE(_xlfn._xlws.FILTER(Tabla1[Proceso],(Tabla1[Metal Base]=Q64)*(Tabla1[Etiquetas]=_xlfn.TEXTJOIN(" + ",TRUE,IF((TRIM(Upload!R64:V64)="")+(LOWER(TRIM(Upload!R64:V64))="(seleccione)"),"",PROPER(TRIM(Upload!R64:V64)))))*(Tabla1[Línea2]=IFERROR(VLOOKUP(Upload!P64&amp;"*",CAT_Procesos!D:D,1,FALSE),"")))),_xlpm.cantidad,ROWS(_xlpm.resultados),IF(ISERROR(_xlpm.cantidad),"Combinación no existente",IF(_xlpm.cantidad=1,INDEX(_xlpm.resultados,1),"(seleccione)")))</f>
        <v>Combinación no existente</v>
      </c>
      <c r="X64" s="67" t="s">
        <v>96</v>
      </c>
      <c r="Y64" s="64"/>
      <c r="Z64" s="64"/>
      <c r="AA64" s="64"/>
      <c r="AB64" s="133" t="s">
        <v>96</v>
      </c>
      <c r="AC64" s="64"/>
      <c r="AD64" s="64"/>
      <c r="AE64" s="64"/>
      <c r="AF64" s="60" t="s">
        <v>96</v>
      </c>
      <c r="AG64" s="64"/>
      <c r="AH64" s="64"/>
      <c r="AI64" s="64"/>
      <c r="AJ64" s="68" t="s">
        <v>96</v>
      </c>
      <c r="AK64" s="69" t="str">
        <f t="shared" si="0"/>
        <v/>
      </c>
      <c r="AL64" s="70" t="s">
        <v>96</v>
      </c>
      <c r="AM64" s="69" t="str">
        <f t="shared" si="1"/>
        <v/>
      </c>
      <c r="AN64" s="71"/>
      <c r="AO64" s="71"/>
      <c r="AP64" s="71"/>
      <c r="AQ64" s="71"/>
      <c r="AR64" s="71" t="s">
        <v>96</v>
      </c>
      <c r="AS64" s="71"/>
      <c r="AT64" s="71" t="s">
        <v>96</v>
      </c>
      <c r="AU64" s="71"/>
      <c r="AV64" s="71" t="s">
        <v>95</v>
      </c>
      <c r="AW64" s="71"/>
      <c r="AX64" s="71"/>
      <c r="AY64" s="71"/>
      <c r="AZ64" s="71"/>
      <c r="BA64" s="71"/>
      <c r="BB64" s="70" t="s">
        <v>218</v>
      </c>
      <c r="BC64" s="70" t="s">
        <v>98</v>
      </c>
      <c r="BD64" s="72" t="str">
        <f>IF('Cálculo MP'!K74="","",'Cálculo MP'!K74)</f>
        <v/>
      </c>
      <c r="BE64" s="72" t="str">
        <f>IF('Cálculo MP'!L74="","",'Cálculo MP'!L74)</f>
        <v/>
      </c>
      <c r="BF64" s="72" t="str">
        <f>IF('Cálculo MP'!M74="","",'Cálculo MP'!M74)</f>
        <v/>
      </c>
      <c r="BG64" s="72" t="str">
        <f>IF('Cálculo MP'!N74="","",'Cálculo MP'!N74)</f>
        <v/>
      </c>
      <c r="BH64" s="72" t="str">
        <f>IF('Cálculo MP'!O74="","",'Cálculo MP'!O74)</f>
        <v/>
      </c>
      <c r="BI64" s="72" t="str">
        <f>IF('Cálculo MP'!P74="","",'Cálculo MP'!P74)</f>
        <v/>
      </c>
      <c r="BJ64" s="72" t="str">
        <f>IF('Cálculo MP'!Q74="","",'Cálculo MP'!Q74)</f>
        <v/>
      </c>
      <c r="BK64" s="72" t="str">
        <f>IF('Cálculo MP'!R74="","",'Cálculo MP'!R74)</f>
        <v/>
      </c>
      <c r="BL64" s="72" t="str">
        <f>IF('Cálculo MP'!S74="","",'Cálculo MP'!S74)</f>
        <v/>
      </c>
      <c r="BM64" s="71"/>
      <c r="BN64" s="71"/>
      <c r="BO64" s="71"/>
      <c r="BP64" s="71"/>
      <c r="BQ64" s="71"/>
      <c r="BR64" s="71"/>
      <c r="BS64" s="71"/>
    </row>
    <row r="65" spans="1:71" ht="19.5" customHeight="1" x14ac:dyDescent="0.15">
      <c r="A65" s="56" t="s">
        <v>985</v>
      </c>
      <c r="B65" s="57" t="s">
        <v>986</v>
      </c>
      <c r="C65" s="58" t="s">
        <v>985</v>
      </c>
      <c r="D65" s="59" t="s">
        <v>985</v>
      </c>
      <c r="E65" s="61"/>
      <c r="F65" s="60" t="s">
        <v>95</v>
      </c>
      <c r="G65" s="61"/>
      <c r="H65" s="62"/>
      <c r="I65" s="75"/>
      <c r="J65" s="60" t="s">
        <v>95</v>
      </c>
      <c r="K65" s="64"/>
      <c r="L65" s="64"/>
      <c r="M65" s="64" t="s">
        <v>96</v>
      </c>
      <c r="N65" s="64" t="s">
        <v>97</v>
      </c>
      <c r="O65" s="65" t="s">
        <v>986</v>
      </c>
      <c r="P65" s="70" t="s">
        <v>96</v>
      </c>
      <c r="Q65" s="60" t="s">
        <v>95</v>
      </c>
      <c r="R65" s="60" t="s">
        <v>96</v>
      </c>
      <c r="S65" s="66" t="s">
        <v>96</v>
      </c>
      <c r="T65" s="67" t="s">
        <v>96</v>
      </c>
      <c r="U65" s="60" t="s">
        <v>96</v>
      </c>
      <c r="V65" s="60" t="s">
        <v>96</v>
      </c>
      <c r="W65" s="60" t="str" cm="1">
        <f t="array" ref="W65">_xlfn.LET(_xlpm.resultados,_xlfn.UNIQUE(_xlfn._xlws.FILTER(Tabla1[Proceso],(Tabla1[Metal Base]=Q65)*(Tabla1[Etiquetas]=_xlfn.TEXTJOIN(" + ",TRUE,IF((TRIM(Upload!R65:V65)="")+(LOWER(TRIM(Upload!R65:V65))="(seleccione)"),"",PROPER(TRIM(Upload!R65:V65)))))*(Tabla1[Línea2]=IFERROR(VLOOKUP(Upload!P65&amp;"*",CAT_Procesos!D:D,1,FALSE),"")))),_xlpm.cantidad,ROWS(_xlpm.resultados),IF(ISERROR(_xlpm.cantidad),"Combinación no existente",IF(_xlpm.cantidad=1,INDEX(_xlpm.resultados,1),"(seleccione)")))</f>
        <v>Combinación no existente</v>
      </c>
      <c r="X65" s="67" t="s">
        <v>96</v>
      </c>
      <c r="Y65" s="64"/>
      <c r="Z65" s="64"/>
      <c r="AA65" s="64"/>
      <c r="AB65" s="133" t="s">
        <v>96</v>
      </c>
      <c r="AC65" s="64"/>
      <c r="AD65" s="64"/>
      <c r="AE65" s="64"/>
      <c r="AF65" s="60" t="s">
        <v>96</v>
      </c>
      <c r="AG65" s="64"/>
      <c r="AH65" s="64"/>
      <c r="AI65" s="64"/>
      <c r="AJ65" s="68" t="s">
        <v>96</v>
      </c>
      <c r="AK65" s="69" t="str">
        <f t="shared" si="0"/>
        <v/>
      </c>
      <c r="AL65" s="70" t="s">
        <v>96</v>
      </c>
      <c r="AM65" s="69" t="str">
        <f t="shared" si="1"/>
        <v/>
      </c>
      <c r="AN65" s="71"/>
      <c r="AO65" s="71"/>
      <c r="AP65" s="71"/>
      <c r="AQ65" s="71"/>
      <c r="AR65" s="71" t="s">
        <v>96</v>
      </c>
      <c r="AS65" s="71"/>
      <c r="AT65" s="71" t="s">
        <v>96</v>
      </c>
      <c r="AU65" s="71"/>
      <c r="AV65" s="71" t="s">
        <v>95</v>
      </c>
      <c r="AW65" s="71"/>
      <c r="AX65" s="71"/>
      <c r="AY65" s="71"/>
      <c r="AZ65" s="71"/>
      <c r="BA65" s="71"/>
      <c r="BB65" s="70" t="s">
        <v>218</v>
      </c>
      <c r="BC65" s="70" t="s">
        <v>98</v>
      </c>
      <c r="BD65" s="72" t="str">
        <f>IF('Cálculo MP'!K75="","",'Cálculo MP'!K75)</f>
        <v/>
      </c>
      <c r="BE65" s="72" t="str">
        <f>IF('Cálculo MP'!L75="","",'Cálculo MP'!L75)</f>
        <v/>
      </c>
      <c r="BF65" s="72" t="str">
        <f>IF('Cálculo MP'!M75="","",'Cálculo MP'!M75)</f>
        <v/>
      </c>
      <c r="BG65" s="72" t="str">
        <f>IF('Cálculo MP'!N75="","",'Cálculo MP'!N75)</f>
        <v/>
      </c>
      <c r="BH65" s="72" t="str">
        <f>IF('Cálculo MP'!O75="","",'Cálculo MP'!O75)</f>
        <v/>
      </c>
      <c r="BI65" s="72" t="str">
        <f>IF('Cálculo MP'!P75="","",'Cálculo MP'!P75)</f>
        <v/>
      </c>
      <c r="BJ65" s="72" t="str">
        <f>IF('Cálculo MP'!Q75="","",'Cálculo MP'!Q75)</f>
        <v/>
      </c>
      <c r="BK65" s="72" t="str">
        <f>IF('Cálculo MP'!R75="","",'Cálculo MP'!R75)</f>
        <v/>
      </c>
      <c r="BL65" s="72" t="str">
        <f>IF('Cálculo MP'!S75="","",'Cálculo MP'!S75)</f>
        <v/>
      </c>
      <c r="BM65" s="71"/>
      <c r="BN65" s="71"/>
      <c r="BO65" s="71"/>
      <c r="BP65" s="71"/>
      <c r="BQ65" s="71"/>
      <c r="BR65" s="71"/>
      <c r="BS65" s="71"/>
    </row>
    <row r="66" spans="1:71" ht="19.5" customHeight="1" x14ac:dyDescent="0.15">
      <c r="A66" s="56" t="s">
        <v>985</v>
      </c>
      <c r="B66" s="57" t="s">
        <v>986</v>
      </c>
      <c r="C66" s="58" t="s">
        <v>985</v>
      </c>
      <c r="D66" s="59" t="s">
        <v>985</v>
      </c>
      <c r="E66" s="61"/>
      <c r="F66" s="60" t="s">
        <v>95</v>
      </c>
      <c r="G66" s="61"/>
      <c r="H66" s="62"/>
      <c r="I66" s="75"/>
      <c r="J66" s="60" t="s">
        <v>95</v>
      </c>
      <c r="K66" s="64"/>
      <c r="L66" s="64"/>
      <c r="M66" s="64" t="s">
        <v>96</v>
      </c>
      <c r="N66" s="64" t="s">
        <v>97</v>
      </c>
      <c r="O66" s="65" t="s">
        <v>986</v>
      </c>
      <c r="P66" s="70" t="s">
        <v>96</v>
      </c>
      <c r="Q66" s="60" t="s">
        <v>95</v>
      </c>
      <c r="R66" s="60" t="s">
        <v>96</v>
      </c>
      <c r="S66" s="66" t="s">
        <v>96</v>
      </c>
      <c r="T66" s="67" t="s">
        <v>96</v>
      </c>
      <c r="U66" s="60" t="s">
        <v>96</v>
      </c>
      <c r="V66" s="60" t="s">
        <v>96</v>
      </c>
      <c r="W66" s="60" t="str" cm="1">
        <f t="array" ref="W66">_xlfn.LET(_xlpm.resultados,_xlfn.UNIQUE(_xlfn._xlws.FILTER(Tabla1[Proceso],(Tabla1[Metal Base]=Q66)*(Tabla1[Etiquetas]=_xlfn.TEXTJOIN(" + ",TRUE,IF((TRIM(Upload!R66:V66)="")+(LOWER(TRIM(Upload!R66:V66))="(seleccione)"),"",PROPER(TRIM(Upload!R66:V66)))))*(Tabla1[Línea2]=IFERROR(VLOOKUP(Upload!P66&amp;"*",CAT_Procesos!D:D,1,FALSE),"")))),_xlpm.cantidad,ROWS(_xlpm.resultados),IF(ISERROR(_xlpm.cantidad),"Combinación no existente",IF(_xlpm.cantidad=1,INDEX(_xlpm.resultados,1),"(seleccione)")))</f>
        <v>Combinación no existente</v>
      </c>
      <c r="X66" s="67" t="s">
        <v>96</v>
      </c>
      <c r="Y66" s="64"/>
      <c r="Z66" s="64"/>
      <c r="AA66" s="64"/>
      <c r="AB66" s="133" t="s">
        <v>96</v>
      </c>
      <c r="AC66" s="64"/>
      <c r="AD66" s="64"/>
      <c r="AE66" s="64"/>
      <c r="AF66" s="60" t="s">
        <v>96</v>
      </c>
      <c r="AG66" s="64"/>
      <c r="AH66" s="64"/>
      <c r="AI66" s="64"/>
      <c r="AJ66" s="68" t="s">
        <v>96</v>
      </c>
      <c r="AK66" s="69" t="str">
        <f t="shared" si="0"/>
        <v/>
      </c>
      <c r="AL66" s="70" t="s">
        <v>96</v>
      </c>
      <c r="AM66" s="69" t="str">
        <f t="shared" si="1"/>
        <v/>
      </c>
      <c r="AN66" s="71"/>
      <c r="AO66" s="71"/>
      <c r="AP66" s="71"/>
      <c r="AQ66" s="71"/>
      <c r="AR66" s="71" t="s">
        <v>96</v>
      </c>
      <c r="AS66" s="71"/>
      <c r="AT66" s="71" t="s">
        <v>96</v>
      </c>
      <c r="AU66" s="71"/>
      <c r="AV66" s="71" t="s">
        <v>95</v>
      </c>
      <c r="AW66" s="71"/>
      <c r="AX66" s="71"/>
      <c r="AY66" s="71"/>
      <c r="AZ66" s="71"/>
      <c r="BA66" s="71"/>
      <c r="BB66" s="70" t="s">
        <v>218</v>
      </c>
      <c r="BC66" s="70" t="s">
        <v>98</v>
      </c>
      <c r="BD66" s="72" t="str">
        <f>IF('Cálculo MP'!K76="","",'Cálculo MP'!K76)</f>
        <v/>
      </c>
      <c r="BE66" s="72" t="str">
        <f>IF('Cálculo MP'!L76="","",'Cálculo MP'!L76)</f>
        <v/>
      </c>
      <c r="BF66" s="72" t="str">
        <f>IF('Cálculo MP'!M76="","",'Cálculo MP'!M76)</f>
        <v/>
      </c>
      <c r="BG66" s="72" t="str">
        <f>IF('Cálculo MP'!N76="","",'Cálculo MP'!N76)</f>
        <v/>
      </c>
      <c r="BH66" s="72" t="str">
        <f>IF('Cálculo MP'!O76="","",'Cálculo MP'!O76)</f>
        <v/>
      </c>
      <c r="BI66" s="72" t="str">
        <f>IF('Cálculo MP'!P76="","",'Cálculo MP'!P76)</f>
        <v/>
      </c>
      <c r="BJ66" s="72" t="str">
        <f>IF('Cálculo MP'!Q76="","",'Cálculo MP'!Q76)</f>
        <v/>
      </c>
      <c r="BK66" s="72" t="str">
        <f>IF('Cálculo MP'!R76="","",'Cálculo MP'!R76)</f>
        <v/>
      </c>
      <c r="BL66" s="72" t="str">
        <f>IF('Cálculo MP'!S76="","",'Cálculo MP'!S76)</f>
        <v/>
      </c>
      <c r="BM66" s="71"/>
      <c r="BN66" s="71"/>
      <c r="BO66" s="71"/>
      <c r="BP66" s="71"/>
      <c r="BQ66" s="71"/>
      <c r="BR66" s="71"/>
      <c r="BS66" s="71"/>
    </row>
    <row r="67" spans="1:71" ht="19.5" customHeight="1" x14ac:dyDescent="0.15">
      <c r="A67" s="56" t="s">
        <v>985</v>
      </c>
      <c r="B67" s="57" t="s">
        <v>986</v>
      </c>
      <c r="C67" s="58" t="s">
        <v>985</v>
      </c>
      <c r="D67" s="59" t="s">
        <v>985</v>
      </c>
      <c r="E67" s="61"/>
      <c r="F67" s="60" t="s">
        <v>95</v>
      </c>
      <c r="G67" s="61"/>
      <c r="H67" s="62"/>
      <c r="I67" s="75"/>
      <c r="J67" s="60" t="s">
        <v>95</v>
      </c>
      <c r="K67" s="64"/>
      <c r="L67" s="64"/>
      <c r="M67" s="64" t="s">
        <v>96</v>
      </c>
      <c r="N67" s="64" t="s">
        <v>97</v>
      </c>
      <c r="O67" s="65" t="s">
        <v>986</v>
      </c>
      <c r="P67" s="70" t="s">
        <v>96</v>
      </c>
      <c r="Q67" s="60" t="s">
        <v>95</v>
      </c>
      <c r="R67" s="60" t="s">
        <v>96</v>
      </c>
      <c r="S67" s="66" t="s">
        <v>96</v>
      </c>
      <c r="T67" s="67" t="s">
        <v>96</v>
      </c>
      <c r="U67" s="60" t="s">
        <v>96</v>
      </c>
      <c r="V67" s="60" t="s">
        <v>96</v>
      </c>
      <c r="W67" s="60" t="str" cm="1">
        <f t="array" ref="W67">_xlfn.LET(_xlpm.resultados,_xlfn.UNIQUE(_xlfn._xlws.FILTER(Tabla1[Proceso],(Tabla1[Metal Base]=Q67)*(Tabla1[Etiquetas]=_xlfn.TEXTJOIN(" + ",TRUE,IF((TRIM(Upload!R67:V67)="")+(LOWER(TRIM(Upload!R67:V67))="(seleccione)"),"",PROPER(TRIM(Upload!R67:V67)))))*(Tabla1[Línea2]=IFERROR(VLOOKUP(Upload!P67&amp;"*",CAT_Procesos!D:D,1,FALSE),"")))),_xlpm.cantidad,ROWS(_xlpm.resultados),IF(ISERROR(_xlpm.cantidad),"Combinación no existente",IF(_xlpm.cantidad=1,INDEX(_xlpm.resultados,1),"(seleccione)")))</f>
        <v>Combinación no existente</v>
      </c>
      <c r="X67" s="67" t="s">
        <v>96</v>
      </c>
      <c r="Y67" s="64"/>
      <c r="Z67" s="64"/>
      <c r="AA67" s="64"/>
      <c r="AB67" s="133" t="s">
        <v>96</v>
      </c>
      <c r="AC67" s="64"/>
      <c r="AD67" s="64"/>
      <c r="AE67" s="64"/>
      <c r="AF67" s="60" t="s">
        <v>96</v>
      </c>
      <c r="AG67" s="64"/>
      <c r="AH67" s="64"/>
      <c r="AI67" s="64"/>
      <c r="AJ67" s="68" t="s">
        <v>96</v>
      </c>
      <c r="AK67" s="69" t="str">
        <f t="shared" si="0"/>
        <v/>
      </c>
      <c r="AL67" s="70" t="s">
        <v>96</v>
      </c>
      <c r="AM67" s="69" t="str">
        <f t="shared" si="1"/>
        <v/>
      </c>
      <c r="AN67" s="71"/>
      <c r="AO67" s="71"/>
      <c r="AP67" s="71"/>
      <c r="AQ67" s="71"/>
      <c r="AR67" s="71" t="s">
        <v>96</v>
      </c>
      <c r="AS67" s="71"/>
      <c r="AT67" s="71" t="s">
        <v>96</v>
      </c>
      <c r="AU67" s="71"/>
      <c r="AV67" s="71" t="s">
        <v>95</v>
      </c>
      <c r="AW67" s="71"/>
      <c r="AX67" s="71"/>
      <c r="AY67" s="71"/>
      <c r="AZ67" s="71"/>
      <c r="BA67" s="71"/>
      <c r="BB67" s="70" t="s">
        <v>218</v>
      </c>
      <c r="BC67" s="70" t="s">
        <v>98</v>
      </c>
      <c r="BD67" s="72" t="str">
        <f>IF('Cálculo MP'!K77="","",'Cálculo MP'!K77)</f>
        <v/>
      </c>
      <c r="BE67" s="72" t="str">
        <f>IF('Cálculo MP'!L77="","",'Cálculo MP'!L77)</f>
        <v/>
      </c>
      <c r="BF67" s="72" t="str">
        <f>IF('Cálculo MP'!M77="","",'Cálculo MP'!M77)</f>
        <v/>
      </c>
      <c r="BG67" s="72" t="str">
        <f>IF('Cálculo MP'!N77="","",'Cálculo MP'!N77)</f>
        <v/>
      </c>
      <c r="BH67" s="72" t="str">
        <f>IF('Cálculo MP'!O77="","",'Cálculo MP'!O77)</f>
        <v/>
      </c>
      <c r="BI67" s="72" t="str">
        <f>IF('Cálculo MP'!P77="","",'Cálculo MP'!P77)</f>
        <v/>
      </c>
      <c r="BJ67" s="72" t="str">
        <f>IF('Cálculo MP'!Q77="","",'Cálculo MP'!Q77)</f>
        <v/>
      </c>
      <c r="BK67" s="72" t="str">
        <f>IF('Cálculo MP'!R77="","",'Cálculo MP'!R77)</f>
        <v/>
      </c>
      <c r="BL67" s="72" t="str">
        <f>IF('Cálculo MP'!S77="","",'Cálculo MP'!S77)</f>
        <v/>
      </c>
      <c r="BM67" s="71"/>
      <c r="BN67" s="71"/>
      <c r="BO67" s="71"/>
      <c r="BP67" s="71"/>
      <c r="BQ67" s="71"/>
      <c r="BR67" s="71"/>
      <c r="BS67" s="71"/>
    </row>
    <row r="68" spans="1:71" ht="19.5" customHeight="1" x14ac:dyDescent="0.15">
      <c r="A68" s="56" t="s">
        <v>985</v>
      </c>
      <c r="B68" s="57" t="s">
        <v>986</v>
      </c>
      <c r="C68" s="58" t="s">
        <v>985</v>
      </c>
      <c r="D68" s="59" t="s">
        <v>985</v>
      </c>
      <c r="E68" s="61"/>
      <c r="F68" s="60" t="s">
        <v>95</v>
      </c>
      <c r="G68" s="61"/>
      <c r="H68" s="62"/>
      <c r="I68" s="75"/>
      <c r="J68" s="60" t="s">
        <v>95</v>
      </c>
      <c r="K68" s="64"/>
      <c r="L68" s="64"/>
      <c r="M68" s="64" t="s">
        <v>96</v>
      </c>
      <c r="N68" s="64" t="s">
        <v>97</v>
      </c>
      <c r="O68" s="65" t="s">
        <v>986</v>
      </c>
      <c r="P68" s="70" t="s">
        <v>96</v>
      </c>
      <c r="Q68" s="60" t="s">
        <v>95</v>
      </c>
      <c r="R68" s="60" t="s">
        <v>96</v>
      </c>
      <c r="S68" s="66" t="s">
        <v>96</v>
      </c>
      <c r="T68" s="67" t="s">
        <v>96</v>
      </c>
      <c r="U68" s="60" t="s">
        <v>96</v>
      </c>
      <c r="V68" s="60" t="s">
        <v>96</v>
      </c>
      <c r="W68" s="60" t="str" cm="1">
        <f t="array" ref="W68">_xlfn.LET(_xlpm.resultados,_xlfn.UNIQUE(_xlfn._xlws.FILTER(Tabla1[Proceso],(Tabla1[Metal Base]=Q68)*(Tabla1[Etiquetas]=_xlfn.TEXTJOIN(" + ",TRUE,IF((TRIM(Upload!R68:V68)="")+(LOWER(TRIM(Upload!R68:V68))="(seleccione)"),"",PROPER(TRIM(Upload!R68:V68)))))*(Tabla1[Línea2]=IFERROR(VLOOKUP(Upload!P68&amp;"*",CAT_Procesos!D:D,1,FALSE),"")))),_xlpm.cantidad,ROWS(_xlpm.resultados),IF(ISERROR(_xlpm.cantidad),"Combinación no existente",IF(_xlpm.cantidad=1,INDEX(_xlpm.resultados,1),"(seleccione)")))</f>
        <v>Combinación no existente</v>
      </c>
      <c r="X68" s="67" t="s">
        <v>96</v>
      </c>
      <c r="Y68" s="64"/>
      <c r="Z68" s="64"/>
      <c r="AA68" s="64"/>
      <c r="AB68" s="133" t="s">
        <v>96</v>
      </c>
      <c r="AC68" s="64"/>
      <c r="AD68" s="64"/>
      <c r="AE68" s="64"/>
      <c r="AF68" s="60" t="s">
        <v>96</v>
      </c>
      <c r="AG68" s="64"/>
      <c r="AH68" s="64"/>
      <c r="AI68" s="64"/>
      <c r="AJ68" s="68" t="s">
        <v>96</v>
      </c>
      <c r="AK68" s="69" t="str">
        <f t="shared" si="0"/>
        <v/>
      </c>
      <c r="AL68" s="70" t="s">
        <v>96</v>
      </c>
      <c r="AM68" s="69" t="str">
        <f t="shared" si="1"/>
        <v/>
      </c>
      <c r="AN68" s="71"/>
      <c r="AO68" s="71"/>
      <c r="AP68" s="71"/>
      <c r="AQ68" s="71"/>
      <c r="AR68" s="71" t="s">
        <v>96</v>
      </c>
      <c r="AS68" s="71"/>
      <c r="AT68" s="71" t="s">
        <v>96</v>
      </c>
      <c r="AU68" s="71"/>
      <c r="AV68" s="71" t="s">
        <v>95</v>
      </c>
      <c r="AW68" s="71"/>
      <c r="AX68" s="71"/>
      <c r="AY68" s="71"/>
      <c r="AZ68" s="71"/>
      <c r="BA68" s="71"/>
      <c r="BB68" s="70" t="s">
        <v>218</v>
      </c>
      <c r="BC68" s="70" t="s">
        <v>98</v>
      </c>
      <c r="BD68" s="72" t="str">
        <f>IF('Cálculo MP'!K78="","",'Cálculo MP'!K78)</f>
        <v/>
      </c>
      <c r="BE68" s="72" t="str">
        <f>IF('Cálculo MP'!L78="","",'Cálculo MP'!L78)</f>
        <v/>
      </c>
      <c r="BF68" s="72" t="str">
        <f>IF('Cálculo MP'!M78="","",'Cálculo MP'!M78)</f>
        <v/>
      </c>
      <c r="BG68" s="72" t="str">
        <f>IF('Cálculo MP'!N78="","",'Cálculo MP'!N78)</f>
        <v/>
      </c>
      <c r="BH68" s="72" t="str">
        <f>IF('Cálculo MP'!O78="","",'Cálculo MP'!O78)</f>
        <v/>
      </c>
      <c r="BI68" s="72" t="str">
        <f>IF('Cálculo MP'!P78="","",'Cálculo MP'!P78)</f>
        <v/>
      </c>
      <c r="BJ68" s="72" t="str">
        <f>IF('Cálculo MP'!Q78="","",'Cálculo MP'!Q78)</f>
        <v/>
      </c>
      <c r="BK68" s="72" t="str">
        <f>IF('Cálculo MP'!R78="","",'Cálculo MP'!R78)</f>
        <v/>
      </c>
      <c r="BL68" s="72" t="str">
        <f>IF('Cálculo MP'!S78="","",'Cálculo MP'!S78)</f>
        <v/>
      </c>
      <c r="BM68" s="71"/>
      <c r="BN68" s="71"/>
      <c r="BO68" s="71"/>
      <c r="BP68" s="71"/>
      <c r="BQ68" s="71"/>
      <c r="BR68" s="71"/>
      <c r="BS68" s="71"/>
    </row>
    <row r="69" spans="1:71" ht="19.5" customHeight="1" x14ac:dyDescent="0.15">
      <c r="A69" s="56" t="s">
        <v>985</v>
      </c>
      <c r="B69" s="57" t="s">
        <v>986</v>
      </c>
      <c r="C69" s="58" t="s">
        <v>985</v>
      </c>
      <c r="D69" s="59" t="s">
        <v>985</v>
      </c>
      <c r="E69" s="61"/>
      <c r="F69" s="60" t="s">
        <v>95</v>
      </c>
      <c r="G69" s="61"/>
      <c r="H69" s="62"/>
      <c r="I69" s="75"/>
      <c r="J69" s="60" t="s">
        <v>95</v>
      </c>
      <c r="K69" s="64"/>
      <c r="L69" s="64"/>
      <c r="M69" s="64" t="s">
        <v>96</v>
      </c>
      <c r="N69" s="64" t="s">
        <v>97</v>
      </c>
      <c r="O69" s="65" t="s">
        <v>986</v>
      </c>
      <c r="P69" s="70" t="s">
        <v>96</v>
      </c>
      <c r="Q69" s="60" t="s">
        <v>95</v>
      </c>
      <c r="R69" s="60" t="s">
        <v>96</v>
      </c>
      <c r="S69" s="66" t="s">
        <v>96</v>
      </c>
      <c r="T69" s="67" t="s">
        <v>96</v>
      </c>
      <c r="U69" s="60" t="s">
        <v>96</v>
      </c>
      <c r="V69" s="60" t="s">
        <v>96</v>
      </c>
      <c r="W69" s="60" t="str" cm="1">
        <f t="array" ref="W69">_xlfn.LET(_xlpm.resultados,_xlfn.UNIQUE(_xlfn._xlws.FILTER(Tabla1[Proceso],(Tabla1[Metal Base]=Q69)*(Tabla1[Etiquetas]=_xlfn.TEXTJOIN(" + ",TRUE,IF((TRIM(Upload!R69:V69)="")+(LOWER(TRIM(Upload!R69:V69))="(seleccione)"),"",PROPER(TRIM(Upload!R69:V69)))))*(Tabla1[Línea2]=IFERROR(VLOOKUP(Upload!P69&amp;"*",CAT_Procesos!D:D,1,FALSE),"")))),_xlpm.cantidad,ROWS(_xlpm.resultados),IF(ISERROR(_xlpm.cantidad),"Combinación no existente",IF(_xlpm.cantidad=1,INDEX(_xlpm.resultados,1),"(seleccione)")))</f>
        <v>Combinación no existente</v>
      </c>
      <c r="X69" s="67" t="s">
        <v>96</v>
      </c>
      <c r="Y69" s="64"/>
      <c r="Z69" s="64"/>
      <c r="AA69" s="64"/>
      <c r="AB69" s="133" t="s">
        <v>96</v>
      </c>
      <c r="AC69" s="64"/>
      <c r="AD69" s="64"/>
      <c r="AE69" s="64"/>
      <c r="AF69" s="60" t="s">
        <v>96</v>
      </c>
      <c r="AG69" s="64"/>
      <c r="AH69" s="64"/>
      <c r="AI69" s="64"/>
      <c r="AJ69" s="68" t="s">
        <v>96</v>
      </c>
      <c r="AK69" s="69" t="str">
        <f t="shared" si="0"/>
        <v/>
      </c>
      <c r="AL69" s="70" t="s">
        <v>96</v>
      </c>
      <c r="AM69" s="69" t="str">
        <f t="shared" si="1"/>
        <v/>
      </c>
      <c r="AN69" s="71"/>
      <c r="AO69" s="71"/>
      <c r="AP69" s="71"/>
      <c r="AQ69" s="71"/>
      <c r="AR69" s="71" t="s">
        <v>96</v>
      </c>
      <c r="AS69" s="71"/>
      <c r="AT69" s="71" t="s">
        <v>96</v>
      </c>
      <c r="AU69" s="71"/>
      <c r="AV69" s="71" t="s">
        <v>95</v>
      </c>
      <c r="AW69" s="71"/>
      <c r="AX69" s="71"/>
      <c r="AY69" s="71"/>
      <c r="AZ69" s="71"/>
      <c r="BA69" s="71"/>
      <c r="BB69" s="70" t="s">
        <v>218</v>
      </c>
      <c r="BC69" s="70" t="s">
        <v>98</v>
      </c>
      <c r="BD69" s="72" t="str">
        <f>IF('Cálculo MP'!K79="","",'Cálculo MP'!K79)</f>
        <v/>
      </c>
      <c r="BE69" s="72" t="str">
        <f>IF('Cálculo MP'!L79="","",'Cálculo MP'!L79)</f>
        <v/>
      </c>
      <c r="BF69" s="72" t="str">
        <f>IF('Cálculo MP'!M79="","",'Cálculo MP'!M79)</f>
        <v/>
      </c>
      <c r="BG69" s="72" t="str">
        <f>IF('Cálculo MP'!N79="","",'Cálculo MP'!N79)</f>
        <v/>
      </c>
      <c r="BH69" s="72" t="str">
        <f>IF('Cálculo MP'!O79="","",'Cálculo MP'!O79)</f>
        <v/>
      </c>
      <c r="BI69" s="72" t="str">
        <f>IF('Cálculo MP'!P79="","",'Cálculo MP'!P79)</f>
        <v/>
      </c>
      <c r="BJ69" s="72" t="str">
        <f>IF('Cálculo MP'!Q79="","",'Cálculo MP'!Q79)</f>
        <v/>
      </c>
      <c r="BK69" s="72" t="str">
        <f>IF('Cálculo MP'!R79="","",'Cálculo MP'!R79)</f>
        <v/>
      </c>
      <c r="BL69" s="72" t="str">
        <f>IF('Cálculo MP'!S79="","",'Cálculo MP'!S79)</f>
        <v/>
      </c>
      <c r="BM69" s="71"/>
      <c r="BN69" s="71"/>
      <c r="BO69" s="71"/>
      <c r="BP69" s="71"/>
      <c r="BQ69" s="71"/>
      <c r="BR69" s="71"/>
      <c r="BS69" s="71"/>
    </row>
    <row r="70" spans="1:71" ht="19.5" customHeight="1" x14ac:dyDescent="0.15">
      <c r="A70" s="56" t="s">
        <v>985</v>
      </c>
      <c r="B70" s="57" t="s">
        <v>986</v>
      </c>
      <c r="C70" s="58" t="s">
        <v>985</v>
      </c>
      <c r="D70" s="59" t="s">
        <v>985</v>
      </c>
      <c r="E70" s="61"/>
      <c r="F70" s="60" t="s">
        <v>95</v>
      </c>
      <c r="G70" s="61"/>
      <c r="H70" s="62"/>
      <c r="I70" s="75"/>
      <c r="J70" s="60" t="s">
        <v>95</v>
      </c>
      <c r="K70" s="64"/>
      <c r="L70" s="64"/>
      <c r="M70" s="64" t="s">
        <v>96</v>
      </c>
      <c r="N70" s="64" t="s">
        <v>97</v>
      </c>
      <c r="O70" s="65" t="s">
        <v>986</v>
      </c>
      <c r="P70" s="70" t="s">
        <v>96</v>
      </c>
      <c r="Q70" s="60" t="s">
        <v>95</v>
      </c>
      <c r="R70" s="60" t="s">
        <v>96</v>
      </c>
      <c r="S70" s="66" t="s">
        <v>96</v>
      </c>
      <c r="T70" s="67" t="s">
        <v>96</v>
      </c>
      <c r="U70" s="60" t="s">
        <v>96</v>
      </c>
      <c r="V70" s="60" t="s">
        <v>96</v>
      </c>
      <c r="W70" s="60" t="str" cm="1">
        <f t="array" ref="W70">_xlfn.LET(_xlpm.resultados,_xlfn.UNIQUE(_xlfn._xlws.FILTER(Tabla1[Proceso],(Tabla1[Metal Base]=Q70)*(Tabla1[Etiquetas]=_xlfn.TEXTJOIN(" + ",TRUE,IF((TRIM(Upload!R70:V70)="")+(LOWER(TRIM(Upload!R70:V70))="(seleccione)"),"",PROPER(TRIM(Upload!R70:V70)))))*(Tabla1[Línea2]=IFERROR(VLOOKUP(Upload!P70&amp;"*",CAT_Procesos!D:D,1,FALSE),"")))),_xlpm.cantidad,ROWS(_xlpm.resultados),IF(ISERROR(_xlpm.cantidad),"Combinación no existente",IF(_xlpm.cantidad=1,INDEX(_xlpm.resultados,1),"(seleccione)")))</f>
        <v>Combinación no existente</v>
      </c>
      <c r="X70" s="67" t="s">
        <v>96</v>
      </c>
      <c r="Y70" s="64"/>
      <c r="Z70" s="64"/>
      <c r="AA70" s="64"/>
      <c r="AB70" s="133" t="s">
        <v>96</v>
      </c>
      <c r="AC70" s="64"/>
      <c r="AD70" s="64"/>
      <c r="AE70" s="64"/>
      <c r="AF70" s="60" t="s">
        <v>96</v>
      </c>
      <c r="AG70" s="64"/>
      <c r="AH70" s="64"/>
      <c r="AI70" s="64"/>
      <c r="AJ70" s="68" t="s">
        <v>96</v>
      </c>
      <c r="AK70" s="69" t="str">
        <f t="shared" si="0"/>
        <v/>
      </c>
      <c r="AL70" s="70" t="s">
        <v>96</v>
      </c>
      <c r="AM70" s="69" t="str">
        <f t="shared" si="1"/>
        <v/>
      </c>
      <c r="AN70" s="71"/>
      <c r="AO70" s="71"/>
      <c r="AP70" s="71"/>
      <c r="AQ70" s="71"/>
      <c r="AR70" s="71" t="s">
        <v>96</v>
      </c>
      <c r="AS70" s="71"/>
      <c r="AT70" s="71" t="s">
        <v>96</v>
      </c>
      <c r="AU70" s="71"/>
      <c r="AV70" s="71" t="s">
        <v>95</v>
      </c>
      <c r="AW70" s="71"/>
      <c r="AX70" s="71"/>
      <c r="AY70" s="71"/>
      <c r="AZ70" s="71"/>
      <c r="BA70" s="71"/>
      <c r="BB70" s="70" t="s">
        <v>218</v>
      </c>
      <c r="BC70" s="70" t="s">
        <v>98</v>
      </c>
      <c r="BD70" s="72" t="str">
        <f>IF('Cálculo MP'!K80="","",'Cálculo MP'!K80)</f>
        <v/>
      </c>
      <c r="BE70" s="72" t="str">
        <f>IF('Cálculo MP'!L80="","",'Cálculo MP'!L80)</f>
        <v/>
      </c>
      <c r="BF70" s="72" t="str">
        <f>IF('Cálculo MP'!M80="","",'Cálculo MP'!M80)</f>
        <v/>
      </c>
      <c r="BG70" s="72" t="str">
        <f>IF('Cálculo MP'!N80="","",'Cálculo MP'!N80)</f>
        <v/>
      </c>
      <c r="BH70" s="72" t="str">
        <f>IF('Cálculo MP'!O80="","",'Cálculo MP'!O80)</f>
        <v/>
      </c>
      <c r="BI70" s="72" t="str">
        <f>IF('Cálculo MP'!P80="","",'Cálculo MP'!P80)</f>
        <v/>
      </c>
      <c r="BJ70" s="72" t="str">
        <f>IF('Cálculo MP'!Q80="","",'Cálculo MP'!Q80)</f>
        <v/>
      </c>
      <c r="BK70" s="72" t="str">
        <f>IF('Cálculo MP'!R80="","",'Cálculo MP'!R80)</f>
        <v/>
      </c>
      <c r="BL70" s="72" t="str">
        <f>IF('Cálculo MP'!S80="","",'Cálculo MP'!S80)</f>
        <v/>
      </c>
      <c r="BM70" s="71"/>
      <c r="BN70" s="71"/>
      <c r="BO70" s="71"/>
      <c r="BP70" s="71"/>
      <c r="BQ70" s="71"/>
      <c r="BR70" s="71"/>
      <c r="BS70" s="71"/>
    </row>
    <row r="71" spans="1:71" ht="19.5" customHeight="1" x14ac:dyDescent="0.15">
      <c r="A71" s="56" t="s">
        <v>985</v>
      </c>
      <c r="B71" s="57" t="s">
        <v>986</v>
      </c>
      <c r="C71" s="58" t="s">
        <v>985</v>
      </c>
      <c r="D71" s="59" t="s">
        <v>985</v>
      </c>
      <c r="E71" s="61"/>
      <c r="F71" s="60" t="s">
        <v>95</v>
      </c>
      <c r="G71" s="61"/>
      <c r="H71" s="62"/>
      <c r="I71" s="75"/>
      <c r="J71" s="60" t="s">
        <v>95</v>
      </c>
      <c r="K71" s="64"/>
      <c r="L71" s="64"/>
      <c r="M71" s="64" t="s">
        <v>96</v>
      </c>
      <c r="N71" s="64" t="s">
        <v>97</v>
      </c>
      <c r="O71" s="65" t="s">
        <v>986</v>
      </c>
      <c r="P71" s="70" t="s">
        <v>96</v>
      </c>
      <c r="Q71" s="60" t="s">
        <v>95</v>
      </c>
      <c r="R71" s="60" t="s">
        <v>96</v>
      </c>
      <c r="S71" s="66" t="s">
        <v>96</v>
      </c>
      <c r="T71" s="67" t="s">
        <v>96</v>
      </c>
      <c r="U71" s="60" t="s">
        <v>96</v>
      </c>
      <c r="V71" s="60" t="s">
        <v>96</v>
      </c>
      <c r="W71" s="60" t="str" cm="1">
        <f t="array" ref="W71">_xlfn.LET(_xlpm.resultados,_xlfn.UNIQUE(_xlfn._xlws.FILTER(Tabla1[Proceso],(Tabla1[Metal Base]=Q71)*(Tabla1[Etiquetas]=_xlfn.TEXTJOIN(" + ",TRUE,IF((TRIM(Upload!R71:V71)="")+(LOWER(TRIM(Upload!R71:V71))="(seleccione)"),"",PROPER(TRIM(Upload!R71:V71)))))*(Tabla1[Línea2]=IFERROR(VLOOKUP(Upload!P71&amp;"*",CAT_Procesos!D:D,1,FALSE),"")))),_xlpm.cantidad,ROWS(_xlpm.resultados),IF(ISERROR(_xlpm.cantidad),"Combinación no existente",IF(_xlpm.cantidad=1,INDEX(_xlpm.resultados,1),"(seleccione)")))</f>
        <v>Combinación no existente</v>
      </c>
      <c r="X71" s="67" t="s">
        <v>96</v>
      </c>
      <c r="Y71" s="64"/>
      <c r="Z71" s="64"/>
      <c r="AA71" s="64"/>
      <c r="AB71" s="133" t="s">
        <v>96</v>
      </c>
      <c r="AC71" s="64"/>
      <c r="AD71" s="64"/>
      <c r="AE71" s="64"/>
      <c r="AF71" s="60" t="s">
        <v>96</v>
      </c>
      <c r="AG71" s="64"/>
      <c r="AH71" s="64"/>
      <c r="AI71" s="64"/>
      <c r="AJ71" s="68" t="s">
        <v>96</v>
      </c>
      <c r="AK71" s="69" t="str">
        <f t="shared" si="0"/>
        <v/>
      </c>
      <c r="AL71" s="70" t="s">
        <v>96</v>
      </c>
      <c r="AM71" s="69" t="str">
        <f t="shared" si="1"/>
        <v/>
      </c>
      <c r="AN71" s="71"/>
      <c r="AO71" s="71"/>
      <c r="AP71" s="71"/>
      <c r="AQ71" s="71"/>
      <c r="AR71" s="71" t="s">
        <v>96</v>
      </c>
      <c r="AS71" s="71"/>
      <c r="AT71" s="71" t="s">
        <v>96</v>
      </c>
      <c r="AU71" s="71"/>
      <c r="AV71" s="71" t="s">
        <v>95</v>
      </c>
      <c r="AW71" s="71"/>
      <c r="AX71" s="71"/>
      <c r="AY71" s="71"/>
      <c r="AZ71" s="71"/>
      <c r="BA71" s="71"/>
      <c r="BB71" s="70" t="s">
        <v>218</v>
      </c>
      <c r="BC71" s="70" t="s">
        <v>98</v>
      </c>
      <c r="BD71" s="72" t="str">
        <f>IF('Cálculo MP'!K81="","",'Cálculo MP'!K81)</f>
        <v/>
      </c>
      <c r="BE71" s="72" t="str">
        <f>IF('Cálculo MP'!L81="","",'Cálculo MP'!L81)</f>
        <v/>
      </c>
      <c r="BF71" s="72" t="str">
        <f>IF('Cálculo MP'!M81="","",'Cálculo MP'!M81)</f>
        <v/>
      </c>
      <c r="BG71" s="72" t="str">
        <f>IF('Cálculo MP'!N81="","",'Cálculo MP'!N81)</f>
        <v/>
      </c>
      <c r="BH71" s="72" t="str">
        <f>IF('Cálculo MP'!O81="","",'Cálculo MP'!O81)</f>
        <v/>
      </c>
      <c r="BI71" s="72" t="str">
        <f>IF('Cálculo MP'!P81="","",'Cálculo MP'!P81)</f>
        <v/>
      </c>
      <c r="BJ71" s="72" t="str">
        <f>IF('Cálculo MP'!Q81="","",'Cálculo MP'!Q81)</f>
        <v/>
      </c>
      <c r="BK71" s="72" t="str">
        <f>IF('Cálculo MP'!R81="","",'Cálculo MP'!R81)</f>
        <v/>
      </c>
      <c r="BL71" s="72" t="str">
        <f>IF('Cálculo MP'!S81="","",'Cálculo MP'!S81)</f>
        <v/>
      </c>
      <c r="BM71" s="71"/>
      <c r="BN71" s="71"/>
      <c r="BO71" s="71"/>
      <c r="BP71" s="71"/>
      <c r="BQ71" s="71"/>
      <c r="BR71" s="71"/>
      <c r="BS71" s="71"/>
    </row>
    <row r="72" spans="1:71" ht="19.5" customHeight="1" x14ac:dyDescent="0.15">
      <c r="A72" s="56" t="s">
        <v>985</v>
      </c>
      <c r="B72" s="57" t="s">
        <v>986</v>
      </c>
      <c r="C72" s="58" t="s">
        <v>985</v>
      </c>
      <c r="D72" s="59" t="s">
        <v>985</v>
      </c>
      <c r="E72" s="61"/>
      <c r="F72" s="60" t="s">
        <v>95</v>
      </c>
      <c r="G72" s="61"/>
      <c r="H72" s="62"/>
      <c r="I72" s="75"/>
      <c r="J72" s="60" t="s">
        <v>95</v>
      </c>
      <c r="K72" s="64"/>
      <c r="L72" s="64"/>
      <c r="M72" s="64" t="s">
        <v>96</v>
      </c>
      <c r="N72" s="64" t="s">
        <v>97</v>
      </c>
      <c r="O72" s="65" t="s">
        <v>986</v>
      </c>
      <c r="P72" s="70" t="s">
        <v>96</v>
      </c>
      <c r="Q72" s="60" t="s">
        <v>95</v>
      </c>
      <c r="R72" s="60" t="s">
        <v>96</v>
      </c>
      <c r="S72" s="66" t="s">
        <v>96</v>
      </c>
      <c r="T72" s="67" t="s">
        <v>96</v>
      </c>
      <c r="U72" s="60" t="s">
        <v>96</v>
      </c>
      <c r="V72" s="60" t="s">
        <v>96</v>
      </c>
      <c r="W72" s="60" t="str" cm="1">
        <f t="array" ref="W72">_xlfn.LET(_xlpm.resultados,_xlfn.UNIQUE(_xlfn._xlws.FILTER(Tabla1[Proceso],(Tabla1[Metal Base]=Q72)*(Tabla1[Etiquetas]=_xlfn.TEXTJOIN(" + ",TRUE,IF((TRIM(Upload!R72:V72)="")+(LOWER(TRIM(Upload!R72:V72))="(seleccione)"),"",PROPER(TRIM(Upload!R72:V72)))))*(Tabla1[Línea2]=IFERROR(VLOOKUP(Upload!P72&amp;"*",CAT_Procesos!D:D,1,FALSE),"")))),_xlpm.cantidad,ROWS(_xlpm.resultados),IF(ISERROR(_xlpm.cantidad),"Combinación no existente",IF(_xlpm.cantidad=1,INDEX(_xlpm.resultados,1),"(seleccione)")))</f>
        <v>Combinación no existente</v>
      </c>
      <c r="X72" s="67" t="s">
        <v>96</v>
      </c>
      <c r="Y72" s="64"/>
      <c r="Z72" s="64"/>
      <c r="AA72" s="64"/>
      <c r="AB72" s="133" t="s">
        <v>96</v>
      </c>
      <c r="AC72" s="64"/>
      <c r="AD72" s="64"/>
      <c r="AE72" s="64"/>
      <c r="AF72" s="60" t="s">
        <v>96</v>
      </c>
      <c r="AG72" s="64"/>
      <c r="AH72" s="64"/>
      <c r="AI72" s="64"/>
      <c r="AJ72" s="68" t="s">
        <v>96</v>
      </c>
      <c r="AK72" s="69" t="str">
        <f t="shared" si="0"/>
        <v/>
      </c>
      <c r="AL72" s="70" t="s">
        <v>96</v>
      </c>
      <c r="AM72" s="69" t="str">
        <f t="shared" si="1"/>
        <v/>
      </c>
      <c r="AN72" s="71"/>
      <c r="AO72" s="71"/>
      <c r="AP72" s="71"/>
      <c r="AQ72" s="71"/>
      <c r="AR72" s="71" t="s">
        <v>96</v>
      </c>
      <c r="AS72" s="71"/>
      <c r="AT72" s="71" t="s">
        <v>96</v>
      </c>
      <c r="AU72" s="71"/>
      <c r="AV72" s="71" t="s">
        <v>95</v>
      </c>
      <c r="AW72" s="71"/>
      <c r="AX72" s="71"/>
      <c r="AY72" s="71"/>
      <c r="AZ72" s="71"/>
      <c r="BA72" s="71"/>
      <c r="BB72" s="70" t="s">
        <v>218</v>
      </c>
      <c r="BC72" s="70" t="s">
        <v>98</v>
      </c>
      <c r="BD72" s="72" t="str">
        <f>IF('Cálculo MP'!K82="","",'Cálculo MP'!K82)</f>
        <v/>
      </c>
      <c r="BE72" s="72" t="str">
        <f>IF('Cálculo MP'!L82="","",'Cálculo MP'!L82)</f>
        <v/>
      </c>
      <c r="BF72" s="72" t="str">
        <f>IF('Cálculo MP'!M82="","",'Cálculo MP'!M82)</f>
        <v/>
      </c>
      <c r="BG72" s="72" t="str">
        <f>IF('Cálculo MP'!N82="","",'Cálculo MP'!N82)</f>
        <v/>
      </c>
      <c r="BH72" s="72" t="str">
        <f>IF('Cálculo MP'!O82="","",'Cálculo MP'!O82)</f>
        <v/>
      </c>
      <c r="BI72" s="72" t="str">
        <f>IF('Cálculo MP'!P82="","",'Cálculo MP'!P82)</f>
        <v/>
      </c>
      <c r="BJ72" s="72" t="str">
        <f>IF('Cálculo MP'!Q82="","",'Cálculo MP'!Q82)</f>
        <v/>
      </c>
      <c r="BK72" s="72" t="str">
        <f>IF('Cálculo MP'!R82="","",'Cálculo MP'!R82)</f>
        <v/>
      </c>
      <c r="BL72" s="72" t="str">
        <f>IF('Cálculo MP'!S82="","",'Cálculo MP'!S82)</f>
        <v/>
      </c>
      <c r="BM72" s="71"/>
      <c r="BN72" s="71"/>
      <c r="BO72" s="71"/>
      <c r="BP72" s="71"/>
      <c r="BQ72" s="71"/>
      <c r="BR72" s="71"/>
      <c r="BS72" s="71"/>
    </row>
    <row r="73" spans="1:71" ht="19.5" customHeight="1" x14ac:dyDescent="0.15">
      <c r="A73" s="56" t="s">
        <v>985</v>
      </c>
      <c r="B73" s="57" t="s">
        <v>986</v>
      </c>
      <c r="C73" s="58" t="s">
        <v>985</v>
      </c>
      <c r="D73" s="59" t="s">
        <v>985</v>
      </c>
      <c r="E73" s="61"/>
      <c r="F73" s="60" t="s">
        <v>95</v>
      </c>
      <c r="G73" s="61"/>
      <c r="H73" s="62"/>
      <c r="I73" s="75"/>
      <c r="J73" s="60" t="s">
        <v>95</v>
      </c>
      <c r="K73" s="64"/>
      <c r="L73" s="64"/>
      <c r="M73" s="64" t="s">
        <v>96</v>
      </c>
      <c r="N73" s="64" t="s">
        <v>97</v>
      </c>
      <c r="O73" s="65" t="s">
        <v>986</v>
      </c>
      <c r="P73" s="70" t="s">
        <v>96</v>
      </c>
      <c r="Q73" s="60" t="s">
        <v>95</v>
      </c>
      <c r="R73" s="60" t="s">
        <v>96</v>
      </c>
      <c r="S73" s="66" t="s">
        <v>96</v>
      </c>
      <c r="T73" s="67" t="s">
        <v>96</v>
      </c>
      <c r="U73" s="60" t="s">
        <v>96</v>
      </c>
      <c r="V73" s="60" t="s">
        <v>96</v>
      </c>
      <c r="W73" s="60" t="str" cm="1">
        <f t="array" ref="W73">_xlfn.LET(_xlpm.resultados,_xlfn.UNIQUE(_xlfn._xlws.FILTER(Tabla1[Proceso],(Tabla1[Metal Base]=Q73)*(Tabla1[Etiquetas]=_xlfn.TEXTJOIN(" + ",TRUE,IF((TRIM(Upload!R73:V73)="")+(LOWER(TRIM(Upload!R73:V73))="(seleccione)"),"",PROPER(TRIM(Upload!R73:V73)))))*(Tabla1[Línea2]=IFERROR(VLOOKUP(Upload!P73&amp;"*",CAT_Procesos!D:D,1,FALSE),"")))),_xlpm.cantidad,ROWS(_xlpm.resultados),IF(ISERROR(_xlpm.cantidad),"Combinación no existente",IF(_xlpm.cantidad=1,INDEX(_xlpm.resultados,1),"(seleccione)")))</f>
        <v>Combinación no existente</v>
      </c>
      <c r="X73" s="67" t="s">
        <v>96</v>
      </c>
      <c r="Y73" s="64"/>
      <c r="Z73" s="64"/>
      <c r="AA73" s="64"/>
      <c r="AB73" s="133" t="s">
        <v>96</v>
      </c>
      <c r="AC73" s="64"/>
      <c r="AD73" s="64"/>
      <c r="AE73" s="64"/>
      <c r="AF73" s="60" t="s">
        <v>96</v>
      </c>
      <c r="AG73" s="64"/>
      <c r="AH73" s="64"/>
      <c r="AI73" s="64"/>
      <c r="AJ73" s="68" t="s">
        <v>96</v>
      </c>
      <c r="AK73" s="69" t="str">
        <f t="shared" si="0"/>
        <v/>
      </c>
      <c r="AL73" s="70" t="s">
        <v>96</v>
      </c>
      <c r="AM73" s="69" t="str">
        <f t="shared" si="1"/>
        <v/>
      </c>
      <c r="AN73" s="71"/>
      <c r="AO73" s="71"/>
      <c r="AP73" s="71"/>
      <c r="AQ73" s="71"/>
      <c r="AR73" s="71" t="s">
        <v>96</v>
      </c>
      <c r="AS73" s="71"/>
      <c r="AT73" s="71" t="s">
        <v>96</v>
      </c>
      <c r="AU73" s="71"/>
      <c r="AV73" s="71" t="s">
        <v>95</v>
      </c>
      <c r="AW73" s="71"/>
      <c r="AX73" s="71"/>
      <c r="AY73" s="71"/>
      <c r="AZ73" s="71"/>
      <c r="BA73" s="71"/>
      <c r="BB73" s="70" t="s">
        <v>218</v>
      </c>
      <c r="BC73" s="70" t="s">
        <v>98</v>
      </c>
      <c r="BD73" s="72" t="str">
        <f>IF('Cálculo MP'!K83="","",'Cálculo MP'!K83)</f>
        <v/>
      </c>
      <c r="BE73" s="72" t="str">
        <f>IF('Cálculo MP'!L83="","",'Cálculo MP'!L83)</f>
        <v/>
      </c>
      <c r="BF73" s="72" t="str">
        <f>IF('Cálculo MP'!M83="","",'Cálculo MP'!M83)</f>
        <v/>
      </c>
      <c r="BG73" s="72" t="str">
        <f>IF('Cálculo MP'!N83="","",'Cálculo MP'!N83)</f>
        <v/>
      </c>
      <c r="BH73" s="72" t="str">
        <f>IF('Cálculo MP'!O83="","",'Cálculo MP'!O83)</f>
        <v/>
      </c>
      <c r="BI73" s="72" t="str">
        <f>IF('Cálculo MP'!P83="","",'Cálculo MP'!P83)</f>
        <v/>
      </c>
      <c r="BJ73" s="72" t="str">
        <f>IF('Cálculo MP'!Q83="","",'Cálculo MP'!Q83)</f>
        <v/>
      </c>
      <c r="BK73" s="72" t="str">
        <f>IF('Cálculo MP'!R83="","",'Cálculo MP'!R83)</f>
        <v/>
      </c>
      <c r="BL73" s="72" t="str">
        <f>IF('Cálculo MP'!S83="","",'Cálculo MP'!S83)</f>
        <v/>
      </c>
      <c r="BM73" s="71"/>
      <c r="BN73" s="71"/>
      <c r="BO73" s="71"/>
      <c r="BP73" s="71"/>
      <c r="BQ73" s="71"/>
      <c r="BR73" s="71"/>
      <c r="BS73" s="71"/>
    </row>
    <row r="74" spans="1:71" ht="19.5" customHeight="1" x14ac:dyDescent="0.15">
      <c r="A74" s="56" t="s">
        <v>985</v>
      </c>
      <c r="B74" s="57" t="s">
        <v>986</v>
      </c>
      <c r="C74" s="58" t="s">
        <v>985</v>
      </c>
      <c r="D74" s="59" t="s">
        <v>985</v>
      </c>
      <c r="E74" s="61"/>
      <c r="F74" s="60" t="s">
        <v>95</v>
      </c>
      <c r="G74" s="61"/>
      <c r="H74" s="62"/>
      <c r="I74" s="75"/>
      <c r="J74" s="60" t="s">
        <v>95</v>
      </c>
      <c r="K74" s="64"/>
      <c r="L74" s="64"/>
      <c r="M74" s="64" t="s">
        <v>96</v>
      </c>
      <c r="N74" s="64" t="s">
        <v>97</v>
      </c>
      <c r="O74" s="65" t="s">
        <v>986</v>
      </c>
      <c r="P74" s="70" t="s">
        <v>96</v>
      </c>
      <c r="Q74" s="60" t="s">
        <v>95</v>
      </c>
      <c r="R74" s="60" t="s">
        <v>96</v>
      </c>
      <c r="S74" s="66" t="s">
        <v>96</v>
      </c>
      <c r="T74" s="67" t="s">
        <v>96</v>
      </c>
      <c r="U74" s="60" t="s">
        <v>96</v>
      </c>
      <c r="V74" s="60" t="s">
        <v>96</v>
      </c>
      <c r="W74" s="60" t="str" cm="1">
        <f t="array" ref="W74">_xlfn.LET(_xlpm.resultados,_xlfn.UNIQUE(_xlfn._xlws.FILTER(Tabla1[Proceso],(Tabla1[Metal Base]=Q74)*(Tabla1[Etiquetas]=_xlfn.TEXTJOIN(" + ",TRUE,IF((TRIM(Upload!R74:V74)="")+(LOWER(TRIM(Upload!R74:V74))="(seleccione)"),"",PROPER(TRIM(Upload!R74:V74)))))*(Tabla1[Línea2]=IFERROR(VLOOKUP(Upload!P74&amp;"*",CAT_Procesos!D:D,1,FALSE),"")))),_xlpm.cantidad,ROWS(_xlpm.resultados),IF(ISERROR(_xlpm.cantidad),"Combinación no existente",IF(_xlpm.cantidad=1,INDEX(_xlpm.resultados,1),"(seleccione)")))</f>
        <v>Combinación no existente</v>
      </c>
      <c r="X74" s="67" t="s">
        <v>96</v>
      </c>
      <c r="Y74" s="64"/>
      <c r="Z74" s="64"/>
      <c r="AA74" s="64"/>
      <c r="AB74" s="133" t="s">
        <v>96</v>
      </c>
      <c r="AC74" s="64"/>
      <c r="AD74" s="64"/>
      <c r="AE74" s="64"/>
      <c r="AF74" s="60" t="s">
        <v>96</v>
      </c>
      <c r="AG74" s="64"/>
      <c r="AH74" s="64"/>
      <c r="AI74" s="64"/>
      <c r="AJ74" s="68" t="s">
        <v>96</v>
      </c>
      <c r="AK74" s="69" t="str">
        <f t="shared" ref="AK74:AK137" si="2">IFERROR(((VALUE(TRIM(LEFT(MID(AJ74,FIND("|",AJ74)+1,99),FIND("-",MID(AJ74,FIND("|",AJ74)+1,99))-1)))+VALUE(TRIM(SUBSTITUTE(SUBSTITUTE(SUBSTITUTE(SUBSTITUTE(SUBSTITUTE(MID(MID(AJ74,FIND("|",AJ74)+1,99),FIND("-",MID(AJ74,FIND("|",AJ74)+1,99))+1,20),"µm",""),"μm",""),"mils",""),"mil",""),"",""))))/2)*IF(ISNUMBER(SEARCH("mil",MID(AJ74,FIND("|",AJ74)+1,99))),25.4,1),"")</f>
        <v/>
      </c>
      <c r="AL74" s="70" t="s">
        <v>96</v>
      </c>
      <c r="AM74" s="69" t="str">
        <f t="shared" ref="AM74:AM137" si="3">IFERROR(((VALUE(TRIM(LEFT(MID(AL74,FIND("|",AL74)+1,99),FIND("-",MID(AL74,FIND("|",AL74)+1,99))-1)))+VALUE(TRIM(SUBSTITUTE(SUBSTITUTE(SUBSTITUTE(SUBSTITUTE(SUBSTITUTE(MID(MID(AL74,FIND("|",AL74)+1,99),FIND("-",MID(AL74,FIND("|",AL74)+1,99))+1,20),"µm",""),"μm",""),"mils",""),"mil",""),"",""))))/2)*IF(ISNUMBER(SEARCH("mil",MID(AL74,FIND("|",AL74)+1,99))),25.4,1),"")</f>
        <v/>
      </c>
      <c r="AN74" s="71"/>
      <c r="AO74" s="71"/>
      <c r="AP74" s="71"/>
      <c r="AQ74" s="71"/>
      <c r="AR74" s="71" t="s">
        <v>96</v>
      </c>
      <c r="AS74" s="71"/>
      <c r="AT74" s="71" t="s">
        <v>96</v>
      </c>
      <c r="AU74" s="71"/>
      <c r="AV74" s="71" t="s">
        <v>95</v>
      </c>
      <c r="AW74" s="71"/>
      <c r="AX74" s="71"/>
      <c r="AY74" s="71"/>
      <c r="AZ74" s="71"/>
      <c r="BA74" s="71"/>
      <c r="BB74" s="70" t="s">
        <v>218</v>
      </c>
      <c r="BC74" s="70" t="s">
        <v>98</v>
      </c>
      <c r="BD74" s="72" t="str">
        <f>IF('Cálculo MP'!K84="","",'Cálculo MP'!K84)</f>
        <v/>
      </c>
      <c r="BE74" s="72" t="str">
        <f>IF('Cálculo MP'!L84="","",'Cálculo MP'!L84)</f>
        <v/>
      </c>
      <c r="BF74" s="72" t="str">
        <f>IF('Cálculo MP'!M84="","",'Cálculo MP'!M84)</f>
        <v/>
      </c>
      <c r="BG74" s="72" t="str">
        <f>IF('Cálculo MP'!N84="","",'Cálculo MP'!N84)</f>
        <v/>
      </c>
      <c r="BH74" s="72" t="str">
        <f>IF('Cálculo MP'!O84="","",'Cálculo MP'!O84)</f>
        <v/>
      </c>
      <c r="BI74" s="72" t="str">
        <f>IF('Cálculo MP'!P84="","",'Cálculo MP'!P84)</f>
        <v/>
      </c>
      <c r="BJ74" s="72" t="str">
        <f>IF('Cálculo MP'!Q84="","",'Cálculo MP'!Q84)</f>
        <v/>
      </c>
      <c r="BK74" s="72" t="str">
        <f>IF('Cálculo MP'!R84="","",'Cálculo MP'!R84)</f>
        <v/>
      </c>
      <c r="BL74" s="72" t="str">
        <f>IF('Cálculo MP'!S84="","",'Cálculo MP'!S84)</f>
        <v/>
      </c>
      <c r="BM74" s="71"/>
      <c r="BN74" s="71"/>
      <c r="BO74" s="71"/>
      <c r="BP74" s="71"/>
      <c r="BQ74" s="71"/>
      <c r="BR74" s="71"/>
      <c r="BS74" s="71"/>
    </row>
    <row r="75" spans="1:71" ht="19.5" customHeight="1" x14ac:dyDescent="0.15">
      <c r="A75" s="56" t="s">
        <v>985</v>
      </c>
      <c r="B75" s="57" t="s">
        <v>986</v>
      </c>
      <c r="C75" s="58" t="s">
        <v>985</v>
      </c>
      <c r="D75" s="59" t="s">
        <v>985</v>
      </c>
      <c r="E75" s="61"/>
      <c r="F75" s="60" t="s">
        <v>95</v>
      </c>
      <c r="G75" s="61"/>
      <c r="H75" s="62"/>
      <c r="I75" s="75"/>
      <c r="J75" s="60" t="s">
        <v>95</v>
      </c>
      <c r="K75" s="64"/>
      <c r="L75" s="64"/>
      <c r="M75" s="64" t="s">
        <v>96</v>
      </c>
      <c r="N75" s="64" t="s">
        <v>97</v>
      </c>
      <c r="O75" s="65" t="s">
        <v>986</v>
      </c>
      <c r="P75" s="70" t="s">
        <v>96</v>
      </c>
      <c r="Q75" s="60" t="s">
        <v>95</v>
      </c>
      <c r="R75" s="60" t="s">
        <v>96</v>
      </c>
      <c r="S75" s="66" t="s">
        <v>96</v>
      </c>
      <c r="T75" s="67" t="s">
        <v>96</v>
      </c>
      <c r="U75" s="60" t="s">
        <v>96</v>
      </c>
      <c r="V75" s="60" t="s">
        <v>96</v>
      </c>
      <c r="W75" s="60" t="str" cm="1">
        <f t="array" ref="W75">_xlfn.LET(_xlpm.resultados,_xlfn.UNIQUE(_xlfn._xlws.FILTER(Tabla1[Proceso],(Tabla1[Metal Base]=Q75)*(Tabla1[Etiquetas]=_xlfn.TEXTJOIN(" + ",TRUE,IF((TRIM(Upload!R75:V75)="")+(LOWER(TRIM(Upload!R75:V75))="(seleccione)"),"",PROPER(TRIM(Upload!R75:V75)))))*(Tabla1[Línea2]=IFERROR(VLOOKUP(Upload!P75&amp;"*",CAT_Procesos!D:D,1,FALSE),"")))),_xlpm.cantidad,ROWS(_xlpm.resultados),IF(ISERROR(_xlpm.cantidad),"Combinación no existente",IF(_xlpm.cantidad=1,INDEX(_xlpm.resultados,1),"(seleccione)")))</f>
        <v>Combinación no existente</v>
      </c>
      <c r="X75" s="67" t="s">
        <v>96</v>
      </c>
      <c r="Y75" s="64"/>
      <c r="Z75" s="64"/>
      <c r="AA75" s="64"/>
      <c r="AB75" s="133" t="s">
        <v>96</v>
      </c>
      <c r="AC75" s="64"/>
      <c r="AD75" s="64"/>
      <c r="AE75" s="64"/>
      <c r="AF75" s="60" t="s">
        <v>96</v>
      </c>
      <c r="AG75" s="64"/>
      <c r="AH75" s="64"/>
      <c r="AI75" s="64"/>
      <c r="AJ75" s="68" t="s">
        <v>96</v>
      </c>
      <c r="AK75" s="69" t="str">
        <f t="shared" si="2"/>
        <v/>
      </c>
      <c r="AL75" s="70" t="s">
        <v>96</v>
      </c>
      <c r="AM75" s="69" t="str">
        <f t="shared" si="3"/>
        <v/>
      </c>
      <c r="AN75" s="71"/>
      <c r="AO75" s="71"/>
      <c r="AP75" s="71"/>
      <c r="AQ75" s="71"/>
      <c r="AR75" s="71" t="s">
        <v>96</v>
      </c>
      <c r="AS75" s="71"/>
      <c r="AT75" s="71" t="s">
        <v>96</v>
      </c>
      <c r="AU75" s="71"/>
      <c r="AV75" s="71" t="s">
        <v>95</v>
      </c>
      <c r="AW75" s="71"/>
      <c r="AX75" s="71"/>
      <c r="AY75" s="71"/>
      <c r="AZ75" s="71"/>
      <c r="BA75" s="71"/>
      <c r="BB75" s="70" t="s">
        <v>218</v>
      </c>
      <c r="BC75" s="70" t="s">
        <v>98</v>
      </c>
      <c r="BD75" s="72" t="str">
        <f>IF('Cálculo MP'!K85="","",'Cálculo MP'!K85)</f>
        <v/>
      </c>
      <c r="BE75" s="72" t="str">
        <f>IF('Cálculo MP'!L85="","",'Cálculo MP'!L85)</f>
        <v/>
      </c>
      <c r="BF75" s="72" t="str">
        <f>IF('Cálculo MP'!M85="","",'Cálculo MP'!M85)</f>
        <v/>
      </c>
      <c r="BG75" s="72" t="str">
        <f>IF('Cálculo MP'!N85="","",'Cálculo MP'!N85)</f>
        <v/>
      </c>
      <c r="BH75" s="72" t="str">
        <f>IF('Cálculo MP'!O85="","",'Cálculo MP'!O85)</f>
        <v/>
      </c>
      <c r="BI75" s="72" t="str">
        <f>IF('Cálculo MP'!P85="","",'Cálculo MP'!P85)</f>
        <v/>
      </c>
      <c r="BJ75" s="72" t="str">
        <f>IF('Cálculo MP'!Q85="","",'Cálculo MP'!Q85)</f>
        <v/>
      </c>
      <c r="BK75" s="72" t="str">
        <f>IF('Cálculo MP'!R85="","",'Cálculo MP'!R85)</f>
        <v/>
      </c>
      <c r="BL75" s="72" t="str">
        <f>IF('Cálculo MP'!S85="","",'Cálculo MP'!S85)</f>
        <v/>
      </c>
      <c r="BM75" s="71"/>
      <c r="BN75" s="71"/>
      <c r="BO75" s="71"/>
      <c r="BP75" s="71"/>
      <c r="BQ75" s="71"/>
      <c r="BR75" s="71"/>
      <c r="BS75" s="71"/>
    </row>
    <row r="76" spans="1:71" ht="19.5" customHeight="1" x14ac:dyDescent="0.15">
      <c r="A76" s="56" t="s">
        <v>985</v>
      </c>
      <c r="B76" s="57" t="s">
        <v>986</v>
      </c>
      <c r="C76" s="58" t="s">
        <v>985</v>
      </c>
      <c r="D76" s="59" t="s">
        <v>985</v>
      </c>
      <c r="E76" s="61"/>
      <c r="F76" s="60" t="s">
        <v>95</v>
      </c>
      <c r="G76" s="61"/>
      <c r="H76" s="62"/>
      <c r="I76" s="75"/>
      <c r="J76" s="60" t="s">
        <v>95</v>
      </c>
      <c r="K76" s="64"/>
      <c r="L76" s="64"/>
      <c r="M76" s="64" t="s">
        <v>96</v>
      </c>
      <c r="N76" s="64" t="s">
        <v>97</v>
      </c>
      <c r="O76" s="65" t="s">
        <v>986</v>
      </c>
      <c r="P76" s="70" t="s">
        <v>96</v>
      </c>
      <c r="Q76" s="60" t="s">
        <v>95</v>
      </c>
      <c r="R76" s="60" t="s">
        <v>96</v>
      </c>
      <c r="S76" s="66" t="s">
        <v>96</v>
      </c>
      <c r="T76" s="67" t="s">
        <v>96</v>
      </c>
      <c r="U76" s="60" t="s">
        <v>96</v>
      </c>
      <c r="V76" s="60" t="s">
        <v>96</v>
      </c>
      <c r="W76" s="60" t="str" cm="1">
        <f t="array" ref="W76">_xlfn.LET(_xlpm.resultados,_xlfn.UNIQUE(_xlfn._xlws.FILTER(Tabla1[Proceso],(Tabla1[Metal Base]=Q76)*(Tabla1[Etiquetas]=_xlfn.TEXTJOIN(" + ",TRUE,IF((TRIM(Upload!R76:V76)="")+(LOWER(TRIM(Upload!R76:V76))="(seleccione)"),"",PROPER(TRIM(Upload!R76:V76)))))*(Tabla1[Línea2]=IFERROR(VLOOKUP(Upload!P76&amp;"*",CAT_Procesos!D:D,1,FALSE),"")))),_xlpm.cantidad,ROWS(_xlpm.resultados),IF(ISERROR(_xlpm.cantidad),"Combinación no existente",IF(_xlpm.cantidad=1,INDEX(_xlpm.resultados,1),"(seleccione)")))</f>
        <v>Combinación no existente</v>
      </c>
      <c r="X76" s="67" t="s">
        <v>96</v>
      </c>
      <c r="Y76" s="64"/>
      <c r="Z76" s="64"/>
      <c r="AA76" s="64"/>
      <c r="AB76" s="133" t="s">
        <v>96</v>
      </c>
      <c r="AC76" s="64"/>
      <c r="AD76" s="64"/>
      <c r="AE76" s="64"/>
      <c r="AF76" s="60" t="s">
        <v>96</v>
      </c>
      <c r="AG76" s="64"/>
      <c r="AH76" s="64"/>
      <c r="AI76" s="64"/>
      <c r="AJ76" s="68" t="s">
        <v>96</v>
      </c>
      <c r="AK76" s="69" t="str">
        <f t="shared" si="2"/>
        <v/>
      </c>
      <c r="AL76" s="70" t="s">
        <v>96</v>
      </c>
      <c r="AM76" s="69" t="str">
        <f t="shared" si="3"/>
        <v/>
      </c>
      <c r="AN76" s="71"/>
      <c r="AO76" s="71"/>
      <c r="AP76" s="71"/>
      <c r="AQ76" s="71"/>
      <c r="AR76" s="71" t="s">
        <v>96</v>
      </c>
      <c r="AS76" s="71"/>
      <c r="AT76" s="71" t="s">
        <v>96</v>
      </c>
      <c r="AU76" s="71"/>
      <c r="AV76" s="71" t="s">
        <v>95</v>
      </c>
      <c r="AW76" s="71"/>
      <c r="AX76" s="71"/>
      <c r="AY76" s="71"/>
      <c r="AZ76" s="71"/>
      <c r="BA76" s="71"/>
      <c r="BB76" s="70" t="s">
        <v>218</v>
      </c>
      <c r="BC76" s="70" t="s">
        <v>98</v>
      </c>
      <c r="BD76" s="72" t="str">
        <f>IF('Cálculo MP'!K86="","",'Cálculo MP'!K86)</f>
        <v/>
      </c>
      <c r="BE76" s="72" t="str">
        <f>IF('Cálculo MP'!L86="","",'Cálculo MP'!L86)</f>
        <v/>
      </c>
      <c r="BF76" s="72" t="str">
        <f>IF('Cálculo MP'!M86="","",'Cálculo MP'!M86)</f>
        <v/>
      </c>
      <c r="BG76" s="72" t="str">
        <f>IF('Cálculo MP'!N86="","",'Cálculo MP'!N86)</f>
        <v/>
      </c>
      <c r="BH76" s="72" t="str">
        <f>IF('Cálculo MP'!O86="","",'Cálculo MP'!O86)</f>
        <v/>
      </c>
      <c r="BI76" s="72" t="str">
        <f>IF('Cálculo MP'!P86="","",'Cálculo MP'!P86)</f>
        <v/>
      </c>
      <c r="BJ76" s="72" t="str">
        <f>IF('Cálculo MP'!Q86="","",'Cálculo MP'!Q86)</f>
        <v/>
      </c>
      <c r="BK76" s="72" t="str">
        <f>IF('Cálculo MP'!R86="","",'Cálculo MP'!R86)</f>
        <v/>
      </c>
      <c r="BL76" s="72" t="str">
        <f>IF('Cálculo MP'!S86="","",'Cálculo MP'!S86)</f>
        <v/>
      </c>
      <c r="BM76" s="71"/>
      <c r="BN76" s="71"/>
      <c r="BO76" s="71"/>
      <c r="BP76" s="71"/>
      <c r="BQ76" s="71"/>
      <c r="BR76" s="71"/>
      <c r="BS76" s="71"/>
    </row>
    <row r="77" spans="1:71" ht="19.5" customHeight="1" x14ac:dyDescent="0.15">
      <c r="A77" s="56" t="s">
        <v>985</v>
      </c>
      <c r="B77" s="57" t="s">
        <v>986</v>
      </c>
      <c r="C77" s="58" t="s">
        <v>985</v>
      </c>
      <c r="D77" s="59" t="s">
        <v>985</v>
      </c>
      <c r="E77" s="61"/>
      <c r="F77" s="60" t="s">
        <v>95</v>
      </c>
      <c r="G77" s="61"/>
      <c r="H77" s="62"/>
      <c r="I77" s="75"/>
      <c r="J77" s="60" t="s">
        <v>95</v>
      </c>
      <c r="K77" s="64"/>
      <c r="L77" s="64"/>
      <c r="M77" s="64" t="s">
        <v>96</v>
      </c>
      <c r="N77" s="64" t="s">
        <v>97</v>
      </c>
      <c r="O77" s="65" t="s">
        <v>986</v>
      </c>
      <c r="P77" s="70" t="s">
        <v>96</v>
      </c>
      <c r="Q77" s="60" t="s">
        <v>95</v>
      </c>
      <c r="R77" s="60" t="s">
        <v>96</v>
      </c>
      <c r="S77" s="66" t="s">
        <v>96</v>
      </c>
      <c r="T77" s="67" t="s">
        <v>96</v>
      </c>
      <c r="U77" s="60" t="s">
        <v>96</v>
      </c>
      <c r="V77" s="60" t="s">
        <v>96</v>
      </c>
      <c r="W77" s="60" t="str" cm="1">
        <f t="array" ref="W77">_xlfn.LET(_xlpm.resultados,_xlfn.UNIQUE(_xlfn._xlws.FILTER(Tabla1[Proceso],(Tabla1[Metal Base]=Q77)*(Tabla1[Etiquetas]=_xlfn.TEXTJOIN(" + ",TRUE,IF((TRIM(Upload!R77:V77)="")+(LOWER(TRIM(Upload!R77:V77))="(seleccione)"),"",PROPER(TRIM(Upload!R77:V77)))))*(Tabla1[Línea2]=IFERROR(VLOOKUP(Upload!P77&amp;"*",CAT_Procesos!D:D,1,FALSE),"")))),_xlpm.cantidad,ROWS(_xlpm.resultados),IF(ISERROR(_xlpm.cantidad),"Combinación no existente",IF(_xlpm.cantidad=1,INDEX(_xlpm.resultados,1),"(seleccione)")))</f>
        <v>Combinación no existente</v>
      </c>
      <c r="X77" s="67" t="s">
        <v>96</v>
      </c>
      <c r="Y77" s="64"/>
      <c r="Z77" s="64"/>
      <c r="AA77" s="64"/>
      <c r="AB77" s="133" t="s">
        <v>96</v>
      </c>
      <c r="AC77" s="64"/>
      <c r="AD77" s="64"/>
      <c r="AE77" s="64"/>
      <c r="AF77" s="60" t="s">
        <v>96</v>
      </c>
      <c r="AG77" s="64"/>
      <c r="AH77" s="64"/>
      <c r="AI77" s="64"/>
      <c r="AJ77" s="68" t="s">
        <v>96</v>
      </c>
      <c r="AK77" s="69" t="str">
        <f t="shared" si="2"/>
        <v/>
      </c>
      <c r="AL77" s="70" t="s">
        <v>96</v>
      </c>
      <c r="AM77" s="69" t="str">
        <f t="shared" si="3"/>
        <v/>
      </c>
      <c r="AN77" s="71"/>
      <c r="AO77" s="71"/>
      <c r="AP77" s="71"/>
      <c r="AQ77" s="71"/>
      <c r="AR77" s="71" t="s">
        <v>96</v>
      </c>
      <c r="AS77" s="71"/>
      <c r="AT77" s="71" t="s">
        <v>96</v>
      </c>
      <c r="AU77" s="71"/>
      <c r="AV77" s="71" t="s">
        <v>95</v>
      </c>
      <c r="AW77" s="71"/>
      <c r="AX77" s="71"/>
      <c r="AY77" s="71"/>
      <c r="AZ77" s="71"/>
      <c r="BA77" s="71"/>
      <c r="BB77" s="70" t="s">
        <v>218</v>
      </c>
      <c r="BC77" s="70" t="s">
        <v>98</v>
      </c>
      <c r="BD77" s="72" t="str">
        <f>IF('Cálculo MP'!K87="","",'Cálculo MP'!K87)</f>
        <v/>
      </c>
      <c r="BE77" s="72" t="str">
        <f>IF('Cálculo MP'!L87="","",'Cálculo MP'!L87)</f>
        <v/>
      </c>
      <c r="BF77" s="72" t="str">
        <f>IF('Cálculo MP'!M87="","",'Cálculo MP'!M87)</f>
        <v/>
      </c>
      <c r="BG77" s="72" t="str">
        <f>IF('Cálculo MP'!N87="","",'Cálculo MP'!N87)</f>
        <v/>
      </c>
      <c r="BH77" s="72" t="str">
        <f>IF('Cálculo MP'!O87="","",'Cálculo MP'!O87)</f>
        <v/>
      </c>
      <c r="BI77" s="72" t="str">
        <f>IF('Cálculo MP'!P87="","",'Cálculo MP'!P87)</f>
        <v/>
      </c>
      <c r="BJ77" s="72" t="str">
        <f>IF('Cálculo MP'!Q87="","",'Cálculo MP'!Q87)</f>
        <v/>
      </c>
      <c r="BK77" s="72" t="str">
        <f>IF('Cálculo MP'!R87="","",'Cálculo MP'!R87)</f>
        <v/>
      </c>
      <c r="BL77" s="72" t="str">
        <f>IF('Cálculo MP'!S87="","",'Cálculo MP'!S87)</f>
        <v/>
      </c>
      <c r="BM77" s="71"/>
      <c r="BN77" s="71"/>
      <c r="BO77" s="71"/>
      <c r="BP77" s="71"/>
      <c r="BQ77" s="71"/>
      <c r="BR77" s="71"/>
      <c r="BS77" s="71"/>
    </row>
    <row r="78" spans="1:71" ht="19.5" customHeight="1" x14ac:dyDescent="0.15">
      <c r="A78" s="56" t="s">
        <v>985</v>
      </c>
      <c r="B78" s="57" t="s">
        <v>986</v>
      </c>
      <c r="C78" s="58" t="s">
        <v>985</v>
      </c>
      <c r="D78" s="59" t="s">
        <v>985</v>
      </c>
      <c r="E78" s="61"/>
      <c r="F78" s="60" t="s">
        <v>95</v>
      </c>
      <c r="G78" s="61"/>
      <c r="H78" s="62"/>
      <c r="I78" s="75"/>
      <c r="J78" s="60" t="s">
        <v>95</v>
      </c>
      <c r="K78" s="64"/>
      <c r="L78" s="64"/>
      <c r="M78" s="64" t="s">
        <v>96</v>
      </c>
      <c r="N78" s="64" t="s">
        <v>97</v>
      </c>
      <c r="O78" s="65" t="s">
        <v>986</v>
      </c>
      <c r="P78" s="70" t="s">
        <v>96</v>
      </c>
      <c r="Q78" s="60" t="s">
        <v>95</v>
      </c>
      <c r="R78" s="60" t="s">
        <v>96</v>
      </c>
      <c r="S78" s="66" t="s">
        <v>96</v>
      </c>
      <c r="T78" s="67" t="s">
        <v>96</v>
      </c>
      <c r="U78" s="60" t="s">
        <v>96</v>
      </c>
      <c r="V78" s="60" t="s">
        <v>96</v>
      </c>
      <c r="W78" s="60" t="str" cm="1">
        <f t="array" ref="W78">_xlfn.LET(_xlpm.resultados,_xlfn.UNIQUE(_xlfn._xlws.FILTER(Tabla1[Proceso],(Tabla1[Metal Base]=Q78)*(Tabla1[Etiquetas]=_xlfn.TEXTJOIN(" + ",TRUE,IF((TRIM(Upload!R78:V78)="")+(LOWER(TRIM(Upload!R78:V78))="(seleccione)"),"",PROPER(TRIM(Upload!R78:V78)))))*(Tabla1[Línea2]=IFERROR(VLOOKUP(Upload!P78&amp;"*",CAT_Procesos!D:D,1,FALSE),"")))),_xlpm.cantidad,ROWS(_xlpm.resultados),IF(ISERROR(_xlpm.cantidad),"Combinación no existente",IF(_xlpm.cantidad=1,INDEX(_xlpm.resultados,1),"(seleccione)")))</f>
        <v>Combinación no existente</v>
      </c>
      <c r="X78" s="67" t="s">
        <v>96</v>
      </c>
      <c r="Y78" s="64"/>
      <c r="Z78" s="64"/>
      <c r="AA78" s="64"/>
      <c r="AB78" s="133" t="s">
        <v>96</v>
      </c>
      <c r="AC78" s="64"/>
      <c r="AD78" s="64"/>
      <c r="AE78" s="64"/>
      <c r="AF78" s="60" t="s">
        <v>96</v>
      </c>
      <c r="AG78" s="64"/>
      <c r="AH78" s="64"/>
      <c r="AI78" s="64"/>
      <c r="AJ78" s="68" t="s">
        <v>96</v>
      </c>
      <c r="AK78" s="69" t="str">
        <f t="shared" si="2"/>
        <v/>
      </c>
      <c r="AL78" s="70" t="s">
        <v>96</v>
      </c>
      <c r="AM78" s="69" t="str">
        <f t="shared" si="3"/>
        <v/>
      </c>
      <c r="AN78" s="71"/>
      <c r="AO78" s="71"/>
      <c r="AP78" s="71"/>
      <c r="AQ78" s="71"/>
      <c r="AR78" s="71" t="s">
        <v>96</v>
      </c>
      <c r="AS78" s="71"/>
      <c r="AT78" s="71" t="s">
        <v>96</v>
      </c>
      <c r="AU78" s="71"/>
      <c r="AV78" s="71" t="s">
        <v>95</v>
      </c>
      <c r="AW78" s="71"/>
      <c r="AX78" s="71"/>
      <c r="AY78" s="71"/>
      <c r="AZ78" s="71"/>
      <c r="BA78" s="71"/>
      <c r="BB78" s="70" t="s">
        <v>218</v>
      </c>
      <c r="BC78" s="70" t="s">
        <v>98</v>
      </c>
      <c r="BD78" s="72" t="str">
        <f>IF('Cálculo MP'!K88="","",'Cálculo MP'!K88)</f>
        <v/>
      </c>
      <c r="BE78" s="72" t="str">
        <f>IF('Cálculo MP'!L88="","",'Cálculo MP'!L88)</f>
        <v/>
      </c>
      <c r="BF78" s="72" t="str">
        <f>IF('Cálculo MP'!M88="","",'Cálculo MP'!M88)</f>
        <v/>
      </c>
      <c r="BG78" s="72" t="str">
        <f>IF('Cálculo MP'!N88="","",'Cálculo MP'!N88)</f>
        <v/>
      </c>
      <c r="BH78" s="72" t="str">
        <f>IF('Cálculo MP'!O88="","",'Cálculo MP'!O88)</f>
        <v/>
      </c>
      <c r="BI78" s="72" t="str">
        <f>IF('Cálculo MP'!P88="","",'Cálculo MP'!P88)</f>
        <v/>
      </c>
      <c r="BJ78" s="72" t="str">
        <f>IF('Cálculo MP'!Q88="","",'Cálculo MP'!Q88)</f>
        <v/>
      </c>
      <c r="BK78" s="72" t="str">
        <f>IF('Cálculo MP'!R88="","",'Cálculo MP'!R88)</f>
        <v/>
      </c>
      <c r="BL78" s="72" t="str">
        <f>IF('Cálculo MP'!S88="","",'Cálculo MP'!S88)</f>
        <v/>
      </c>
      <c r="BM78" s="71"/>
      <c r="BN78" s="71"/>
      <c r="BO78" s="71"/>
      <c r="BP78" s="71"/>
      <c r="BQ78" s="71"/>
      <c r="BR78" s="71"/>
      <c r="BS78" s="71"/>
    </row>
    <row r="79" spans="1:71" ht="19.5" customHeight="1" x14ac:dyDescent="0.15">
      <c r="A79" s="56" t="s">
        <v>985</v>
      </c>
      <c r="B79" s="57" t="s">
        <v>986</v>
      </c>
      <c r="C79" s="58" t="s">
        <v>985</v>
      </c>
      <c r="D79" s="59" t="s">
        <v>985</v>
      </c>
      <c r="E79" s="61"/>
      <c r="F79" s="60" t="s">
        <v>95</v>
      </c>
      <c r="G79" s="61"/>
      <c r="H79" s="62"/>
      <c r="I79" s="75"/>
      <c r="J79" s="60" t="s">
        <v>95</v>
      </c>
      <c r="K79" s="64"/>
      <c r="L79" s="64"/>
      <c r="M79" s="64" t="s">
        <v>96</v>
      </c>
      <c r="N79" s="64" t="s">
        <v>97</v>
      </c>
      <c r="O79" s="65" t="s">
        <v>986</v>
      </c>
      <c r="P79" s="70" t="s">
        <v>96</v>
      </c>
      <c r="Q79" s="60" t="s">
        <v>95</v>
      </c>
      <c r="R79" s="60" t="s">
        <v>96</v>
      </c>
      <c r="S79" s="66" t="s">
        <v>96</v>
      </c>
      <c r="T79" s="67" t="s">
        <v>96</v>
      </c>
      <c r="U79" s="60" t="s">
        <v>96</v>
      </c>
      <c r="V79" s="60" t="s">
        <v>96</v>
      </c>
      <c r="W79" s="60" t="str" cm="1">
        <f t="array" ref="W79">_xlfn.LET(_xlpm.resultados,_xlfn.UNIQUE(_xlfn._xlws.FILTER(Tabla1[Proceso],(Tabla1[Metal Base]=Q79)*(Tabla1[Etiquetas]=_xlfn.TEXTJOIN(" + ",TRUE,IF((TRIM(Upload!R79:V79)="")+(LOWER(TRIM(Upload!R79:V79))="(seleccione)"),"",PROPER(TRIM(Upload!R79:V79)))))*(Tabla1[Línea2]=IFERROR(VLOOKUP(Upload!P79&amp;"*",CAT_Procesos!D:D,1,FALSE),"")))),_xlpm.cantidad,ROWS(_xlpm.resultados),IF(ISERROR(_xlpm.cantidad),"Combinación no existente",IF(_xlpm.cantidad=1,INDEX(_xlpm.resultados,1),"(seleccione)")))</f>
        <v>Combinación no existente</v>
      </c>
      <c r="X79" s="67" t="s">
        <v>96</v>
      </c>
      <c r="Y79" s="64"/>
      <c r="Z79" s="64"/>
      <c r="AA79" s="64"/>
      <c r="AB79" s="133" t="s">
        <v>96</v>
      </c>
      <c r="AC79" s="64"/>
      <c r="AD79" s="64"/>
      <c r="AE79" s="64"/>
      <c r="AF79" s="60" t="s">
        <v>96</v>
      </c>
      <c r="AG79" s="64"/>
      <c r="AH79" s="64"/>
      <c r="AI79" s="64"/>
      <c r="AJ79" s="68" t="s">
        <v>96</v>
      </c>
      <c r="AK79" s="69" t="str">
        <f t="shared" si="2"/>
        <v/>
      </c>
      <c r="AL79" s="70" t="s">
        <v>96</v>
      </c>
      <c r="AM79" s="69" t="str">
        <f t="shared" si="3"/>
        <v/>
      </c>
      <c r="AN79" s="71"/>
      <c r="AO79" s="71"/>
      <c r="AP79" s="71"/>
      <c r="AQ79" s="71"/>
      <c r="AR79" s="71" t="s">
        <v>96</v>
      </c>
      <c r="AS79" s="71"/>
      <c r="AT79" s="71" t="s">
        <v>96</v>
      </c>
      <c r="AU79" s="71"/>
      <c r="AV79" s="71" t="s">
        <v>95</v>
      </c>
      <c r="AW79" s="71"/>
      <c r="AX79" s="71"/>
      <c r="AY79" s="71"/>
      <c r="AZ79" s="71"/>
      <c r="BA79" s="71"/>
      <c r="BB79" s="70" t="s">
        <v>218</v>
      </c>
      <c r="BC79" s="70" t="s">
        <v>98</v>
      </c>
      <c r="BD79" s="72" t="str">
        <f>IF('Cálculo MP'!K89="","",'Cálculo MP'!K89)</f>
        <v/>
      </c>
      <c r="BE79" s="72" t="str">
        <f>IF('Cálculo MP'!L89="","",'Cálculo MP'!L89)</f>
        <v/>
      </c>
      <c r="BF79" s="72" t="str">
        <f>IF('Cálculo MP'!M89="","",'Cálculo MP'!M89)</f>
        <v/>
      </c>
      <c r="BG79" s="72" t="str">
        <f>IF('Cálculo MP'!N89="","",'Cálculo MP'!N89)</f>
        <v/>
      </c>
      <c r="BH79" s="72" t="str">
        <f>IF('Cálculo MP'!O89="","",'Cálculo MP'!O89)</f>
        <v/>
      </c>
      <c r="BI79" s="72" t="str">
        <f>IF('Cálculo MP'!P89="","",'Cálculo MP'!P89)</f>
        <v/>
      </c>
      <c r="BJ79" s="72" t="str">
        <f>IF('Cálculo MP'!Q89="","",'Cálculo MP'!Q89)</f>
        <v/>
      </c>
      <c r="BK79" s="72" t="str">
        <f>IF('Cálculo MP'!R89="","",'Cálculo MP'!R89)</f>
        <v/>
      </c>
      <c r="BL79" s="72" t="str">
        <f>IF('Cálculo MP'!S89="","",'Cálculo MP'!S89)</f>
        <v/>
      </c>
      <c r="BM79" s="71"/>
      <c r="BN79" s="71"/>
      <c r="BO79" s="71"/>
      <c r="BP79" s="71"/>
      <c r="BQ79" s="71"/>
      <c r="BR79" s="71"/>
      <c r="BS79" s="71"/>
    </row>
    <row r="80" spans="1:71" ht="19.5" customHeight="1" x14ac:dyDescent="0.15">
      <c r="A80" s="56" t="s">
        <v>985</v>
      </c>
      <c r="B80" s="57" t="s">
        <v>986</v>
      </c>
      <c r="C80" s="58" t="s">
        <v>985</v>
      </c>
      <c r="D80" s="59" t="s">
        <v>985</v>
      </c>
      <c r="E80" s="61"/>
      <c r="F80" s="60" t="s">
        <v>95</v>
      </c>
      <c r="G80" s="61"/>
      <c r="H80" s="62"/>
      <c r="I80" s="75"/>
      <c r="J80" s="60" t="s">
        <v>95</v>
      </c>
      <c r="K80" s="64"/>
      <c r="L80" s="64"/>
      <c r="M80" s="64" t="s">
        <v>96</v>
      </c>
      <c r="N80" s="64" t="s">
        <v>97</v>
      </c>
      <c r="O80" s="65" t="s">
        <v>986</v>
      </c>
      <c r="P80" s="70" t="s">
        <v>96</v>
      </c>
      <c r="Q80" s="60" t="s">
        <v>95</v>
      </c>
      <c r="R80" s="60" t="s">
        <v>96</v>
      </c>
      <c r="S80" s="66" t="s">
        <v>96</v>
      </c>
      <c r="T80" s="67" t="s">
        <v>96</v>
      </c>
      <c r="U80" s="60" t="s">
        <v>96</v>
      </c>
      <c r="V80" s="60" t="s">
        <v>96</v>
      </c>
      <c r="W80" s="60" t="str" cm="1">
        <f t="array" ref="W80">_xlfn.LET(_xlpm.resultados,_xlfn.UNIQUE(_xlfn._xlws.FILTER(Tabla1[Proceso],(Tabla1[Metal Base]=Q80)*(Tabla1[Etiquetas]=_xlfn.TEXTJOIN(" + ",TRUE,IF((TRIM(Upload!R80:V80)="")+(LOWER(TRIM(Upload!R80:V80))="(seleccione)"),"",PROPER(TRIM(Upload!R80:V80)))))*(Tabla1[Línea2]=IFERROR(VLOOKUP(Upload!P80&amp;"*",CAT_Procesos!D:D,1,FALSE),"")))),_xlpm.cantidad,ROWS(_xlpm.resultados),IF(ISERROR(_xlpm.cantidad),"Combinación no existente",IF(_xlpm.cantidad=1,INDEX(_xlpm.resultados,1),"(seleccione)")))</f>
        <v>Combinación no existente</v>
      </c>
      <c r="X80" s="67" t="s">
        <v>96</v>
      </c>
      <c r="Y80" s="64"/>
      <c r="Z80" s="64"/>
      <c r="AA80" s="64"/>
      <c r="AB80" s="133" t="s">
        <v>96</v>
      </c>
      <c r="AC80" s="64"/>
      <c r="AD80" s="64"/>
      <c r="AE80" s="64"/>
      <c r="AF80" s="60" t="s">
        <v>96</v>
      </c>
      <c r="AG80" s="64"/>
      <c r="AH80" s="64"/>
      <c r="AI80" s="64"/>
      <c r="AJ80" s="68" t="s">
        <v>96</v>
      </c>
      <c r="AK80" s="69" t="str">
        <f t="shared" si="2"/>
        <v/>
      </c>
      <c r="AL80" s="70" t="s">
        <v>96</v>
      </c>
      <c r="AM80" s="69" t="str">
        <f t="shared" si="3"/>
        <v/>
      </c>
      <c r="AN80" s="71"/>
      <c r="AO80" s="71"/>
      <c r="AP80" s="71"/>
      <c r="AQ80" s="71"/>
      <c r="AR80" s="71" t="s">
        <v>96</v>
      </c>
      <c r="AS80" s="71"/>
      <c r="AT80" s="71" t="s">
        <v>96</v>
      </c>
      <c r="AU80" s="71"/>
      <c r="AV80" s="71" t="s">
        <v>95</v>
      </c>
      <c r="AW80" s="71"/>
      <c r="AX80" s="71"/>
      <c r="AY80" s="71"/>
      <c r="AZ80" s="71"/>
      <c r="BA80" s="71"/>
      <c r="BB80" s="70" t="s">
        <v>218</v>
      </c>
      <c r="BC80" s="70" t="s">
        <v>98</v>
      </c>
      <c r="BD80" s="72" t="str">
        <f>IF('Cálculo MP'!K90="","",'Cálculo MP'!K90)</f>
        <v/>
      </c>
      <c r="BE80" s="72" t="str">
        <f>IF('Cálculo MP'!L90="","",'Cálculo MP'!L90)</f>
        <v/>
      </c>
      <c r="BF80" s="72" t="str">
        <f>IF('Cálculo MP'!M90="","",'Cálculo MP'!M90)</f>
        <v/>
      </c>
      <c r="BG80" s="72" t="str">
        <f>IF('Cálculo MP'!N90="","",'Cálculo MP'!N90)</f>
        <v/>
      </c>
      <c r="BH80" s="72" t="str">
        <f>IF('Cálculo MP'!O90="","",'Cálculo MP'!O90)</f>
        <v/>
      </c>
      <c r="BI80" s="72" t="str">
        <f>IF('Cálculo MP'!P90="","",'Cálculo MP'!P90)</f>
        <v/>
      </c>
      <c r="BJ80" s="72" t="str">
        <f>IF('Cálculo MP'!Q90="","",'Cálculo MP'!Q90)</f>
        <v/>
      </c>
      <c r="BK80" s="72" t="str">
        <f>IF('Cálculo MP'!R90="","",'Cálculo MP'!R90)</f>
        <v/>
      </c>
      <c r="BL80" s="72" t="str">
        <f>IF('Cálculo MP'!S90="","",'Cálculo MP'!S90)</f>
        <v/>
      </c>
      <c r="BM80" s="71"/>
      <c r="BN80" s="71"/>
      <c r="BO80" s="71"/>
      <c r="BP80" s="71"/>
      <c r="BQ80" s="71"/>
      <c r="BR80" s="71"/>
      <c r="BS80" s="71"/>
    </row>
    <row r="81" spans="1:71" ht="19.5" customHeight="1" x14ac:dyDescent="0.15">
      <c r="A81" s="56" t="s">
        <v>985</v>
      </c>
      <c r="B81" s="57" t="s">
        <v>986</v>
      </c>
      <c r="C81" s="58" t="s">
        <v>985</v>
      </c>
      <c r="D81" s="59" t="s">
        <v>985</v>
      </c>
      <c r="E81" s="61"/>
      <c r="F81" s="60" t="s">
        <v>95</v>
      </c>
      <c r="G81" s="61"/>
      <c r="H81" s="62"/>
      <c r="I81" s="75"/>
      <c r="J81" s="60" t="s">
        <v>95</v>
      </c>
      <c r="K81" s="64"/>
      <c r="L81" s="64"/>
      <c r="M81" s="64" t="s">
        <v>96</v>
      </c>
      <c r="N81" s="64" t="s">
        <v>97</v>
      </c>
      <c r="O81" s="65" t="s">
        <v>986</v>
      </c>
      <c r="P81" s="70" t="s">
        <v>96</v>
      </c>
      <c r="Q81" s="60" t="s">
        <v>95</v>
      </c>
      <c r="R81" s="60" t="s">
        <v>96</v>
      </c>
      <c r="S81" s="66" t="s">
        <v>96</v>
      </c>
      <c r="T81" s="67" t="s">
        <v>96</v>
      </c>
      <c r="U81" s="60" t="s">
        <v>96</v>
      </c>
      <c r="V81" s="60" t="s">
        <v>96</v>
      </c>
      <c r="W81" s="60" t="str" cm="1">
        <f t="array" ref="W81">_xlfn.LET(_xlpm.resultados,_xlfn.UNIQUE(_xlfn._xlws.FILTER(Tabla1[Proceso],(Tabla1[Metal Base]=Q81)*(Tabla1[Etiquetas]=_xlfn.TEXTJOIN(" + ",TRUE,IF((TRIM(Upload!R81:V81)="")+(LOWER(TRIM(Upload!R81:V81))="(seleccione)"),"",PROPER(TRIM(Upload!R81:V81)))))*(Tabla1[Línea2]=IFERROR(VLOOKUP(Upload!P81&amp;"*",CAT_Procesos!D:D,1,FALSE),"")))),_xlpm.cantidad,ROWS(_xlpm.resultados),IF(ISERROR(_xlpm.cantidad),"Combinación no existente",IF(_xlpm.cantidad=1,INDEX(_xlpm.resultados,1),"(seleccione)")))</f>
        <v>Combinación no existente</v>
      </c>
      <c r="X81" s="67" t="s">
        <v>96</v>
      </c>
      <c r="Y81" s="64"/>
      <c r="Z81" s="64"/>
      <c r="AA81" s="64"/>
      <c r="AB81" s="133" t="s">
        <v>96</v>
      </c>
      <c r="AC81" s="64"/>
      <c r="AD81" s="64"/>
      <c r="AE81" s="64"/>
      <c r="AF81" s="60" t="s">
        <v>96</v>
      </c>
      <c r="AG81" s="64"/>
      <c r="AH81" s="64"/>
      <c r="AI81" s="64"/>
      <c r="AJ81" s="68" t="s">
        <v>96</v>
      </c>
      <c r="AK81" s="69" t="str">
        <f t="shared" si="2"/>
        <v/>
      </c>
      <c r="AL81" s="70" t="s">
        <v>96</v>
      </c>
      <c r="AM81" s="69" t="str">
        <f t="shared" si="3"/>
        <v/>
      </c>
      <c r="AN81" s="71"/>
      <c r="AO81" s="71"/>
      <c r="AP81" s="71"/>
      <c r="AQ81" s="71"/>
      <c r="AR81" s="71" t="s">
        <v>96</v>
      </c>
      <c r="AS81" s="71"/>
      <c r="AT81" s="71" t="s">
        <v>96</v>
      </c>
      <c r="AU81" s="71"/>
      <c r="AV81" s="71" t="s">
        <v>95</v>
      </c>
      <c r="AW81" s="71"/>
      <c r="AX81" s="71"/>
      <c r="AY81" s="71"/>
      <c r="AZ81" s="71"/>
      <c r="BA81" s="71"/>
      <c r="BB81" s="70" t="s">
        <v>218</v>
      </c>
      <c r="BC81" s="70" t="s">
        <v>98</v>
      </c>
      <c r="BD81" s="72" t="str">
        <f>IF('Cálculo MP'!K91="","",'Cálculo MP'!K91)</f>
        <v/>
      </c>
      <c r="BE81" s="72" t="str">
        <f>IF('Cálculo MP'!L91="","",'Cálculo MP'!L91)</f>
        <v/>
      </c>
      <c r="BF81" s="72" t="str">
        <f>IF('Cálculo MP'!M91="","",'Cálculo MP'!M91)</f>
        <v/>
      </c>
      <c r="BG81" s="72" t="str">
        <f>IF('Cálculo MP'!N91="","",'Cálculo MP'!N91)</f>
        <v/>
      </c>
      <c r="BH81" s="72" t="str">
        <f>IF('Cálculo MP'!O91="","",'Cálculo MP'!O91)</f>
        <v/>
      </c>
      <c r="BI81" s="72" t="str">
        <f>IF('Cálculo MP'!P91="","",'Cálculo MP'!P91)</f>
        <v/>
      </c>
      <c r="BJ81" s="72" t="str">
        <f>IF('Cálculo MP'!Q91="","",'Cálculo MP'!Q91)</f>
        <v/>
      </c>
      <c r="BK81" s="72" t="str">
        <f>IF('Cálculo MP'!R91="","",'Cálculo MP'!R91)</f>
        <v/>
      </c>
      <c r="BL81" s="72" t="str">
        <f>IF('Cálculo MP'!S91="","",'Cálculo MP'!S91)</f>
        <v/>
      </c>
      <c r="BM81" s="71"/>
      <c r="BN81" s="71"/>
      <c r="BO81" s="71"/>
      <c r="BP81" s="71"/>
      <c r="BQ81" s="71"/>
      <c r="BR81" s="71"/>
      <c r="BS81" s="71"/>
    </row>
    <row r="82" spans="1:71" ht="19.5" customHeight="1" x14ac:dyDescent="0.15">
      <c r="A82" s="56" t="s">
        <v>985</v>
      </c>
      <c r="B82" s="57" t="s">
        <v>986</v>
      </c>
      <c r="C82" s="58" t="s">
        <v>985</v>
      </c>
      <c r="D82" s="59" t="s">
        <v>985</v>
      </c>
      <c r="E82" s="61"/>
      <c r="F82" s="60" t="s">
        <v>95</v>
      </c>
      <c r="G82" s="61"/>
      <c r="H82" s="62"/>
      <c r="I82" s="75"/>
      <c r="J82" s="60" t="s">
        <v>95</v>
      </c>
      <c r="K82" s="64"/>
      <c r="L82" s="64"/>
      <c r="M82" s="64" t="s">
        <v>96</v>
      </c>
      <c r="N82" s="64" t="s">
        <v>97</v>
      </c>
      <c r="O82" s="65" t="s">
        <v>986</v>
      </c>
      <c r="P82" s="70" t="s">
        <v>96</v>
      </c>
      <c r="Q82" s="60" t="s">
        <v>95</v>
      </c>
      <c r="R82" s="60" t="s">
        <v>96</v>
      </c>
      <c r="S82" s="66" t="s">
        <v>96</v>
      </c>
      <c r="T82" s="67" t="s">
        <v>96</v>
      </c>
      <c r="U82" s="60" t="s">
        <v>96</v>
      </c>
      <c r="V82" s="60" t="s">
        <v>96</v>
      </c>
      <c r="W82" s="60" t="str" cm="1">
        <f t="array" ref="W82">_xlfn.LET(_xlpm.resultados,_xlfn.UNIQUE(_xlfn._xlws.FILTER(Tabla1[Proceso],(Tabla1[Metal Base]=Q82)*(Tabla1[Etiquetas]=_xlfn.TEXTJOIN(" + ",TRUE,IF((TRIM(Upload!R82:V82)="")+(LOWER(TRIM(Upload!R82:V82))="(seleccione)"),"",PROPER(TRIM(Upload!R82:V82)))))*(Tabla1[Línea2]=IFERROR(VLOOKUP(Upload!P82&amp;"*",CAT_Procesos!D:D,1,FALSE),"")))),_xlpm.cantidad,ROWS(_xlpm.resultados),IF(ISERROR(_xlpm.cantidad),"Combinación no existente",IF(_xlpm.cantidad=1,INDEX(_xlpm.resultados,1),"(seleccione)")))</f>
        <v>Combinación no existente</v>
      </c>
      <c r="X82" s="67" t="s">
        <v>96</v>
      </c>
      <c r="Y82" s="64"/>
      <c r="Z82" s="64"/>
      <c r="AA82" s="64"/>
      <c r="AB82" s="133" t="s">
        <v>96</v>
      </c>
      <c r="AC82" s="64"/>
      <c r="AD82" s="64"/>
      <c r="AE82" s="64"/>
      <c r="AF82" s="60" t="s">
        <v>96</v>
      </c>
      <c r="AG82" s="64"/>
      <c r="AH82" s="64"/>
      <c r="AI82" s="64"/>
      <c r="AJ82" s="68" t="s">
        <v>96</v>
      </c>
      <c r="AK82" s="69" t="str">
        <f t="shared" si="2"/>
        <v/>
      </c>
      <c r="AL82" s="70" t="s">
        <v>96</v>
      </c>
      <c r="AM82" s="69" t="str">
        <f t="shared" si="3"/>
        <v/>
      </c>
      <c r="AN82" s="71"/>
      <c r="AO82" s="71"/>
      <c r="AP82" s="71"/>
      <c r="AQ82" s="71"/>
      <c r="AR82" s="71" t="s">
        <v>96</v>
      </c>
      <c r="AS82" s="71"/>
      <c r="AT82" s="71" t="s">
        <v>96</v>
      </c>
      <c r="AU82" s="71"/>
      <c r="AV82" s="71" t="s">
        <v>95</v>
      </c>
      <c r="AW82" s="71"/>
      <c r="AX82" s="71"/>
      <c r="AY82" s="71"/>
      <c r="AZ82" s="71"/>
      <c r="BA82" s="71"/>
      <c r="BB82" s="70" t="s">
        <v>218</v>
      </c>
      <c r="BC82" s="70" t="s">
        <v>98</v>
      </c>
      <c r="BD82" s="72" t="str">
        <f>IF('Cálculo MP'!K92="","",'Cálculo MP'!K92)</f>
        <v/>
      </c>
      <c r="BE82" s="72" t="str">
        <f>IF('Cálculo MP'!L92="","",'Cálculo MP'!L92)</f>
        <v/>
      </c>
      <c r="BF82" s="72" t="str">
        <f>IF('Cálculo MP'!M92="","",'Cálculo MP'!M92)</f>
        <v/>
      </c>
      <c r="BG82" s="72" t="str">
        <f>IF('Cálculo MP'!N92="","",'Cálculo MP'!N92)</f>
        <v/>
      </c>
      <c r="BH82" s="72" t="str">
        <f>IF('Cálculo MP'!O92="","",'Cálculo MP'!O92)</f>
        <v/>
      </c>
      <c r="BI82" s="72" t="str">
        <f>IF('Cálculo MP'!P92="","",'Cálculo MP'!P92)</f>
        <v/>
      </c>
      <c r="BJ82" s="72" t="str">
        <f>IF('Cálculo MP'!Q92="","",'Cálculo MP'!Q92)</f>
        <v/>
      </c>
      <c r="BK82" s="72" t="str">
        <f>IF('Cálculo MP'!R92="","",'Cálculo MP'!R92)</f>
        <v/>
      </c>
      <c r="BL82" s="72" t="str">
        <f>IF('Cálculo MP'!S92="","",'Cálculo MP'!S92)</f>
        <v/>
      </c>
      <c r="BM82" s="71"/>
      <c r="BN82" s="71"/>
      <c r="BO82" s="71"/>
      <c r="BP82" s="71"/>
      <c r="BQ82" s="71"/>
      <c r="BR82" s="71"/>
      <c r="BS82" s="71"/>
    </row>
    <row r="83" spans="1:71" ht="19.5" customHeight="1" x14ac:dyDescent="0.15">
      <c r="A83" s="56" t="s">
        <v>985</v>
      </c>
      <c r="B83" s="57" t="s">
        <v>986</v>
      </c>
      <c r="C83" s="58" t="s">
        <v>985</v>
      </c>
      <c r="D83" s="59" t="s">
        <v>985</v>
      </c>
      <c r="E83" s="61"/>
      <c r="F83" s="60" t="s">
        <v>95</v>
      </c>
      <c r="G83" s="61"/>
      <c r="H83" s="62"/>
      <c r="I83" s="75"/>
      <c r="J83" s="60" t="s">
        <v>95</v>
      </c>
      <c r="K83" s="64"/>
      <c r="L83" s="64"/>
      <c r="M83" s="64" t="s">
        <v>96</v>
      </c>
      <c r="N83" s="64" t="s">
        <v>97</v>
      </c>
      <c r="O83" s="65" t="s">
        <v>986</v>
      </c>
      <c r="P83" s="70" t="s">
        <v>96</v>
      </c>
      <c r="Q83" s="60" t="s">
        <v>95</v>
      </c>
      <c r="R83" s="60" t="s">
        <v>96</v>
      </c>
      <c r="S83" s="66" t="s">
        <v>96</v>
      </c>
      <c r="T83" s="67" t="s">
        <v>96</v>
      </c>
      <c r="U83" s="60" t="s">
        <v>96</v>
      </c>
      <c r="V83" s="60" t="s">
        <v>96</v>
      </c>
      <c r="W83" s="60" t="str" cm="1">
        <f t="array" ref="W83">_xlfn.LET(_xlpm.resultados,_xlfn.UNIQUE(_xlfn._xlws.FILTER(Tabla1[Proceso],(Tabla1[Metal Base]=Q83)*(Tabla1[Etiquetas]=_xlfn.TEXTJOIN(" + ",TRUE,IF((TRIM(Upload!R83:V83)="")+(LOWER(TRIM(Upload!R83:V83))="(seleccione)"),"",PROPER(TRIM(Upload!R83:V83)))))*(Tabla1[Línea2]=IFERROR(VLOOKUP(Upload!P83&amp;"*",CAT_Procesos!D:D,1,FALSE),"")))),_xlpm.cantidad,ROWS(_xlpm.resultados),IF(ISERROR(_xlpm.cantidad),"Combinación no existente",IF(_xlpm.cantidad=1,INDEX(_xlpm.resultados,1),"(seleccione)")))</f>
        <v>Combinación no existente</v>
      </c>
      <c r="X83" s="67" t="s">
        <v>96</v>
      </c>
      <c r="Y83" s="64"/>
      <c r="Z83" s="64"/>
      <c r="AA83" s="64"/>
      <c r="AB83" s="133" t="s">
        <v>96</v>
      </c>
      <c r="AC83" s="64"/>
      <c r="AD83" s="64"/>
      <c r="AE83" s="64"/>
      <c r="AF83" s="60" t="s">
        <v>96</v>
      </c>
      <c r="AG83" s="64"/>
      <c r="AH83" s="64"/>
      <c r="AI83" s="64"/>
      <c r="AJ83" s="68" t="s">
        <v>96</v>
      </c>
      <c r="AK83" s="69" t="str">
        <f t="shared" si="2"/>
        <v/>
      </c>
      <c r="AL83" s="70" t="s">
        <v>96</v>
      </c>
      <c r="AM83" s="69" t="str">
        <f t="shared" si="3"/>
        <v/>
      </c>
      <c r="AN83" s="71"/>
      <c r="AO83" s="71"/>
      <c r="AP83" s="71"/>
      <c r="AQ83" s="71"/>
      <c r="AR83" s="71" t="s">
        <v>96</v>
      </c>
      <c r="AS83" s="71"/>
      <c r="AT83" s="71" t="s">
        <v>96</v>
      </c>
      <c r="AU83" s="71"/>
      <c r="AV83" s="71" t="s">
        <v>95</v>
      </c>
      <c r="AW83" s="71"/>
      <c r="AX83" s="71"/>
      <c r="AY83" s="71"/>
      <c r="AZ83" s="71"/>
      <c r="BA83" s="71"/>
      <c r="BB83" s="70" t="s">
        <v>218</v>
      </c>
      <c r="BC83" s="70" t="s">
        <v>98</v>
      </c>
      <c r="BD83" s="72" t="str">
        <f>IF('Cálculo MP'!K93="","",'Cálculo MP'!K93)</f>
        <v/>
      </c>
      <c r="BE83" s="72" t="str">
        <f>IF('Cálculo MP'!L93="","",'Cálculo MP'!L93)</f>
        <v/>
      </c>
      <c r="BF83" s="72" t="str">
        <f>IF('Cálculo MP'!M93="","",'Cálculo MP'!M93)</f>
        <v/>
      </c>
      <c r="BG83" s="72" t="str">
        <f>IF('Cálculo MP'!N93="","",'Cálculo MP'!N93)</f>
        <v/>
      </c>
      <c r="BH83" s="72" t="str">
        <f>IF('Cálculo MP'!O93="","",'Cálculo MP'!O93)</f>
        <v/>
      </c>
      <c r="BI83" s="72" t="str">
        <f>IF('Cálculo MP'!P93="","",'Cálculo MP'!P93)</f>
        <v/>
      </c>
      <c r="BJ83" s="72" t="str">
        <f>IF('Cálculo MP'!Q93="","",'Cálculo MP'!Q93)</f>
        <v/>
      </c>
      <c r="BK83" s="72" t="str">
        <f>IF('Cálculo MP'!R93="","",'Cálculo MP'!R93)</f>
        <v/>
      </c>
      <c r="BL83" s="72" t="str">
        <f>IF('Cálculo MP'!S93="","",'Cálculo MP'!S93)</f>
        <v/>
      </c>
      <c r="BM83" s="71"/>
      <c r="BN83" s="71"/>
      <c r="BO83" s="71"/>
      <c r="BP83" s="71"/>
      <c r="BQ83" s="71"/>
      <c r="BR83" s="71"/>
      <c r="BS83" s="71"/>
    </row>
    <row r="84" spans="1:71" ht="19.5" customHeight="1" x14ac:dyDescent="0.15">
      <c r="A84" s="56" t="s">
        <v>985</v>
      </c>
      <c r="B84" s="57" t="s">
        <v>986</v>
      </c>
      <c r="C84" s="58" t="s">
        <v>985</v>
      </c>
      <c r="D84" s="59" t="s">
        <v>985</v>
      </c>
      <c r="E84" s="61"/>
      <c r="F84" s="60" t="s">
        <v>95</v>
      </c>
      <c r="G84" s="61"/>
      <c r="H84" s="62"/>
      <c r="I84" s="75"/>
      <c r="J84" s="60" t="s">
        <v>95</v>
      </c>
      <c r="K84" s="64"/>
      <c r="L84" s="64"/>
      <c r="M84" s="64" t="s">
        <v>96</v>
      </c>
      <c r="N84" s="64" t="s">
        <v>97</v>
      </c>
      <c r="O84" s="65" t="s">
        <v>986</v>
      </c>
      <c r="P84" s="70" t="s">
        <v>96</v>
      </c>
      <c r="Q84" s="60" t="s">
        <v>95</v>
      </c>
      <c r="R84" s="60" t="s">
        <v>96</v>
      </c>
      <c r="S84" s="66" t="s">
        <v>96</v>
      </c>
      <c r="T84" s="67" t="s">
        <v>96</v>
      </c>
      <c r="U84" s="60" t="s">
        <v>96</v>
      </c>
      <c r="V84" s="60" t="s">
        <v>96</v>
      </c>
      <c r="W84" s="60" t="str" cm="1">
        <f t="array" ref="W84">_xlfn.LET(_xlpm.resultados,_xlfn.UNIQUE(_xlfn._xlws.FILTER(Tabla1[Proceso],(Tabla1[Metal Base]=Q84)*(Tabla1[Etiquetas]=_xlfn.TEXTJOIN(" + ",TRUE,IF((TRIM(Upload!R84:V84)="")+(LOWER(TRIM(Upload!R84:V84))="(seleccione)"),"",PROPER(TRIM(Upload!R84:V84)))))*(Tabla1[Línea2]=IFERROR(VLOOKUP(Upload!P84&amp;"*",CAT_Procesos!D:D,1,FALSE),"")))),_xlpm.cantidad,ROWS(_xlpm.resultados),IF(ISERROR(_xlpm.cantidad),"Combinación no existente",IF(_xlpm.cantidad=1,INDEX(_xlpm.resultados,1),"(seleccione)")))</f>
        <v>Combinación no existente</v>
      </c>
      <c r="X84" s="67" t="s">
        <v>96</v>
      </c>
      <c r="Y84" s="64"/>
      <c r="Z84" s="64"/>
      <c r="AA84" s="64"/>
      <c r="AB84" s="133" t="s">
        <v>96</v>
      </c>
      <c r="AC84" s="64"/>
      <c r="AD84" s="64"/>
      <c r="AE84" s="64"/>
      <c r="AF84" s="60" t="s">
        <v>96</v>
      </c>
      <c r="AG84" s="64"/>
      <c r="AH84" s="64"/>
      <c r="AI84" s="64"/>
      <c r="AJ84" s="68" t="s">
        <v>96</v>
      </c>
      <c r="AK84" s="69" t="str">
        <f t="shared" si="2"/>
        <v/>
      </c>
      <c r="AL84" s="70" t="s">
        <v>96</v>
      </c>
      <c r="AM84" s="69" t="str">
        <f t="shared" si="3"/>
        <v/>
      </c>
      <c r="AN84" s="71"/>
      <c r="AO84" s="71"/>
      <c r="AP84" s="71"/>
      <c r="AQ84" s="71"/>
      <c r="AR84" s="71" t="s">
        <v>96</v>
      </c>
      <c r="AS84" s="71"/>
      <c r="AT84" s="71" t="s">
        <v>96</v>
      </c>
      <c r="AU84" s="71"/>
      <c r="AV84" s="71" t="s">
        <v>95</v>
      </c>
      <c r="AW84" s="71"/>
      <c r="AX84" s="71"/>
      <c r="AY84" s="71"/>
      <c r="AZ84" s="71"/>
      <c r="BA84" s="71"/>
      <c r="BB84" s="70" t="s">
        <v>218</v>
      </c>
      <c r="BC84" s="70" t="s">
        <v>98</v>
      </c>
      <c r="BD84" s="72" t="str">
        <f>IF('Cálculo MP'!K94="","",'Cálculo MP'!K94)</f>
        <v/>
      </c>
      <c r="BE84" s="72" t="str">
        <f>IF('Cálculo MP'!L94="","",'Cálculo MP'!L94)</f>
        <v/>
      </c>
      <c r="BF84" s="72" t="str">
        <f>IF('Cálculo MP'!M94="","",'Cálculo MP'!M94)</f>
        <v/>
      </c>
      <c r="BG84" s="72" t="str">
        <f>IF('Cálculo MP'!N94="","",'Cálculo MP'!N94)</f>
        <v/>
      </c>
      <c r="BH84" s="72" t="str">
        <f>IF('Cálculo MP'!O94="","",'Cálculo MP'!O94)</f>
        <v/>
      </c>
      <c r="BI84" s="72" t="str">
        <f>IF('Cálculo MP'!P94="","",'Cálculo MP'!P94)</f>
        <v/>
      </c>
      <c r="BJ84" s="72" t="str">
        <f>IF('Cálculo MP'!Q94="","",'Cálculo MP'!Q94)</f>
        <v/>
      </c>
      <c r="BK84" s="72" t="str">
        <f>IF('Cálculo MP'!R94="","",'Cálculo MP'!R94)</f>
        <v/>
      </c>
      <c r="BL84" s="72" t="str">
        <f>IF('Cálculo MP'!S94="","",'Cálculo MP'!S94)</f>
        <v/>
      </c>
      <c r="BM84" s="71"/>
      <c r="BN84" s="71"/>
      <c r="BO84" s="71"/>
      <c r="BP84" s="71"/>
      <c r="BQ84" s="71"/>
      <c r="BR84" s="71"/>
      <c r="BS84" s="71"/>
    </row>
    <row r="85" spans="1:71" ht="19.5" customHeight="1" x14ac:dyDescent="0.15">
      <c r="A85" s="56" t="s">
        <v>985</v>
      </c>
      <c r="B85" s="57" t="s">
        <v>986</v>
      </c>
      <c r="C85" s="58" t="s">
        <v>985</v>
      </c>
      <c r="D85" s="59" t="s">
        <v>985</v>
      </c>
      <c r="E85" s="61"/>
      <c r="F85" s="60" t="s">
        <v>95</v>
      </c>
      <c r="G85" s="61"/>
      <c r="H85" s="62"/>
      <c r="I85" s="75"/>
      <c r="J85" s="60" t="s">
        <v>95</v>
      </c>
      <c r="K85" s="64"/>
      <c r="L85" s="64"/>
      <c r="M85" s="64" t="s">
        <v>96</v>
      </c>
      <c r="N85" s="64" t="s">
        <v>97</v>
      </c>
      <c r="O85" s="65" t="s">
        <v>986</v>
      </c>
      <c r="P85" s="70" t="s">
        <v>96</v>
      </c>
      <c r="Q85" s="60" t="s">
        <v>95</v>
      </c>
      <c r="R85" s="60" t="s">
        <v>96</v>
      </c>
      <c r="S85" s="66" t="s">
        <v>96</v>
      </c>
      <c r="T85" s="67" t="s">
        <v>96</v>
      </c>
      <c r="U85" s="60" t="s">
        <v>96</v>
      </c>
      <c r="V85" s="60" t="s">
        <v>96</v>
      </c>
      <c r="W85" s="60" t="str" cm="1">
        <f t="array" ref="W85">_xlfn.LET(_xlpm.resultados,_xlfn.UNIQUE(_xlfn._xlws.FILTER(Tabla1[Proceso],(Tabla1[Metal Base]=Q85)*(Tabla1[Etiquetas]=_xlfn.TEXTJOIN(" + ",TRUE,IF((TRIM(Upload!R85:V85)="")+(LOWER(TRIM(Upload!R85:V85))="(seleccione)"),"",PROPER(TRIM(Upload!R85:V85)))))*(Tabla1[Línea2]=IFERROR(VLOOKUP(Upload!P85&amp;"*",CAT_Procesos!D:D,1,FALSE),"")))),_xlpm.cantidad,ROWS(_xlpm.resultados),IF(ISERROR(_xlpm.cantidad),"Combinación no existente",IF(_xlpm.cantidad=1,INDEX(_xlpm.resultados,1),"(seleccione)")))</f>
        <v>Combinación no existente</v>
      </c>
      <c r="X85" s="67" t="s">
        <v>96</v>
      </c>
      <c r="Y85" s="64"/>
      <c r="Z85" s="64"/>
      <c r="AA85" s="64"/>
      <c r="AB85" s="133" t="s">
        <v>96</v>
      </c>
      <c r="AC85" s="64"/>
      <c r="AD85" s="64"/>
      <c r="AE85" s="64"/>
      <c r="AF85" s="60" t="s">
        <v>96</v>
      </c>
      <c r="AG85" s="64"/>
      <c r="AH85" s="64"/>
      <c r="AI85" s="64"/>
      <c r="AJ85" s="68" t="s">
        <v>96</v>
      </c>
      <c r="AK85" s="69" t="str">
        <f t="shared" si="2"/>
        <v/>
      </c>
      <c r="AL85" s="70" t="s">
        <v>96</v>
      </c>
      <c r="AM85" s="69" t="str">
        <f t="shared" si="3"/>
        <v/>
      </c>
      <c r="AN85" s="71"/>
      <c r="AO85" s="71"/>
      <c r="AP85" s="71"/>
      <c r="AQ85" s="71"/>
      <c r="AR85" s="71" t="s">
        <v>96</v>
      </c>
      <c r="AS85" s="71"/>
      <c r="AT85" s="71" t="s">
        <v>96</v>
      </c>
      <c r="AU85" s="71"/>
      <c r="AV85" s="71" t="s">
        <v>95</v>
      </c>
      <c r="AW85" s="71"/>
      <c r="AX85" s="71"/>
      <c r="AY85" s="71"/>
      <c r="AZ85" s="71"/>
      <c r="BA85" s="71"/>
      <c r="BB85" s="70" t="s">
        <v>218</v>
      </c>
      <c r="BC85" s="70" t="s">
        <v>98</v>
      </c>
      <c r="BD85" s="72" t="str">
        <f>IF('Cálculo MP'!K95="","",'Cálculo MP'!K95)</f>
        <v/>
      </c>
      <c r="BE85" s="72" t="str">
        <f>IF('Cálculo MP'!L95="","",'Cálculo MP'!L95)</f>
        <v/>
      </c>
      <c r="BF85" s="72" t="str">
        <f>IF('Cálculo MP'!M95="","",'Cálculo MP'!M95)</f>
        <v/>
      </c>
      <c r="BG85" s="72" t="str">
        <f>IF('Cálculo MP'!N95="","",'Cálculo MP'!N95)</f>
        <v/>
      </c>
      <c r="BH85" s="72" t="str">
        <f>IF('Cálculo MP'!O95="","",'Cálculo MP'!O95)</f>
        <v/>
      </c>
      <c r="BI85" s="72" t="str">
        <f>IF('Cálculo MP'!P95="","",'Cálculo MP'!P95)</f>
        <v/>
      </c>
      <c r="BJ85" s="72" t="str">
        <f>IF('Cálculo MP'!Q95="","",'Cálculo MP'!Q95)</f>
        <v/>
      </c>
      <c r="BK85" s="72" t="str">
        <f>IF('Cálculo MP'!R95="","",'Cálculo MP'!R95)</f>
        <v/>
      </c>
      <c r="BL85" s="72" t="str">
        <f>IF('Cálculo MP'!S95="","",'Cálculo MP'!S95)</f>
        <v/>
      </c>
      <c r="BM85" s="71"/>
      <c r="BN85" s="71"/>
      <c r="BO85" s="71"/>
      <c r="BP85" s="71"/>
      <c r="BQ85" s="71"/>
      <c r="BR85" s="71"/>
      <c r="BS85" s="71"/>
    </row>
    <row r="86" spans="1:71" ht="19.5" customHeight="1" x14ac:dyDescent="0.15">
      <c r="A86" s="56" t="s">
        <v>985</v>
      </c>
      <c r="B86" s="57" t="s">
        <v>986</v>
      </c>
      <c r="C86" s="58" t="s">
        <v>985</v>
      </c>
      <c r="D86" s="59" t="s">
        <v>985</v>
      </c>
      <c r="E86" s="61"/>
      <c r="F86" s="60" t="s">
        <v>95</v>
      </c>
      <c r="G86" s="61"/>
      <c r="H86" s="62"/>
      <c r="I86" s="75"/>
      <c r="J86" s="60" t="s">
        <v>95</v>
      </c>
      <c r="K86" s="64"/>
      <c r="L86" s="64"/>
      <c r="M86" s="64" t="s">
        <v>96</v>
      </c>
      <c r="N86" s="64" t="s">
        <v>97</v>
      </c>
      <c r="O86" s="65" t="s">
        <v>986</v>
      </c>
      <c r="P86" s="70" t="s">
        <v>96</v>
      </c>
      <c r="Q86" s="60" t="s">
        <v>95</v>
      </c>
      <c r="R86" s="60" t="s">
        <v>96</v>
      </c>
      <c r="S86" s="66" t="s">
        <v>96</v>
      </c>
      <c r="T86" s="67" t="s">
        <v>96</v>
      </c>
      <c r="U86" s="60" t="s">
        <v>96</v>
      </c>
      <c r="V86" s="60" t="s">
        <v>96</v>
      </c>
      <c r="W86" s="60" t="str" cm="1">
        <f t="array" ref="W86">_xlfn.LET(_xlpm.resultados,_xlfn.UNIQUE(_xlfn._xlws.FILTER(Tabla1[Proceso],(Tabla1[Metal Base]=Q86)*(Tabla1[Etiquetas]=_xlfn.TEXTJOIN(" + ",TRUE,IF((TRIM(Upload!R86:V86)="")+(LOWER(TRIM(Upload!R86:V86))="(seleccione)"),"",PROPER(TRIM(Upload!R86:V86)))))*(Tabla1[Línea2]=IFERROR(VLOOKUP(Upload!P86&amp;"*",CAT_Procesos!D:D,1,FALSE),"")))),_xlpm.cantidad,ROWS(_xlpm.resultados),IF(ISERROR(_xlpm.cantidad),"Combinación no existente",IF(_xlpm.cantidad=1,INDEX(_xlpm.resultados,1),"(seleccione)")))</f>
        <v>Combinación no existente</v>
      </c>
      <c r="X86" s="67" t="s">
        <v>96</v>
      </c>
      <c r="Y86" s="64"/>
      <c r="Z86" s="64"/>
      <c r="AA86" s="64"/>
      <c r="AB86" s="133" t="s">
        <v>96</v>
      </c>
      <c r="AC86" s="64"/>
      <c r="AD86" s="64"/>
      <c r="AE86" s="64"/>
      <c r="AF86" s="60" t="s">
        <v>96</v>
      </c>
      <c r="AG86" s="64"/>
      <c r="AH86" s="64"/>
      <c r="AI86" s="64"/>
      <c r="AJ86" s="68" t="s">
        <v>96</v>
      </c>
      <c r="AK86" s="69" t="str">
        <f t="shared" si="2"/>
        <v/>
      </c>
      <c r="AL86" s="70" t="s">
        <v>96</v>
      </c>
      <c r="AM86" s="69" t="str">
        <f t="shared" si="3"/>
        <v/>
      </c>
      <c r="AN86" s="71"/>
      <c r="AO86" s="71"/>
      <c r="AP86" s="71"/>
      <c r="AQ86" s="71"/>
      <c r="AR86" s="71" t="s">
        <v>96</v>
      </c>
      <c r="AS86" s="71"/>
      <c r="AT86" s="71" t="s">
        <v>96</v>
      </c>
      <c r="AU86" s="71"/>
      <c r="AV86" s="71" t="s">
        <v>95</v>
      </c>
      <c r="AW86" s="71"/>
      <c r="AX86" s="71"/>
      <c r="AY86" s="71"/>
      <c r="AZ86" s="71"/>
      <c r="BA86" s="71"/>
      <c r="BB86" s="70" t="s">
        <v>218</v>
      </c>
      <c r="BC86" s="70" t="s">
        <v>98</v>
      </c>
      <c r="BD86" s="72" t="str">
        <f>IF('Cálculo MP'!K96="","",'Cálculo MP'!K96)</f>
        <v/>
      </c>
      <c r="BE86" s="72" t="str">
        <f>IF('Cálculo MP'!L96="","",'Cálculo MP'!L96)</f>
        <v/>
      </c>
      <c r="BF86" s="72" t="str">
        <f>IF('Cálculo MP'!M96="","",'Cálculo MP'!M96)</f>
        <v/>
      </c>
      <c r="BG86" s="72" t="str">
        <f>IF('Cálculo MP'!N96="","",'Cálculo MP'!N96)</f>
        <v/>
      </c>
      <c r="BH86" s="72" t="str">
        <f>IF('Cálculo MP'!O96="","",'Cálculo MP'!O96)</f>
        <v/>
      </c>
      <c r="BI86" s="72" t="str">
        <f>IF('Cálculo MP'!P96="","",'Cálculo MP'!P96)</f>
        <v/>
      </c>
      <c r="BJ86" s="72" t="str">
        <f>IF('Cálculo MP'!Q96="","",'Cálculo MP'!Q96)</f>
        <v/>
      </c>
      <c r="BK86" s="72" t="str">
        <f>IF('Cálculo MP'!R96="","",'Cálculo MP'!R96)</f>
        <v/>
      </c>
      <c r="BL86" s="72" t="str">
        <f>IF('Cálculo MP'!S96="","",'Cálculo MP'!S96)</f>
        <v/>
      </c>
      <c r="BM86" s="71"/>
      <c r="BN86" s="71"/>
      <c r="BO86" s="71"/>
      <c r="BP86" s="71"/>
      <c r="BQ86" s="71"/>
      <c r="BR86" s="71"/>
      <c r="BS86" s="71"/>
    </row>
    <row r="87" spans="1:71" ht="19.5" customHeight="1" x14ac:dyDescent="0.15">
      <c r="A87" s="56" t="s">
        <v>985</v>
      </c>
      <c r="B87" s="57" t="s">
        <v>986</v>
      </c>
      <c r="C87" s="58" t="s">
        <v>985</v>
      </c>
      <c r="D87" s="59" t="s">
        <v>985</v>
      </c>
      <c r="E87" s="61"/>
      <c r="F87" s="60" t="s">
        <v>95</v>
      </c>
      <c r="G87" s="61"/>
      <c r="H87" s="62"/>
      <c r="I87" s="75"/>
      <c r="J87" s="60" t="s">
        <v>95</v>
      </c>
      <c r="K87" s="64"/>
      <c r="L87" s="64"/>
      <c r="M87" s="64" t="s">
        <v>96</v>
      </c>
      <c r="N87" s="64" t="s">
        <v>97</v>
      </c>
      <c r="O87" s="65" t="s">
        <v>986</v>
      </c>
      <c r="P87" s="70" t="s">
        <v>96</v>
      </c>
      <c r="Q87" s="60" t="s">
        <v>95</v>
      </c>
      <c r="R87" s="60" t="s">
        <v>96</v>
      </c>
      <c r="S87" s="66" t="s">
        <v>96</v>
      </c>
      <c r="T87" s="67" t="s">
        <v>96</v>
      </c>
      <c r="U87" s="60" t="s">
        <v>96</v>
      </c>
      <c r="V87" s="60" t="s">
        <v>96</v>
      </c>
      <c r="W87" s="60" t="str" cm="1">
        <f t="array" ref="W87">_xlfn.LET(_xlpm.resultados,_xlfn.UNIQUE(_xlfn._xlws.FILTER(Tabla1[Proceso],(Tabla1[Metal Base]=Q87)*(Tabla1[Etiquetas]=_xlfn.TEXTJOIN(" + ",TRUE,IF((TRIM(Upload!R87:V87)="")+(LOWER(TRIM(Upload!R87:V87))="(seleccione)"),"",PROPER(TRIM(Upload!R87:V87)))))*(Tabla1[Línea2]=IFERROR(VLOOKUP(Upload!P87&amp;"*",CAT_Procesos!D:D,1,FALSE),"")))),_xlpm.cantidad,ROWS(_xlpm.resultados),IF(ISERROR(_xlpm.cantidad),"Combinación no existente",IF(_xlpm.cantidad=1,INDEX(_xlpm.resultados,1),"(seleccione)")))</f>
        <v>Combinación no existente</v>
      </c>
      <c r="X87" s="67" t="s">
        <v>96</v>
      </c>
      <c r="Y87" s="64"/>
      <c r="Z87" s="64"/>
      <c r="AA87" s="64"/>
      <c r="AB87" s="133" t="s">
        <v>96</v>
      </c>
      <c r="AC87" s="64"/>
      <c r="AD87" s="64"/>
      <c r="AE87" s="64"/>
      <c r="AF87" s="60" t="s">
        <v>96</v>
      </c>
      <c r="AG87" s="64"/>
      <c r="AH87" s="64"/>
      <c r="AI87" s="64"/>
      <c r="AJ87" s="68" t="s">
        <v>96</v>
      </c>
      <c r="AK87" s="69" t="str">
        <f t="shared" si="2"/>
        <v/>
      </c>
      <c r="AL87" s="70" t="s">
        <v>96</v>
      </c>
      <c r="AM87" s="69" t="str">
        <f t="shared" si="3"/>
        <v/>
      </c>
      <c r="AN87" s="71"/>
      <c r="AO87" s="71"/>
      <c r="AP87" s="71"/>
      <c r="AQ87" s="71"/>
      <c r="AR87" s="71" t="s">
        <v>96</v>
      </c>
      <c r="AS87" s="71"/>
      <c r="AT87" s="71" t="s">
        <v>96</v>
      </c>
      <c r="AU87" s="71"/>
      <c r="AV87" s="71" t="s">
        <v>95</v>
      </c>
      <c r="AW87" s="71"/>
      <c r="AX87" s="71"/>
      <c r="AY87" s="71"/>
      <c r="AZ87" s="71"/>
      <c r="BA87" s="71"/>
      <c r="BB87" s="70" t="s">
        <v>218</v>
      </c>
      <c r="BC87" s="70" t="s">
        <v>98</v>
      </c>
      <c r="BD87" s="72" t="str">
        <f>IF('Cálculo MP'!K97="","",'Cálculo MP'!K97)</f>
        <v/>
      </c>
      <c r="BE87" s="72" t="str">
        <f>IF('Cálculo MP'!L97="","",'Cálculo MP'!L97)</f>
        <v/>
      </c>
      <c r="BF87" s="72" t="str">
        <f>IF('Cálculo MP'!M97="","",'Cálculo MP'!M97)</f>
        <v/>
      </c>
      <c r="BG87" s="72" t="str">
        <f>IF('Cálculo MP'!N97="","",'Cálculo MP'!N97)</f>
        <v/>
      </c>
      <c r="BH87" s="72" t="str">
        <f>IF('Cálculo MP'!O97="","",'Cálculo MP'!O97)</f>
        <v/>
      </c>
      <c r="BI87" s="72" t="str">
        <f>IF('Cálculo MP'!P97="","",'Cálculo MP'!P97)</f>
        <v/>
      </c>
      <c r="BJ87" s="72" t="str">
        <f>IF('Cálculo MP'!Q97="","",'Cálculo MP'!Q97)</f>
        <v/>
      </c>
      <c r="BK87" s="72" t="str">
        <f>IF('Cálculo MP'!R97="","",'Cálculo MP'!R97)</f>
        <v/>
      </c>
      <c r="BL87" s="72" t="str">
        <f>IF('Cálculo MP'!S97="","",'Cálculo MP'!S97)</f>
        <v/>
      </c>
      <c r="BM87" s="71"/>
      <c r="BN87" s="71"/>
      <c r="BO87" s="71"/>
      <c r="BP87" s="71"/>
      <c r="BQ87" s="71"/>
      <c r="BR87" s="71"/>
      <c r="BS87" s="71"/>
    </row>
    <row r="88" spans="1:71" ht="19.5" customHeight="1" x14ac:dyDescent="0.15">
      <c r="A88" s="56" t="s">
        <v>985</v>
      </c>
      <c r="B88" s="57" t="s">
        <v>986</v>
      </c>
      <c r="C88" s="58" t="s">
        <v>985</v>
      </c>
      <c r="D88" s="59" t="s">
        <v>985</v>
      </c>
      <c r="E88" s="61"/>
      <c r="F88" s="60" t="s">
        <v>95</v>
      </c>
      <c r="G88" s="61"/>
      <c r="H88" s="62"/>
      <c r="I88" s="75"/>
      <c r="J88" s="60" t="s">
        <v>95</v>
      </c>
      <c r="K88" s="64"/>
      <c r="L88" s="64"/>
      <c r="M88" s="64" t="s">
        <v>96</v>
      </c>
      <c r="N88" s="64" t="s">
        <v>97</v>
      </c>
      <c r="O88" s="65" t="s">
        <v>986</v>
      </c>
      <c r="P88" s="70" t="s">
        <v>96</v>
      </c>
      <c r="Q88" s="60" t="s">
        <v>95</v>
      </c>
      <c r="R88" s="60" t="s">
        <v>96</v>
      </c>
      <c r="S88" s="66" t="s">
        <v>96</v>
      </c>
      <c r="T88" s="67" t="s">
        <v>96</v>
      </c>
      <c r="U88" s="60" t="s">
        <v>96</v>
      </c>
      <c r="V88" s="60" t="s">
        <v>96</v>
      </c>
      <c r="W88" s="60" t="str" cm="1">
        <f t="array" ref="W88">_xlfn.LET(_xlpm.resultados,_xlfn.UNIQUE(_xlfn._xlws.FILTER(Tabla1[Proceso],(Tabla1[Metal Base]=Q88)*(Tabla1[Etiquetas]=_xlfn.TEXTJOIN(" + ",TRUE,IF((TRIM(Upload!R88:V88)="")+(LOWER(TRIM(Upload!R88:V88))="(seleccione)"),"",PROPER(TRIM(Upload!R88:V88)))))*(Tabla1[Línea2]=IFERROR(VLOOKUP(Upload!P88&amp;"*",CAT_Procesos!D:D,1,FALSE),"")))),_xlpm.cantidad,ROWS(_xlpm.resultados),IF(ISERROR(_xlpm.cantidad),"Combinación no existente",IF(_xlpm.cantidad=1,INDEX(_xlpm.resultados,1),"(seleccione)")))</f>
        <v>Combinación no existente</v>
      </c>
      <c r="X88" s="67" t="s">
        <v>96</v>
      </c>
      <c r="Y88" s="64"/>
      <c r="Z88" s="64"/>
      <c r="AA88" s="64"/>
      <c r="AB88" s="133" t="s">
        <v>96</v>
      </c>
      <c r="AC88" s="64"/>
      <c r="AD88" s="64"/>
      <c r="AE88" s="64"/>
      <c r="AF88" s="60" t="s">
        <v>96</v>
      </c>
      <c r="AG88" s="64"/>
      <c r="AH88" s="64"/>
      <c r="AI88" s="64"/>
      <c r="AJ88" s="68" t="s">
        <v>96</v>
      </c>
      <c r="AK88" s="69" t="str">
        <f t="shared" si="2"/>
        <v/>
      </c>
      <c r="AL88" s="70" t="s">
        <v>96</v>
      </c>
      <c r="AM88" s="69" t="str">
        <f t="shared" si="3"/>
        <v/>
      </c>
      <c r="AN88" s="71"/>
      <c r="AO88" s="71"/>
      <c r="AP88" s="71"/>
      <c r="AQ88" s="71"/>
      <c r="AR88" s="71" t="s">
        <v>96</v>
      </c>
      <c r="AS88" s="71"/>
      <c r="AT88" s="71" t="s">
        <v>96</v>
      </c>
      <c r="AU88" s="71"/>
      <c r="AV88" s="71" t="s">
        <v>95</v>
      </c>
      <c r="AW88" s="71"/>
      <c r="AX88" s="71"/>
      <c r="AY88" s="71"/>
      <c r="AZ88" s="71"/>
      <c r="BA88" s="71"/>
      <c r="BB88" s="70" t="s">
        <v>218</v>
      </c>
      <c r="BC88" s="70" t="s">
        <v>98</v>
      </c>
      <c r="BD88" s="72" t="str">
        <f>IF('Cálculo MP'!K98="","",'Cálculo MP'!K98)</f>
        <v/>
      </c>
      <c r="BE88" s="72" t="str">
        <f>IF('Cálculo MP'!L98="","",'Cálculo MP'!L98)</f>
        <v/>
      </c>
      <c r="BF88" s="72" t="str">
        <f>IF('Cálculo MP'!M98="","",'Cálculo MP'!M98)</f>
        <v/>
      </c>
      <c r="BG88" s="72" t="str">
        <f>IF('Cálculo MP'!N98="","",'Cálculo MP'!N98)</f>
        <v/>
      </c>
      <c r="BH88" s="72" t="str">
        <f>IF('Cálculo MP'!O98="","",'Cálculo MP'!O98)</f>
        <v/>
      </c>
      <c r="BI88" s="72" t="str">
        <f>IF('Cálculo MP'!P98="","",'Cálculo MP'!P98)</f>
        <v/>
      </c>
      <c r="BJ88" s="72" t="str">
        <f>IF('Cálculo MP'!Q98="","",'Cálculo MP'!Q98)</f>
        <v/>
      </c>
      <c r="BK88" s="72" t="str">
        <f>IF('Cálculo MP'!R98="","",'Cálculo MP'!R98)</f>
        <v/>
      </c>
      <c r="BL88" s="72" t="str">
        <f>IF('Cálculo MP'!S98="","",'Cálculo MP'!S98)</f>
        <v/>
      </c>
      <c r="BM88" s="71"/>
      <c r="BN88" s="71"/>
      <c r="BO88" s="71"/>
      <c r="BP88" s="71"/>
      <c r="BQ88" s="71"/>
      <c r="BR88" s="71"/>
      <c r="BS88" s="71"/>
    </row>
    <row r="89" spans="1:71" ht="19.5" customHeight="1" x14ac:dyDescent="0.15">
      <c r="A89" s="56" t="s">
        <v>985</v>
      </c>
      <c r="B89" s="57" t="s">
        <v>986</v>
      </c>
      <c r="C89" s="58" t="s">
        <v>985</v>
      </c>
      <c r="D89" s="59" t="s">
        <v>985</v>
      </c>
      <c r="E89" s="61"/>
      <c r="F89" s="60" t="s">
        <v>95</v>
      </c>
      <c r="G89" s="61"/>
      <c r="H89" s="62"/>
      <c r="I89" s="75"/>
      <c r="J89" s="60" t="s">
        <v>95</v>
      </c>
      <c r="K89" s="64"/>
      <c r="L89" s="64"/>
      <c r="M89" s="64" t="s">
        <v>96</v>
      </c>
      <c r="N89" s="64" t="s">
        <v>97</v>
      </c>
      <c r="O89" s="65" t="s">
        <v>986</v>
      </c>
      <c r="P89" s="70" t="s">
        <v>96</v>
      </c>
      <c r="Q89" s="60" t="s">
        <v>95</v>
      </c>
      <c r="R89" s="60" t="s">
        <v>96</v>
      </c>
      <c r="S89" s="66" t="s">
        <v>96</v>
      </c>
      <c r="T89" s="67" t="s">
        <v>96</v>
      </c>
      <c r="U89" s="60" t="s">
        <v>96</v>
      </c>
      <c r="V89" s="60" t="s">
        <v>96</v>
      </c>
      <c r="W89" s="60" t="str" cm="1">
        <f t="array" ref="W89">_xlfn.LET(_xlpm.resultados,_xlfn.UNIQUE(_xlfn._xlws.FILTER(Tabla1[Proceso],(Tabla1[Metal Base]=Q89)*(Tabla1[Etiquetas]=_xlfn.TEXTJOIN(" + ",TRUE,IF((TRIM(Upload!R89:V89)="")+(LOWER(TRIM(Upload!R89:V89))="(seleccione)"),"",PROPER(TRIM(Upload!R89:V89)))))*(Tabla1[Línea2]=IFERROR(VLOOKUP(Upload!P89&amp;"*",CAT_Procesos!D:D,1,FALSE),"")))),_xlpm.cantidad,ROWS(_xlpm.resultados),IF(ISERROR(_xlpm.cantidad),"Combinación no existente",IF(_xlpm.cantidad=1,INDEX(_xlpm.resultados,1),"(seleccione)")))</f>
        <v>Combinación no existente</v>
      </c>
      <c r="X89" s="67" t="s">
        <v>96</v>
      </c>
      <c r="Y89" s="64"/>
      <c r="Z89" s="64"/>
      <c r="AA89" s="64"/>
      <c r="AB89" s="133" t="s">
        <v>96</v>
      </c>
      <c r="AC89" s="64"/>
      <c r="AD89" s="64"/>
      <c r="AE89" s="64"/>
      <c r="AF89" s="60" t="s">
        <v>96</v>
      </c>
      <c r="AG89" s="64"/>
      <c r="AH89" s="64"/>
      <c r="AI89" s="64"/>
      <c r="AJ89" s="68" t="s">
        <v>96</v>
      </c>
      <c r="AK89" s="69" t="str">
        <f t="shared" si="2"/>
        <v/>
      </c>
      <c r="AL89" s="70" t="s">
        <v>96</v>
      </c>
      <c r="AM89" s="69" t="str">
        <f t="shared" si="3"/>
        <v/>
      </c>
      <c r="AN89" s="71"/>
      <c r="AO89" s="71"/>
      <c r="AP89" s="71"/>
      <c r="AQ89" s="71"/>
      <c r="AR89" s="71" t="s">
        <v>96</v>
      </c>
      <c r="AS89" s="71"/>
      <c r="AT89" s="71" t="s">
        <v>96</v>
      </c>
      <c r="AU89" s="71"/>
      <c r="AV89" s="71" t="s">
        <v>95</v>
      </c>
      <c r="AW89" s="71"/>
      <c r="AX89" s="71"/>
      <c r="AY89" s="71"/>
      <c r="AZ89" s="71"/>
      <c r="BA89" s="71"/>
      <c r="BB89" s="70" t="s">
        <v>218</v>
      </c>
      <c r="BC89" s="70" t="s">
        <v>98</v>
      </c>
      <c r="BD89" s="72" t="str">
        <f>IF('Cálculo MP'!K99="","",'Cálculo MP'!K99)</f>
        <v/>
      </c>
      <c r="BE89" s="72" t="str">
        <f>IF('Cálculo MP'!L99="","",'Cálculo MP'!L99)</f>
        <v/>
      </c>
      <c r="BF89" s="72" t="str">
        <f>IF('Cálculo MP'!M99="","",'Cálculo MP'!M99)</f>
        <v/>
      </c>
      <c r="BG89" s="72" t="str">
        <f>IF('Cálculo MP'!N99="","",'Cálculo MP'!N99)</f>
        <v/>
      </c>
      <c r="BH89" s="72" t="str">
        <f>IF('Cálculo MP'!O99="","",'Cálculo MP'!O99)</f>
        <v/>
      </c>
      <c r="BI89" s="72" t="str">
        <f>IF('Cálculo MP'!P99="","",'Cálculo MP'!P99)</f>
        <v/>
      </c>
      <c r="BJ89" s="72" t="str">
        <f>IF('Cálculo MP'!Q99="","",'Cálculo MP'!Q99)</f>
        <v/>
      </c>
      <c r="BK89" s="72" t="str">
        <f>IF('Cálculo MP'!R99="","",'Cálculo MP'!R99)</f>
        <v/>
      </c>
      <c r="BL89" s="72" t="str">
        <f>IF('Cálculo MP'!S99="","",'Cálculo MP'!S99)</f>
        <v/>
      </c>
      <c r="BM89" s="71"/>
      <c r="BN89" s="71"/>
      <c r="BO89" s="71"/>
      <c r="BP89" s="71"/>
      <c r="BQ89" s="71"/>
      <c r="BR89" s="71"/>
      <c r="BS89" s="71"/>
    </row>
    <row r="90" spans="1:71" ht="19.5" customHeight="1" x14ac:dyDescent="0.15">
      <c r="A90" s="56" t="s">
        <v>985</v>
      </c>
      <c r="B90" s="57" t="s">
        <v>986</v>
      </c>
      <c r="C90" s="58" t="s">
        <v>985</v>
      </c>
      <c r="D90" s="59" t="s">
        <v>985</v>
      </c>
      <c r="E90" s="61"/>
      <c r="F90" s="60" t="s">
        <v>95</v>
      </c>
      <c r="G90" s="61"/>
      <c r="H90" s="62"/>
      <c r="I90" s="75"/>
      <c r="J90" s="60" t="s">
        <v>95</v>
      </c>
      <c r="K90" s="64"/>
      <c r="L90" s="64"/>
      <c r="M90" s="64" t="s">
        <v>96</v>
      </c>
      <c r="N90" s="64" t="s">
        <v>97</v>
      </c>
      <c r="O90" s="65" t="s">
        <v>986</v>
      </c>
      <c r="P90" s="70" t="s">
        <v>96</v>
      </c>
      <c r="Q90" s="60" t="s">
        <v>95</v>
      </c>
      <c r="R90" s="60" t="s">
        <v>96</v>
      </c>
      <c r="S90" s="66" t="s">
        <v>96</v>
      </c>
      <c r="T90" s="67" t="s">
        <v>96</v>
      </c>
      <c r="U90" s="60" t="s">
        <v>96</v>
      </c>
      <c r="V90" s="60" t="s">
        <v>96</v>
      </c>
      <c r="W90" s="60" t="str" cm="1">
        <f t="array" ref="W90">_xlfn.LET(_xlpm.resultados,_xlfn.UNIQUE(_xlfn._xlws.FILTER(Tabla1[Proceso],(Tabla1[Metal Base]=Q90)*(Tabla1[Etiquetas]=_xlfn.TEXTJOIN(" + ",TRUE,IF((TRIM(Upload!R90:V90)="")+(LOWER(TRIM(Upload!R90:V90))="(seleccione)"),"",PROPER(TRIM(Upload!R90:V90)))))*(Tabla1[Línea2]=IFERROR(VLOOKUP(Upload!P90&amp;"*",CAT_Procesos!D:D,1,FALSE),"")))),_xlpm.cantidad,ROWS(_xlpm.resultados),IF(ISERROR(_xlpm.cantidad),"Combinación no existente",IF(_xlpm.cantidad=1,INDEX(_xlpm.resultados,1),"(seleccione)")))</f>
        <v>Combinación no existente</v>
      </c>
      <c r="X90" s="67" t="s">
        <v>96</v>
      </c>
      <c r="Y90" s="64"/>
      <c r="Z90" s="64"/>
      <c r="AA90" s="64"/>
      <c r="AB90" s="133" t="s">
        <v>96</v>
      </c>
      <c r="AC90" s="64"/>
      <c r="AD90" s="64"/>
      <c r="AE90" s="64"/>
      <c r="AF90" s="60" t="s">
        <v>96</v>
      </c>
      <c r="AG90" s="64"/>
      <c r="AH90" s="64"/>
      <c r="AI90" s="64"/>
      <c r="AJ90" s="68" t="s">
        <v>96</v>
      </c>
      <c r="AK90" s="69" t="str">
        <f t="shared" si="2"/>
        <v/>
      </c>
      <c r="AL90" s="70" t="s">
        <v>96</v>
      </c>
      <c r="AM90" s="69" t="str">
        <f t="shared" si="3"/>
        <v/>
      </c>
      <c r="AN90" s="71"/>
      <c r="AO90" s="71"/>
      <c r="AP90" s="71"/>
      <c r="AQ90" s="71"/>
      <c r="AR90" s="71" t="s">
        <v>96</v>
      </c>
      <c r="AS90" s="71"/>
      <c r="AT90" s="71" t="s">
        <v>96</v>
      </c>
      <c r="AU90" s="71"/>
      <c r="AV90" s="71" t="s">
        <v>95</v>
      </c>
      <c r="AW90" s="71"/>
      <c r="AX90" s="71"/>
      <c r="AY90" s="71"/>
      <c r="AZ90" s="71"/>
      <c r="BA90" s="71"/>
      <c r="BB90" s="70" t="s">
        <v>218</v>
      </c>
      <c r="BC90" s="70" t="s">
        <v>98</v>
      </c>
      <c r="BD90" s="72" t="str">
        <f>IF('Cálculo MP'!K100="","",'Cálculo MP'!K100)</f>
        <v/>
      </c>
      <c r="BE90" s="72" t="str">
        <f>IF('Cálculo MP'!L100="","",'Cálculo MP'!L100)</f>
        <v/>
      </c>
      <c r="BF90" s="72" t="str">
        <f>IF('Cálculo MP'!M100="","",'Cálculo MP'!M100)</f>
        <v/>
      </c>
      <c r="BG90" s="72" t="str">
        <f>IF('Cálculo MP'!N100="","",'Cálculo MP'!N100)</f>
        <v/>
      </c>
      <c r="BH90" s="72" t="str">
        <f>IF('Cálculo MP'!O100="","",'Cálculo MP'!O100)</f>
        <v/>
      </c>
      <c r="BI90" s="72" t="str">
        <f>IF('Cálculo MP'!P100="","",'Cálculo MP'!P100)</f>
        <v/>
      </c>
      <c r="BJ90" s="72" t="str">
        <f>IF('Cálculo MP'!Q100="","",'Cálculo MP'!Q100)</f>
        <v/>
      </c>
      <c r="BK90" s="72" t="str">
        <f>IF('Cálculo MP'!R100="","",'Cálculo MP'!R100)</f>
        <v/>
      </c>
      <c r="BL90" s="72" t="str">
        <f>IF('Cálculo MP'!S100="","",'Cálculo MP'!S100)</f>
        <v/>
      </c>
      <c r="BM90" s="71"/>
      <c r="BN90" s="71"/>
      <c r="BO90" s="71"/>
      <c r="BP90" s="71"/>
      <c r="BQ90" s="71"/>
      <c r="BR90" s="71"/>
      <c r="BS90" s="71"/>
    </row>
    <row r="91" spans="1:71" ht="19.5" customHeight="1" x14ac:dyDescent="0.15">
      <c r="A91" s="56" t="s">
        <v>985</v>
      </c>
      <c r="B91" s="57" t="s">
        <v>986</v>
      </c>
      <c r="C91" s="58" t="s">
        <v>985</v>
      </c>
      <c r="D91" s="59" t="s">
        <v>985</v>
      </c>
      <c r="E91" s="61"/>
      <c r="F91" s="60" t="s">
        <v>95</v>
      </c>
      <c r="G91" s="61"/>
      <c r="H91" s="62"/>
      <c r="I91" s="75"/>
      <c r="J91" s="60" t="s">
        <v>95</v>
      </c>
      <c r="K91" s="64"/>
      <c r="L91" s="64"/>
      <c r="M91" s="64" t="s">
        <v>96</v>
      </c>
      <c r="N91" s="64" t="s">
        <v>97</v>
      </c>
      <c r="O91" s="65" t="s">
        <v>986</v>
      </c>
      <c r="P91" s="70" t="s">
        <v>96</v>
      </c>
      <c r="Q91" s="60" t="s">
        <v>95</v>
      </c>
      <c r="R91" s="60" t="s">
        <v>96</v>
      </c>
      <c r="S91" s="66" t="s">
        <v>96</v>
      </c>
      <c r="T91" s="67" t="s">
        <v>96</v>
      </c>
      <c r="U91" s="60" t="s">
        <v>96</v>
      </c>
      <c r="V91" s="60" t="s">
        <v>96</v>
      </c>
      <c r="W91" s="60" t="str" cm="1">
        <f t="array" ref="W91">_xlfn.LET(_xlpm.resultados,_xlfn.UNIQUE(_xlfn._xlws.FILTER(Tabla1[Proceso],(Tabla1[Metal Base]=Q91)*(Tabla1[Etiquetas]=_xlfn.TEXTJOIN(" + ",TRUE,IF((TRIM(Upload!R91:V91)="")+(LOWER(TRIM(Upload!R91:V91))="(seleccione)"),"",PROPER(TRIM(Upload!R91:V91)))))*(Tabla1[Línea2]=IFERROR(VLOOKUP(Upload!P91&amp;"*",CAT_Procesos!D:D,1,FALSE),"")))),_xlpm.cantidad,ROWS(_xlpm.resultados),IF(ISERROR(_xlpm.cantidad),"Combinación no existente",IF(_xlpm.cantidad=1,INDEX(_xlpm.resultados,1),"(seleccione)")))</f>
        <v>Combinación no existente</v>
      </c>
      <c r="X91" s="67" t="s">
        <v>96</v>
      </c>
      <c r="Y91" s="64"/>
      <c r="Z91" s="64"/>
      <c r="AA91" s="64"/>
      <c r="AB91" s="133" t="s">
        <v>96</v>
      </c>
      <c r="AC91" s="64"/>
      <c r="AD91" s="64"/>
      <c r="AE91" s="64"/>
      <c r="AF91" s="60" t="s">
        <v>96</v>
      </c>
      <c r="AG91" s="64"/>
      <c r="AH91" s="64"/>
      <c r="AI91" s="64"/>
      <c r="AJ91" s="68" t="s">
        <v>96</v>
      </c>
      <c r="AK91" s="69" t="str">
        <f t="shared" si="2"/>
        <v/>
      </c>
      <c r="AL91" s="70" t="s">
        <v>96</v>
      </c>
      <c r="AM91" s="69" t="str">
        <f t="shared" si="3"/>
        <v/>
      </c>
      <c r="AN91" s="71"/>
      <c r="AO91" s="71"/>
      <c r="AP91" s="71"/>
      <c r="AQ91" s="71"/>
      <c r="AR91" s="71" t="s">
        <v>96</v>
      </c>
      <c r="AS91" s="71"/>
      <c r="AT91" s="71" t="s">
        <v>96</v>
      </c>
      <c r="AU91" s="71"/>
      <c r="AV91" s="71" t="s">
        <v>95</v>
      </c>
      <c r="AW91" s="71"/>
      <c r="AX91" s="71"/>
      <c r="AY91" s="71"/>
      <c r="AZ91" s="71"/>
      <c r="BA91" s="71"/>
      <c r="BB91" s="70" t="s">
        <v>218</v>
      </c>
      <c r="BC91" s="70" t="s">
        <v>98</v>
      </c>
      <c r="BD91" s="72" t="str">
        <f>IF('Cálculo MP'!K101="","",'Cálculo MP'!K101)</f>
        <v/>
      </c>
      <c r="BE91" s="72" t="str">
        <f>IF('Cálculo MP'!L101="","",'Cálculo MP'!L101)</f>
        <v/>
      </c>
      <c r="BF91" s="72" t="str">
        <f>IF('Cálculo MP'!M101="","",'Cálculo MP'!M101)</f>
        <v/>
      </c>
      <c r="BG91" s="72" t="str">
        <f>IF('Cálculo MP'!N101="","",'Cálculo MP'!N101)</f>
        <v/>
      </c>
      <c r="BH91" s="72" t="str">
        <f>IF('Cálculo MP'!O101="","",'Cálculo MP'!O101)</f>
        <v/>
      </c>
      <c r="BI91" s="72" t="str">
        <f>IF('Cálculo MP'!P101="","",'Cálculo MP'!P101)</f>
        <v/>
      </c>
      <c r="BJ91" s="72" t="str">
        <f>IF('Cálculo MP'!Q101="","",'Cálculo MP'!Q101)</f>
        <v/>
      </c>
      <c r="BK91" s="72" t="str">
        <f>IF('Cálculo MP'!R101="","",'Cálculo MP'!R101)</f>
        <v/>
      </c>
      <c r="BL91" s="72" t="str">
        <f>IF('Cálculo MP'!S101="","",'Cálculo MP'!S101)</f>
        <v/>
      </c>
      <c r="BM91" s="71"/>
      <c r="BN91" s="71"/>
      <c r="BO91" s="71"/>
      <c r="BP91" s="71"/>
      <c r="BQ91" s="71"/>
      <c r="BR91" s="71"/>
      <c r="BS91" s="71"/>
    </row>
    <row r="92" spans="1:71" ht="19.5" customHeight="1" x14ac:dyDescent="0.15">
      <c r="A92" s="56" t="s">
        <v>985</v>
      </c>
      <c r="B92" s="57" t="s">
        <v>986</v>
      </c>
      <c r="C92" s="58" t="s">
        <v>985</v>
      </c>
      <c r="D92" s="59" t="s">
        <v>985</v>
      </c>
      <c r="E92" s="61"/>
      <c r="F92" s="60" t="s">
        <v>95</v>
      </c>
      <c r="G92" s="61"/>
      <c r="H92" s="62"/>
      <c r="I92" s="75"/>
      <c r="J92" s="60" t="s">
        <v>95</v>
      </c>
      <c r="K92" s="64"/>
      <c r="L92" s="64"/>
      <c r="M92" s="64" t="s">
        <v>96</v>
      </c>
      <c r="N92" s="64" t="s">
        <v>97</v>
      </c>
      <c r="O92" s="65" t="s">
        <v>986</v>
      </c>
      <c r="P92" s="70" t="s">
        <v>96</v>
      </c>
      <c r="Q92" s="60" t="s">
        <v>95</v>
      </c>
      <c r="R92" s="60" t="s">
        <v>96</v>
      </c>
      <c r="S92" s="66" t="s">
        <v>96</v>
      </c>
      <c r="T92" s="67" t="s">
        <v>96</v>
      </c>
      <c r="U92" s="60" t="s">
        <v>96</v>
      </c>
      <c r="V92" s="60" t="s">
        <v>96</v>
      </c>
      <c r="W92" s="60" t="str" cm="1">
        <f t="array" ref="W92">_xlfn.LET(_xlpm.resultados,_xlfn.UNIQUE(_xlfn._xlws.FILTER(Tabla1[Proceso],(Tabla1[Metal Base]=Q92)*(Tabla1[Etiquetas]=_xlfn.TEXTJOIN(" + ",TRUE,IF((TRIM(Upload!R92:V92)="")+(LOWER(TRIM(Upload!R92:V92))="(seleccione)"),"",PROPER(TRIM(Upload!R92:V92)))))*(Tabla1[Línea2]=IFERROR(VLOOKUP(Upload!P92&amp;"*",CAT_Procesos!D:D,1,FALSE),"")))),_xlpm.cantidad,ROWS(_xlpm.resultados),IF(ISERROR(_xlpm.cantidad),"Combinación no existente",IF(_xlpm.cantidad=1,INDEX(_xlpm.resultados,1),"(seleccione)")))</f>
        <v>Combinación no existente</v>
      </c>
      <c r="X92" s="67" t="s">
        <v>96</v>
      </c>
      <c r="Y92" s="64"/>
      <c r="Z92" s="64"/>
      <c r="AA92" s="64"/>
      <c r="AB92" s="133" t="s">
        <v>96</v>
      </c>
      <c r="AC92" s="64"/>
      <c r="AD92" s="64"/>
      <c r="AE92" s="64"/>
      <c r="AF92" s="60" t="s">
        <v>96</v>
      </c>
      <c r="AG92" s="64"/>
      <c r="AH92" s="64"/>
      <c r="AI92" s="64"/>
      <c r="AJ92" s="68" t="s">
        <v>96</v>
      </c>
      <c r="AK92" s="69" t="str">
        <f t="shared" si="2"/>
        <v/>
      </c>
      <c r="AL92" s="70" t="s">
        <v>96</v>
      </c>
      <c r="AM92" s="69" t="str">
        <f t="shared" si="3"/>
        <v/>
      </c>
      <c r="AN92" s="71"/>
      <c r="AO92" s="71"/>
      <c r="AP92" s="71"/>
      <c r="AQ92" s="71"/>
      <c r="AR92" s="71" t="s">
        <v>96</v>
      </c>
      <c r="AS92" s="71"/>
      <c r="AT92" s="71" t="s">
        <v>96</v>
      </c>
      <c r="AU92" s="71"/>
      <c r="AV92" s="71" t="s">
        <v>95</v>
      </c>
      <c r="AW92" s="71"/>
      <c r="AX92" s="71"/>
      <c r="AY92" s="71"/>
      <c r="AZ92" s="71"/>
      <c r="BA92" s="71"/>
      <c r="BB92" s="70" t="s">
        <v>218</v>
      </c>
      <c r="BC92" s="70" t="s">
        <v>98</v>
      </c>
      <c r="BD92" s="72" t="str">
        <f>IF('Cálculo MP'!K102="","",'Cálculo MP'!K102)</f>
        <v/>
      </c>
      <c r="BE92" s="72" t="str">
        <f>IF('Cálculo MP'!L102="","",'Cálculo MP'!L102)</f>
        <v/>
      </c>
      <c r="BF92" s="72" t="str">
        <f>IF('Cálculo MP'!M102="","",'Cálculo MP'!M102)</f>
        <v/>
      </c>
      <c r="BG92" s="72" t="str">
        <f>IF('Cálculo MP'!N102="","",'Cálculo MP'!N102)</f>
        <v/>
      </c>
      <c r="BH92" s="72" t="str">
        <f>IF('Cálculo MP'!O102="","",'Cálculo MP'!O102)</f>
        <v/>
      </c>
      <c r="BI92" s="72" t="str">
        <f>IF('Cálculo MP'!P102="","",'Cálculo MP'!P102)</f>
        <v/>
      </c>
      <c r="BJ92" s="72" t="str">
        <f>IF('Cálculo MP'!Q102="","",'Cálculo MP'!Q102)</f>
        <v/>
      </c>
      <c r="BK92" s="72" t="str">
        <f>IF('Cálculo MP'!R102="","",'Cálculo MP'!R102)</f>
        <v/>
      </c>
      <c r="BL92" s="72" t="str">
        <f>IF('Cálculo MP'!S102="","",'Cálculo MP'!S102)</f>
        <v/>
      </c>
      <c r="BM92" s="71"/>
      <c r="BN92" s="71"/>
      <c r="BO92" s="71"/>
      <c r="BP92" s="71"/>
      <c r="BQ92" s="71"/>
      <c r="BR92" s="71"/>
      <c r="BS92" s="71"/>
    </row>
    <row r="93" spans="1:71" ht="19.5" customHeight="1" x14ac:dyDescent="0.15">
      <c r="A93" s="56" t="s">
        <v>985</v>
      </c>
      <c r="B93" s="57" t="s">
        <v>986</v>
      </c>
      <c r="C93" s="58" t="s">
        <v>985</v>
      </c>
      <c r="D93" s="59" t="s">
        <v>985</v>
      </c>
      <c r="E93" s="61"/>
      <c r="F93" s="60" t="s">
        <v>95</v>
      </c>
      <c r="G93" s="61"/>
      <c r="H93" s="62"/>
      <c r="I93" s="75"/>
      <c r="J93" s="60" t="s">
        <v>95</v>
      </c>
      <c r="K93" s="64"/>
      <c r="L93" s="64"/>
      <c r="M93" s="64" t="s">
        <v>96</v>
      </c>
      <c r="N93" s="64" t="s">
        <v>97</v>
      </c>
      <c r="O93" s="65" t="s">
        <v>986</v>
      </c>
      <c r="P93" s="70" t="s">
        <v>96</v>
      </c>
      <c r="Q93" s="60" t="s">
        <v>95</v>
      </c>
      <c r="R93" s="60" t="s">
        <v>96</v>
      </c>
      <c r="S93" s="66" t="s">
        <v>96</v>
      </c>
      <c r="T93" s="67" t="s">
        <v>96</v>
      </c>
      <c r="U93" s="60" t="s">
        <v>96</v>
      </c>
      <c r="V93" s="60" t="s">
        <v>96</v>
      </c>
      <c r="W93" s="60" t="str" cm="1">
        <f t="array" ref="W93">_xlfn.LET(_xlpm.resultados,_xlfn.UNIQUE(_xlfn._xlws.FILTER(Tabla1[Proceso],(Tabla1[Metal Base]=Q93)*(Tabla1[Etiquetas]=_xlfn.TEXTJOIN(" + ",TRUE,IF((TRIM(Upload!R93:V93)="")+(LOWER(TRIM(Upload!R93:V93))="(seleccione)"),"",PROPER(TRIM(Upload!R93:V93)))))*(Tabla1[Línea2]=IFERROR(VLOOKUP(Upload!P93&amp;"*",CAT_Procesos!D:D,1,FALSE),"")))),_xlpm.cantidad,ROWS(_xlpm.resultados),IF(ISERROR(_xlpm.cantidad),"Combinación no existente",IF(_xlpm.cantidad=1,INDEX(_xlpm.resultados,1),"(seleccione)")))</f>
        <v>Combinación no existente</v>
      </c>
      <c r="X93" s="67" t="s">
        <v>96</v>
      </c>
      <c r="Y93" s="64"/>
      <c r="Z93" s="64"/>
      <c r="AA93" s="64"/>
      <c r="AB93" s="133" t="s">
        <v>96</v>
      </c>
      <c r="AC93" s="64"/>
      <c r="AD93" s="64"/>
      <c r="AE93" s="64"/>
      <c r="AF93" s="60" t="s">
        <v>96</v>
      </c>
      <c r="AG93" s="64"/>
      <c r="AH93" s="64"/>
      <c r="AI93" s="64"/>
      <c r="AJ93" s="68" t="s">
        <v>96</v>
      </c>
      <c r="AK93" s="69" t="str">
        <f t="shared" si="2"/>
        <v/>
      </c>
      <c r="AL93" s="70" t="s">
        <v>96</v>
      </c>
      <c r="AM93" s="69" t="str">
        <f t="shared" si="3"/>
        <v/>
      </c>
      <c r="AN93" s="71"/>
      <c r="AO93" s="71"/>
      <c r="AP93" s="71"/>
      <c r="AQ93" s="71"/>
      <c r="AR93" s="71" t="s">
        <v>96</v>
      </c>
      <c r="AS93" s="71"/>
      <c r="AT93" s="71" t="s">
        <v>96</v>
      </c>
      <c r="AU93" s="71"/>
      <c r="AV93" s="71" t="s">
        <v>95</v>
      </c>
      <c r="AW93" s="71"/>
      <c r="AX93" s="71"/>
      <c r="AY93" s="71"/>
      <c r="AZ93" s="71"/>
      <c r="BA93" s="71"/>
      <c r="BB93" s="70" t="s">
        <v>218</v>
      </c>
      <c r="BC93" s="70" t="s">
        <v>98</v>
      </c>
      <c r="BD93" s="72" t="str">
        <f>IF('Cálculo MP'!K103="","",'Cálculo MP'!K103)</f>
        <v/>
      </c>
      <c r="BE93" s="72" t="str">
        <f>IF('Cálculo MP'!L103="","",'Cálculo MP'!L103)</f>
        <v/>
      </c>
      <c r="BF93" s="72" t="str">
        <f>IF('Cálculo MP'!M103="","",'Cálculo MP'!M103)</f>
        <v/>
      </c>
      <c r="BG93" s="72" t="str">
        <f>IF('Cálculo MP'!N103="","",'Cálculo MP'!N103)</f>
        <v/>
      </c>
      <c r="BH93" s="72" t="str">
        <f>IF('Cálculo MP'!O103="","",'Cálculo MP'!O103)</f>
        <v/>
      </c>
      <c r="BI93" s="72" t="str">
        <f>IF('Cálculo MP'!P103="","",'Cálculo MP'!P103)</f>
        <v/>
      </c>
      <c r="BJ93" s="72" t="str">
        <f>IF('Cálculo MP'!Q103="","",'Cálculo MP'!Q103)</f>
        <v/>
      </c>
      <c r="BK93" s="72" t="str">
        <f>IF('Cálculo MP'!R103="","",'Cálculo MP'!R103)</f>
        <v/>
      </c>
      <c r="BL93" s="72" t="str">
        <f>IF('Cálculo MP'!S103="","",'Cálculo MP'!S103)</f>
        <v/>
      </c>
      <c r="BM93" s="71"/>
      <c r="BN93" s="71"/>
      <c r="BO93" s="71"/>
      <c r="BP93" s="71"/>
      <c r="BQ93" s="71"/>
      <c r="BR93" s="71"/>
      <c r="BS93" s="71"/>
    </row>
    <row r="94" spans="1:71" ht="19.5" customHeight="1" x14ac:dyDescent="0.15">
      <c r="A94" s="56" t="s">
        <v>985</v>
      </c>
      <c r="B94" s="57" t="s">
        <v>986</v>
      </c>
      <c r="C94" s="58" t="s">
        <v>985</v>
      </c>
      <c r="D94" s="59" t="s">
        <v>985</v>
      </c>
      <c r="E94" s="61"/>
      <c r="F94" s="60" t="s">
        <v>95</v>
      </c>
      <c r="G94" s="61"/>
      <c r="H94" s="62"/>
      <c r="I94" s="75"/>
      <c r="J94" s="60" t="s">
        <v>95</v>
      </c>
      <c r="K94" s="64"/>
      <c r="L94" s="64"/>
      <c r="M94" s="64" t="s">
        <v>96</v>
      </c>
      <c r="N94" s="64" t="s">
        <v>97</v>
      </c>
      <c r="O94" s="65" t="s">
        <v>986</v>
      </c>
      <c r="P94" s="70" t="s">
        <v>96</v>
      </c>
      <c r="Q94" s="60" t="s">
        <v>95</v>
      </c>
      <c r="R94" s="60" t="s">
        <v>96</v>
      </c>
      <c r="S94" s="66" t="s">
        <v>96</v>
      </c>
      <c r="T94" s="67" t="s">
        <v>96</v>
      </c>
      <c r="U94" s="60" t="s">
        <v>96</v>
      </c>
      <c r="V94" s="60" t="s">
        <v>96</v>
      </c>
      <c r="W94" s="60" t="str" cm="1">
        <f t="array" ref="W94">_xlfn.LET(_xlpm.resultados,_xlfn.UNIQUE(_xlfn._xlws.FILTER(Tabla1[Proceso],(Tabla1[Metal Base]=Q94)*(Tabla1[Etiquetas]=_xlfn.TEXTJOIN(" + ",TRUE,IF((TRIM(Upload!R94:V94)="")+(LOWER(TRIM(Upload!R94:V94))="(seleccione)"),"",PROPER(TRIM(Upload!R94:V94)))))*(Tabla1[Línea2]=IFERROR(VLOOKUP(Upload!P94&amp;"*",CAT_Procesos!D:D,1,FALSE),"")))),_xlpm.cantidad,ROWS(_xlpm.resultados),IF(ISERROR(_xlpm.cantidad),"Combinación no existente",IF(_xlpm.cantidad=1,INDEX(_xlpm.resultados,1),"(seleccione)")))</f>
        <v>Combinación no existente</v>
      </c>
      <c r="X94" s="67" t="s">
        <v>96</v>
      </c>
      <c r="Y94" s="64"/>
      <c r="Z94" s="64"/>
      <c r="AA94" s="64"/>
      <c r="AB94" s="133" t="s">
        <v>96</v>
      </c>
      <c r="AC94" s="64"/>
      <c r="AD94" s="64"/>
      <c r="AE94" s="64"/>
      <c r="AF94" s="60" t="s">
        <v>96</v>
      </c>
      <c r="AG94" s="64"/>
      <c r="AH94" s="64"/>
      <c r="AI94" s="64"/>
      <c r="AJ94" s="68" t="s">
        <v>96</v>
      </c>
      <c r="AK94" s="69" t="str">
        <f t="shared" si="2"/>
        <v/>
      </c>
      <c r="AL94" s="70" t="s">
        <v>96</v>
      </c>
      <c r="AM94" s="69" t="str">
        <f t="shared" si="3"/>
        <v/>
      </c>
      <c r="AN94" s="71"/>
      <c r="AO94" s="71"/>
      <c r="AP94" s="71"/>
      <c r="AQ94" s="71"/>
      <c r="AR94" s="71" t="s">
        <v>96</v>
      </c>
      <c r="AS94" s="71"/>
      <c r="AT94" s="71" t="s">
        <v>96</v>
      </c>
      <c r="AU94" s="71"/>
      <c r="AV94" s="71" t="s">
        <v>95</v>
      </c>
      <c r="AW94" s="71"/>
      <c r="AX94" s="71"/>
      <c r="AY94" s="71"/>
      <c r="AZ94" s="71"/>
      <c r="BA94" s="71"/>
      <c r="BB94" s="70" t="s">
        <v>218</v>
      </c>
      <c r="BC94" s="70" t="s">
        <v>98</v>
      </c>
      <c r="BD94" s="72" t="str">
        <f>IF('Cálculo MP'!K104="","",'Cálculo MP'!K104)</f>
        <v/>
      </c>
      <c r="BE94" s="72" t="str">
        <f>IF('Cálculo MP'!L104="","",'Cálculo MP'!L104)</f>
        <v/>
      </c>
      <c r="BF94" s="72" t="str">
        <f>IF('Cálculo MP'!M104="","",'Cálculo MP'!M104)</f>
        <v/>
      </c>
      <c r="BG94" s="72" t="str">
        <f>IF('Cálculo MP'!N104="","",'Cálculo MP'!N104)</f>
        <v/>
      </c>
      <c r="BH94" s="72" t="str">
        <f>IF('Cálculo MP'!O104="","",'Cálculo MP'!O104)</f>
        <v/>
      </c>
      <c r="BI94" s="72" t="str">
        <f>IF('Cálculo MP'!P104="","",'Cálculo MP'!P104)</f>
        <v/>
      </c>
      <c r="BJ94" s="72" t="str">
        <f>IF('Cálculo MP'!Q104="","",'Cálculo MP'!Q104)</f>
        <v/>
      </c>
      <c r="BK94" s="72" t="str">
        <f>IF('Cálculo MP'!R104="","",'Cálculo MP'!R104)</f>
        <v/>
      </c>
      <c r="BL94" s="72" t="str">
        <f>IF('Cálculo MP'!S104="","",'Cálculo MP'!S104)</f>
        <v/>
      </c>
      <c r="BM94" s="71"/>
      <c r="BN94" s="71"/>
      <c r="BO94" s="71"/>
      <c r="BP94" s="71"/>
      <c r="BQ94" s="71"/>
      <c r="BR94" s="71"/>
      <c r="BS94" s="71"/>
    </row>
    <row r="95" spans="1:71" ht="19.5" customHeight="1" x14ac:dyDescent="0.15">
      <c r="A95" s="56" t="s">
        <v>985</v>
      </c>
      <c r="B95" s="57" t="s">
        <v>986</v>
      </c>
      <c r="C95" s="58" t="s">
        <v>985</v>
      </c>
      <c r="D95" s="59" t="s">
        <v>985</v>
      </c>
      <c r="E95" s="61"/>
      <c r="F95" s="60" t="s">
        <v>95</v>
      </c>
      <c r="G95" s="61"/>
      <c r="H95" s="62"/>
      <c r="I95" s="75"/>
      <c r="J95" s="60" t="s">
        <v>95</v>
      </c>
      <c r="K95" s="64"/>
      <c r="L95" s="64"/>
      <c r="M95" s="64" t="s">
        <v>96</v>
      </c>
      <c r="N95" s="64" t="s">
        <v>97</v>
      </c>
      <c r="O95" s="65" t="s">
        <v>986</v>
      </c>
      <c r="P95" s="70" t="s">
        <v>96</v>
      </c>
      <c r="Q95" s="60" t="s">
        <v>95</v>
      </c>
      <c r="R95" s="60" t="s">
        <v>96</v>
      </c>
      <c r="S95" s="66" t="s">
        <v>96</v>
      </c>
      <c r="T95" s="67" t="s">
        <v>96</v>
      </c>
      <c r="U95" s="60" t="s">
        <v>96</v>
      </c>
      <c r="V95" s="60" t="s">
        <v>96</v>
      </c>
      <c r="W95" s="60" t="str" cm="1">
        <f t="array" ref="W95">_xlfn.LET(_xlpm.resultados,_xlfn.UNIQUE(_xlfn._xlws.FILTER(Tabla1[Proceso],(Tabla1[Metal Base]=Q95)*(Tabla1[Etiquetas]=_xlfn.TEXTJOIN(" + ",TRUE,IF((TRIM(Upload!R95:V95)="")+(LOWER(TRIM(Upload!R95:V95))="(seleccione)"),"",PROPER(TRIM(Upload!R95:V95)))))*(Tabla1[Línea2]=IFERROR(VLOOKUP(Upload!P95&amp;"*",CAT_Procesos!D:D,1,FALSE),"")))),_xlpm.cantidad,ROWS(_xlpm.resultados),IF(ISERROR(_xlpm.cantidad),"Combinación no existente",IF(_xlpm.cantidad=1,INDEX(_xlpm.resultados,1),"(seleccione)")))</f>
        <v>Combinación no existente</v>
      </c>
      <c r="X95" s="67" t="s">
        <v>96</v>
      </c>
      <c r="Y95" s="64"/>
      <c r="Z95" s="64"/>
      <c r="AA95" s="64"/>
      <c r="AB95" s="133" t="s">
        <v>96</v>
      </c>
      <c r="AC95" s="64"/>
      <c r="AD95" s="64"/>
      <c r="AE95" s="64"/>
      <c r="AF95" s="60" t="s">
        <v>96</v>
      </c>
      <c r="AG95" s="64"/>
      <c r="AH95" s="64"/>
      <c r="AI95" s="64"/>
      <c r="AJ95" s="68" t="s">
        <v>96</v>
      </c>
      <c r="AK95" s="69" t="str">
        <f t="shared" si="2"/>
        <v/>
      </c>
      <c r="AL95" s="70" t="s">
        <v>96</v>
      </c>
      <c r="AM95" s="69" t="str">
        <f t="shared" si="3"/>
        <v/>
      </c>
      <c r="AN95" s="71"/>
      <c r="AO95" s="71"/>
      <c r="AP95" s="71"/>
      <c r="AQ95" s="71"/>
      <c r="AR95" s="71" t="s">
        <v>96</v>
      </c>
      <c r="AS95" s="71"/>
      <c r="AT95" s="71" t="s">
        <v>96</v>
      </c>
      <c r="AU95" s="71"/>
      <c r="AV95" s="71" t="s">
        <v>95</v>
      </c>
      <c r="AW95" s="71"/>
      <c r="AX95" s="71"/>
      <c r="AY95" s="71"/>
      <c r="AZ95" s="71"/>
      <c r="BA95" s="71"/>
      <c r="BB95" s="70" t="s">
        <v>218</v>
      </c>
      <c r="BC95" s="70" t="s">
        <v>98</v>
      </c>
      <c r="BD95" s="72" t="str">
        <f>IF('Cálculo MP'!K105="","",'Cálculo MP'!K105)</f>
        <v/>
      </c>
      <c r="BE95" s="72" t="str">
        <f>IF('Cálculo MP'!L105="","",'Cálculo MP'!L105)</f>
        <v/>
      </c>
      <c r="BF95" s="72" t="str">
        <f>IF('Cálculo MP'!M105="","",'Cálculo MP'!M105)</f>
        <v/>
      </c>
      <c r="BG95" s="72" t="str">
        <f>IF('Cálculo MP'!N105="","",'Cálculo MP'!N105)</f>
        <v/>
      </c>
      <c r="BH95" s="72" t="str">
        <f>IF('Cálculo MP'!O105="","",'Cálculo MP'!O105)</f>
        <v/>
      </c>
      <c r="BI95" s="72" t="str">
        <f>IF('Cálculo MP'!P105="","",'Cálculo MP'!P105)</f>
        <v/>
      </c>
      <c r="BJ95" s="72" t="str">
        <f>IF('Cálculo MP'!Q105="","",'Cálculo MP'!Q105)</f>
        <v/>
      </c>
      <c r="BK95" s="72" t="str">
        <f>IF('Cálculo MP'!R105="","",'Cálculo MP'!R105)</f>
        <v/>
      </c>
      <c r="BL95" s="72" t="str">
        <f>IF('Cálculo MP'!S105="","",'Cálculo MP'!S105)</f>
        <v/>
      </c>
      <c r="BM95" s="71"/>
      <c r="BN95" s="71"/>
      <c r="BO95" s="71"/>
      <c r="BP95" s="71"/>
      <c r="BQ95" s="71"/>
      <c r="BR95" s="71"/>
      <c r="BS95" s="71"/>
    </row>
    <row r="96" spans="1:71" ht="19.5" customHeight="1" x14ac:dyDescent="0.15">
      <c r="A96" s="56" t="s">
        <v>985</v>
      </c>
      <c r="B96" s="57" t="s">
        <v>986</v>
      </c>
      <c r="C96" s="58" t="s">
        <v>985</v>
      </c>
      <c r="D96" s="59" t="s">
        <v>985</v>
      </c>
      <c r="E96" s="61"/>
      <c r="F96" s="60" t="s">
        <v>95</v>
      </c>
      <c r="G96" s="61"/>
      <c r="H96" s="62"/>
      <c r="I96" s="75"/>
      <c r="J96" s="60" t="s">
        <v>95</v>
      </c>
      <c r="K96" s="64"/>
      <c r="L96" s="64"/>
      <c r="M96" s="64" t="s">
        <v>96</v>
      </c>
      <c r="N96" s="64" t="s">
        <v>97</v>
      </c>
      <c r="O96" s="65" t="s">
        <v>986</v>
      </c>
      <c r="P96" s="70" t="s">
        <v>96</v>
      </c>
      <c r="Q96" s="60" t="s">
        <v>95</v>
      </c>
      <c r="R96" s="60" t="s">
        <v>96</v>
      </c>
      <c r="S96" s="66" t="s">
        <v>96</v>
      </c>
      <c r="T96" s="67" t="s">
        <v>96</v>
      </c>
      <c r="U96" s="60" t="s">
        <v>96</v>
      </c>
      <c r="V96" s="60" t="s">
        <v>96</v>
      </c>
      <c r="W96" s="60" t="str" cm="1">
        <f t="array" ref="W96">_xlfn.LET(_xlpm.resultados,_xlfn.UNIQUE(_xlfn._xlws.FILTER(Tabla1[Proceso],(Tabla1[Metal Base]=Q96)*(Tabla1[Etiquetas]=_xlfn.TEXTJOIN(" + ",TRUE,IF((TRIM(Upload!R96:V96)="")+(LOWER(TRIM(Upload!R96:V96))="(seleccione)"),"",PROPER(TRIM(Upload!R96:V96)))))*(Tabla1[Línea2]=IFERROR(VLOOKUP(Upload!P96&amp;"*",CAT_Procesos!D:D,1,FALSE),"")))),_xlpm.cantidad,ROWS(_xlpm.resultados),IF(ISERROR(_xlpm.cantidad),"Combinación no existente",IF(_xlpm.cantidad=1,INDEX(_xlpm.resultados,1),"(seleccione)")))</f>
        <v>Combinación no existente</v>
      </c>
      <c r="X96" s="67" t="s">
        <v>96</v>
      </c>
      <c r="Y96" s="64"/>
      <c r="Z96" s="64"/>
      <c r="AA96" s="64"/>
      <c r="AB96" s="133" t="s">
        <v>96</v>
      </c>
      <c r="AC96" s="64"/>
      <c r="AD96" s="64"/>
      <c r="AE96" s="64"/>
      <c r="AF96" s="60" t="s">
        <v>96</v>
      </c>
      <c r="AG96" s="64"/>
      <c r="AH96" s="64"/>
      <c r="AI96" s="64"/>
      <c r="AJ96" s="68" t="s">
        <v>96</v>
      </c>
      <c r="AK96" s="69" t="str">
        <f t="shared" si="2"/>
        <v/>
      </c>
      <c r="AL96" s="70" t="s">
        <v>96</v>
      </c>
      <c r="AM96" s="69" t="str">
        <f t="shared" si="3"/>
        <v/>
      </c>
      <c r="AN96" s="71"/>
      <c r="AO96" s="71"/>
      <c r="AP96" s="71"/>
      <c r="AQ96" s="71"/>
      <c r="AR96" s="71" t="s">
        <v>96</v>
      </c>
      <c r="AS96" s="71"/>
      <c r="AT96" s="71" t="s">
        <v>96</v>
      </c>
      <c r="AU96" s="71"/>
      <c r="AV96" s="71" t="s">
        <v>95</v>
      </c>
      <c r="AW96" s="71"/>
      <c r="AX96" s="71"/>
      <c r="AY96" s="71"/>
      <c r="AZ96" s="71"/>
      <c r="BA96" s="71"/>
      <c r="BB96" s="70" t="s">
        <v>218</v>
      </c>
      <c r="BC96" s="70" t="s">
        <v>98</v>
      </c>
      <c r="BD96" s="72" t="str">
        <f>IF('Cálculo MP'!K106="","",'Cálculo MP'!K106)</f>
        <v/>
      </c>
      <c r="BE96" s="72" t="str">
        <f>IF('Cálculo MP'!L106="","",'Cálculo MP'!L106)</f>
        <v/>
      </c>
      <c r="BF96" s="72" t="str">
        <f>IF('Cálculo MP'!M106="","",'Cálculo MP'!M106)</f>
        <v/>
      </c>
      <c r="BG96" s="72" t="str">
        <f>IF('Cálculo MP'!N106="","",'Cálculo MP'!N106)</f>
        <v/>
      </c>
      <c r="BH96" s="72" t="str">
        <f>IF('Cálculo MP'!O106="","",'Cálculo MP'!O106)</f>
        <v/>
      </c>
      <c r="BI96" s="72" t="str">
        <f>IF('Cálculo MP'!P106="","",'Cálculo MP'!P106)</f>
        <v/>
      </c>
      <c r="BJ96" s="72" t="str">
        <f>IF('Cálculo MP'!Q106="","",'Cálculo MP'!Q106)</f>
        <v/>
      </c>
      <c r="BK96" s="72" t="str">
        <f>IF('Cálculo MP'!R106="","",'Cálculo MP'!R106)</f>
        <v/>
      </c>
      <c r="BL96" s="72" t="str">
        <f>IF('Cálculo MP'!S106="","",'Cálculo MP'!S106)</f>
        <v/>
      </c>
      <c r="BM96" s="71"/>
      <c r="BN96" s="71"/>
      <c r="BO96" s="71"/>
      <c r="BP96" s="71"/>
      <c r="BQ96" s="71"/>
      <c r="BR96" s="71"/>
      <c r="BS96" s="71"/>
    </row>
    <row r="97" spans="1:71" ht="19.5" customHeight="1" x14ac:dyDescent="0.15">
      <c r="A97" s="56" t="s">
        <v>985</v>
      </c>
      <c r="B97" s="57" t="s">
        <v>986</v>
      </c>
      <c r="C97" s="58" t="s">
        <v>985</v>
      </c>
      <c r="D97" s="59" t="s">
        <v>985</v>
      </c>
      <c r="E97" s="61"/>
      <c r="F97" s="60" t="s">
        <v>95</v>
      </c>
      <c r="G97" s="61"/>
      <c r="H97" s="62"/>
      <c r="I97" s="75"/>
      <c r="J97" s="60" t="s">
        <v>95</v>
      </c>
      <c r="K97" s="64"/>
      <c r="L97" s="64"/>
      <c r="M97" s="64" t="s">
        <v>96</v>
      </c>
      <c r="N97" s="64" t="s">
        <v>97</v>
      </c>
      <c r="O97" s="65" t="s">
        <v>986</v>
      </c>
      <c r="P97" s="70" t="s">
        <v>96</v>
      </c>
      <c r="Q97" s="60" t="s">
        <v>95</v>
      </c>
      <c r="R97" s="60" t="s">
        <v>96</v>
      </c>
      <c r="S97" s="66" t="s">
        <v>96</v>
      </c>
      <c r="T97" s="67" t="s">
        <v>96</v>
      </c>
      <c r="U97" s="60" t="s">
        <v>96</v>
      </c>
      <c r="V97" s="60" t="s">
        <v>96</v>
      </c>
      <c r="W97" s="60" t="str" cm="1">
        <f t="array" ref="W97">_xlfn.LET(_xlpm.resultados,_xlfn.UNIQUE(_xlfn._xlws.FILTER(Tabla1[Proceso],(Tabla1[Metal Base]=Q97)*(Tabla1[Etiquetas]=_xlfn.TEXTJOIN(" + ",TRUE,IF((TRIM(Upload!R97:V97)="")+(LOWER(TRIM(Upload!R97:V97))="(seleccione)"),"",PROPER(TRIM(Upload!R97:V97)))))*(Tabla1[Línea2]=IFERROR(VLOOKUP(Upload!P97&amp;"*",CAT_Procesos!D:D,1,FALSE),"")))),_xlpm.cantidad,ROWS(_xlpm.resultados),IF(ISERROR(_xlpm.cantidad),"Combinación no existente",IF(_xlpm.cantidad=1,INDEX(_xlpm.resultados,1),"(seleccione)")))</f>
        <v>Combinación no existente</v>
      </c>
      <c r="X97" s="67" t="s">
        <v>96</v>
      </c>
      <c r="Y97" s="64"/>
      <c r="Z97" s="64"/>
      <c r="AA97" s="64"/>
      <c r="AB97" s="133" t="s">
        <v>96</v>
      </c>
      <c r="AC97" s="64"/>
      <c r="AD97" s="64"/>
      <c r="AE97" s="64"/>
      <c r="AF97" s="60" t="s">
        <v>96</v>
      </c>
      <c r="AG97" s="64"/>
      <c r="AH97" s="64"/>
      <c r="AI97" s="64"/>
      <c r="AJ97" s="68" t="s">
        <v>96</v>
      </c>
      <c r="AK97" s="69" t="str">
        <f t="shared" si="2"/>
        <v/>
      </c>
      <c r="AL97" s="70" t="s">
        <v>96</v>
      </c>
      <c r="AM97" s="69" t="str">
        <f t="shared" si="3"/>
        <v/>
      </c>
      <c r="AN97" s="71"/>
      <c r="AO97" s="71"/>
      <c r="AP97" s="71"/>
      <c r="AQ97" s="71"/>
      <c r="AR97" s="71" t="s">
        <v>96</v>
      </c>
      <c r="AS97" s="71"/>
      <c r="AT97" s="71" t="s">
        <v>96</v>
      </c>
      <c r="AU97" s="71"/>
      <c r="AV97" s="71" t="s">
        <v>95</v>
      </c>
      <c r="AW97" s="71"/>
      <c r="AX97" s="71"/>
      <c r="AY97" s="71"/>
      <c r="AZ97" s="71"/>
      <c r="BA97" s="71"/>
      <c r="BB97" s="70" t="s">
        <v>218</v>
      </c>
      <c r="BC97" s="70" t="s">
        <v>98</v>
      </c>
      <c r="BD97" s="72" t="str">
        <f>IF('Cálculo MP'!K107="","",'Cálculo MP'!K107)</f>
        <v/>
      </c>
      <c r="BE97" s="72" t="str">
        <f>IF('Cálculo MP'!L107="","",'Cálculo MP'!L107)</f>
        <v/>
      </c>
      <c r="BF97" s="72" t="str">
        <f>IF('Cálculo MP'!M107="","",'Cálculo MP'!M107)</f>
        <v/>
      </c>
      <c r="BG97" s="72" t="str">
        <f>IF('Cálculo MP'!N107="","",'Cálculo MP'!N107)</f>
        <v/>
      </c>
      <c r="BH97" s="72" t="str">
        <f>IF('Cálculo MP'!O107="","",'Cálculo MP'!O107)</f>
        <v/>
      </c>
      <c r="BI97" s="72" t="str">
        <f>IF('Cálculo MP'!P107="","",'Cálculo MP'!P107)</f>
        <v/>
      </c>
      <c r="BJ97" s="72" t="str">
        <f>IF('Cálculo MP'!Q107="","",'Cálculo MP'!Q107)</f>
        <v/>
      </c>
      <c r="BK97" s="72" t="str">
        <f>IF('Cálculo MP'!R107="","",'Cálculo MP'!R107)</f>
        <v/>
      </c>
      <c r="BL97" s="72" t="str">
        <f>IF('Cálculo MP'!S107="","",'Cálculo MP'!S107)</f>
        <v/>
      </c>
      <c r="BM97" s="71"/>
      <c r="BN97" s="71"/>
      <c r="BO97" s="71"/>
      <c r="BP97" s="71"/>
      <c r="BQ97" s="71"/>
      <c r="BR97" s="71"/>
      <c r="BS97" s="71"/>
    </row>
    <row r="98" spans="1:71" ht="19.5" customHeight="1" x14ac:dyDescent="0.15">
      <c r="A98" s="56" t="s">
        <v>985</v>
      </c>
      <c r="B98" s="57" t="s">
        <v>986</v>
      </c>
      <c r="C98" s="58" t="s">
        <v>985</v>
      </c>
      <c r="D98" s="59" t="s">
        <v>985</v>
      </c>
      <c r="E98" s="61"/>
      <c r="F98" s="60" t="s">
        <v>95</v>
      </c>
      <c r="G98" s="61"/>
      <c r="H98" s="62"/>
      <c r="I98" s="75"/>
      <c r="J98" s="60" t="s">
        <v>95</v>
      </c>
      <c r="K98" s="64"/>
      <c r="L98" s="64"/>
      <c r="M98" s="64" t="s">
        <v>96</v>
      </c>
      <c r="N98" s="64" t="s">
        <v>97</v>
      </c>
      <c r="O98" s="65" t="s">
        <v>986</v>
      </c>
      <c r="P98" s="70" t="s">
        <v>96</v>
      </c>
      <c r="Q98" s="60" t="s">
        <v>95</v>
      </c>
      <c r="R98" s="60" t="s">
        <v>96</v>
      </c>
      <c r="S98" s="66" t="s">
        <v>96</v>
      </c>
      <c r="T98" s="67" t="s">
        <v>96</v>
      </c>
      <c r="U98" s="60" t="s">
        <v>96</v>
      </c>
      <c r="V98" s="60" t="s">
        <v>96</v>
      </c>
      <c r="W98" s="60" t="str" cm="1">
        <f t="array" ref="W98">_xlfn.LET(_xlpm.resultados,_xlfn.UNIQUE(_xlfn._xlws.FILTER(Tabla1[Proceso],(Tabla1[Metal Base]=Q98)*(Tabla1[Etiquetas]=_xlfn.TEXTJOIN(" + ",TRUE,IF((TRIM(Upload!R98:V98)="")+(LOWER(TRIM(Upload!R98:V98))="(seleccione)"),"",PROPER(TRIM(Upload!R98:V98)))))*(Tabla1[Línea2]=IFERROR(VLOOKUP(Upload!P98&amp;"*",CAT_Procesos!D:D,1,FALSE),"")))),_xlpm.cantidad,ROWS(_xlpm.resultados),IF(ISERROR(_xlpm.cantidad),"Combinación no existente",IF(_xlpm.cantidad=1,INDEX(_xlpm.resultados,1),"(seleccione)")))</f>
        <v>Combinación no existente</v>
      </c>
      <c r="X98" s="67" t="s">
        <v>96</v>
      </c>
      <c r="Y98" s="64"/>
      <c r="Z98" s="64"/>
      <c r="AA98" s="64"/>
      <c r="AB98" s="133" t="s">
        <v>96</v>
      </c>
      <c r="AC98" s="64"/>
      <c r="AD98" s="64"/>
      <c r="AE98" s="64"/>
      <c r="AF98" s="60" t="s">
        <v>96</v>
      </c>
      <c r="AG98" s="64"/>
      <c r="AH98" s="64"/>
      <c r="AI98" s="64"/>
      <c r="AJ98" s="68" t="s">
        <v>96</v>
      </c>
      <c r="AK98" s="69" t="str">
        <f t="shared" si="2"/>
        <v/>
      </c>
      <c r="AL98" s="70" t="s">
        <v>96</v>
      </c>
      <c r="AM98" s="69" t="str">
        <f t="shared" si="3"/>
        <v/>
      </c>
      <c r="AN98" s="71"/>
      <c r="AO98" s="71"/>
      <c r="AP98" s="71"/>
      <c r="AQ98" s="71"/>
      <c r="AR98" s="71" t="s">
        <v>96</v>
      </c>
      <c r="AS98" s="71"/>
      <c r="AT98" s="71" t="s">
        <v>96</v>
      </c>
      <c r="AU98" s="71"/>
      <c r="AV98" s="71" t="s">
        <v>95</v>
      </c>
      <c r="AW98" s="71"/>
      <c r="AX98" s="71"/>
      <c r="AY98" s="71"/>
      <c r="AZ98" s="71"/>
      <c r="BA98" s="71"/>
      <c r="BB98" s="70" t="s">
        <v>218</v>
      </c>
      <c r="BC98" s="70" t="s">
        <v>98</v>
      </c>
      <c r="BD98" s="72" t="str">
        <f>IF('Cálculo MP'!K108="","",'Cálculo MP'!K108)</f>
        <v/>
      </c>
      <c r="BE98" s="72" t="str">
        <f>IF('Cálculo MP'!L108="","",'Cálculo MP'!L108)</f>
        <v/>
      </c>
      <c r="BF98" s="72" t="str">
        <f>IF('Cálculo MP'!M108="","",'Cálculo MP'!M108)</f>
        <v/>
      </c>
      <c r="BG98" s="72" t="str">
        <f>IF('Cálculo MP'!N108="","",'Cálculo MP'!N108)</f>
        <v/>
      </c>
      <c r="BH98" s="72" t="str">
        <f>IF('Cálculo MP'!O108="","",'Cálculo MP'!O108)</f>
        <v/>
      </c>
      <c r="BI98" s="72" t="str">
        <f>IF('Cálculo MP'!P108="","",'Cálculo MP'!P108)</f>
        <v/>
      </c>
      <c r="BJ98" s="72" t="str">
        <f>IF('Cálculo MP'!Q108="","",'Cálculo MP'!Q108)</f>
        <v/>
      </c>
      <c r="BK98" s="72" t="str">
        <f>IF('Cálculo MP'!R108="","",'Cálculo MP'!R108)</f>
        <v/>
      </c>
      <c r="BL98" s="72" t="str">
        <f>IF('Cálculo MP'!S108="","",'Cálculo MP'!S108)</f>
        <v/>
      </c>
      <c r="BM98" s="71"/>
      <c r="BN98" s="71"/>
      <c r="BO98" s="71"/>
      <c r="BP98" s="71"/>
      <c r="BQ98" s="71"/>
      <c r="BR98" s="71"/>
      <c r="BS98" s="71"/>
    </row>
    <row r="99" spans="1:71" ht="19.5" customHeight="1" x14ac:dyDescent="0.15">
      <c r="A99" s="56" t="s">
        <v>985</v>
      </c>
      <c r="B99" s="57" t="s">
        <v>986</v>
      </c>
      <c r="C99" s="58" t="s">
        <v>985</v>
      </c>
      <c r="D99" s="59" t="s">
        <v>985</v>
      </c>
      <c r="E99" s="61"/>
      <c r="F99" s="60" t="s">
        <v>95</v>
      </c>
      <c r="G99" s="61"/>
      <c r="H99" s="62"/>
      <c r="I99" s="75"/>
      <c r="J99" s="60" t="s">
        <v>95</v>
      </c>
      <c r="K99" s="64"/>
      <c r="L99" s="64"/>
      <c r="M99" s="64" t="s">
        <v>96</v>
      </c>
      <c r="N99" s="64" t="s">
        <v>97</v>
      </c>
      <c r="O99" s="65" t="s">
        <v>986</v>
      </c>
      <c r="P99" s="70" t="s">
        <v>96</v>
      </c>
      <c r="Q99" s="60" t="s">
        <v>95</v>
      </c>
      <c r="R99" s="60" t="s">
        <v>96</v>
      </c>
      <c r="S99" s="66" t="s">
        <v>96</v>
      </c>
      <c r="T99" s="67" t="s">
        <v>96</v>
      </c>
      <c r="U99" s="60" t="s">
        <v>96</v>
      </c>
      <c r="V99" s="60" t="s">
        <v>96</v>
      </c>
      <c r="W99" s="60" t="str" cm="1">
        <f t="array" ref="W99">_xlfn.LET(_xlpm.resultados,_xlfn.UNIQUE(_xlfn._xlws.FILTER(Tabla1[Proceso],(Tabla1[Metal Base]=Q99)*(Tabla1[Etiquetas]=_xlfn.TEXTJOIN(" + ",TRUE,IF((TRIM(Upload!R99:V99)="")+(LOWER(TRIM(Upload!R99:V99))="(seleccione)"),"",PROPER(TRIM(Upload!R99:V99)))))*(Tabla1[Línea2]=IFERROR(VLOOKUP(Upload!P99&amp;"*",CAT_Procesos!D:D,1,FALSE),"")))),_xlpm.cantidad,ROWS(_xlpm.resultados),IF(ISERROR(_xlpm.cantidad),"Combinación no existente",IF(_xlpm.cantidad=1,INDEX(_xlpm.resultados,1),"(seleccione)")))</f>
        <v>Combinación no existente</v>
      </c>
      <c r="X99" s="67" t="s">
        <v>96</v>
      </c>
      <c r="Y99" s="64"/>
      <c r="Z99" s="64"/>
      <c r="AA99" s="64"/>
      <c r="AB99" s="133" t="s">
        <v>96</v>
      </c>
      <c r="AC99" s="64"/>
      <c r="AD99" s="64"/>
      <c r="AE99" s="64"/>
      <c r="AF99" s="60" t="s">
        <v>96</v>
      </c>
      <c r="AG99" s="64"/>
      <c r="AH99" s="64"/>
      <c r="AI99" s="64"/>
      <c r="AJ99" s="68" t="s">
        <v>96</v>
      </c>
      <c r="AK99" s="69" t="str">
        <f t="shared" si="2"/>
        <v/>
      </c>
      <c r="AL99" s="70" t="s">
        <v>96</v>
      </c>
      <c r="AM99" s="69" t="str">
        <f t="shared" si="3"/>
        <v/>
      </c>
      <c r="AN99" s="71"/>
      <c r="AO99" s="71"/>
      <c r="AP99" s="71"/>
      <c r="AQ99" s="71"/>
      <c r="AR99" s="71" t="s">
        <v>96</v>
      </c>
      <c r="AS99" s="71"/>
      <c r="AT99" s="71" t="s">
        <v>96</v>
      </c>
      <c r="AU99" s="71"/>
      <c r="AV99" s="71" t="s">
        <v>95</v>
      </c>
      <c r="AW99" s="71"/>
      <c r="AX99" s="71"/>
      <c r="AY99" s="71"/>
      <c r="AZ99" s="71"/>
      <c r="BA99" s="71"/>
      <c r="BB99" s="70" t="s">
        <v>218</v>
      </c>
      <c r="BC99" s="70" t="s">
        <v>98</v>
      </c>
      <c r="BD99" s="72" t="str">
        <f>IF('Cálculo MP'!K109="","",'Cálculo MP'!K109)</f>
        <v/>
      </c>
      <c r="BE99" s="72" t="str">
        <f>IF('Cálculo MP'!L109="","",'Cálculo MP'!L109)</f>
        <v/>
      </c>
      <c r="BF99" s="72" t="str">
        <f>IF('Cálculo MP'!M109="","",'Cálculo MP'!M109)</f>
        <v/>
      </c>
      <c r="BG99" s="72" t="str">
        <f>IF('Cálculo MP'!N109="","",'Cálculo MP'!N109)</f>
        <v/>
      </c>
      <c r="BH99" s="72" t="str">
        <f>IF('Cálculo MP'!O109="","",'Cálculo MP'!O109)</f>
        <v/>
      </c>
      <c r="BI99" s="72" t="str">
        <f>IF('Cálculo MP'!P109="","",'Cálculo MP'!P109)</f>
        <v/>
      </c>
      <c r="BJ99" s="72" t="str">
        <f>IF('Cálculo MP'!Q109="","",'Cálculo MP'!Q109)</f>
        <v/>
      </c>
      <c r="BK99" s="72" t="str">
        <f>IF('Cálculo MP'!R109="","",'Cálculo MP'!R109)</f>
        <v/>
      </c>
      <c r="BL99" s="72" t="str">
        <f>IF('Cálculo MP'!S109="","",'Cálculo MP'!S109)</f>
        <v/>
      </c>
      <c r="BM99" s="71"/>
      <c r="BN99" s="71"/>
      <c r="BO99" s="71"/>
      <c r="BP99" s="71"/>
      <c r="BQ99" s="71"/>
      <c r="BR99" s="71"/>
      <c r="BS99" s="71"/>
    </row>
    <row r="100" spans="1:71" ht="19.5" customHeight="1" x14ac:dyDescent="0.15">
      <c r="A100" s="56" t="s">
        <v>985</v>
      </c>
      <c r="B100" s="57" t="s">
        <v>986</v>
      </c>
      <c r="C100" s="58" t="s">
        <v>985</v>
      </c>
      <c r="D100" s="59" t="s">
        <v>985</v>
      </c>
      <c r="E100" s="61"/>
      <c r="F100" s="60" t="s">
        <v>95</v>
      </c>
      <c r="G100" s="61"/>
      <c r="H100" s="62"/>
      <c r="I100" s="75"/>
      <c r="J100" s="60" t="s">
        <v>95</v>
      </c>
      <c r="K100" s="64"/>
      <c r="L100" s="64"/>
      <c r="M100" s="64" t="s">
        <v>96</v>
      </c>
      <c r="N100" s="64" t="s">
        <v>97</v>
      </c>
      <c r="O100" s="65" t="s">
        <v>986</v>
      </c>
      <c r="P100" s="70" t="s">
        <v>96</v>
      </c>
      <c r="Q100" s="60" t="s">
        <v>95</v>
      </c>
      <c r="R100" s="60" t="s">
        <v>96</v>
      </c>
      <c r="S100" s="66" t="s">
        <v>96</v>
      </c>
      <c r="T100" s="67" t="s">
        <v>96</v>
      </c>
      <c r="U100" s="60" t="s">
        <v>96</v>
      </c>
      <c r="V100" s="60" t="s">
        <v>96</v>
      </c>
      <c r="W100" s="60" t="str" cm="1">
        <f t="array" ref="W100">_xlfn.LET(_xlpm.resultados,_xlfn.UNIQUE(_xlfn._xlws.FILTER(Tabla1[Proceso],(Tabla1[Metal Base]=Q100)*(Tabla1[Etiquetas]=_xlfn.TEXTJOIN(" + ",TRUE,IF((TRIM(Upload!R100:V100)="")+(LOWER(TRIM(Upload!R100:V100))="(seleccione)"),"",PROPER(TRIM(Upload!R100:V100)))))*(Tabla1[Línea2]=IFERROR(VLOOKUP(Upload!P100&amp;"*",CAT_Procesos!D:D,1,FALSE),"")))),_xlpm.cantidad,ROWS(_xlpm.resultados),IF(ISERROR(_xlpm.cantidad),"Combinación no existente",IF(_xlpm.cantidad=1,INDEX(_xlpm.resultados,1),"(seleccione)")))</f>
        <v>Combinación no existente</v>
      </c>
      <c r="X100" s="67" t="s">
        <v>96</v>
      </c>
      <c r="Y100" s="64"/>
      <c r="Z100" s="64"/>
      <c r="AA100" s="64"/>
      <c r="AB100" s="133" t="s">
        <v>96</v>
      </c>
      <c r="AC100" s="64"/>
      <c r="AD100" s="64"/>
      <c r="AE100" s="64"/>
      <c r="AF100" s="60" t="s">
        <v>96</v>
      </c>
      <c r="AG100" s="64"/>
      <c r="AH100" s="64"/>
      <c r="AI100" s="64"/>
      <c r="AJ100" s="68" t="s">
        <v>96</v>
      </c>
      <c r="AK100" s="69" t="str">
        <f t="shared" si="2"/>
        <v/>
      </c>
      <c r="AL100" s="70" t="s">
        <v>96</v>
      </c>
      <c r="AM100" s="69" t="str">
        <f t="shared" si="3"/>
        <v/>
      </c>
      <c r="AN100" s="71"/>
      <c r="AO100" s="71"/>
      <c r="AP100" s="71"/>
      <c r="AQ100" s="71"/>
      <c r="AR100" s="71" t="s">
        <v>96</v>
      </c>
      <c r="AS100" s="71"/>
      <c r="AT100" s="71" t="s">
        <v>96</v>
      </c>
      <c r="AU100" s="71"/>
      <c r="AV100" s="71" t="s">
        <v>95</v>
      </c>
      <c r="AW100" s="71"/>
      <c r="AX100" s="71"/>
      <c r="AY100" s="71"/>
      <c r="AZ100" s="71"/>
      <c r="BA100" s="71"/>
      <c r="BB100" s="70" t="s">
        <v>218</v>
      </c>
      <c r="BC100" s="70" t="s">
        <v>98</v>
      </c>
      <c r="BD100" s="72" t="str">
        <f>IF('Cálculo MP'!K110="","",'Cálculo MP'!K110)</f>
        <v/>
      </c>
      <c r="BE100" s="72" t="str">
        <f>IF('Cálculo MP'!L110="","",'Cálculo MP'!L110)</f>
        <v/>
      </c>
      <c r="BF100" s="72" t="str">
        <f>IF('Cálculo MP'!M110="","",'Cálculo MP'!M110)</f>
        <v/>
      </c>
      <c r="BG100" s="72" t="str">
        <f>IF('Cálculo MP'!N110="","",'Cálculo MP'!N110)</f>
        <v/>
      </c>
      <c r="BH100" s="72" t="str">
        <f>IF('Cálculo MP'!O110="","",'Cálculo MP'!O110)</f>
        <v/>
      </c>
      <c r="BI100" s="72" t="str">
        <f>IF('Cálculo MP'!P110="","",'Cálculo MP'!P110)</f>
        <v/>
      </c>
      <c r="BJ100" s="72" t="str">
        <f>IF('Cálculo MP'!Q110="","",'Cálculo MP'!Q110)</f>
        <v/>
      </c>
      <c r="BK100" s="72" t="str">
        <f>IF('Cálculo MP'!R110="","",'Cálculo MP'!R110)</f>
        <v/>
      </c>
      <c r="BL100" s="72" t="str">
        <f>IF('Cálculo MP'!S110="","",'Cálculo MP'!S110)</f>
        <v/>
      </c>
      <c r="BM100" s="71"/>
      <c r="BN100" s="71"/>
      <c r="BO100" s="71"/>
      <c r="BP100" s="71"/>
      <c r="BQ100" s="71"/>
      <c r="BR100" s="71"/>
      <c r="BS100" s="71"/>
    </row>
    <row r="101" spans="1:71" ht="19.5" customHeight="1" x14ac:dyDescent="0.15">
      <c r="A101" s="56" t="s">
        <v>985</v>
      </c>
      <c r="B101" s="57" t="s">
        <v>986</v>
      </c>
      <c r="C101" s="58" t="s">
        <v>985</v>
      </c>
      <c r="D101" s="59" t="s">
        <v>985</v>
      </c>
      <c r="E101" s="61"/>
      <c r="F101" s="60" t="s">
        <v>95</v>
      </c>
      <c r="G101" s="61"/>
      <c r="H101" s="62"/>
      <c r="I101" s="75"/>
      <c r="J101" s="60" t="s">
        <v>95</v>
      </c>
      <c r="K101" s="64"/>
      <c r="L101" s="64"/>
      <c r="M101" s="64" t="s">
        <v>96</v>
      </c>
      <c r="N101" s="64" t="s">
        <v>97</v>
      </c>
      <c r="O101" s="65" t="s">
        <v>986</v>
      </c>
      <c r="P101" s="70" t="s">
        <v>96</v>
      </c>
      <c r="Q101" s="60" t="s">
        <v>95</v>
      </c>
      <c r="R101" s="60" t="s">
        <v>96</v>
      </c>
      <c r="S101" s="66" t="s">
        <v>96</v>
      </c>
      <c r="T101" s="67" t="s">
        <v>96</v>
      </c>
      <c r="U101" s="60" t="s">
        <v>96</v>
      </c>
      <c r="V101" s="60" t="s">
        <v>96</v>
      </c>
      <c r="W101" s="60" t="str" cm="1">
        <f t="array" ref="W101">_xlfn.LET(_xlpm.resultados,_xlfn.UNIQUE(_xlfn._xlws.FILTER(Tabla1[Proceso],(Tabla1[Metal Base]=Q101)*(Tabla1[Etiquetas]=_xlfn.TEXTJOIN(" + ",TRUE,IF((TRIM(Upload!R101:V101)="")+(LOWER(TRIM(Upload!R101:V101))="(seleccione)"),"",PROPER(TRIM(Upload!R101:V101)))))*(Tabla1[Línea2]=IFERROR(VLOOKUP(Upload!P101&amp;"*",CAT_Procesos!D:D,1,FALSE),"")))),_xlpm.cantidad,ROWS(_xlpm.resultados),IF(ISERROR(_xlpm.cantidad),"Combinación no existente",IF(_xlpm.cantidad=1,INDEX(_xlpm.resultados,1),"(seleccione)")))</f>
        <v>Combinación no existente</v>
      </c>
      <c r="X101" s="67" t="s">
        <v>96</v>
      </c>
      <c r="Y101" s="64"/>
      <c r="Z101" s="64"/>
      <c r="AA101" s="64"/>
      <c r="AB101" s="133" t="s">
        <v>96</v>
      </c>
      <c r="AC101" s="64"/>
      <c r="AD101" s="64"/>
      <c r="AE101" s="64"/>
      <c r="AF101" s="60" t="s">
        <v>96</v>
      </c>
      <c r="AG101" s="64"/>
      <c r="AH101" s="64"/>
      <c r="AI101" s="64"/>
      <c r="AJ101" s="68" t="s">
        <v>96</v>
      </c>
      <c r="AK101" s="69" t="str">
        <f t="shared" si="2"/>
        <v/>
      </c>
      <c r="AL101" s="70" t="s">
        <v>96</v>
      </c>
      <c r="AM101" s="69" t="str">
        <f t="shared" si="3"/>
        <v/>
      </c>
      <c r="AN101" s="71"/>
      <c r="AO101" s="71"/>
      <c r="AP101" s="71"/>
      <c r="AQ101" s="71"/>
      <c r="AR101" s="71" t="s">
        <v>96</v>
      </c>
      <c r="AS101" s="71"/>
      <c r="AT101" s="71" t="s">
        <v>96</v>
      </c>
      <c r="AU101" s="71"/>
      <c r="AV101" s="71" t="s">
        <v>95</v>
      </c>
      <c r="AW101" s="71"/>
      <c r="AX101" s="71"/>
      <c r="AY101" s="71"/>
      <c r="AZ101" s="71"/>
      <c r="BA101" s="71"/>
      <c r="BB101" s="70" t="s">
        <v>218</v>
      </c>
      <c r="BC101" s="70" t="s">
        <v>98</v>
      </c>
      <c r="BD101" s="72" t="str">
        <f>IF('Cálculo MP'!K111="","",'Cálculo MP'!K111)</f>
        <v/>
      </c>
      <c r="BE101" s="72" t="str">
        <f>IF('Cálculo MP'!L111="","",'Cálculo MP'!L111)</f>
        <v/>
      </c>
      <c r="BF101" s="72" t="str">
        <f>IF('Cálculo MP'!M111="","",'Cálculo MP'!M111)</f>
        <v/>
      </c>
      <c r="BG101" s="72" t="str">
        <f>IF('Cálculo MP'!N111="","",'Cálculo MP'!N111)</f>
        <v/>
      </c>
      <c r="BH101" s="72" t="str">
        <f>IF('Cálculo MP'!O111="","",'Cálculo MP'!O111)</f>
        <v/>
      </c>
      <c r="BI101" s="72" t="str">
        <f>IF('Cálculo MP'!P111="","",'Cálculo MP'!P111)</f>
        <v/>
      </c>
      <c r="BJ101" s="72" t="str">
        <f>IF('Cálculo MP'!Q111="","",'Cálculo MP'!Q111)</f>
        <v/>
      </c>
      <c r="BK101" s="72" t="str">
        <f>IF('Cálculo MP'!R111="","",'Cálculo MP'!R111)</f>
        <v/>
      </c>
      <c r="BL101" s="72" t="str">
        <f>IF('Cálculo MP'!S111="","",'Cálculo MP'!S111)</f>
        <v/>
      </c>
      <c r="BM101" s="71"/>
      <c r="BN101" s="71"/>
      <c r="BO101" s="71"/>
      <c r="BP101" s="71"/>
      <c r="BQ101" s="71"/>
      <c r="BR101" s="71"/>
      <c r="BS101" s="71"/>
    </row>
    <row r="102" spans="1:71" ht="19.5" customHeight="1" x14ac:dyDescent="0.15">
      <c r="A102" s="56" t="s">
        <v>985</v>
      </c>
      <c r="B102" s="57" t="s">
        <v>986</v>
      </c>
      <c r="C102" s="58" t="s">
        <v>985</v>
      </c>
      <c r="D102" s="59" t="s">
        <v>985</v>
      </c>
      <c r="E102" s="61"/>
      <c r="F102" s="60" t="s">
        <v>95</v>
      </c>
      <c r="G102" s="61"/>
      <c r="H102" s="62"/>
      <c r="I102" s="75"/>
      <c r="J102" s="60" t="s">
        <v>95</v>
      </c>
      <c r="K102" s="64"/>
      <c r="L102" s="64"/>
      <c r="M102" s="64" t="s">
        <v>96</v>
      </c>
      <c r="N102" s="64" t="s">
        <v>97</v>
      </c>
      <c r="O102" s="65" t="s">
        <v>986</v>
      </c>
      <c r="P102" s="70" t="s">
        <v>96</v>
      </c>
      <c r="Q102" s="60" t="s">
        <v>95</v>
      </c>
      <c r="R102" s="60" t="s">
        <v>96</v>
      </c>
      <c r="S102" s="66" t="s">
        <v>96</v>
      </c>
      <c r="T102" s="67" t="s">
        <v>96</v>
      </c>
      <c r="U102" s="60" t="s">
        <v>96</v>
      </c>
      <c r="V102" s="60" t="s">
        <v>96</v>
      </c>
      <c r="W102" s="60" t="str" cm="1">
        <f t="array" ref="W102">_xlfn.LET(_xlpm.resultados,_xlfn.UNIQUE(_xlfn._xlws.FILTER(Tabla1[Proceso],(Tabla1[Metal Base]=Q102)*(Tabla1[Etiquetas]=_xlfn.TEXTJOIN(" + ",TRUE,IF((TRIM(Upload!R102:V102)="")+(LOWER(TRIM(Upload!R102:V102))="(seleccione)"),"",PROPER(TRIM(Upload!R102:V102)))))*(Tabla1[Línea2]=IFERROR(VLOOKUP(Upload!P102&amp;"*",CAT_Procesos!D:D,1,FALSE),"")))),_xlpm.cantidad,ROWS(_xlpm.resultados),IF(ISERROR(_xlpm.cantidad),"Combinación no existente",IF(_xlpm.cantidad=1,INDEX(_xlpm.resultados,1),"(seleccione)")))</f>
        <v>Combinación no existente</v>
      </c>
      <c r="X102" s="67" t="s">
        <v>96</v>
      </c>
      <c r="Y102" s="64"/>
      <c r="Z102" s="64"/>
      <c r="AA102" s="64"/>
      <c r="AB102" s="133" t="s">
        <v>96</v>
      </c>
      <c r="AC102" s="64"/>
      <c r="AD102" s="64"/>
      <c r="AE102" s="64"/>
      <c r="AF102" s="60" t="s">
        <v>96</v>
      </c>
      <c r="AG102" s="64"/>
      <c r="AH102" s="64"/>
      <c r="AI102" s="64"/>
      <c r="AJ102" s="68" t="s">
        <v>96</v>
      </c>
      <c r="AK102" s="69" t="str">
        <f t="shared" si="2"/>
        <v/>
      </c>
      <c r="AL102" s="70" t="s">
        <v>96</v>
      </c>
      <c r="AM102" s="69" t="str">
        <f t="shared" si="3"/>
        <v/>
      </c>
      <c r="AN102" s="71"/>
      <c r="AO102" s="71"/>
      <c r="AP102" s="71"/>
      <c r="AQ102" s="71"/>
      <c r="AR102" s="71" t="s">
        <v>96</v>
      </c>
      <c r="AS102" s="71"/>
      <c r="AT102" s="71" t="s">
        <v>96</v>
      </c>
      <c r="AU102" s="71"/>
      <c r="AV102" s="71" t="s">
        <v>95</v>
      </c>
      <c r="AW102" s="71"/>
      <c r="AX102" s="71"/>
      <c r="AY102" s="71"/>
      <c r="AZ102" s="71"/>
      <c r="BA102" s="71"/>
      <c r="BB102" s="70" t="s">
        <v>218</v>
      </c>
      <c r="BC102" s="70" t="s">
        <v>98</v>
      </c>
      <c r="BD102" s="72" t="str">
        <f>IF('Cálculo MP'!K112="","",'Cálculo MP'!K112)</f>
        <v/>
      </c>
      <c r="BE102" s="72" t="str">
        <f>IF('Cálculo MP'!L112="","",'Cálculo MP'!L112)</f>
        <v/>
      </c>
      <c r="BF102" s="72" t="str">
        <f>IF('Cálculo MP'!M112="","",'Cálculo MP'!M112)</f>
        <v/>
      </c>
      <c r="BG102" s="72" t="str">
        <f>IF('Cálculo MP'!N112="","",'Cálculo MP'!N112)</f>
        <v/>
      </c>
      <c r="BH102" s="72" t="str">
        <f>IF('Cálculo MP'!O112="","",'Cálculo MP'!O112)</f>
        <v/>
      </c>
      <c r="BI102" s="72" t="str">
        <f>IF('Cálculo MP'!P112="","",'Cálculo MP'!P112)</f>
        <v/>
      </c>
      <c r="BJ102" s="72" t="str">
        <f>IF('Cálculo MP'!Q112="","",'Cálculo MP'!Q112)</f>
        <v/>
      </c>
      <c r="BK102" s="72" t="str">
        <f>IF('Cálculo MP'!R112="","",'Cálculo MP'!R112)</f>
        <v/>
      </c>
      <c r="BL102" s="72" t="str">
        <f>IF('Cálculo MP'!S112="","",'Cálculo MP'!S112)</f>
        <v/>
      </c>
      <c r="BM102" s="71"/>
      <c r="BN102" s="71"/>
      <c r="BO102" s="71"/>
      <c r="BP102" s="71"/>
      <c r="BQ102" s="71"/>
      <c r="BR102" s="71"/>
      <c r="BS102" s="71"/>
    </row>
    <row r="103" spans="1:71" ht="19.5" customHeight="1" x14ac:dyDescent="0.15">
      <c r="A103" s="56" t="s">
        <v>985</v>
      </c>
      <c r="B103" s="57" t="s">
        <v>986</v>
      </c>
      <c r="C103" s="58" t="s">
        <v>985</v>
      </c>
      <c r="D103" s="59" t="s">
        <v>985</v>
      </c>
      <c r="E103" s="61"/>
      <c r="F103" s="60" t="s">
        <v>95</v>
      </c>
      <c r="G103" s="61"/>
      <c r="H103" s="62"/>
      <c r="I103" s="75"/>
      <c r="J103" s="60" t="s">
        <v>95</v>
      </c>
      <c r="K103" s="64"/>
      <c r="L103" s="64"/>
      <c r="M103" s="64" t="s">
        <v>96</v>
      </c>
      <c r="N103" s="64" t="s">
        <v>97</v>
      </c>
      <c r="O103" s="65" t="s">
        <v>986</v>
      </c>
      <c r="P103" s="70" t="s">
        <v>96</v>
      </c>
      <c r="Q103" s="60" t="s">
        <v>95</v>
      </c>
      <c r="R103" s="60" t="s">
        <v>96</v>
      </c>
      <c r="S103" s="66" t="s">
        <v>96</v>
      </c>
      <c r="T103" s="67" t="s">
        <v>96</v>
      </c>
      <c r="U103" s="60" t="s">
        <v>96</v>
      </c>
      <c r="V103" s="60" t="s">
        <v>96</v>
      </c>
      <c r="W103" s="60" t="str" cm="1">
        <f t="array" ref="W103">_xlfn.LET(_xlpm.resultados,_xlfn.UNIQUE(_xlfn._xlws.FILTER(Tabla1[Proceso],(Tabla1[Metal Base]=Q103)*(Tabla1[Etiquetas]=_xlfn.TEXTJOIN(" + ",TRUE,IF((TRIM(Upload!R103:V103)="")+(LOWER(TRIM(Upload!R103:V103))="(seleccione)"),"",PROPER(TRIM(Upload!R103:V103)))))*(Tabla1[Línea2]=IFERROR(VLOOKUP(Upload!P103&amp;"*",CAT_Procesos!D:D,1,FALSE),"")))),_xlpm.cantidad,ROWS(_xlpm.resultados),IF(ISERROR(_xlpm.cantidad),"Combinación no existente",IF(_xlpm.cantidad=1,INDEX(_xlpm.resultados,1),"(seleccione)")))</f>
        <v>Combinación no existente</v>
      </c>
      <c r="X103" s="67" t="s">
        <v>96</v>
      </c>
      <c r="Y103" s="64"/>
      <c r="Z103" s="64"/>
      <c r="AA103" s="64"/>
      <c r="AB103" s="133" t="s">
        <v>96</v>
      </c>
      <c r="AC103" s="64"/>
      <c r="AD103" s="64"/>
      <c r="AE103" s="64"/>
      <c r="AF103" s="60" t="s">
        <v>96</v>
      </c>
      <c r="AG103" s="64"/>
      <c r="AH103" s="64"/>
      <c r="AI103" s="64"/>
      <c r="AJ103" s="68" t="s">
        <v>96</v>
      </c>
      <c r="AK103" s="69" t="str">
        <f t="shared" si="2"/>
        <v/>
      </c>
      <c r="AL103" s="70" t="s">
        <v>96</v>
      </c>
      <c r="AM103" s="69" t="str">
        <f t="shared" si="3"/>
        <v/>
      </c>
      <c r="AN103" s="71"/>
      <c r="AO103" s="71"/>
      <c r="AP103" s="71"/>
      <c r="AQ103" s="71"/>
      <c r="AR103" s="71" t="s">
        <v>96</v>
      </c>
      <c r="AS103" s="71"/>
      <c r="AT103" s="71" t="s">
        <v>96</v>
      </c>
      <c r="AU103" s="71"/>
      <c r="AV103" s="71" t="s">
        <v>95</v>
      </c>
      <c r="AW103" s="71"/>
      <c r="AX103" s="71"/>
      <c r="AY103" s="71"/>
      <c r="AZ103" s="71"/>
      <c r="BA103" s="71"/>
      <c r="BB103" s="70" t="s">
        <v>218</v>
      </c>
      <c r="BC103" s="70" t="s">
        <v>98</v>
      </c>
      <c r="BD103" s="72" t="str">
        <f>IF('Cálculo MP'!K113="","",'Cálculo MP'!K113)</f>
        <v/>
      </c>
      <c r="BE103" s="72" t="str">
        <f>IF('Cálculo MP'!L113="","",'Cálculo MP'!L113)</f>
        <v/>
      </c>
      <c r="BF103" s="72" t="str">
        <f>IF('Cálculo MP'!M113="","",'Cálculo MP'!M113)</f>
        <v/>
      </c>
      <c r="BG103" s="72" t="str">
        <f>IF('Cálculo MP'!N113="","",'Cálculo MP'!N113)</f>
        <v/>
      </c>
      <c r="BH103" s="72" t="str">
        <f>IF('Cálculo MP'!O113="","",'Cálculo MP'!O113)</f>
        <v/>
      </c>
      <c r="BI103" s="72" t="str">
        <f>IF('Cálculo MP'!P113="","",'Cálculo MP'!P113)</f>
        <v/>
      </c>
      <c r="BJ103" s="72" t="str">
        <f>IF('Cálculo MP'!Q113="","",'Cálculo MP'!Q113)</f>
        <v/>
      </c>
      <c r="BK103" s="72" t="str">
        <f>IF('Cálculo MP'!R113="","",'Cálculo MP'!R113)</f>
        <v/>
      </c>
      <c r="BL103" s="72" t="str">
        <f>IF('Cálculo MP'!S113="","",'Cálculo MP'!S113)</f>
        <v/>
      </c>
      <c r="BM103" s="71"/>
      <c r="BN103" s="71"/>
      <c r="BO103" s="71"/>
      <c r="BP103" s="71"/>
      <c r="BQ103" s="71"/>
      <c r="BR103" s="71"/>
      <c r="BS103" s="71"/>
    </row>
    <row r="104" spans="1:71" ht="19.5" customHeight="1" x14ac:dyDescent="0.15">
      <c r="A104" s="56" t="s">
        <v>985</v>
      </c>
      <c r="B104" s="57" t="s">
        <v>986</v>
      </c>
      <c r="C104" s="58" t="s">
        <v>985</v>
      </c>
      <c r="D104" s="59" t="s">
        <v>985</v>
      </c>
      <c r="E104" s="61"/>
      <c r="F104" s="60" t="s">
        <v>95</v>
      </c>
      <c r="G104" s="61"/>
      <c r="H104" s="62"/>
      <c r="I104" s="75"/>
      <c r="J104" s="60" t="s">
        <v>95</v>
      </c>
      <c r="K104" s="64"/>
      <c r="L104" s="64"/>
      <c r="M104" s="64" t="s">
        <v>96</v>
      </c>
      <c r="N104" s="64" t="s">
        <v>97</v>
      </c>
      <c r="O104" s="65" t="s">
        <v>986</v>
      </c>
      <c r="P104" s="70" t="s">
        <v>96</v>
      </c>
      <c r="Q104" s="60" t="s">
        <v>95</v>
      </c>
      <c r="R104" s="60" t="s">
        <v>96</v>
      </c>
      <c r="S104" s="66" t="s">
        <v>96</v>
      </c>
      <c r="T104" s="67" t="s">
        <v>96</v>
      </c>
      <c r="U104" s="60" t="s">
        <v>96</v>
      </c>
      <c r="V104" s="60" t="s">
        <v>96</v>
      </c>
      <c r="W104" s="60" t="str" cm="1">
        <f t="array" ref="W104">_xlfn.LET(_xlpm.resultados,_xlfn.UNIQUE(_xlfn._xlws.FILTER(Tabla1[Proceso],(Tabla1[Metal Base]=Q104)*(Tabla1[Etiquetas]=_xlfn.TEXTJOIN(" + ",TRUE,IF((TRIM(Upload!R104:V104)="")+(LOWER(TRIM(Upload!R104:V104))="(seleccione)"),"",PROPER(TRIM(Upload!R104:V104)))))*(Tabla1[Línea2]=IFERROR(VLOOKUP(Upload!P104&amp;"*",CAT_Procesos!D:D,1,FALSE),"")))),_xlpm.cantidad,ROWS(_xlpm.resultados),IF(ISERROR(_xlpm.cantidad),"Combinación no existente",IF(_xlpm.cantidad=1,INDEX(_xlpm.resultados,1),"(seleccione)")))</f>
        <v>Combinación no existente</v>
      </c>
      <c r="X104" s="67" t="s">
        <v>96</v>
      </c>
      <c r="Y104" s="64"/>
      <c r="Z104" s="64"/>
      <c r="AA104" s="64"/>
      <c r="AB104" s="133" t="s">
        <v>96</v>
      </c>
      <c r="AC104" s="64"/>
      <c r="AD104" s="64"/>
      <c r="AE104" s="64"/>
      <c r="AF104" s="60" t="s">
        <v>96</v>
      </c>
      <c r="AG104" s="64"/>
      <c r="AH104" s="64"/>
      <c r="AI104" s="64"/>
      <c r="AJ104" s="68" t="s">
        <v>96</v>
      </c>
      <c r="AK104" s="69" t="str">
        <f t="shared" si="2"/>
        <v/>
      </c>
      <c r="AL104" s="70" t="s">
        <v>96</v>
      </c>
      <c r="AM104" s="69" t="str">
        <f t="shared" si="3"/>
        <v/>
      </c>
      <c r="AN104" s="71"/>
      <c r="AO104" s="71"/>
      <c r="AP104" s="71"/>
      <c r="AQ104" s="71"/>
      <c r="AR104" s="71" t="s">
        <v>96</v>
      </c>
      <c r="AS104" s="71"/>
      <c r="AT104" s="71" t="s">
        <v>96</v>
      </c>
      <c r="AU104" s="71"/>
      <c r="AV104" s="71" t="s">
        <v>95</v>
      </c>
      <c r="AW104" s="71"/>
      <c r="AX104" s="71"/>
      <c r="AY104" s="71"/>
      <c r="AZ104" s="71"/>
      <c r="BA104" s="71"/>
      <c r="BB104" s="70" t="s">
        <v>218</v>
      </c>
      <c r="BC104" s="70" t="s">
        <v>98</v>
      </c>
      <c r="BD104" s="72" t="str">
        <f>IF('Cálculo MP'!K114="","",'Cálculo MP'!K114)</f>
        <v/>
      </c>
      <c r="BE104" s="72" t="str">
        <f>IF('Cálculo MP'!L114="","",'Cálculo MP'!L114)</f>
        <v/>
      </c>
      <c r="BF104" s="72" t="str">
        <f>IF('Cálculo MP'!M114="","",'Cálculo MP'!M114)</f>
        <v/>
      </c>
      <c r="BG104" s="72" t="str">
        <f>IF('Cálculo MP'!N114="","",'Cálculo MP'!N114)</f>
        <v/>
      </c>
      <c r="BH104" s="72" t="str">
        <f>IF('Cálculo MP'!O114="","",'Cálculo MP'!O114)</f>
        <v/>
      </c>
      <c r="BI104" s="72" t="str">
        <f>IF('Cálculo MP'!P114="","",'Cálculo MP'!P114)</f>
        <v/>
      </c>
      <c r="BJ104" s="72" t="str">
        <f>IF('Cálculo MP'!Q114="","",'Cálculo MP'!Q114)</f>
        <v/>
      </c>
      <c r="BK104" s="72" t="str">
        <f>IF('Cálculo MP'!R114="","",'Cálculo MP'!R114)</f>
        <v/>
      </c>
      <c r="BL104" s="72" t="str">
        <f>IF('Cálculo MP'!S114="","",'Cálculo MP'!S114)</f>
        <v/>
      </c>
      <c r="BM104" s="71"/>
      <c r="BN104" s="71"/>
      <c r="BO104" s="71"/>
      <c r="BP104" s="71"/>
      <c r="BQ104" s="71"/>
      <c r="BR104" s="71"/>
      <c r="BS104" s="71"/>
    </row>
    <row r="105" spans="1:71" ht="19.5" customHeight="1" x14ac:dyDescent="0.15">
      <c r="A105" s="56" t="s">
        <v>985</v>
      </c>
      <c r="B105" s="57" t="s">
        <v>986</v>
      </c>
      <c r="C105" s="58" t="s">
        <v>985</v>
      </c>
      <c r="D105" s="59" t="s">
        <v>985</v>
      </c>
      <c r="E105" s="61"/>
      <c r="F105" s="60" t="s">
        <v>95</v>
      </c>
      <c r="G105" s="61"/>
      <c r="H105" s="62"/>
      <c r="I105" s="75"/>
      <c r="J105" s="60" t="s">
        <v>95</v>
      </c>
      <c r="K105" s="64"/>
      <c r="L105" s="64"/>
      <c r="M105" s="64" t="s">
        <v>96</v>
      </c>
      <c r="N105" s="64" t="s">
        <v>97</v>
      </c>
      <c r="O105" s="65" t="s">
        <v>986</v>
      </c>
      <c r="P105" s="70" t="s">
        <v>96</v>
      </c>
      <c r="Q105" s="60" t="s">
        <v>95</v>
      </c>
      <c r="R105" s="60" t="s">
        <v>96</v>
      </c>
      <c r="S105" s="66" t="s">
        <v>96</v>
      </c>
      <c r="T105" s="67" t="s">
        <v>96</v>
      </c>
      <c r="U105" s="60" t="s">
        <v>96</v>
      </c>
      <c r="V105" s="60" t="s">
        <v>96</v>
      </c>
      <c r="W105" s="60" t="str" cm="1">
        <f t="array" ref="W105">_xlfn.LET(_xlpm.resultados,_xlfn.UNIQUE(_xlfn._xlws.FILTER(Tabla1[Proceso],(Tabla1[Metal Base]=Q105)*(Tabla1[Etiquetas]=_xlfn.TEXTJOIN(" + ",TRUE,IF((TRIM(Upload!R105:V105)="")+(LOWER(TRIM(Upload!R105:V105))="(seleccione)"),"",PROPER(TRIM(Upload!R105:V105)))))*(Tabla1[Línea2]=IFERROR(VLOOKUP(Upload!P105&amp;"*",CAT_Procesos!D:D,1,FALSE),"")))),_xlpm.cantidad,ROWS(_xlpm.resultados),IF(ISERROR(_xlpm.cantidad),"Combinación no existente",IF(_xlpm.cantidad=1,INDEX(_xlpm.resultados,1),"(seleccione)")))</f>
        <v>Combinación no existente</v>
      </c>
      <c r="X105" s="67" t="s">
        <v>96</v>
      </c>
      <c r="Y105" s="64"/>
      <c r="Z105" s="64"/>
      <c r="AA105" s="64"/>
      <c r="AB105" s="133" t="s">
        <v>96</v>
      </c>
      <c r="AC105" s="64"/>
      <c r="AD105" s="64"/>
      <c r="AE105" s="64"/>
      <c r="AF105" s="60" t="s">
        <v>96</v>
      </c>
      <c r="AG105" s="64"/>
      <c r="AH105" s="64"/>
      <c r="AI105" s="64"/>
      <c r="AJ105" s="68" t="s">
        <v>96</v>
      </c>
      <c r="AK105" s="69" t="str">
        <f t="shared" si="2"/>
        <v/>
      </c>
      <c r="AL105" s="70" t="s">
        <v>96</v>
      </c>
      <c r="AM105" s="69" t="str">
        <f t="shared" si="3"/>
        <v/>
      </c>
      <c r="AN105" s="71"/>
      <c r="AO105" s="71"/>
      <c r="AP105" s="71"/>
      <c r="AQ105" s="71"/>
      <c r="AR105" s="71" t="s">
        <v>96</v>
      </c>
      <c r="AS105" s="71"/>
      <c r="AT105" s="71" t="s">
        <v>96</v>
      </c>
      <c r="AU105" s="71"/>
      <c r="AV105" s="71" t="s">
        <v>95</v>
      </c>
      <c r="AW105" s="71"/>
      <c r="AX105" s="71"/>
      <c r="AY105" s="71"/>
      <c r="AZ105" s="71"/>
      <c r="BA105" s="71"/>
      <c r="BB105" s="70" t="s">
        <v>218</v>
      </c>
      <c r="BC105" s="70" t="s">
        <v>98</v>
      </c>
      <c r="BD105" s="72" t="str">
        <f>IF('Cálculo MP'!K115="","",'Cálculo MP'!K115)</f>
        <v/>
      </c>
      <c r="BE105" s="72" t="str">
        <f>IF('Cálculo MP'!L115="","",'Cálculo MP'!L115)</f>
        <v/>
      </c>
      <c r="BF105" s="72" t="str">
        <f>IF('Cálculo MP'!M115="","",'Cálculo MP'!M115)</f>
        <v/>
      </c>
      <c r="BG105" s="72" t="str">
        <f>IF('Cálculo MP'!N115="","",'Cálculo MP'!N115)</f>
        <v/>
      </c>
      <c r="BH105" s="72" t="str">
        <f>IF('Cálculo MP'!O115="","",'Cálculo MP'!O115)</f>
        <v/>
      </c>
      <c r="BI105" s="72" t="str">
        <f>IF('Cálculo MP'!P115="","",'Cálculo MP'!P115)</f>
        <v/>
      </c>
      <c r="BJ105" s="72" t="str">
        <f>IF('Cálculo MP'!Q115="","",'Cálculo MP'!Q115)</f>
        <v/>
      </c>
      <c r="BK105" s="72" t="str">
        <f>IF('Cálculo MP'!R115="","",'Cálculo MP'!R115)</f>
        <v/>
      </c>
      <c r="BL105" s="72" t="str">
        <f>IF('Cálculo MP'!S115="","",'Cálculo MP'!S115)</f>
        <v/>
      </c>
      <c r="BM105" s="71"/>
      <c r="BN105" s="71"/>
      <c r="BO105" s="71"/>
      <c r="BP105" s="71"/>
      <c r="BQ105" s="71"/>
      <c r="BR105" s="71"/>
      <c r="BS105" s="71"/>
    </row>
    <row r="106" spans="1:71" ht="19.5" customHeight="1" x14ac:dyDescent="0.15">
      <c r="A106" s="56" t="s">
        <v>985</v>
      </c>
      <c r="B106" s="57" t="s">
        <v>986</v>
      </c>
      <c r="C106" s="58" t="s">
        <v>985</v>
      </c>
      <c r="D106" s="59" t="s">
        <v>985</v>
      </c>
      <c r="E106" s="61"/>
      <c r="F106" s="60" t="s">
        <v>95</v>
      </c>
      <c r="G106" s="61"/>
      <c r="H106" s="62"/>
      <c r="I106" s="75"/>
      <c r="J106" s="60" t="s">
        <v>95</v>
      </c>
      <c r="K106" s="64"/>
      <c r="L106" s="64"/>
      <c r="M106" s="64" t="s">
        <v>96</v>
      </c>
      <c r="N106" s="64" t="s">
        <v>97</v>
      </c>
      <c r="O106" s="65" t="s">
        <v>986</v>
      </c>
      <c r="P106" s="70" t="s">
        <v>96</v>
      </c>
      <c r="Q106" s="60" t="s">
        <v>95</v>
      </c>
      <c r="R106" s="60" t="s">
        <v>96</v>
      </c>
      <c r="S106" s="66" t="s">
        <v>96</v>
      </c>
      <c r="T106" s="67" t="s">
        <v>96</v>
      </c>
      <c r="U106" s="60" t="s">
        <v>96</v>
      </c>
      <c r="V106" s="60" t="s">
        <v>96</v>
      </c>
      <c r="W106" s="60" t="str" cm="1">
        <f t="array" ref="W106">_xlfn.LET(_xlpm.resultados,_xlfn.UNIQUE(_xlfn._xlws.FILTER(Tabla1[Proceso],(Tabla1[Metal Base]=Q106)*(Tabla1[Etiquetas]=_xlfn.TEXTJOIN(" + ",TRUE,IF((TRIM(Upload!R106:V106)="")+(LOWER(TRIM(Upload!R106:V106))="(seleccione)"),"",PROPER(TRIM(Upload!R106:V106)))))*(Tabla1[Línea2]=IFERROR(VLOOKUP(Upload!P106&amp;"*",CAT_Procesos!D:D,1,FALSE),"")))),_xlpm.cantidad,ROWS(_xlpm.resultados),IF(ISERROR(_xlpm.cantidad),"Combinación no existente",IF(_xlpm.cantidad=1,INDEX(_xlpm.resultados,1),"(seleccione)")))</f>
        <v>Combinación no existente</v>
      </c>
      <c r="X106" s="67" t="s">
        <v>96</v>
      </c>
      <c r="Y106" s="64"/>
      <c r="Z106" s="64"/>
      <c r="AA106" s="64"/>
      <c r="AB106" s="133" t="s">
        <v>96</v>
      </c>
      <c r="AC106" s="64"/>
      <c r="AD106" s="64"/>
      <c r="AE106" s="64"/>
      <c r="AF106" s="60" t="s">
        <v>96</v>
      </c>
      <c r="AG106" s="64"/>
      <c r="AH106" s="64"/>
      <c r="AI106" s="64"/>
      <c r="AJ106" s="68" t="s">
        <v>96</v>
      </c>
      <c r="AK106" s="69" t="str">
        <f t="shared" si="2"/>
        <v/>
      </c>
      <c r="AL106" s="70" t="s">
        <v>96</v>
      </c>
      <c r="AM106" s="69" t="str">
        <f t="shared" si="3"/>
        <v/>
      </c>
      <c r="AN106" s="71"/>
      <c r="AO106" s="71"/>
      <c r="AP106" s="71"/>
      <c r="AQ106" s="71"/>
      <c r="AR106" s="71" t="s">
        <v>96</v>
      </c>
      <c r="AS106" s="71"/>
      <c r="AT106" s="71" t="s">
        <v>96</v>
      </c>
      <c r="AU106" s="71"/>
      <c r="AV106" s="71" t="s">
        <v>95</v>
      </c>
      <c r="AW106" s="71"/>
      <c r="AX106" s="71"/>
      <c r="AY106" s="71"/>
      <c r="AZ106" s="71"/>
      <c r="BA106" s="71"/>
      <c r="BB106" s="70" t="s">
        <v>218</v>
      </c>
      <c r="BC106" s="70" t="s">
        <v>98</v>
      </c>
      <c r="BD106" s="72" t="str">
        <f>IF('Cálculo MP'!K116="","",'Cálculo MP'!K116)</f>
        <v/>
      </c>
      <c r="BE106" s="72" t="str">
        <f>IF('Cálculo MP'!L116="","",'Cálculo MP'!L116)</f>
        <v/>
      </c>
      <c r="BF106" s="72" t="str">
        <f>IF('Cálculo MP'!M116="","",'Cálculo MP'!M116)</f>
        <v/>
      </c>
      <c r="BG106" s="72" t="str">
        <f>IF('Cálculo MP'!N116="","",'Cálculo MP'!N116)</f>
        <v/>
      </c>
      <c r="BH106" s="72" t="str">
        <f>IF('Cálculo MP'!O116="","",'Cálculo MP'!O116)</f>
        <v/>
      </c>
      <c r="BI106" s="72" t="str">
        <f>IF('Cálculo MP'!P116="","",'Cálculo MP'!P116)</f>
        <v/>
      </c>
      <c r="BJ106" s="72" t="str">
        <f>IF('Cálculo MP'!Q116="","",'Cálculo MP'!Q116)</f>
        <v/>
      </c>
      <c r="BK106" s="72" t="str">
        <f>IF('Cálculo MP'!R116="","",'Cálculo MP'!R116)</f>
        <v/>
      </c>
      <c r="BL106" s="72" t="str">
        <f>IF('Cálculo MP'!S116="","",'Cálculo MP'!S116)</f>
        <v/>
      </c>
      <c r="BM106" s="71"/>
      <c r="BN106" s="71"/>
      <c r="BO106" s="71"/>
      <c r="BP106" s="71"/>
      <c r="BQ106" s="71"/>
      <c r="BR106" s="71"/>
      <c r="BS106" s="71"/>
    </row>
    <row r="107" spans="1:71" ht="19.5" customHeight="1" x14ac:dyDescent="0.15">
      <c r="A107" s="56" t="s">
        <v>985</v>
      </c>
      <c r="B107" s="57" t="s">
        <v>986</v>
      </c>
      <c r="C107" s="58" t="s">
        <v>985</v>
      </c>
      <c r="D107" s="59" t="s">
        <v>985</v>
      </c>
      <c r="E107" s="61"/>
      <c r="F107" s="60" t="s">
        <v>95</v>
      </c>
      <c r="G107" s="61"/>
      <c r="H107" s="62"/>
      <c r="I107" s="75"/>
      <c r="J107" s="60" t="s">
        <v>95</v>
      </c>
      <c r="K107" s="64"/>
      <c r="L107" s="64"/>
      <c r="M107" s="64" t="s">
        <v>96</v>
      </c>
      <c r="N107" s="64" t="s">
        <v>97</v>
      </c>
      <c r="O107" s="65" t="s">
        <v>986</v>
      </c>
      <c r="P107" s="70" t="s">
        <v>96</v>
      </c>
      <c r="Q107" s="60" t="s">
        <v>95</v>
      </c>
      <c r="R107" s="60" t="s">
        <v>96</v>
      </c>
      <c r="S107" s="66" t="s">
        <v>96</v>
      </c>
      <c r="T107" s="67" t="s">
        <v>96</v>
      </c>
      <c r="U107" s="60" t="s">
        <v>96</v>
      </c>
      <c r="V107" s="60" t="s">
        <v>96</v>
      </c>
      <c r="W107" s="60" t="str" cm="1">
        <f t="array" ref="W107">_xlfn.LET(_xlpm.resultados,_xlfn.UNIQUE(_xlfn._xlws.FILTER(Tabla1[Proceso],(Tabla1[Metal Base]=Q107)*(Tabla1[Etiquetas]=_xlfn.TEXTJOIN(" + ",TRUE,IF((TRIM(Upload!R107:V107)="")+(LOWER(TRIM(Upload!R107:V107))="(seleccione)"),"",PROPER(TRIM(Upload!R107:V107)))))*(Tabla1[Línea2]=IFERROR(VLOOKUP(Upload!P107&amp;"*",CAT_Procesos!D:D,1,FALSE),"")))),_xlpm.cantidad,ROWS(_xlpm.resultados),IF(ISERROR(_xlpm.cantidad),"Combinación no existente",IF(_xlpm.cantidad=1,INDEX(_xlpm.resultados,1),"(seleccione)")))</f>
        <v>Combinación no existente</v>
      </c>
      <c r="X107" s="67" t="s">
        <v>96</v>
      </c>
      <c r="Y107" s="64"/>
      <c r="Z107" s="64"/>
      <c r="AA107" s="64"/>
      <c r="AB107" s="133" t="s">
        <v>96</v>
      </c>
      <c r="AC107" s="64"/>
      <c r="AD107" s="64"/>
      <c r="AE107" s="64"/>
      <c r="AF107" s="60" t="s">
        <v>96</v>
      </c>
      <c r="AG107" s="64"/>
      <c r="AH107" s="64"/>
      <c r="AI107" s="64"/>
      <c r="AJ107" s="68" t="s">
        <v>96</v>
      </c>
      <c r="AK107" s="69" t="str">
        <f t="shared" si="2"/>
        <v/>
      </c>
      <c r="AL107" s="70" t="s">
        <v>96</v>
      </c>
      <c r="AM107" s="69" t="str">
        <f t="shared" si="3"/>
        <v/>
      </c>
      <c r="AN107" s="71"/>
      <c r="AO107" s="71"/>
      <c r="AP107" s="71"/>
      <c r="AQ107" s="71"/>
      <c r="AR107" s="71" t="s">
        <v>96</v>
      </c>
      <c r="AS107" s="71"/>
      <c r="AT107" s="71" t="s">
        <v>96</v>
      </c>
      <c r="AU107" s="71"/>
      <c r="AV107" s="71" t="s">
        <v>95</v>
      </c>
      <c r="AW107" s="71"/>
      <c r="AX107" s="71"/>
      <c r="AY107" s="71"/>
      <c r="AZ107" s="71"/>
      <c r="BA107" s="71"/>
      <c r="BB107" s="70" t="s">
        <v>218</v>
      </c>
      <c r="BC107" s="70" t="s">
        <v>98</v>
      </c>
      <c r="BD107" s="72" t="str">
        <f>IF('Cálculo MP'!K117="","",'Cálculo MP'!K117)</f>
        <v/>
      </c>
      <c r="BE107" s="72" t="str">
        <f>IF('Cálculo MP'!L117="","",'Cálculo MP'!L117)</f>
        <v/>
      </c>
      <c r="BF107" s="72" t="str">
        <f>IF('Cálculo MP'!M117="","",'Cálculo MP'!M117)</f>
        <v/>
      </c>
      <c r="BG107" s="72" t="str">
        <f>IF('Cálculo MP'!N117="","",'Cálculo MP'!N117)</f>
        <v/>
      </c>
      <c r="BH107" s="72" t="str">
        <f>IF('Cálculo MP'!O117="","",'Cálculo MP'!O117)</f>
        <v/>
      </c>
      <c r="BI107" s="72" t="str">
        <f>IF('Cálculo MP'!P117="","",'Cálculo MP'!P117)</f>
        <v/>
      </c>
      <c r="BJ107" s="72" t="str">
        <f>IF('Cálculo MP'!Q117="","",'Cálculo MP'!Q117)</f>
        <v/>
      </c>
      <c r="BK107" s="72" t="str">
        <f>IF('Cálculo MP'!R117="","",'Cálculo MP'!R117)</f>
        <v/>
      </c>
      <c r="BL107" s="72" t="str">
        <f>IF('Cálculo MP'!S117="","",'Cálculo MP'!S117)</f>
        <v/>
      </c>
      <c r="BM107" s="71"/>
      <c r="BN107" s="71"/>
      <c r="BO107" s="71"/>
      <c r="BP107" s="71"/>
      <c r="BQ107" s="71"/>
      <c r="BR107" s="71"/>
      <c r="BS107" s="71"/>
    </row>
    <row r="108" spans="1:71" ht="19.5" customHeight="1" x14ac:dyDescent="0.15">
      <c r="A108" s="56" t="s">
        <v>985</v>
      </c>
      <c r="B108" s="57" t="s">
        <v>986</v>
      </c>
      <c r="C108" s="58" t="s">
        <v>985</v>
      </c>
      <c r="D108" s="59" t="s">
        <v>985</v>
      </c>
      <c r="E108" s="61"/>
      <c r="F108" s="60" t="s">
        <v>95</v>
      </c>
      <c r="G108" s="61"/>
      <c r="H108" s="62"/>
      <c r="I108" s="75"/>
      <c r="J108" s="60" t="s">
        <v>95</v>
      </c>
      <c r="K108" s="64"/>
      <c r="L108" s="64"/>
      <c r="M108" s="64" t="s">
        <v>96</v>
      </c>
      <c r="N108" s="64" t="s">
        <v>97</v>
      </c>
      <c r="O108" s="65" t="s">
        <v>986</v>
      </c>
      <c r="P108" s="70" t="s">
        <v>96</v>
      </c>
      <c r="Q108" s="60" t="s">
        <v>95</v>
      </c>
      <c r="R108" s="60" t="s">
        <v>96</v>
      </c>
      <c r="S108" s="66" t="s">
        <v>96</v>
      </c>
      <c r="T108" s="67" t="s">
        <v>96</v>
      </c>
      <c r="U108" s="60" t="s">
        <v>96</v>
      </c>
      <c r="V108" s="60" t="s">
        <v>96</v>
      </c>
      <c r="W108" s="60" t="str" cm="1">
        <f t="array" ref="W108">_xlfn.LET(_xlpm.resultados,_xlfn.UNIQUE(_xlfn._xlws.FILTER(Tabla1[Proceso],(Tabla1[Metal Base]=Q108)*(Tabla1[Etiquetas]=_xlfn.TEXTJOIN(" + ",TRUE,IF((TRIM(Upload!R108:V108)="")+(LOWER(TRIM(Upload!R108:V108))="(seleccione)"),"",PROPER(TRIM(Upload!R108:V108)))))*(Tabla1[Línea2]=IFERROR(VLOOKUP(Upload!P108&amp;"*",CAT_Procesos!D:D,1,FALSE),"")))),_xlpm.cantidad,ROWS(_xlpm.resultados),IF(ISERROR(_xlpm.cantidad),"Combinación no existente",IF(_xlpm.cantidad=1,INDEX(_xlpm.resultados,1),"(seleccione)")))</f>
        <v>Combinación no existente</v>
      </c>
      <c r="X108" s="67" t="s">
        <v>96</v>
      </c>
      <c r="Y108" s="64"/>
      <c r="Z108" s="64"/>
      <c r="AA108" s="64"/>
      <c r="AB108" s="133" t="s">
        <v>96</v>
      </c>
      <c r="AC108" s="64"/>
      <c r="AD108" s="64"/>
      <c r="AE108" s="64"/>
      <c r="AF108" s="60" t="s">
        <v>96</v>
      </c>
      <c r="AG108" s="64"/>
      <c r="AH108" s="64"/>
      <c r="AI108" s="64"/>
      <c r="AJ108" s="68" t="s">
        <v>96</v>
      </c>
      <c r="AK108" s="69" t="str">
        <f t="shared" si="2"/>
        <v/>
      </c>
      <c r="AL108" s="70" t="s">
        <v>96</v>
      </c>
      <c r="AM108" s="69" t="str">
        <f t="shared" si="3"/>
        <v/>
      </c>
      <c r="AN108" s="71"/>
      <c r="AO108" s="71"/>
      <c r="AP108" s="71"/>
      <c r="AQ108" s="71"/>
      <c r="AR108" s="71" t="s">
        <v>96</v>
      </c>
      <c r="AS108" s="71"/>
      <c r="AT108" s="71" t="s">
        <v>96</v>
      </c>
      <c r="AU108" s="71"/>
      <c r="AV108" s="71" t="s">
        <v>95</v>
      </c>
      <c r="AW108" s="71"/>
      <c r="AX108" s="71"/>
      <c r="AY108" s="71"/>
      <c r="AZ108" s="71"/>
      <c r="BA108" s="71"/>
      <c r="BB108" s="70" t="s">
        <v>218</v>
      </c>
      <c r="BC108" s="70" t="s">
        <v>98</v>
      </c>
      <c r="BD108" s="72" t="str">
        <f>IF('Cálculo MP'!K118="","",'Cálculo MP'!K118)</f>
        <v/>
      </c>
      <c r="BE108" s="72" t="str">
        <f>IF('Cálculo MP'!L118="","",'Cálculo MP'!L118)</f>
        <v/>
      </c>
      <c r="BF108" s="72" t="str">
        <f>IF('Cálculo MP'!M118="","",'Cálculo MP'!M118)</f>
        <v/>
      </c>
      <c r="BG108" s="72" t="str">
        <f>IF('Cálculo MP'!N118="","",'Cálculo MP'!N118)</f>
        <v/>
      </c>
      <c r="BH108" s="72" t="str">
        <f>IF('Cálculo MP'!O118="","",'Cálculo MP'!O118)</f>
        <v/>
      </c>
      <c r="BI108" s="72" t="str">
        <f>IF('Cálculo MP'!P118="","",'Cálculo MP'!P118)</f>
        <v/>
      </c>
      <c r="BJ108" s="72" t="str">
        <f>IF('Cálculo MP'!Q118="","",'Cálculo MP'!Q118)</f>
        <v/>
      </c>
      <c r="BK108" s="72" t="str">
        <f>IF('Cálculo MP'!R118="","",'Cálculo MP'!R118)</f>
        <v/>
      </c>
      <c r="BL108" s="72" t="str">
        <f>IF('Cálculo MP'!S118="","",'Cálculo MP'!S118)</f>
        <v/>
      </c>
      <c r="BM108" s="71"/>
      <c r="BN108" s="71"/>
      <c r="BO108" s="71"/>
      <c r="BP108" s="71"/>
      <c r="BQ108" s="71"/>
      <c r="BR108" s="71"/>
      <c r="BS108" s="71"/>
    </row>
    <row r="109" spans="1:71" ht="19.5" customHeight="1" x14ac:dyDescent="0.15">
      <c r="A109" s="56" t="s">
        <v>985</v>
      </c>
      <c r="B109" s="57" t="s">
        <v>986</v>
      </c>
      <c r="C109" s="58" t="s">
        <v>985</v>
      </c>
      <c r="D109" s="59" t="s">
        <v>985</v>
      </c>
      <c r="E109" s="61"/>
      <c r="F109" s="60" t="s">
        <v>95</v>
      </c>
      <c r="G109" s="61"/>
      <c r="H109" s="62"/>
      <c r="I109" s="75"/>
      <c r="J109" s="60" t="s">
        <v>95</v>
      </c>
      <c r="K109" s="64"/>
      <c r="L109" s="64"/>
      <c r="M109" s="64" t="s">
        <v>96</v>
      </c>
      <c r="N109" s="64" t="s">
        <v>97</v>
      </c>
      <c r="O109" s="65" t="s">
        <v>986</v>
      </c>
      <c r="P109" s="70" t="s">
        <v>96</v>
      </c>
      <c r="Q109" s="60" t="s">
        <v>95</v>
      </c>
      <c r="R109" s="60" t="s">
        <v>96</v>
      </c>
      <c r="S109" s="66" t="s">
        <v>96</v>
      </c>
      <c r="T109" s="67" t="s">
        <v>96</v>
      </c>
      <c r="U109" s="60" t="s">
        <v>96</v>
      </c>
      <c r="V109" s="60" t="s">
        <v>96</v>
      </c>
      <c r="W109" s="60" t="str" cm="1">
        <f t="array" ref="W109">_xlfn.LET(_xlpm.resultados,_xlfn.UNIQUE(_xlfn._xlws.FILTER(Tabla1[Proceso],(Tabla1[Metal Base]=Q109)*(Tabla1[Etiquetas]=_xlfn.TEXTJOIN(" + ",TRUE,IF((TRIM(Upload!R109:V109)="")+(LOWER(TRIM(Upload!R109:V109))="(seleccione)"),"",PROPER(TRIM(Upload!R109:V109)))))*(Tabla1[Línea2]=IFERROR(VLOOKUP(Upload!P109&amp;"*",CAT_Procesos!D:D,1,FALSE),"")))),_xlpm.cantidad,ROWS(_xlpm.resultados),IF(ISERROR(_xlpm.cantidad),"Combinación no existente",IF(_xlpm.cantidad=1,INDEX(_xlpm.resultados,1),"(seleccione)")))</f>
        <v>Combinación no existente</v>
      </c>
      <c r="X109" s="67" t="s">
        <v>96</v>
      </c>
      <c r="Y109" s="64"/>
      <c r="Z109" s="64"/>
      <c r="AA109" s="64"/>
      <c r="AB109" s="133" t="s">
        <v>96</v>
      </c>
      <c r="AC109" s="64"/>
      <c r="AD109" s="64"/>
      <c r="AE109" s="64"/>
      <c r="AF109" s="60" t="s">
        <v>96</v>
      </c>
      <c r="AG109" s="64"/>
      <c r="AH109" s="64"/>
      <c r="AI109" s="64"/>
      <c r="AJ109" s="68" t="s">
        <v>96</v>
      </c>
      <c r="AK109" s="69" t="str">
        <f t="shared" si="2"/>
        <v/>
      </c>
      <c r="AL109" s="70" t="s">
        <v>96</v>
      </c>
      <c r="AM109" s="69" t="str">
        <f t="shared" si="3"/>
        <v/>
      </c>
      <c r="AN109" s="71"/>
      <c r="AO109" s="71"/>
      <c r="AP109" s="71"/>
      <c r="AQ109" s="71"/>
      <c r="AR109" s="71" t="s">
        <v>96</v>
      </c>
      <c r="AS109" s="71"/>
      <c r="AT109" s="71" t="s">
        <v>96</v>
      </c>
      <c r="AU109" s="71"/>
      <c r="AV109" s="71" t="s">
        <v>95</v>
      </c>
      <c r="AW109" s="71"/>
      <c r="AX109" s="71"/>
      <c r="AY109" s="71"/>
      <c r="AZ109" s="71"/>
      <c r="BA109" s="71"/>
      <c r="BB109" s="70" t="s">
        <v>218</v>
      </c>
      <c r="BC109" s="70" t="s">
        <v>98</v>
      </c>
      <c r="BD109" s="72" t="str">
        <f>IF('Cálculo MP'!K119="","",'Cálculo MP'!K119)</f>
        <v/>
      </c>
      <c r="BE109" s="72" t="str">
        <f>IF('Cálculo MP'!L119="","",'Cálculo MP'!L119)</f>
        <v/>
      </c>
      <c r="BF109" s="72" t="str">
        <f>IF('Cálculo MP'!M119="","",'Cálculo MP'!M119)</f>
        <v/>
      </c>
      <c r="BG109" s="72" t="str">
        <f>IF('Cálculo MP'!N119="","",'Cálculo MP'!N119)</f>
        <v/>
      </c>
      <c r="BH109" s="72" t="str">
        <f>IF('Cálculo MP'!O119="","",'Cálculo MP'!O119)</f>
        <v/>
      </c>
      <c r="BI109" s="72" t="str">
        <f>IF('Cálculo MP'!P119="","",'Cálculo MP'!P119)</f>
        <v/>
      </c>
      <c r="BJ109" s="72" t="str">
        <f>IF('Cálculo MP'!Q119="","",'Cálculo MP'!Q119)</f>
        <v/>
      </c>
      <c r="BK109" s="72" t="str">
        <f>IF('Cálculo MP'!R119="","",'Cálculo MP'!R119)</f>
        <v/>
      </c>
      <c r="BL109" s="72" t="str">
        <f>IF('Cálculo MP'!S119="","",'Cálculo MP'!S119)</f>
        <v/>
      </c>
      <c r="BM109" s="71"/>
      <c r="BN109" s="71"/>
      <c r="BO109" s="71"/>
      <c r="BP109" s="71"/>
      <c r="BQ109" s="71"/>
      <c r="BR109" s="71"/>
      <c r="BS109" s="71"/>
    </row>
    <row r="110" spans="1:71" ht="19.5" customHeight="1" x14ac:dyDescent="0.15">
      <c r="A110" s="56" t="s">
        <v>985</v>
      </c>
      <c r="B110" s="57" t="s">
        <v>986</v>
      </c>
      <c r="C110" s="58" t="s">
        <v>985</v>
      </c>
      <c r="D110" s="59" t="s">
        <v>985</v>
      </c>
      <c r="E110" s="61"/>
      <c r="F110" s="60" t="s">
        <v>95</v>
      </c>
      <c r="G110" s="61"/>
      <c r="H110" s="62"/>
      <c r="I110" s="75"/>
      <c r="J110" s="60" t="s">
        <v>95</v>
      </c>
      <c r="K110" s="64"/>
      <c r="L110" s="64"/>
      <c r="M110" s="64" t="s">
        <v>96</v>
      </c>
      <c r="N110" s="64" t="s">
        <v>97</v>
      </c>
      <c r="O110" s="65" t="s">
        <v>986</v>
      </c>
      <c r="P110" s="70" t="s">
        <v>96</v>
      </c>
      <c r="Q110" s="60" t="s">
        <v>95</v>
      </c>
      <c r="R110" s="60" t="s">
        <v>96</v>
      </c>
      <c r="S110" s="66" t="s">
        <v>96</v>
      </c>
      <c r="T110" s="67" t="s">
        <v>96</v>
      </c>
      <c r="U110" s="60" t="s">
        <v>96</v>
      </c>
      <c r="V110" s="60" t="s">
        <v>96</v>
      </c>
      <c r="W110" s="60" t="str" cm="1">
        <f t="array" ref="W110">_xlfn.LET(_xlpm.resultados,_xlfn.UNIQUE(_xlfn._xlws.FILTER(Tabla1[Proceso],(Tabla1[Metal Base]=Q110)*(Tabla1[Etiquetas]=_xlfn.TEXTJOIN(" + ",TRUE,IF((TRIM(Upload!R110:V110)="")+(LOWER(TRIM(Upload!R110:V110))="(seleccione)"),"",PROPER(TRIM(Upload!R110:V110)))))*(Tabla1[Línea2]=IFERROR(VLOOKUP(Upload!P110&amp;"*",CAT_Procesos!D:D,1,FALSE),"")))),_xlpm.cantidad,ROWS(_xlpm.resultados),IF(ISERROR(_xlpm.cantidad),"Combinación no existente",IF(_xlpm.cantidad=1,INDEX(_xlpm.resultados,1),"(seleccione)")))</f>
        <v>Combinación no existente</v>
      </c>
      <c r="X110" s="67" t="s">
        <v>96</v>
      </c>
      <c r="Y110" s="64"/>
      <c r="Z110" s="64"/>
      <c r="AA110" s="64"/>
      <c r="AB110" s="133" t="s">
        <v>96</v>
      </c>
      <c r="AC110" s="64"/>
      <c r="AD110" s="64"/>
      <c r="AE110" s="64"/>
      <c r="AF110" s="60" t="s">
        <v>96</v>
      </c>
      <c r="AG110" s="64"/>
      <c r="AH110" s="64"/>
      <c r="AI110" s="64"/>
      <c r="AJ110" s="68" t="s">
        <v>96</v>
      </c>
      <c r="AK110" s="69" t="str">
        <f t="shared" si="2"/>
        <v/>
      </c>
      <c r="AL110" s="70" t="s">
        <v>96</v>
      </c>
      <c r="AM110" s="69" t="str">
        <f t="shared" si="3"/>
        <v/>
      </c>
      <c r="AN110" s="71"/>
      <c r="AO110" s="71"/>
      <c r="AP110" s="71"/>
      <c r="AQ110" s="71"/>
      <c r="AR110" s="71" t="s">
        <v>96</v>
      </c>
      <c r="AS110" s="71"/>
      <c r="AT110" s="71" t="s">
        <v>96</v>
      </c>
      <c r="AU110" s="71"/>
      <c r="AV110" s="71" t="s">
        <v>95</v>
      </c>
      <c r="AW110" s="71"/>
      <c r="AX110" s="71"/>
      <c r="AY110" s="71"/>
      <c r="AZ110" s="71"/>
      <c r="BA110" s="71"/>
      <c r="BB110" s="70" t="s">
        <v>218</v>
      </c>
      <c r="BC110" s="70" t="s">
        <v>98</v>
      </c>
      <c r="BD110" s="72" t="str">
        <f>IF('Cálculo MP'!K120="","",'Cálculo MP'!K120)</f>
        <v/>
      </c>
      <c r="BE110" s="72" t="str">
        <f>IF('Cálculo MP'!L120="","",'Cálculo MP'!L120)</f>
        <v/>
      </c>
      <c r="BF110" s="72" t="str">
        <f>IF('Cálculo MP'!M120="","",'Cálculo MP'!M120)</f>
        <v/>
      </c>
      <c r="BG110" s="72" t="str">
        <f>IF('Cálculo MP'!N120="","",'Cálculo MP'!N120)</f>
        <v/>
      </c>
      <c r="BH110" s="72" t="str">
        <f>IF('Cálculo MP'!O120="","",'Cálculo MP'!O120)</f>
        <v/>
      </c>
      <c r="BI110" s="72" t="str">
        <f>IF('Cálculo MP'!P120="","",'Cálculo MP'!P120)</f>
        <v/>
      </c>
      <c r="BJ110" s="72" t="str">
        <f>IF('Cálculo MP'!Q120="","",'Cálculo MP'!Q120)</f>
        <v/>
      </c>
      <c r="BK110" s="72" t="str">
        <f>IF('Cálculo MP'!R120="","",'Cálculo MP'!R120)</f>
        <v/>
      </c>
      <c r="BL110" s="72" t="str">
        <f>IF('Cálculo MP'!S120="","",'Cálculo MP'!S120)</f>
        <v/>
      </c>
      <c r="BM110" s="71"/>
      <c r="BN110" s="71"/>
      <c r="BO110" s="71"/>
      <c r="BP110" s="71"/>
      <c r="BQ110" s="71"/>
      <c r="BR110" s="71"/>
      <c r="BS110" s="71"/>
    </row>
    <row r="111" spans="1:71" ht="19.5" customHeight="1" x14ac:dyDescent="0.15">
      <c r="A111" s="56" t="s">
        <v>985</v>
      </c>
      <c r="B111" s="57" t="s">
        <v>986</v>
      </c>
      <c r="C111" s="58" t="s">
        <v>985</v>
      </c>
      <c r="D111" s="59" t="s">
        <v>985</v>
      </c>
      <c r="E111" s="61"/>
      <c r="F111" s="60" t="s">
        <v>95</v>
      </c>
      <c r="G111" s="61"/>
      <c r="H111" s="62"/>
      <c r="I111" s="75"/>
      <c r="J111" s="60" t="s">
        <v>95</v>
      </c>
      <c r="K111" s="64"/>
      <c r="L111" s="64"/>
      <c r="M111" s="64" t="s">
        <v>96</v>
      </c>
      <c r="N111" s="64" t="s">
        <v>97</v>
      </c>
      <c r="O111" s="65" t="s">
        <v>986</v>
      </c>
      <c r="P111" s="70" t="s">
        <v>96</v>
      </c>
      <c r="Q111" s="60" t="s">
        <v>95</v>
      </c>
      <c r="R111" s="60" t="s">
        <v>96</v>
      </c>
      <c r="S111" s="66" t="s">
        <v>96</v>
      </c>
      <c r="T111" s="67" t="s">
        <v>96</v>
      </c>
      <c r="U111" s="60" t="s">
        <v>96</v>
      </c>
      <c r="V111" s="60" t="s">
        <v>96</v>
      </c>
      <c r="W111" s="60" t="str" cm="1">
        <f t="array" ref="W111">_xlfn.LET(_xlpm.resultados,_xlfn.UNIQUE(_xlfn._xlws.FILTER(Tabla1[Proceso],(Tabla1[Metal Base]=Q111)*(Tabla1[Etiquetas]=_xlfn.TEXTJOIN(" + ",TRUE,IF((TRIM(Upload!R111:V111)="")+(LOWER(TRIM(Upload!R111:V111))="(seleccione)"),"",PROPER(TRIM(Upload!R111:V111)))))*(Tabla1[Línea2]=IFERROR(VLOOKUP(Upload!P111&amp;"*",CAT_Procesos!D:D,1,FALSE),"")))),_xlpm.cantidad,ROWS(_xlpm.resultados),IF(ISERROR(_xlpm.cantidad),"Combinación no existente",IF(_xlpm.cantidad=1,INDEX(_xlpm.resultados,1),"(seleccione)")))</f>
        <v>Combinación no existente</v>
      </c>
      <c r="X111" s="67" t="s">
        <v>96</v>
      </c>
      <c r="Y111" s="64"/>
      <c r="Z111" s="64"/>
      <c r="AA111" s="64"/>
      <c r="AB111" s="133" t="s">
        <v>96</v>
      </c>
      <c r="AC111" s="64"/>
      <c r="AD111" s="64"/>
      <c r="AE111" s="64"/>
      <c r="AF111" s="60" t="s">
        <v>96</v>
      </c>
      <c r="AG111" s="64"/>
      <c r="AH111" s="64"/>
      <c r="AI111" s="64"/>
      <c r="AJ111" s="68" t="s">
        <v>96</v>
      </c>
      <c r="AK111" s="69" t="str">
        <f t="shared" si="2"/>
        <v/>
      </c>
      <c r="AL111" s="70" t="s">
        <v>96</v>
      </c>
      <c r="AM111" s="69" t="str">
        <f t="shared" si="3"/>
        <v/>
      </c>
      <c r="AN111" s="71"/>
      <c r="AO111" s="71"/>
      <c r="AP111" s="71"/>
      <c r="AQ111" s="71"/>
      <c r="AR111" s="71" t="s">
        <v>96</v>
      </c>
      <c r="AS111" s="71"/>
      <c r="AT111" s="71" t="s">
        <v>96</v>
      </c>
      <c r="AU111" s="71"/>
      <c r="AV111" s="71" t="s">
        <v>95</v>
      </c>
      <c r="AW111" s="71"/>
      <c r="AX111" s="71"/>
      <c r="AY111" s="71"/>
      <c r="AZ111" s="71"/>
      <c r="BA111" s="71"/>
      <c r="BB111" s="70" t="s">
        <v>218</v>
      </c>
      <c r="BC111" s="70" t="s">
        <v>98</v>
      </c>
      <c r="BD111" s="72" t="str">
        <f>IF('Cálculo MP'!K121="","",'Cálculo MP'!K121)</f>
        <v/>
      </c>
      <c r="BE111" s="72" t="str">
        <f>IF('Cálculo MP'!L121="","",'Cálculo MP'!L121)</f>
        <v/>
      </c>
      <c r="BF111" s="72" t="str">
        <f>IF('Cálculo MP'!M121="","",'Cálculo MP'!M121)</f>
        <v/>
      </c>
      <c r="BG111" s="72" t="str">
        <f>IF('Cálculo MP'!N121="","",'Cálculo MP'!N121)</f>
        <v/>
      </c>
      <c r="BH111" s="72" t="str">
        <f>IF('Cálculo MP'!O121="","",'Cálculo MP'!O121)</f>
        <v/>
      </c>
      <c r="BI111" s="72" t="str">
        <f>IF('Cálculo MP'!P121="","",'Cálculo MP'!P121)</f>
        <v/>
      </c>
      <c r="BJ111" s="72" t="str">
        <f>IF('Cálculo MP'!Q121="","",'Cálculo MP'!Q121)</f>
        <v/>
      </c>
      <c r="BK111" s="72" t="str">
        <f>IF('Cálculo MP'!R121="","",'Cálculo MP'!R121)</f>
        <v/>
      </c>
      <c r="BL111" s="72" t="str">
        <f>IF('Cálculo MP'!S121="","",'Cálculo MP'!S121)</f>
        <v/>
      </c>
      <c r="BM111" s="71"/>
      <c r="BN111" s="71"/>
      <c r="BO111" s="71"/>
      <c r="BP111" s="71"/>
      <c r="BQ111" s="71"/>
      <c r="BR111" s="71"/>
      <c r="BS111" s="71"/>
    </row>
    <row r="112" spans="1:71" ht="19.5" customHeight="1" x14ac:dyDescent="0.15">
      <c r="A112" s="56" t="s">
        <v>985</v>
      </c>
      <c r="B112" s="57" t="s">
        <v>986</v>
      </c>
      <c r="C112" s="58" t="s">
        <v>985</v>
      </c>
      <c r="D112" s="59" t="s">
        <v>985</v>
      </c>
      <c r="E112" s="61"/>
      <c r="F112" s="60" t="s">
        <v>95</v>
      </c>
      <c r="G112" s="61"/>
      <c r="H112" s="62"/>
      <c r="I112" s="75"/>
      <c r="J112" s="60" t="s">
        <v>95</v>
      </c>
      <c r="K112" s="64"/>
      <c r="L112" s="64"/>
      <c r="M112" s="64" t="s">
        <v>96</v>
      </c>
      <c r="N112" s="64" t="s">
        <v>97</v>
      </c>
      <c r="O112" s="65" t="s">
        <v>986</v>
      </c>
      <c r="P112" s="70" t="s">
        <v>96</v>
      </c>
      <c r="Q112" s="60" t="s">
        <v>95</v>
      </c>
      <c r="R112" s="60" t="s">
        <v>96</v>
      </c>
      <c r="S112" s="66" t="s">
        <v>96</v>
      </c>
      <c r="T112" s="67" t="s">
        <v>96</v>
      </c>
      <c r="U112" s="60" t="s">
        <v>96</v>
      </c>
      <c r="V112" s="60" t="s">
        <v>96</v>
      </c>
      <c r="W112" s="60" t="str" cm="1">
        <f t="array" ref="W112">_xlfn.LET(_xlpm.resultados,_xlfn.UNIQUE(_xlfn._xlws.FILTER(Tabla1[Proceso],(Tabla1[Metal Base]=Q112)*(Tabla1[Etiquetas]=_xlfn.TEXTJOIN(" + ",TRUE,IF((TRIM(Upload!R112:V112)="")+(LOWER(TRIM(Upload!R112:V112))="(seleccione)"),"",PROPER(TRIM(Upload!R112:V112)))))*(Tabla1[Línea2]=IFERROR(VLOOKUP(Upload!P112&amp;"*",CAT_Procesos!D:D,1,FALSE),"")))),_xlpm.cantidad,ROWS(_xlpm.resultados),IF(ISERROR(_xlpm.cantidad),"Combinación no existente",IF(_xlpm.cantidad=1,INDEX(_xlpm.resultados,1),"(seleccione)")))</f>
        <v>Combinación no existente</v>
      </c>
      <c r="X112" s="67" t="s">
        <v>96</v>
      </c>
      <c r="Y112" s="64"/>
      <c r="Z112" s="64"/>
      <c r="AA112" s="64"/>
      <c r="AB112" s="133" t="s">
        <v>96</v>
      </c>
      <c r="AC112" s="64"/>
      <c r="AD112" s="64"/>
      <c r="AE112" s="64"/>
      <c r="AF112" s="60" t="s">
        <v>96</v>
      </c>
      <c r="AG112" s="64"/>
      <c r="AH112" s="64"/>
      <c r="AI112" s="64"/>
      <c r="AJ112" s="68" t="s">
        <v>96</v>
      </c>
      <c r="AK112" s="69" t="str">
        <f t="shared" si="2"/>
        <v/>
      </c>
      <c r="AL112" s="70" t="s">
        <v>96</v>
      </c>
      <c r="AM112" s="69" t="str">
        <f t="shared" si="3"/>
        <v/>
      </c>
      <c r="AN112" s="71"/>
      <c r="AO112" s="71"/>
      <c r="AP112" s="71"/>
      <c r="AQ112" s="71"/>
      <c r="AR112" s="71" t="s">
        <v>96</v>
      </c>
      <c r="AS112" s="71"/>
      <c r="AT112" s="71" t="s">
        <v>96</v>
      </c>
      <c r="AU112" s="71"/>
      <c r="AV112" s="71" t="s">
        <v>95</v>
      </c>
      <c r="AW112" s="71"/>
      <c r="AX112" s="71"/>
      <c r="AY112" s="71"/>
      <c r="AZ112" s="71"/>
      <c r="BA112" s="71"/>
      <c r="BB112" s="70" t="s">
        <v>218</v>
      </c>
      <c r="BC112" s="70" t="s">
        <v>98</v>
      </c>
      <c r="BD112" s="72" t="str">
        <f>IF('Cálculo MP'!K122="","",'Cálculo MP'!K122)</f>
        <v/>
      </c>
      <c r="BE112" s="72" t="str">
        <f>IF('Cálculo MP'!L122="","",'Cálculo MP'!L122)</f>
        <v/>
      </c>
      <c r="BF112" s="72" t="str">
        <f>IF('Cálculo MP'!M122="","",'Cálculo MP'!M122)</f>
        <v/>
      </c>
      <c r="BG112" s="72" t="str">
        <f>IF('Cálculo MP'!N122="","",'Cálculo MP'!N122)</f>
        <v/>
      </c>
      <c r="BH112" s="72" t="str">
        <f>IF('Cálculo MP'!O122="","",'Cálculo MP'!O122)</f>
        <v/>
      </c>
      <c r="BI112" s="72" t="str">
        <f>IF('Cálculo MP'!P122="","",'Cálculo MP'!P122)</f>
        <v/>
      </c>
      <c r="BJ112" s="72" t="str">
        <f>IF('Cálculo MP'!Q122="","",'Cálculo MP'!Q122)</f>
        <v/>
      </c>
      <c r="BK112" s="72" t="str">
        <f>IF('Cálculo MP'!R122="","",'Cálculo MP'!R122)</f>
        <v/>
      </c>
      <c r="BL112" s="72" t="str">
        <f>IF('Cálculo MP'!S122="","",'Cálculo MP'!S122)</f>
        <v/>
      </c>
      <c r="BM112" s="71"/>
      <c r="BN112" s="71"/>
      <c r="BO112" s="71"/>
      <c r="BP112" s="71"/>
      <c r="BQ112" s="71"/>
      <c r="BR112" s="71"/>
      <c r="BS112" s="71"/>
    </row>
    <row r="113" spans="1:71" ht="19.5" customHeight="1" x14ac:dyDescent="0.15">
      <c r="A113" s="56" t="s">
        <v>985</v>
      </c>
      <c r="B113" s="57" t="s">
        <v>986</v>
      </c>
      <c r="C113" s="58" t="s">
        <v>985</v>
      </c>
      <c r="D113" s="59" t="s">
        <v>985</v>
      </c>
      <c r="E113" s="61"/>
      <c r="F113" s="60" t="s">
        <v>95</v>
      </c>
      <c r="G113" s="61"/>
      <c r="H113" s="62"/>
      <c r="I113" s="75"/>
      <c r="J113" s="60" t="s">
        <v>95</v>
      </c>
      <c r="K113" s="64"/>
      <c r="L113" s="64"/>
      <c r="M113" s="64" t="s">
        <v>96</v>
      </c>
      <c r="N113" s="64" t="s">
        <v>97</v>
      </c>
      <c r="O113" s="65" t="s">
        <v>986</v>
      </c>
      <c r="P113" s="70" t="s">
        <v>96</v>
      </c>
      <c r="Q113" s="60" t="s">
        <v>95</v>
      </c>
      <c r="R113" s="60" t="s">
        <v>96</v>
      </c>
      <c r="S113" s="66" t="s">
        <v>96</v>
      </c>
      <c r="T113" s="67" t="s">
        <v>96</v>
      </c>
      <c r="U113" s="60" t="s">
        <v>96</v>
      </c>
      <c r="V113" s="60" t="s">
        <v>96</v>
      </c>
      <c r="W113" s="60" t="str" cm="1">
        <f t="array" ref="W113">_xlfn.LET(_xlpm.resultados,_xlfn.UNIQUE(_xlfn._xlws.FILTER(Tabla1[Proceso],(Tabla1[Metal Base]=Q113)*(Tabla1[Etiquetas]=_xlfn.TEXTJOIN(" + ",TRUE,IF((TRIM(Upload!R113:V113)="")+(LOWER(TRIM(Upload!R113:V113))="(seleccione)"),"",PROPER(TRIM(Upload!R113:V113)))))*(Tabla1[Línea2]=IFERROR(VLOOKUP(Upload!P113&amp;"*",CAT_Procesos!D:D,1,FALSE),"")))),_xlpm.cantidad,ROWS(_xlpm.resultados),IF(ISERROR(_xlpm.cantidad),"Combinación no existente",IF(_xlpm.cantidad=1,INDEX(_xlpm.resultados,1),"(seleccione)")))</f>
        <v>Combinación no existente</v>
      </c>
      <c r="X113" s="67" t="s">
        <v>96</v>
      </c>
      <c r="Y113" s="64"/>
      <c r="Z113" s="64"/>
      <c r="AA113" s="64"/>
      <c r="AB113" s="133" t="s">
        <v>96</v>
      </c>
      <c r="AC113" s="64"/>
      <c r="AD113" s="64"/>
      <c r="AE113" s="64"/>
      <c r="AF113" s="60" t="s">
        <v>96</v>
      </c>
      <c r="AG113" s="64"/>
      <c r="AH113" s="64"/>
      <c r="AI113" s="64"/>
      <c r="AJ113" s="68" t="s">
        <v>96</v>
      </c>
      <c r="AK113" s="69" t="str">
        <f t="shared" si="2"/>
        <v/>
      </c>
      <c r="AL113" s="70" t="s">
        <v>96</v>
      </c>
      <c r="AM113" s="69" t="str">
        <f t="shared" si="3"/>
        <v/>
      </c>
      <c r="AN113" s="71"/>
      <c r="AO113" s="71"/>
      <c r="AP113" s="71"/>
      <c r="AQ113" s="71"/>
      <c r="AR113" s="71" t="s">
        <v>96</v>
      </c>
      <c r="AS113" s="71"/>
      <c r="AT113" s="71" t="s">
        <v>96</v>
      </c>
      <c r="AU113" s="71"/>
      <c r="AV113" s="71" t="s">
        <v>95</v>
      </c>
      <c r="AW113" s="71"/>
      <c r="AX113" s="71"/>
      <c r="AY113" s="71"/>
      <c r="AZ113" s="71"/>
      <c r="BA113" s="71"/>
      <c r="BB113" s="70" t="s">
        <v>218</v>
      </c>
      <c r="BC113" s="70" t="s">
        <v>98</v>
      </c>
      <c r="BD113" s="72" t="str">
        <f>IF('Cálculo MP'!K123="","",'Cálculo MP'!K123)</f>
        <v/>
      </c>
      <c r="BE113" s="72" t="str">
        <f>IF('Cálculo MP'!L123="","",'Cálculo MP'!L123)</f>
        <v/>
      </c>
      <c r="BF113" s="72" t="str">
        <f>IF('Cálculo MP'!M123="","",'Cálculo MP'!M123)</f>
        <v/>
      </c>
      <c r="BG113" s="72" t="str">
        <f>IF('Cálculo MP'!N123="","",'Cálculo MP'!N123)</f>
        <v/>
      </c>
      <c r="BH113" s="72" t="str">
        <f>IF('Cálculo MP'!O123="","",'Cálculo MP'!O123)</f>
        <v/>
      </c>
      <c r="BI113" s="72" t="str">
        <f>IF('Cálculo MP'!P123="","",'Cálculo MP'!P123)</f>
        <v/>
      </c>
      <c r="BJ113" s="72" t="str">
        <f>IF('Cálculo MP'!Q123="","",'Cálculo MP'!Q123)</f>
        <v/>
      </c>
      <c r="BK113" s="72" t="str">
        <f>IF('Cálculo MP'!R123="","",'Cálculo MP'!R123)</f>
        <v/>
      </c>
      <c r="BL113" s="72" t="str">
        <f>IF('Cálculo MP'!S123="","",'Cálculo MP'!S123)</f>
        <v/>
      </c>
      <c r="BM113" s="71"/>
      <c r="BN113" s="71"/>
      <c r="BO113" s="71"/>
      <c r="BP113" s="71"/>
      <c r="BQ113" s="71"/>
      <c r="BR113" s="71"/>
      <c r="BS113" s="71"/>
    </row>
    <row r="114" spans="1:71" ht="19.5" customHeight="1" x14ac:dyDescent="0.15">
      <c r="A114" s="56" t="s">
        <v>985</v>
      </c>
      <c r="B114" s="57" t="s">
        <v>986</v>
      </c>
      <c r="C114" s="58" t="s">
        <v>985</v>
      </c>
      <c r="D114" s="59" t="s">
        <v>985</v>
      </c>
      <c r="E114" s="61"/>
      <c r="F114" s="60" t="s">
        <v>95</v>
      </c>
      <c r="G114" s="61"/>
      <c r="H114" s="62"/>
      <c r="I114" s="75"/>
      <c r="J114" s="60" t="s">
        <v>95</v>
      </c>
      <c r="K114" s="64"/>
      <c r="L114" s="64"/>
      <c r="M114" s="64" t="s">
        <v>96</v>
      </c>
      <c r="N114" s="64" t="s">
        <v>97</v>
      </c>
      <c r="O114" s="65" t="s">
        <v>986</v>
      </c>
      <c r="P114" s="70" t="s">
        <v>96</v>
      </c>
      <c r="Q114" s="60" t="s">
        <v>95</v>
      </c>
      <c r="R114" s="60" t="s">
        <v>96</v>
      </c>
      <c r="S114" s="66" t="s">
        <v>96</v>
      </c>
      <c r="T114" s="67" t="s">
        <v>96</v>
      </c>
      <c r="U114" s="60" t="s">
        <v>96</v>
      </c>
      <c r="V114" s="60" t="s">
        <v>96</v>
      </c>
      <c r="W114" s="60" t="str" cm="1">
        <f t="array" ref="W114">_xlfn.LET(_xlpm.resultados,_xlfn.UNIQUE(_xlfn._xlws.FILTER(Tabla1[Proceso],(Tabla1[Metal Base]=Q114)*(Tabla1[Etiquetas]=_xlfn.TEXTJOIN(" + ",TRUE,IF((TRIM(Upload!R114:V114)="")+(LOWER(TRIM(Upload!R114:V114))="(seleccione)"),"",PROPER(TRIM(Upload!R114:V114)))))*(Tabla1[Línea2]=IFERROR(VLOOKUP(Upload!P114&amp;"*",CAT_Procesos!D:D,1,FALSE),"")))),_xlpm.cantidad,ROWS(_xlpm.resultados),IF(ISERROR(_xlpm.cantidad),"Combinación no existente",IF(_xlpm.cantidad=1,INDEX(_xlpm.resultados,1),"(seleccione)")))</f>
        <v>Combinación no existente</v>
      </c>
      <c r="X114" s="67" t="s">
        <v>96</v>
      </c>
      <c r="Y114" s="64"/>
      <c r="Z114" s="64"/>
      <c r="AA114" s="64"/>
      <c r="AB114" s="133" t="s">
        <v>96</v>
      </c>
      <c r="AC114" s="64"/>
      <c r="AD114" s="64"/>
      <c r="AE114" s="64"/>
      <c r="AF114" s="60" t="s">
        <v>96</v>
      </c>
      <c r="AG114" s="64"/>
      <c r="AH114" s="64"/>
      <c r="AI114" s="64"/>
      <c r="AJ114" s="68" t="s">
        <v>96</v>
      </c>
      <c r="AK114" s="69" t="str">
        <f t="shared" si="2"/>
        <v/>
      </c>
      <c r="AL114" s="70" t="s">
        <v>96</v>
      </c>
      <c r="AM114" s="69" t="str">
        <f t="shared" si="3"/>
        <v/>
      </c>
      <c r="AN114" s="71"/>
      <c r="AO114" s="71"/>
      <c r="AP114" s="71"/>
      <c r="AQ114" s="71"/>
      <c r="AR114" s="71" t="s">
        <v>96</v>
      </c>
      <c r="AS114" s="71"/>
      <c r="AT114" s="71" t="s">
        <v>96</v>
      </c>
      <c r="AU114" s="71"/>
      <c r="AV114" s="71" t="s">
        <v>95</v>
      </c>
      <c r="AW114" s="71"/>
      <c r="AX114" s="71"/>
      <c r="AY114" s="71"/>
      <c r="AZ114" s="71"/>
      <c r="BA114" s="71"/>
      <c r="BB114" s="70" t="s">
        <v>218</v>
      </c>
      <c r="BC114" s="70" t="s">
        <v>98</v>
      </c>
      <c r="BD114" s="72" t="str">
        <f>IF('Cálculo MP'!K124="","",'Cálculo MP'!K124)</f>
        <v/>
      </c>
      <c r="BE114" s="72" t="str">
        <f>IF('Cálculo MP'!L124="","",'Cálculo MP'!L124)</f>
        <v/>
      </c>
      <c r="BF114" s="72" t="str">
        <f>IF('Cálculo MP'!M124="","",'Cálculo MP'!M124)</f>
        <v/>
      </c>
      <c r="BG114" s="72" t="str">
        <f>IF('Cálculo MP'!N124="","",'Cálculo MP'!N124)</f>
        <v/>
      </c>
      <c r="BH114" s="72" t="str">
        <f>IF('Cálculo MP'!O124="","",'Cálculo MP'!O124)</f>
        <v/>
      </c>
      <c r="BI114" s="72" t="str">
        <f>IF('Cálculo MP'!P124="","",'Cálculo MP'!P124)</f>
        <v/>
      </c>
      <c r="BJ114" s="72" t="str">
        <f>IF('Cálculo MP'!Q124="","",'Cálculo MP'!Q124)</f>
        <v/>
      </c>
      <c r="BK114" s="72" t="str">
        <f>IF('Cálculo MP'!R124="","",'Cálculo MP'!R124)</f>
        <v/>
      </c>
      <c r="BL114" s="72" t="str">
        <f>IF('Cálculo MP'!S124="","",'Cálculo MP'!S124)</f>
        <v/>
      </c>
      <c r="BM114" s="71"/>
      <c r="BN114" s="71"/>
      <c r="BO114" s="71"/>
      <c r="BP114" s="71"/>
      <c r="BQ114" s="71"/>
      <c r="BR114" s="71"/>
      <c r="BS114" s="71"/>
    </row>
    <row r="115" spans="1:71" ht="19.5" customHeight="1" x14ac:dyDescent="0.15">
      <c r="A115" s="56" t="s">
        <v>985</v>
      </c>
      <c r="B115" s="57" t="s">
        <v>986</v>
      </c>
      <c r="C115" s="58" t="s">
        <v>985</v>
      </c>
      <c r="D115" s="59" t="s">
        <v>985</v>
      </c>
      <c r="E115" s="61"/>
      <c r="F115" s="60" t="s">
        <v>95</v>
      </c>
      <c r="G115" s="61"/>
      <c r="H115" s="62"/>
      <c r="I115" s="75"/>
      <c r="J115" s="60" t="s">
        <v>95</v>
      </c>
      <c r="K115" s="64"/>
      <c r="L115" s="64"/>
      <c r="M115" s="64" t="s">
        <v>96</v>
      </c>
      <c r="N115" s="64" t="s">
        <v>97</v>
      </c>
      <c r="O115" s="65" t="s">
        <v>986</v>
      </c>
      <c r="P115" s="70" t="s">
        <v>96</v>
      </c>
      <c r="Q115" s="60" t="s">
        <v>95</v>
      </c>
      <c r="R115" s="60" t="s">
        <v>96</v>
      </c>
      <c r="S115" s="66" t="s">
        <v>96</v>
      </c>
      <c r="T115" s="67" t="s">
        <v>96</v>
      </c>
      <c r="U115" s="60" t="s">
        <v>96</v>
      </c>
      <c r="V115" s="60" t="s">
        <v>96</v>
      </c>
      <c r="W115" s="60" t="str" cm="1">
        <f t="array" ref="W115">_xlfn.LET(_xlpm.resultados,_xlfn.UNIQUE(_xlfn._xlws.FILTER(Tabla1[Proceso],(Tabla1[Metal Base]=Q115)*(Tabla1[Etiquetas]=_xlfn.TEXTJOIN(" + ",TRUE,IF((TRIM(Upload!R115:V115)="")+(LOWER(TRIM(Upload!R115:V115))="(seleccione)"),"",PROPER(TRIM(Upload!R115:V115)))))*(Tabla1[Línea2]=IFERROR(VLOOKUP(Upload!P115&amp;"*",CAT_Procesos!D:D,1,FALSE),"")))),_xlpm.cantidad,ROWS(_xlpm.resultados),IF(ISERROR(_xlpm.cantidad),"Combinación no existente",IF(_xlpm.cantidad=1,INDEX(_xlpm.resultados,1),"(seleccione)")))</f>
        <v>Combinación no existente</v>
      </c>
      <c r="X115" s="67" t="s">
        <v>96</v>
      </c>
      <c r="Y115" s="64"/>
      <c r="Z115" s="64"/>
      <c r="AA115" s="64"/>
      <c r="AB115" s="133" t="s">
        <v>96</v>
      </c>
      <c r="AC115" s="64"/>
      <c r="AD115" s="64"/>
      <c r="AE115" s="64"/>
      <c r="AF115" s="60" t="s">
        <v>96</v>
      </c>
      <c r="AG115" s="64"/>
      <c r="AH115" s="64"/>
      <c r="AI115" s="64"/>
      <c r="AJ115" s="68" t="s">
        <v>96</v>
      </c>
      <c r="AK115" s="69" t="str">
        <f t="shared" si="2"/>
        <v/>
      </c>
      <c r="AL115" s="70" t="s">
        <v>96</v>
      </c>
      <c r="AM115" s="69" t="str">
        <f t="shared" si="3"/>
        <v/>
      </c>
      <c r="AN115" s="71"/>
      <c r="AO115" s="71"/>
      <c r="AP115" s="71"/>
      <c r="AQ115" s="71"/>
      <c r="AR115" s="71" t="s">
        <v>96</v>
      </c>
      <c r="AS115" s="71"/>
      <c r="AT115" s="71" t="s">
        <v>96</v>
      </c>
      <c r="AU115" s="71"/>
      <c r="AV115" s="71" t="s">
        <v>95</v>
      </c>
      <c r="AW115" s="71"/>
      <c r="AX115" s="71"/>
      <c r="AY115" s="71"/>
      <c r="AZ115" s="71"/>
      <c r="BA115" s="71"/>
      <c r="BB115" s="70" t="s">
        <v>218</v>
      </c>
      <c r="BC115" s="70" t="s">
        <v>98</v>
      </c>
      <c r="BD115" s="72" t="str">
        <f>IF('Cálculo MP'!K125="","",'Cálculo MP'!K125)</f>
        <v/>
      </c>
      <c r="BE115" s="72" t="str">
        <f>IF('Cálculo MP'!L125="","",'Cálculo MP'!L125)</f>
        <v/>
      </c>
      <c r="BF115" s="72" t="str">
        <f>IF('Cálculo MP'!M125="","",'Cálculo MP'!M125)</f>
        <v/>
      </c>
      <c r="BG115" s="72" t="str">
        <f>IF('Cálculo MP'!N125="","",'Cálculo MP'!N125)</f>
        <v/>
      </c>
      <c r="BH115" s="72" t="str">
        <f>IF('Cálculo MP'!O125="","",'Cálculo MP'!O125)</f>
        <v/>
      </c>
      <c r="BI115" s="72" t="str">
        <f>IF('Cálculo MP'!P125="","",'Cálculo MP'!P125)</f>
        <v/>
      </c>
      <c r="BJ115" s="72" t="str">
        <f>IF('Cálculo MP'!Q125="","",'Cálculo MP'!Q125)</f>
        <v/>
      </c>
      <c r="BK115" s="72" t="str">
        <f>IF('Cálculo MP'!R125="","",'Cálculo MP'!R125)</f>
        <v/>
      </c>
      <c r="BL115" s="72" t="str">
        <f>IF('Cálculo MP'!S125="","",'Cálculo MP'!S125)</f>
        <v/>
      </c>
      <c r="BM115" s="71"/>
      <c r="BN115" s="71"/>
      <c r="BO115" s="71"/>
      <c r="BP115" s="71"/>
      <c r="BQ115" s="71"/>
      <c r="BR115" s="71"/>
      <c r="BS115" s="71"/>
    </row>
    <row r="116" spans="1:71" ht="19.5" customHeight="1" x14ac:dyDescent="0.15">
      <c r="A116" s="56" t="s">
        <v>985</v>
      </c>
      <c r="B116" s="57" t="s">
        <v>986</v>
      </c>
      <c r="C116" s="58" t="s">
        <v>985</v>
      </c>
      <c r="D116" s="59" t="s">
        <v>985</v>
      </c>
      <c r="E116" s="61"/>
      <c r="F116" s="60" t="s">
        <v>95</v>
      </c>
      <c r="G116" s="61"/>
      <c r="H116" s="62"/>
      <c r="I116" s="75"/>
      <c r="J116" s="60" t="s">
        <v>95</v>
      </c>
      <c r="K116" s="64"/>
      <c r="L116" s="64"/>
      <c r="M116" s="64" t="s">
        <v>96</v>
      </c>
      <c r="N116" s="64" t="s">
        <v>97</v>
      </c>
      <c r="O116" s="65" t="s">
        <v>986</v>
      </c>
      <c r="P116" s="70" t="s">
        <v>96</v>
      </c>
      <c r="Q116" s="60" t="s">
        <v>95</v>
      </c>
      <c r="R116" s="60" t="s">
        <v>96</v>
      </c>
      <c r="S116" s="66" t="s">
        <v>96</v>
      </c>
      <c r="T116" s="67" t="s">
        <v>96</v>
      </c>
      <c r="U116" s="60" t="s">
        <v>96</v>
      </c>
      <c r="V116" s="60" t="s">
        <v>96</v>
      </c>
      <c r="W116" s="60" t="str" cm="1">
        <f t="array" ref="W116">_xlfn.LET(_xlpm.resultados,_xlfn.UNIQUE(_xlfn._xlws.FILTER(Tabla1[Proceso],(Tabla1[Metal Base]=Q116)*(Tabla1[Etiquetas]=_xlfn.TEXTJOIN(" + ",TRUE,IF((TRIM(Upload!R116:V116)="")+(LOWER(TRIM(Upload!R116:V116))="(seleccione)"),"",PROPER(TRIM(Upload!R116:V116)))))*(Tabla1[Línea2]=IFERROR(VLOOKUP(Upload!P116&amp;"*",CAT_Procesos!D:D,1,FALSE),"")))),_xlpm.cantidad,ROWS(_xlpm.resultados),IF(ISERROR(_xlpm.cantidad),"Combinación no existente",IF(_xlpm.cantidad=1,INDEX(_xlpm.resultados,1),"(seleccione)")))</f>
        <v>Combinación no existente</v>
      </c>
      <c r="X116" s="67" t="s">
        <v>96</v>
      </c>
      <c r="Y116" s="64"/>
      <c r="Z116" s="64"/>
      <c r="AA116" s="64"/>
      <c r="AB116" s="133" t="s">
        <v>96</v>
      </c>
      <c r="AC116" s="64"/>
      <c r="AD116" s="64"/>
      <c r="AE116" s="64"/>
      <c r="AF116" s="60" t="s">
        <v>96</v>
      </c>
      <c r="AG116" s="64"/>
      <c r="AH116" s="64"/>
      <c r="AI116" s="64"/>
      <c r="AJ116" s="68" t="s">
        <v>96</v>
      </c>
      <c r="AK116" s="69" t="str">
        <f t="shared" si="2"/>
        <v/>
      </c>
      <c r="AL116" s="70" t="s">
        <v>96</v>
      </c>
      <c r="AM116" s="69" t="str">
        <f t="shared" si="3"/>
        <v/>
      </c>
      <c r="AN116" s="71"/>
      <c r="AO116" s="71"/>
      <c r="AP116" s="71"/>
      <c r="AQ116" s="71"/>
      <c r="AR116" s="71" t="s">
        <v>96</v>
      </c>
      <c r="AS116" s="71"/>
      <c r="AT116" s="71" t="s">
        <v>96</v>
      </c>
      <c r="AU116" s="71"/>
      <c r="AV116" s="71" t="s">
        <v>95</v>
      </c>
      <c r="AW116" s="71"/>
      <c r="AX116" s="71"/>
      <c r="AY116" s="71"/>
      <c r="AZ116" s="71"/>
      <c r="BA116" s="71"/>
      <c r="BB116" s="70" t="s">
        <v>218</v>
      </c>
      <c r="BC116" s="70" t="s">
        <v>98</v>
      </c>
      <c r="BD116" s="72" t="str">
        <f>IF('Cálculo MP'!K126="","",'Cálculo MP'!K126)</f>
        <v/>
      </c>
      <c r="BE116" s="72" t="str">
        <f>IF('Cálculo MP'!L126="","",'Cálculo MP'!L126)</f>
        <v/>
      </c>
      <c r="BF116" s="72" t="str">
        <f>IF('Cálculo MP'!M126="","",'Cálculo MP'!M126)</f>
        <v/>
      </c>
      <c r="BG116" s="72" t="str">
        <f>IF('Cálculo MP'!N126="","",'Cálculo MP'!N126)</f>
        <v/>
      </c>
      <c r="BH116" s="72" t="str">
        <f>IF('Cálculo MP'!O126="","",'Cálculo MP'!O126)</f>
        <v/>
      </c>
      <c r="BI116" s="72" t="str">
        <f>IF('Cálculo MP'!P126="","",'Cálculo MP'!P126)</f>
        <v/>
      </c>
      <c r="BJ116" s="72" t="str">
        <f>IF('Cálculo MP'!Q126="","",'Cálculo MP'!Q126)</f>
        <v/>
      </c>
      <c r="BK116" s="72" t="str">
        <f>IF('Cálculo MP'!R126="","",'Cálculo MP'!R126)</f>
        <v/>
      </c>
      <c r="BL116" s="72" t="str">
        <f>IF('Cálculo MP'!S126="","",'Cálculo MP'!S126)</f>
        <v/>
      </c>
      <c r="BM116" s="71"/>
      <c r="BN116" s="71"/>
      <c r="BO116" s="71"/>
      <c r="BP116" s="71"/>
      <c r="BQ116" s="71"/>
      <c r="BR116" s="71"/>
      <c r="BS116" s="71"/>
    </row>
    <row r="117" spans="1:71" ht="19.5" customHeight="1" x14ac:dyDescent="0.15">
      <c r="A117" s="56" t="s">
        <v>985</v>
      </c>
      <c r="B117" s="57" t="s">
        <v>986</v>
      </c>
      <c r="C117" s="58" t="s">
        <v>985</v>
      </c>
      <c r="D117" s="59" t="s">
        <v>985</v>
      </c>
      <c r="E117" s="61"/>
      <c r="F117" s="60" t="s">
        <v>95</v>
      </c>
      <c r="G117" s="61"/>
      <c r="H117" s="62"/>
      <c r="I117" s="75"/>
      <c r="J117" s="60" t="s">
        <v>95</v>
      </c>
      <c r="K117" s="64"/>
      <c r="L117" s="64"/>
      <c r="M117" s="64" t="s">
        <v>96</v>
      </c>
      <c r="N117" s="64" t="s">
        <v>97</v>
      </c>
      <c r="O117" s="65" t="s">
        <v>986</v>
      </c>
      <c r="P117" s="70" t="s">
        <v>96</v>
      </c>
      <c r="Q117" s="60" t="s">
        <v>95</v>
      </c>
      <c r="R117" s="60" t="s">
        <v>96</v>
      </c>
      <c r="S117" s="66" t="s">
        <v>96</v>
      </c>
      <c r="T117" s="67" t="s">
        <v>96</v>
      </c>
      <c r="U117" s="60" t="s">
        <v>96</v>
      </c>
      <c r="V117" s="60" t="s">
        <v>96</v>
      </c>
      <c r="W117" s="60" t="str" cm="1">
        <f t="array" ref="W117">_xlfn.LET(_xlpm.resultados,_xlfn.UNIQUE(_xlfn._xlws.FILTER(Tabla1[Proceso],(Tabla1[Metal Base]=Q117)*(Tabla1[Etiquetas]=_xlfn.TEXTJOIN(" + ",TRUE,IF((TRIM(Upload!R117:V117)="")+(LOWER(TRIM(Upload!R117:V117))="(seleccione)"),"",PROPER(TRIM(Upload!R117:V117)))))*(Tabla1[Línea2]=IFERROR(VLOOKUP(Upload!P117&amp;"*",CAT_Procesos!D:D,1,FALSE),"")))),_xlpm.cantidad,ROWS(_xlpm.resultados),IF(ISERROR(_xlpm.cantidad),"Combinación no existente",IF(_xlpm.cantidad=1,INDEX(_xlpm.resultados,1),"(seleccione)")))</f>
        <v>Combinación no existente</v>
      </c>
      <c r="X117" s="67" t="s">
        <v>96</v>
      </c>
      <c r="Y117" s="64"/>
      <c r="Z117" s="64"/>
      <c r="AA117" s="64"/>
      <c r="AB117" s="133" t="s">
        <v>96</v>
      </c>
      <c r="AC117" s="64"/>
      <c r="AD117" s="64"/>
      <c r="AE117" s="64"/>
      <c r="AF117" s="60" t="s">
        <v>96</v>
      </c>
      <c r="AG117" s="64"/>
      <c r="AH117" s="64"/>
      <c r="AI117" s="64"/>
      <c r="AJ117" s="68" t="s">
        <v>96</v>
      </c>
      <c r="AK117" s="69" t="str">
        <f t="shared" si="2"/>
        <v/>
      </c>
      <c r="AL117" s="70" t="s">
        <v>96</v>
      </c>
      <c r="AM117" s="69" t="str">
        <f t="shared" si="3"/>
        <v/>
      </c>
      <c r="AN117" s="71"/>
      <c r="AO117" s="71"/>
      <c r="AP117" s="71"/>
      <c r="AQ117" s="71"/>
      <c r="AR117" s="71" t="s">
        <v>96</v>
      </c>
      <c r="AS117" s="71"/>
      <c r="AT117" s="71" t="s">
        <v>96</v>
      </c>
      <c r="AU117" s="71"/>
      <c r="AV117" s="71" t="s">
        <v>95</v>
      </c>
      <c r="AW117" s="71"/>
      <c r="AX117" s="71"/>
      <c r="AY117" s="71"/>
      <c r="AZ117" s="71"/>
      <c r="BA117" s="71"/>
      <c r="BB117" s="70" t="s">
        <v>218</v>
      </c>
      <c r="BC117" s="70" t="s">
        <v>98</v>
      </c>
      <c r="BD117" s="72" t="str">
        <f>IF('Cálculo MP'!K127="","",'Cálculo MP'!K127)</f>
        <v/>
      </c>
      <c r="BE117" s="72" t="str">
        <f>IF('Cálculo MP'!L127="","",'Cálculo MP'!L127)</f>
        <v/>
      </c>
      <c r="BF117" s="72" t="str">
        <f>IF('Cálculo MP'!M127="","",'Cálculo MP'!M127)</f>
        <v/>
      </c>
      <c r="BG117" s="72" t="str">
        <f>IF('Cálculo MP'!N127="","",'Cálculo MP'!N127)</f>
        <v/>
      </c>
      <c r="BH117" s="72" t="str">
        <f>IF('Cálculo MP'!O127="","",'Cálculo MP'!O127)</f>
        <v/>
      </c>
      <c r="BI117" s="72" t="str">
        <f>IF('Cálculo MP'!P127="","",'Cálculo MP'!P127)</f>
        <v/>
      </c>
      <c r="BJ117" s="72" t="str">
        <f>IF('Cálculo MP'!Q127="","",'Cálculo MP'!Q127)</f>
        <v/>
      </c>
      <c r="BK117" s="72" t="str">
        <f>IF('Cálculo MP'!R127="","",'Cálculo MP'!R127)</f>
        <v/>
      </c>
      <c r="BL117" s="72" t="str">
        <f>IF('Cálculo MP'!S127="","",'Cálculo MP'!S127)</f>
        <v/>
      </c>
      <c r="BM117" s="71"/>
      <c r="BN117" s="71"/>
      <c r="BO117" s="71"/>
      <c r="BP117" s="71"/>
      <c r="BQ117" s="71"/>
      <c r="BR117" s="71"/>
      <c r="BS117" s="71"/>
    </row>
    <row r="118" spans="1:71" ht="19.5" customHeight="1" x14ac:dyDescent="0.15">
      <c r="A118" s="56" t="s">
        <v>985</v>
      </c>
      <c r="B118" s="57" t="s">
        <v>986</v>
      </c>
      <c r="C118" s="58" t="s">
        <v>985</v>
      </c>
      <c r="D118" s="59" t="s">
        <v>985</v>
      </c>
      <c r="E118" s="61"/>
      <c r="F118" s="60" t="s">
        <v>95</v>
      </c>
      <c r="G118" s="61"/>
      <c r="H118" s="62"/>
      <c r="I118" s="75"/>
      <c r="J118" s="60" t="s">
        <v>95</v>
      </c>
      <c r="K118" s="64"/>
      <c r="L118" s="64"/>
      <c r="M118" s="64" t="s">
        <v>96</v>
      </c>
      <c r="N118" s="64" t="s">
        <v>97</v>
      </c>
      <c r="O118" s="65" t="s">
        <v>986</v>
      </c>
      <c r="P118" s="70" t="s">
        <v>96</v>
      </c>
      <c r="Q118" s="60" t="s">
        <v>95</v>
      </c>
      <c r="R118" s="60" t="s">
        <v>96</v>
      </c>
      <c r="S118" s="66" t="s">
        <v>96</v>
      </c>
      <c r="T118" s="67" t="s">
        <v>96</v>
      </c>
      <c r="U118" s="60" t="s">
        <v>96</v>
      </c>
      <c r="V118" s="60" t="s">
        <v>96</v>
      </c>
      <c r="W118" s="60" t="str" cm="1">
        <f t="array" ref="W118">_xlfn.LET(_xlpm.resultados,_xlfn.UNIQUE(_xlfn._xlws.FILTER(Tabla1[Proceso],(Tabla1[Metal Base]=Q118)*(Tabla1[Etiquetas]=_xlfn.TEXTJOIN(" + ",TRUE,IF((TRIM(Upload!R118:V118)="")+(LOWER(TRIM(Upload!R118:V118))="(seleccione)"),"",PROPER(TRIM(Upload!R118:V118)))))*(Tabla1[Línea2]=IFERROR(VLOOKUP(Upload!P118&amp;"*",CAT_Procesos!D:D,1,FALSE),"")))),_xlpm.cantidad,ROWS(_xlpm.resultados),IF(ISERROR(_xlpm.cantidad),"Combinación no existente",IF(_xlpm.cantidad=1,INDEX(_xlpm.resultados,1),"(seleccione)")))</f>
        <v>Combinación no existente</v>
      </c>
      <c r="X118" s="67" t="s">
        <v>96</v>
      </c>
      <c r="Y118" s="64"/>
      <c r="Z118" s="64"/>
      <c r="AA118" s="64"/>
      <c r="AB118" s="133" t="s">
        <v>96</v>
      </c>
      <c r="AC118" s="64"/>
      <c r="AD118" s="64"/>
      <c r="AE118" s="64"/>
      <c r="AF118" s="60" t="s">
        <v>96</v>
      </c>
      <c r="AG118" s="64"/>
      <c r="AH118" s="64"/>
      <c r="AI118" s="64"/>
      <c r="AJ118" s="68" t="s">
        <v>96</v>
      </c>
      <c r="AK118" s="69" t="str">
        <f t="shared" si="2"/>
        <v/>
      </c>
      <c r="AL118" s="70" t="s">
        <v>96</v>
      </c>
      <c r="AM118" s="69" t="str">
        <f t="shared" si="3"/>
        <v/>
      </c>
      <c r="AN118" s="71"/>
      <c r="AO118" s="71"/>
      <c r="AP118" s="71"/>
      <c r="AQ118" s="71"/>
      <c r="AR118" s="71" t="s">
        <v>96</v>
      </c>
      <c r="AS118" s="71"/>
      <c r="AT118" s="71" t="s">
        <v>96</v>
      </c>
      <c r="AU118" s="71"/>
      <c r="AV118" s="71" t="s">
        <v>95</v>
      </c>
      <c r="AW118" s="71"/>
      <c r="AX118" s="71"/>
      <c r="AY118" s="71"/>
      <c r="AZ118" s="71"/>
      <c r="BA118" s="71"/>
      <c r="BB118" s="70" t="s">
        <v>218</v>
      </c>
      <c r="BC118" s="70" t="s">
        <v>98</v>
      </c>
      <c r="BD118" s="72" t="str">
        <f>IF('Cálculo MP'!K128="","",'Cálculo MP'!K128)</f>
        <v/>
      </c>
      <c r="BE118" s="72" t="str">
        <f>IF('Cálculo MP'!L128="","",'Cálculo MP'!L128)</f>
        <v/>
      </c>
      <c r="BF118" s="72" t="str">
        <f>IF('Cálculo MP'!M128="","",'Cálculo MP'!M128)</f>
        <v/>
      </c>
      <c r="BG118" s="72" t="str">
        <f>IF('Cálculo MP'!N128="","",'Cálculo MP'!N128)</f>
        <v/>
      </c>
      <c r="BH118" s="72" t="str">
        <f>IF('Cálculo MP'!O128="","",'Cálculo MP'!O128)</f>
        <v/>
      </c>
      <c r="BI118" s="72" t="str">
        <f>IF('Cálculo MP'!P128="","",'Cálculo MP'!P128)</f>
        <v/>
      </c>
      <c r="BJ118" s="72" t="str">
        <f>IF('Cálculo MP'!Q128="","",'Cálculo MP'!Q128)</f>
        <v/>
      </c>
      <c r="BK118" s="72" t="str">
        <f>IF('Cálculo MP'!R128="","",'Cálculo MP'!R128)</f>
        <v/>
      </c>
      <c r="BL118" s="72" t="str">
        <f>IF('Cálculo MP'!S128="","",'Cálculo MP'!S128)</f>
        <v/>
      </c>
      <c r="BM118" s="71"/>
      <c r="BN118" s="71"/>
      <c r="BO118" s="71"/>
      <c r="BP118" s="71"/>
      <c r="BQ118" s="71"/>
      <c r="BR118" s="71"/>
      <c r="BS118" s="71"/>
    </row>
    <row r="119" spans="1:71" ht="19.5" customHeight="1" x14ac:dyDescent="0.15">
      <c r="A119" s="56" t="s">
        <v>985</v>
      </c>
      <c r="B119" s="57" t="s">
        <v>986</v>
      </c>
      <c r="C119" s="58" t="s">
        <v>985</v>
      </c>
      <c r="D119" s="59" t="s">
        <v>985</v>
      </c>
      <c r="E119" s="61"/>
      <c r="F119" s="60" t="s">
        <v>95</v>
      </c>
      <c r="G119" s="61"/>
      <c r="H119" s="62"/>
      <c r="I119" s="75"/>
      <c r="J119" s="60" t="s">
        <v>95</v>
      </c>
      <c r="K119" s="64"/>
      <c r="L119" s="64"/>
      <c r="M119" s="64" t="s">
        <v>96</v>
      </c>
      <c r="N119" s="64" t="s">
        <v>97</v>
      </c>
      <c r="O119" s="65" t="s">
        <v>986</v>
      </c>
      <c r="P119" s="70" t="s">
        <v>96</v>
      </c>
      <c r="Q119" s="60" t="s">
        <v>95</v>
      </c>
      <c r="R119" s="60" t="s">
        <v>96</v>
      </c>
      <c r="S119" s="66" t="s">
        <v>96</v>
      </c>
      <c r="T119" s="67" t="s">
        <v>96</v>
      </c>
      <c r="U119" s="60" t="s">
        <v>96</v>
      </c>
      <c r="V119" s="60" t="s">
        <v>96</v>
      </c>
      <c r="W119" s="60" t="str" cm="1">
        <f t="array" ref="W119">_xlfn.LET(_xlpm.resultados,_xlfn.UNIQUE(_xlfn._xlws.FILTER(Tabla1[Proceso],(Tabla1[Metal Base]=Q119)*(Tabla1[Etiquetas]=_xlfn.TEXTJOIN(" + ",TRUE,IF((TRIM(Upload!R119:V119)="")+(LOWER(TRIM(Upload!R119:V119))="(seleccione)"),"",PROPER(TRIM(Upload!R119:V119)))))*(Tabla1[Línea2]=IFERROR(VLOOKUP(Upload!P119&amp;"*",CAT_Procesos!D:D,1,FALSE),"")))),_xlpm.cantidad,ROWS(_xlpm.resultados),IF(ISERROR(_xlpm.cantidad),"Combinación no existente",IF(_xlpm.cantidad=1,INDEX(_xlpm.resultados,1),"(seleccione)")))</f>
        <v>Combinación no existente</v>
      </c>
      <c r="X119" s="67" t="s">
        <v>96</v>
      </c>
      <c r="Y119" s="64"/>
      <c r="Z119" s="64"/>
      <c r="AA119" s="64"/>
      <c r="AB119" s="133" t="s">
        <v>96</v>
      </c>
      <c r="AC119" s="64"/>
      <c r="AD119" s="64"/>
      <c r="AE119" s="64"/>
      <c r="AF119" s="60" t="s">
        <v>96</v>
      </c>
      <c r="AG119" s="64"/>
      <c r="AH119" s="64"/>
      <c r="AI119" s="64"/>
      <c r="AJ119" s="68" t="s">
        <v>96</v>
      </c>
      <c r="AK119" s="69" t="str">
        <f t="shared" si="2"/>
        <v/>
      </c>
      <c r="AL119" s="70" t="s">
        <v>96</v>
      </c>
      <c r="AM119" s="69" t="str">
        <f t="shared" si="3"/>
        <v/>
      </c>
      <c r="AN119" s="71"/>
      <c r="AO119" s="71"/>
      <c r="AP119" s="71"/>
      <c r="AQ119" s="71"/>
      <c r="AR119" s="71" t="s">
        <v>96</v>
      </c>
      <c r="AS119" s="71"/>
      <c r="AT119" s="71" t="s">
        <v>96</v>
      </c>
      <c r="AU119" s="71"/>
      <c r="AV119" s="71" t="s">
        <v>95</v>
      </c>
      <c r="AW119" s="71"/>
      <c r="AX119" s="71"/>
      <c r="AY119" s="71"/>
      <c r="AZ119" s="71"/>
      <c r="BA119" s="71"/>
      <c r="BB119" s="70" t="s">
        <v>218</v>
      </c>
      <c r="BC119" s="70" t="s">
        <v>98</v>
      </c>
      <c r="BD119" s="72" t="str">
        <f>IF('Cálculo MP'!K129="","",'Cálculo MP'!K129)</f>
        <v/>
      </c>
      <c r="BE119" s="72" t="str">
        <f>IF('Cálculo MP'!L129="","",'Cálculo MP'!L129)</f>
        <v/>
      </c>
      <c r="BF119" s="72" t="str">
        <f>IF('Cálculo MP'!M129="","",'Cálculo MP'!M129)</f>
        <v/>
      </c>
      <c r="BG119" s="72" t="str">
        <f>IF('Cálculo MP'!N129="","",'Cálculo MP'!N129)</f>
        <v/>
      </c>
      <c r="BH119" s="72" t="str">
        <f>IF('Cálculo MP'!O129="","",'Cálculo MP'!O129)</f>
        <v/>
      </c>
      <c r="BI119" s="72" t="str">
        <f>IF('Cálculo MP'!P129="","",'Cálculo MP'!P129)</f>
        <v/>
      </c>
      <c r="BJ119" s="72" t="str">
        <f>IF('Cálculo MP'!Q129="","",'Cálculo MP'!Q129)</f>
        <v/>
      </c>
      <c r="BK119" s="72" t="str">
        <f>IF('Cálculo MP'!R129="","",'Cálculo MP'!R129)</f>
        <v/>
      </c>
      <c r="BL119" s="72" t="str">
        <f>IF('Cálculo MP'!S129="","",'Cálculo MP'!S129)</f>
        <v/>
      </c>
      <c r="BM119" s="71"/>
      <c r="BN119" s="71"/>
      <c r="BO119" s="71"/>
      <c r="BP119" s="71"/>
      <c r="BQ119" s="71"/>
      <c r="BR119" s="71"/>
      <c r="BS119" s="71"/>
    </row>
    <row r="120" spans="1:71" ht="19.5" customHeight="1" x14ac:dyDescent="0.15">
      <c r="A120" s="56" t="s">
        <v>985</v>
      </c>
      <c r="B120" s="57" t="s">
        <v>986</v>
      </c>
      <c r="C120" s="58" t="s">
        <v>985</v>
      </c>
      <c r="D120" s="59" t="s">
        <v>985</v>
      </c>
      <c r="E120" s="61"/>
      <c r="F120" s="60" t="s">
        <v>95</v>
      </c>
      <c r="G120" s="61"/>
      <c r="H120" s="62"/>
      <c r="I120" s="75"/>
      <c r="J120" s="60" t="s">
        <v>95</v>
      </c>
      <c r="K120" s="64"/>
      <c r="L120" s="64"/>
      <c r="M120" s="64" t="s">
        <v>96</v>
      </c>
      <c r="N120" s="64" t="s">
        <v>97</v>
      </c>
      <c r="O120" s="65" t="s">
        <v>986</v>
      </c>
      <c r="P120" s="70" t="s">
        <v>96</v>
      </c>
      <c r="Q120" s="60" t="s">
        <v>95</v>
      </c>
      <c r="R120" s="60" t="s">
        <v>96</v>
      </c>
      <c r="S120" s="66" t="s">
        <v>96</v>
      </c>
      <c r="T120" s="67" t="s">
        <v>96</v>
      </c>
      <c r="U120" s="60" t="s">
        <v>96</v>
      </c>
      <c r="V120" s="60" t="s">
        <v>96</v>
      </c>
      <c r="W120" s="60" t="str" cm="1">
        <f t="array" ref="W120">_xlfn.LET(_xlpm.resultados,_xlfn.UNIQUE(_xlfn._xlws.FILTER(Tabla1[Proceso],(Tabla1[Metal Base]=Q120)*(Tabla1[Etiquetas]=_xlfn.TEXTJOIN(" + ",TRUE,IF((TRIM(Upload!R120:V120)="")+(LOWER(TRIM(Upload!R120:V120))="(seleccione)"),"",PROPER(TRIM(Upload!R120:V120)))))*(Tabla1[Línea2]=IFERROR(VLOOKUP(Upload!P120&amp;"*",CAT_Procesos!D:D,1,FALSE),"")))),_xlpm.cantidad,ROWS(_xlpm.resultados),IF(ISERROR(_xlpm.cantidad),"Combinación no existente",IF(_xlpm.cantidad=1,INDEX(_xlpm.resultados,1),"(seleccione)")))</f>
        <v>Combinación no existente</v>
      </c>
      <c r="X120" s="67" t="s">
        <v>96</v>
      </c>
      <c r="Y120" s="64"/>
      <c r="Z120" s="64"/>
      <c r="AA120" s="64"/>
      <c r="AB120" s="133" t="s">
        <v>96</v>
      </c>
      <c r="AC120" s="64"/>
      <c r="AD120" s="64"/>
      <c r="AE120" s="64"/>
      <c r="AF120" s="60" t="s">
        <v>96</v>
      </c>
      <c r="AG120" s="64"/>
      <c r="AH120" s="64"/>
      <c r="AI120" s="64"/>
      <c r="AJ120" s="68" t="s">
        <v>96</v>
      </c>
      <c r="AK120" s="69" t="str">
        <f t="shared" si="2"/>
        <v/>
      </c>
      <c r="AL120" s="70" t="s">
        <v>96</v>
      </c>
      <c r="AM120" s="69" t="str">
        <f t="shared" si="3"/>
        <v/>
      </c>
      <c r="AN120" s="71"/>
      <c r="AO120" s="71"/>
      <c r="AP120" s="71"/>
      <c r="AQ120" s="71"/>
      <c r="AR120" s="71" t="s">
        <v>96</v>
      </c>
      <c r="AS120" s="71"/>
      <c r="AT120" s="71" t="s">
        <v>96</v>
      </c>
      <c r="AU120" s="71"/>
      <c r="AV120" s="71" t="s">
        <v>95</v>
      </c>
      <c r="AW120" s="71"/>
      <c r="AX120" s="71"/>
      <c r="AY120" s="71"/>
      <c r="AZ120" s="71"/>
      <c r="BA120" s="71"/>
      <c r="BB120" s="70" t="s">
        <v>218</v>
      </c>
      <c r="BC120" s="70" t="s">
        <v>98</v>
      </c>
      <c r="BD120" s="72" t="str">
        <f>IF('Cálculo MP'!K130="","",'Cálculo MP'!K130)</f>
        <v/>
      </c>
      <c r="BE120" s="72" t="str">
        <f>IF('Cálculo MP'!L130="","",'Cálculo MP'!L130)</f>
        <v/>
      </c>
      <c r="BF120" s="72" t="str">
        <f>IF('Cálculo MP'!M130="","",'Cálculo MP'!M130)</f>
        <v/>
      </c>
      <c r="BG120" s="72" t="str">
        <f>IF('Cálculo MP'!N130="","",'Cálculo MP'!N130)</f>
        <v/>
      </c>
      <c r="BH120" s="72" t="str">
        <f>IF('Cálculo MP'!O130="","",'Cálculo MP'!O130)</f>
        <v/>
      </c>
      <c r="BI120" s="72" t="str">
        <f>IF('Cálculo MP'!P130="","",'Cálculo MP'!P130)</f>
        <v/>
      </c>
      <c r="BJ120" s="72" t="str">
        <f>IF('Cálculo MP'!Q130="","",'Cálculo MP'!Q130)</f>
        <v/>
      </c>
      <c r="BK120" s="72" t="str">
        <f>IF('Cálculo MP'!R130="","",'Cálculo MP'!R130)</f>
        <v/>
      </c>
      <c r="BL120" s="72" t="str">
        <f>IF('Cálculo MP'!S130="","",'Cálculo MP'!S130)</f>
        <v/>
      </c>
      <c r="BM120" s="71"/>
      <c r="BN120" s="71"/>
      <c r="BO120" s="71"/>
      <c r="BP120" s="71"/>
      <c r="BQ120" s="71"/>
      <c r="BR120" s="71"/>
      <c r="BS120" s="71"/>
    </row>
    <row r="121" spans="1:71" ht="19.5" customHeight="1" x14ac:dyDescent="0.15">
      <c r="A121" s="56" t="s">
        <v>985</v>
      </c>
      <c r="B121" s="57" t="s">
        <v>986</v>
      </c>
      <c r="C121" s="58" t="s">
        <v>985</v>
      </c>
      <c r="D121" s="59" t="s">
        <v>985</v>
      </c>
      <c r="E121" s="61"/>
      <c r="F121" s="60" t="s">
        <v>95</v>
      </c>
      <c r="G121" s="61"/>
      <c r="H121" s="62"/>
      <c r="I121" s="75"/>
      <c r="J121" s="60" t="s">
        <v>95</v>
      </c>
      <c r="K121" s="64"/>
      <c r="L121" s="64"/>
      <c r="M121" s="64" t="s">
        <v>96</v>
      </c>
      <c r="N121" s="64" t="s">
        <v>97</v>
      </c>
      <c r="O121" s="65" t="s">
        <v>986</v>
      </c>
      <c r="P121" s="70" t="s">
        <v>96</v>
      </c>
      <c r="Q121" s="60" t="s">
        <v>95</v>
      </c>
      <c r="R121" s="60" t="s">
        <v>96</v>
      </c>
      <c r="S121" s="66" t="s">
        <v>96</v>
      </c>
      <c r="T121" s="67" t="s">
        <v>96</v>
      </c>
      <c r="U121" s="60" t="s">
        <v>96</v>
      </c>
      <c r="V121" s="60" t="s">
        <v>96</v>
      </c>
      <c r="W121" s="60" t="str" cm="1">
        <f t="array" ref="W121">_xlfn.LET(_xlpm.resultados,_xlfn.UNIQUE(_xlfn._xlws.FILTER(Tabla1[Proceso],(Tabla1[Metal Base]=Q121)*(Tabla1[Etiquetas]=_xlfn.TEXTJOIN(" + ",TRUE,IF((TRIM(Upload!R121:V121)="")+(LOWER(TRIM(Upload!R121:V121))="(seleccione)"),"",PROPER(TRIM(Upload!R121:V121)))))*(Tabla1[Línea2]=IFERROR(VLOOKUP(Upload!P121&amp;"*",CAT_Procesos!D:D,1,FALSE),"")))),_xlpm.cantidad,ROWS(_xlpm.resultados),IF(ISERROR(_xlpm.cantidad),"Combinación no existente",IF(_xlpm.cantidad=1,INDEX(_xlpm.resultados,1),"(seleccione)")))</f>
        <v>Combinación no existente</v>
      </c>
      <c r="X121" s="67" t="s">
        <v>96</v>
      </c>
      <c r="Y121" s="64"/>
      <c r="Z121" s="64"/>
      <c r="AA121" s="64"/>
      <c r="AB121" s="133" t="s">
        <v>96</v>
      </c>
      <c r="AC121" s="64"/>
      <c r="AD121" s="64"/>
      <c r="AE121" s="64"/>
      <c r="AF121" s="60" t="s">
        <v>96</v>
      </c>
      <c r="AG121" s="64"/>
      <c r="AH121" s="64"/>
      <c r="AI121" s="64"/>
      <c r="AJ121" s="68" t="s">
        <v>96</v>
      </c>
      <c r="AK121" s="69" t="str">
        <f t="shared" si="2"/>
        <v/>
      </c>
      <c r="AL121" s="70" t="s">
        <v>96</v>
      </c>
      <c r="AM121" s="69" t="str">
        <f t="shared" si="3"/>
        <v/>
      </c>
      <c r="AN121" s="71"/>
      <c r="AO121" s="71"/>
      <c r="AP121" s="71"/>
      <c r="AQ121" s="71"/>
      <c r="AR121" s="71" t="s">
        <v>96</v>
      </c>
      <c r="AS121" s="71"/>
      <c r="AT121" s="71" t="s">
        <v>96</v>
      </c>
      <c r="AU121" s="71"/>
      <c r="AV121" s="71" t="s">
        <v>95</v>
      </c>
      <c r="AW121" s="71"/>
      <c r="AX121" s="71"/>
      <c r="AY121" s="71"/>
      <c r="AZ121" s="71"/>
      <c r="BA121" s="71"/>
      <c r="BB121" s="70" t="s">
        <v>218</v>
      </c>
      <c r="BC121" s="70" t="s">
        <v>98</v>
      </c>
      <c r="BD121" s="72" t="str">
        <f>IF('Cálculo MP'!K131="","",'Cálculo MP'!K131)</f>
        <v/>
      </c>
      <c r="BE121" s="72" t="str">
        <f>IF('Cálculo MP'!L131="","",'Cálculo MP'!L131)</f>
        <v/>
      </c>
      <c r="BF121" s="72" t="str">
        <f>IF('Cálculo MP'!M131="","",'Cálculo MP'!M131)</f>
        <v/>
      </c>
      <c r="BG121" s="72" t="str">
        <f>IF('Cálculo MP'!N131="","",'Cálculo MP'!N131)</f>
        <v/>
      </c>
      <c r="BH121" s="72" t="str">
        <f>IF('Cálculo MP'!O131="","",'Cálculo MP'!O131)</f>
        <v/>
      </c>
      <c r="BI121" s="72" t="str">
        <f>IF('Cálculo MP'!P131="","",'Cálculo MP'!P131)</f>
        <v/>
      </c>
      <c r="BJ121" s="72" t="str">
        <f>IF('Cálculo MP'!Q131="","",'Cálculo MP'!Q131)</f>
        <v/>
      </c>
      <c r="BK121" s="72" t="str">
        <f>IF('Cálculo MP'!R131="","",'Cálculo MP'!R131)</f>
        <v/>
      </c>
      <c r="BL121" s="72" t="str">
        <f>IF('Cálculo MP'!S131="","",'Cálculo MP'!S131)</f>
        <v/>
      </c>
      <c r="BM121" s="71"/>
      <c r="BN121" s="71"/>
      <c r="BO121" s="71"/>
      <c r="BP121" s="71"/>
      <c r="BQ121" s="71"/>
      <c r="BR121" s="71"/>
      <c r="BS121" s="71"/>
    </row>
    <row r="122" spans="1:71" ht="19.5" customHeight="1" x14ac:dyDescent="0.15">
      <c r="A122" s="56" t="s">
        <v>985</v>
      </c>
      <c r="B122" s="57" t="s">
        <v>986</v>
      </c>
      <c r="C122" s="58" t="s">
        <v>985</v>
      </c>
      <c r="D122" s="59" t="s">
        <v>985</v>
      </c>
      <c r="E122" s="61"/>
      <c r="F122" s="60" t="s">
        <v>95</v>
      </c>
      <c r="G122" s="61"/>
      <c r="H122" s="62"/>
      <c r="I122" s="75"/>
      <c r="J122" s="60" t="s">
        <v>95</v>
      </c>
      <c r="K122" s="64"/>
      <c r="L122" s="64"/>
      <c r="M122" s="64" t="s">
        <v>96</v>
      </c>
      <c r="N122" s="64" t="s">
        <v>97</v>
      </c>
      <c r="O122" s="65" t="s">
        <v>986</v>
      </c>
      <c r="P122" s="70" t="s">
        <v>96</v>
      </c>
      <c r="Q122" s="60" t="s">
        <v>95</v>
      </c>
      <c r="R122" s="60" t="s">
        <v>96</v>
      </c>
      <c r="S122" s="66" t="s">
        <v>96</v>
      </c>
      <c r="T122" s="67" t="s">
        <v>96</v>
      </c>
      <c r="U122" s="60" t="s">
        <v>96</v>
      </c>
      <c r="V122" s="60" t="s">
        <v>96</v>
      </c>
      <c r="W122" s="60" t="str" cm="1">
        <f t="array" ref="W122">_xlfn.LET(_xlpm.resultados,_xlfn.UNIQUE(_xlfn._xlws.FILTER(Tabla1[Proceso],(Tabla1[Metal Base]=Q122)*(Tabla1[Etiquetas]=_xlfn.TEXTJOIN(" + ",TRUE,IF((TRIM(Upload!R122:V122)="")+(LOWER(TRIM(Upload!R122:V122))="(seleccione)"),"",PROPER(TRIM(Upload!R122:V122)))))*(Tabla1[Línea2]=IFERROR(VLOOKUP(Upload!P122&amp;"*",CAT_Procesos!D:D,1,FALSE),"")))),_xlpm.cantidad,ROWS(_xlpm.resultados),IF(ISERROR(_xlpm.cantidad),"Combinación no existente",IF(_xlpm.cantidad=1,INDEX(_xlpm.resultados,1),"(seleccione)")))</f>
        <v>Combinación no existente</v>
      </c>
      <c r="X122" s="67" t="s">
        <v>96</v>
      </c>
      <c r="Y122" s="64"/>
      <c r="Z122" s="64"/>
      <c r="AA122" s="64"/>
      <c r="AB122" s="133" t="s">
        <v>96</v>
      </c>
      <c r="AC122" s="64"/>
      <c r="AD122" s="64"/>
      <c r="AE122" s="64"/>
      <c r="AF122" s="60" t="s">
        <v>96</v>
      </c>
      <c r="AG122" s="64"/>
      <c r="AH122" s="64"/>
      <c r="AI122" s="64"/>
      <c r="AJ122" s="68" t="s">
        <v>96</v>
      </c>
      <c r="AK122" s="69" t="str">
        <f t="shared" si="2"/>
        <v/>
      </c>
      <c r="AL122" s="70" t="s">
        <v>96</v>
      </c>
      <c r="AM122" s="69" t="str">
        <f t="shared" si="3"/>
        <v/>
      </c>
      <c r="AN122" s="71"/>
      <c r="AO122" s="71"/>
      <c r="AP122" s="71"/>
      <c r="AQ122" s="71"/>
      <c r="AR122" s="71" t="s">
        <v>96</v>
      </c>
      <c r="AS122" s="71"/>
      <c r="AT122" s="71" t="s">
        <v>96</v>
      </c>
      <c r="AU122" s="71"/>
      <c r="AV122" s="71" t="s">
        <v>95</v>
      </c>
      <c r="AW122" s="71"/>
      <c r="AX122" s="71"/>
      <c r="AY122" s="71"/>
      <c r="AZ122" s="71"/>
      <c r="BA122" s="71"/>
      <c r="BB122" s="70" t="s">
        <v>218</v>
      </c>
      <c r="BC122" s="70" t="s">
        <v>98</v>
      </c>
      <c r="BD122" s="72" t="str">
        <f>IF('Cálculo MP'!K132="","",'Cálculo MP'!K132)</f>
        <v/>
      </c>
      <c r="BE122" s="72" t="str">
        <f>IF('Cálculo MP'!L132="","",'Cálculo MP'!L132)</f>
        <v/>
      </c>
      <c r="BF122" s="72" t="str">
        <f>IF('Cálculo MP'!M132="","",'Cálculo MP'!M132)</f>
        <v/>
      </c>
      <c r="BG122" s="72" t="str">
        <f>IF('Cálculo MP'!N132="","",'Cálculo MP'!N132)</f>
        <v/>
      </c>
      <c r="BH122" s="72" t="str">
        <f>IF('Cálculo MP'!O132="","",'Cálculo MP'!O132)</f>
        <v/>
      </c>
      <c r="BI122" s="72" t="str">
        <f>IF('Cálculo MP'!P132="","",'Cálculo MP'!P132)</f>
        <v/>
      </c>
      <c r="BJ122" s="72" t="str">
        <f>IF('Cálculo MP'!Q132="","",'Cálculo MP'!Q132)</f>
        <v/>
      </c>
      <c r="BK122" s="72" t="str">
        <f>IF('Cálculo MP'!R132="","",'Cálculo MP'!R132)</f>
        <v/>
      </c>
      <c r="BL122" s="72" t="str">
        <f>IF('Cálculo MP'!S132="","",'Cálculo MP'!S132)</f>
        <v/>
      </c>
      <c r="BM122" s="71"/>
      <c r="BN122" s="71"/>
      <c r="BO122" s="71"/>
      <c r="BP122" s="71"/>
      <c r="BQ122" s="71"/>
      <c r="BR122" s="71"/>
      <c r="BS122" s="71"/>
    </row>
    <row r="123" spans="1:71" ht="19.5" customHeight="1" x14ac:dyDescent="0.15">
      <c r="A123" s="56" t="s">
        <v>985</v>
      </c>
      <c r="B123" s="57" t="s">
        <v>986</v>
      </c>
      <c r="C123" s="58" t="s">
        <v>985</v>
      </c>
      <c r="D123" s="59" t="s">
        <v>985</v>
      </c>
      <c r="E123" s="61"/>
      <c r="F123" s="60" t="s">
        <v>95</v>
      </c>
      <c r="G123" s="61"/>
      <c r="H123" s="62"/>
      <c r="I123" s="75"/>
      <c r="J123" s="60" t="s">
        <v>95</v>
      </c>
      <c r="K123" s="64"/>
      <c r="L123" s="64"/>
      <c r="M123" s="64" t="s">
        <v>96</v>
      </c>
      <c r="N123" s="64" t="s">
        <v>97</v>
      </c>
      <c r="O123" s="65" t="s">
        <v>986</v>
      </c>
      <c r="P123" s="70" t="s">
        <v>96</v>
      </c>
      <c r="Q123" s="60" t="s">
        <v>95</v>
      </c>
      <c r="R123" s="60" t="s">
        <v>96</v>
      </c>
      <c r="S123" s="66" t="s">
        <v>96</v>
      </c>
      <c r="T123" s="67" t="s">
        <v>96</v>
      </c>
      <c r="U123" s="60" t="s">
        <v>96</v>
      </c>
      <c r="V123" s="60" t="s">
        <v>96</v>
      </c>
      <c r="W123" s="60" t="str" cm="1">
        <f t="array" ref="W123">_xlfn.LET(_xlpm.resultados,_xlfn.UNIQUE(_xlfn._xlws.FILTER(Tabla1[Proceso],(Tabla1[Metal Base]=Q123)*(Tabla1[Etiquetas]=_xlfn.TEXTJOIN(" + ",TRUE,IF((TRIM(Upload!R123:V123)="")+(LOWER(TRIM(Upload!R123:V123))="(seleccione)"),"",PROPER(TRIM(Upload!R123:V123)))))*(Tabla1[Línea2]=IFERROR(VLOOKUP(Upload!P123&amp;"*",CAT_Procesos!D:D,1,FALSE),"")))),_xlpm.cantidad,ROWS(_xlpm.resultados),IF(ISERROR(_xlpm.cantidad),"Combinación no existente",IF(_xlpm.cantidad=1,INDEX(_xlpm.resultados,1),"(seleccione)")))</f>
        <v>Combinación no existente</v>
      </c>
      <c r="X123" s="67" t="s">
        <v>96</v>
      </c>
      <c r="Y123" s="64"/>
      <c r="Z123" s="64"/>
      <c r="AA123" s="64"/>
      <c r="AB123" s="133" t="s">
        <v>96</v>
      </c>
      <c r="AC123" s="64"/>
      <c r="AD123" s="64"/>
      <c r="AE123" s="64"/>
      <c r="AF123" s="60" t="s">
        <v>96</v>
      </c>
      <c r="AG123" s="64"/>
      <c r="AH123" s="64"/>
      <c r="AI123" s="64"/>
      <c r="AJ123" s="68" t="s">
        <v>96</v>
      </c>
      <c r="AK123" s="69" t="str">
        <f t="shared" si="2"/>
        <v/>
      </c>
      <c r="AL123" s="70" t="s">
        <v>96</v>
      </c>
      <c r="AM123" s="69" t="str">
        <f t="shared" si="3"/>
        <v/>
      </c>
      <c r="AN123" s="71"/>
      <c r="AO123" s="71"/>
      <c r="AP123" s="71"/>
      <c r="AQ123" s="71"/>
      <c r="AR123" s="71" t="s">
        <v>96</v>
      </c>
      <c r="AS123" s="71"/>
      <c r="AT123" s="71" t="s">
        <v>96</v>
      </c>
      <c r="AU123" s="71"/>
      <c r="AV123" s="71" t="s">
        <v>95</v>
      </c>
      <c r="AW123" s="71"/>
      <c r="AX123" s="71"/>
      <c r="AY123" s="71"/>
      <c r="AZ123" s="71"/>
      <c r="BA123" s="71"/>
      <c r="BB123" s="70" t="s">
        <v>218</v>
      </c>
      <c r="BC123" s="70" t="s">
        <v>98</v>
      </c>
      <c r="BD123" s="72" t="str">
        <f>IF('Cálculo MP'!K133="","",'Cálculo MP'!K133)</f>
        <v/>
      </c>
      <c r="BE123" s="72" t="str">
        <f>IF('Cálculo MP'!L133="","",'Cálculo MP'!L133)</f>
        <v/>
      </c>
      <c r="BF123" s="72" t="str">
        <f>IF('Cálculo MP'!M133="","",'Cálculo MP'!M133)</f>
        <v/>
      </c>
      <c r="BG123" s="72" t="str">
        <f>IF('Cálculo MP'!N133="","",'Cálculo MP'!N133)</f>
        <v/>
      </c>
      <c r="BH123" s="72" t="str">
        <f>IF('Cálculo MP'!O133="","",'Cálculo MP'!O133)</f>
        <v/>
      </c>
      <c r="BI123" s="72" t="str">
        <f>IF('Cálculo MP'!P133="","",'Cálculo MP'!P133)</f>
        <v/>
      </c>
      <c r="BJ123" s="72" t="str">
        <f>IF('Cálculo MP'!Q133="","",'Cálculo MP'!Q133)</f>
        <v/>
      </c>
      <c r="BK123" s="72" t="str">
        <f>IF('Cálculo MP'!R133="","",'Cálculo MP'!R133)</f>
        <v/>
      </c>
      <c r="BL123" s="72" t="str">
        <f>IF('Cálculo MP'!S133="","",'Cálculo MP'!S133)</f>
        <v/>
      </c>
      <c r="BM123" s="71"/>
      <c r="BN123" s="71"/>
      <c r="BO123" s="71"/>
      <c r="BP123" s="71"/>
      <c r="BQ123" s="71"/>
      <c r="BR123" s="71"/>
      <c r="BS123" s="71"/>
    </row>
    <row r="124" spans="1:71" ht="19.5" customHeight="1" x14ac:dyDescent="0.15">
      <c r="A124" s="56" t="s">
        <v>985</v>
      </c>
      <c r="B124" s="57" t="s">
        <v>986</v>
      </c>
      <c r="C124" s="58" t="s">
        <v>985</v>
      </c>
      <c r="D124" s="59" t="s">
        <v>985</v>
      </c>
      <c r="E124" s="61"/>
      <c r="F124" s="60" t="s">
        <v>95</v>
      </c>
      <c r="G124" s="61"/>
      <c r="H124" s="62"/>
      <c r="I124" s="75"/>
      <c r="J124" s="60" t="s">
        <v>95</v>
      </c>
      <c r="K124" s="64"/>
      <c r="L124" s="64"/>
      <c r="M124" s="64" t="s">
        <v>96</v>
      </c>
      <c r="N124" s="64" t="s">
        <v>97</v>
      </c>
      <c r="O124" s="65" t="s">
        <v>986</v>
      </c>
      <c r="P124" s="70" t="s">
        <v>96</v>
      </c>
      <c r="Q124" s="60" t="s">
        <v>95</v>
      </c>
      <c r="R124" s="60" t="s">
        <v>96</v>
      </c>
      <c r="S124" s="66" t="s">
        <v>96</v>
      </c>
      <c r="T124" s="67" t="s">
        <v>96</v>
      </c>
      <c r="U124" s="60" t="s">
        <v>96</v>
      </c>
      <c r="V124" s="60" t="s">
        <v>96</v>
      </c>
      <c r="W124" s="60" t="str" cm="1">
        <f t="array" ref="W124">_xlfn.LET(_xlpm.resultados,_xlfn.UNIQUE(_xlfn._xlws.FILTER(Tabla1[Proceso],(Tabla1[Metal Base]=Q124)*(Tabla1[Etiquetas]=_xlfn.TEXTJOIN(" + ",TRUE,IF((TRIM(Upload!R124:V124)="")+(LOWER(TRIM(Upload!R124:V124))="(seleccione)"),"",PROPER(TRIM(Upload!R124:V124)))))*(Tabla1[Línea2]=IFERROR(VLOOKUP(Upload!P124&amp;"*",CAT_Procesos!D:D,1,FALSE),"")))),_xlpm.cantidad,ROWS(_xlpm.resultados),IF(ISERROR(_xlpm.cantidad),"Combinación no existente",IF(_xlpm.cantidad=1,INDEX(_xlpm.resultados,1),"(seleccione)")))</f>
        <v>Combinación no existente</v>
      </c>
      <c r="X124" s="67" t="s">
        <v>96</v>
      </c>
      <c r="Y124" s="64"/>
      <c r="Z124" s="64"/>
      <c r="AA124" s="64"/>
      <c r="AB124" s="133" t="s">
        <v>96</v>
      </c>
      <c r="AC124" s="64"/>
      <c r="AD124" s="64"/>
      <c r="AE124" s="64"/>
      <c r="AF124" s="60" t="s">
        <v>96</v>
      </c>
      <c r="AG124" s="64"/>
      <c r="AH124" s="64"/>
      <c r="AI124" s="64"/>
      <c r="AJ124" s="68" t="s">
        <v>96</v>
      </c>
      <c r="AK124" s="69" t="str">
        <f t="shared" si="2"/>
        <v/>
      </c>
      <c r="AL124" s="70" t="s">
        <v>96</v>
      </c>
      <c r="AM124" s="69" t="str">
        <f t="shared" si="3"/>
        <v/>
      </c>
      <c r="AN124" s="71"/>
      <c r="AO124" s="71"/>
      <c r="AP124" s="71"/>
      <c r="AQ124" s="71"/>
      <c r="AR124" s="71" t="s">
        <v>96</v>
      </c>
      <c r="AS124" s="71"/>
      <c r="AT124" s="71" t="s">
        <v>96</v>
      </c>
      <c r="AU124" s="71"/>
      <c r="AV124" s="71" t="s">
        <v>95</v>
      </c>
      <c r="AW124" s="71"/>
      <c r="AX124" s="71"/>
      <c r="AY124" s="71"/>
      <c r="AZ124" s="71"/>
      <c r="BA124" s="71"/>
      <c r="BB124" s="70" t="s">
        <v>218</v>
      </c>
      <c r="BC124" s="70" t="s">
        <v>98</v>
      </c>
      <c r="BD124" s="72" t="str">
        <f>IF('Cálculo MP'!K134="","",'Cálculo MP'!K134)</f>
        <v/>
      </c>
      <c r="BE124" s="72" t="str">
        <f>IF('Cálculo MP'!L134="","",'Cálculo MP'!L134)</f>
        <v/>
      </c>
      <c r="BF124" s="72" t="str">
        <f>IF('Cálculo MP'!M134="","",'Cálculo MP'!M134)</f>
        <v/>
      </c>
      <c r="BG124" s="72" t="str">
        <f>IF('Cálculo MP'!N134="","",'Cálculo MP'!N134)</f>
        <v/>
      </c>
      <c r="BH124" s="72" t="str">
        <f>IF('Cálculo MP'!O134="","",'Cálculo MP'!O134)</f>
        <v/>
      </c>
      <c r="BI124" s="72" t="str">
        <f>IF('Cálculo MP'!P134="","",'Cálculo MP'!P134)</f>
        <v/>
      </c>
      <c r="BJ124" s="72" t="str">
        <f>IF('Cálculo MP'!Q134="","",'Cálculo MP'!Q134)</f>
        <v/>
      </c>
      <c r="BK124" s="72" t="str">
        <f>IF('Cálculo MP'!R134="","",'Cálculo MP'!R134)</f>
        <v/>
      </c>
      <c r="BL124" s="72" t="str">
        <f>IF('Cálculo MP'!S134="","",'Cálculo MP'!S134)</f>
        <v/>
      </c>
      <c r="BM124" s="71"/>
      <c r="BN124" s="71"/>
      <c r="BO124" s="71"/>
      <c r="BP124" s="71"/>
      <c r="BQ124" s="71"/>
      <c r="BR124" s="71"/>
      <c r="BS124" s="71"/>
    </row>
    <row r="125" spans="1:71" ht="19.5" customHeight="1" x14ac:dyDescent="0.15">
      <c r="A125" s="56" t="s">
        <v>985</v>
      </c>
      <c r="B125" s="57" t="s">
        <v>986</v>
      </c>
      <c r="C125" s="58" t="s">
        <v>985</v>
      </c>
      <c r="D125" s="59" t="s">
        <v>985</v>
      </c>
      <c r="E125" s="61"/>
      <c r="F125" s="60" t="s">
        <v>95</v>
      </c>
      <c r="G125" s="61"/>
      <c r="H125" s="62"/>
      <c r="I125" s="75"/>
      <c r="J125" s="60" t="s">
        <v>95</v>
      </c>
      <c r="K125" s="64"/>
      <c r="L125" s="64"/>
      <c r="M125" s="64" t="s">
        <v>96</v>
      </c>
      <c r="N125" s="64" t="s">
        <v>97</v>
      </c>
      <c r="O125" s="65" t="s">
        <v>986</v>
      </c>
      <c r="P125" s="70" t="s">
        <v>96</v>
      </c>
      <c r="Q125" s="60" t="s">
        <v>95</v>
      </c>
      <c r="R125" s="60" t="s">
        <v>96</v>
      </c>
      <c r="S125" s="66" t="s">
        <v>96</v>
      </c>
      <c r="T125" s="67" t="s">
        <v>96</v>
      </c>
      <c r="U125" s="60" t="s">
        <v>96</v>
      </c>
      <c r="V125" s="60" t="s">
        <v>96</v>
      </c>
      <c r="W125" s="60" t="str" cm="1">
        <f t="array" ref="W125">_xlfn.LET(_xlpm.resultados,_xlfn.UNIQUE(_xlfn._xlws.FILTER(Tabla1[Proceso],(Tabla1[Metal Base]=Q125)*(Tabla1[Etiquetas]=_xlfn.TEXTJOIN(" + ",TRUE,IF((TRIM(Upload!R125:V125)="")+(LOWER(TRIM(Upload!R125:V125))="(seleccione)"),"",PROPER(TRIM(Upload!R125:V125)))))*(Tabla1[Línea2]=IFERROR(VLOOKUP(Upload!P125&amp;"*",CAT_Procesos!D:D,1,FALSE),"")))),_xlpm.cantidad,ROWS(_xlpm.resultados),IF(ISERROR(_xlpm.cantidad),"Combinación no existente",IF(_xlpm.cantidad=1,INDEX(_xlpm.resultados,1),"(seleccione)")))</f>
        <v>Combinación no existente</v>
      </c>
      <c r="X125" s="67" t="s">
        <v>96</v>
      </c>
      <c r="Y125" s="64"/>
      <c r="Z125" s="64"/>
      <c r="AA125" s="64"/>
      <c r="AB125" s="133" t="s">
        <v>96</v>
      </c>
      <c r="AC125" s="64"/>
      <c r="AD125" s="64"/>
      <c r="AE125" s="64"/>
      <c r="AF125" s="60" t="s">
        <v>96</v>
      </c>
      <c r="AG125" s="64"/>
      <c r="AH125" s="64"/>
      <c r="AI125" s="64"/>
      <c r="AJ125" s="68" t="s">
        <v>96</v>
      </c>
      <c r="AK125" s="69" t="str">
        <f t="shared" si="2"/>
        <v/>
      </c>
      <c r="AL125" s="70" t="s">
        <v>96</v>
      </c>
      <c r="AM125" s="69" t="str">
        <f t="shared" si="3"/>
        <v/>
      </c>
      <c r="AN125" s="71"/>
      <c r="AO125" s="71"/>
      <c r="AP125" s="71"/>
      <c r="AQ125" s="71"/>
      <c r="AR125" s="71" t="s">
        <v>96</v>
      </c>
      <c r="AS125" s="71"/>
      <c r="AT125" s="71" t="s">
        <v>96</v>
      </c>
      <c r="AU125" s="71"/>
      <c r="AV125" s="71" t="s">
        <v>95</v>
      </c>
      <c r="AW125" s="71"/>
      <c r="AX125" s="71"/>
      <c r="AY125" s="71"/>
      <c r="AZ125" s="71"/>
      <c r="BA125" s="71"/>
      <c r="BB125" s="70" t="s">
        <v>218</v>
      </c>
      <c r="BC125" s="70" t="s">
        <v>98</v>
      </c>
      <c r="BD125" s="72" t="str">
        <f>IF('Cálculo MP'!K135="","",'Cálculo MP'!K135)</f>
        <v/>
      </c>
      <c r="BE125" s="72" t="str">
        <f>IF('Cálculo MP'!L135="","",'Cálculo MP'!L135)</f>
        <v/>
      </c>
      <c r="BF125" s="72" t="str">
        <f>IF('Cálculo MP'!M135="","",'Cálculo MP'!M135)</f>
        <v/>
      </c>
      <c r="BG125" s="72" t="str">
        <f>IF('Cálculo MP'!N135="","",'Cálculo MP'!N135)</f>
        <v/>
      </c>
      <c r="BH125" s="72" t="str">
        <f>IF('Cálculo MP'!O135="","",'Cálculo MP'!O135)</f>
        <v/>
      </c>
      <c r="BI125" s="72" t="str">
        <f>IF('Cálculo MP'!P135="","",'Cálculo MP'!P135)</f>
        <v/>
      </c>
      <c r="BJ125" s="72" t="str">
        <f>IF('Cálculo MP'!Q135="","",'Cálculo MP'!Q135)</f>
        <v/>
      </c>
      <c r="BK125" s="72" t="str">
        <f>IF('Cálculo MP'!R135="","",'Cálculo MP'!R135)</f>
        <v/>
      </c>
      <c r="BL125" s="72" t="str">
        <f>IF('Cálculo MP'!S135="","",'Cálculo MP'!S135)</f>
        <v/>
      </c>
      <c r="BM125" s="71"/>
      <c r="BN125" s="71"/>
      <c r="BO125" s="71"/>
      <c r="BP125" s="71"/>
      <c r="BQ125" s="71"/>
      <c r="BR125" s="71"/>
      <c r="BS125" s="71"/>
    </row>
    <row r="126" spans="1:71" ht="19.5" customHeight="1" x14ac:dyDescent="0.15">
      <c r="A126" s="56" t="s">
        <v>985</v>
      </c>
      <c r="B126" s="57" t="s">
        <v>986</v>
      </c>
      <c r="C126" s="58" t="s">
        <v>985</v>
      </c>
      <c r="D126" s="59" t="s">
        <v>985</v>
      </c>
      <c r="E126" s="61"/>
      <c r="F126" s="60" t="s">
        <v>95</v>
      </c>
      <c r="G126" s="61"/>
      <c r="H126" s="62"/>
      <c r="I126" s="75"/>
      <c r="J126" s="60" t="s">
        <v>95</v>
      </c>
      <c r="K126" s="64"/>
      <c r="L126" s="64"/>
      <c r="M126" s="64" t="s">
        <v>96</v>
      </c>
      <c r="N126" s="64" t="s">
        <v>97</v>
      </c>
      <c r="O126" s="65" t="s">
        <v>986</v>
      </c>
      <c r="P126" s="70" t="s">
        <v>96</v>
      </c>
      <c r="Q126" s="60" t="s">
        <v>95</v>
      </c>
      <c r="R126" s="60" t="s">
        <v>96</v>
      </c>
      <c r="S126" s="66" t="s">
        <v>96</v>
      </c>
      <c r="T126" s="67" t="s">
        <v>96</v>
      </c>
      <c r="U126" s="60" t="s">
        <v>96</v>
      </c>
      <c r="V126" s="60" t="s">
        <v>96</v>
      </c>
      <c r="W126" s="60" t="str" cm="1">
        <f t="array" ref="W126">_xlfn.LET(_xlpm.resultados,_xlfn.UNIQUE(_xlfn._xlws.FILTER(Tabla1[Proceso],(Tabla1[Metal Base]=Q126)*(Tabla1[Etiquetas]=_xlfn.TEXTJOIN(" + ",TRUE,IF((TRIM(Upload!R126:V126)="")+(LOWER(TRIM(Upload!R126:V126))="(seleccione)"),"",PROPER(TRIM(Upload!R126:V126)))))*(Tabla1[Línea2]=IFERROR(VLOOKUP(Upload!P126&amp;"*",CAT_Procesos!D:D,1,FALSE),"")))),_xlpm.cantidad,ROWS(_xlpm.resultados),IF(ISERROR(_xlpm.cantidad),"Combinación no existente",IF(_xlpm.cantidad=1,INDEX(_xlpm.resultados,1),"(seleccione)")))</f>
        <v>Combinación no existente</v>
      </c>
      <c r="X126" s="67" t="s">
        <v>96</v>
      </c>
      <c r="Y126" s="64"/>
      <c r="Z126" s="64"/>
      <c r="AA126" s="64"/>
      <c r="AB126" s="133" t="s">
        <v>96</v>
      </c>
      <c r="AC126" s="64"/>
      <c r="AD126" s="64"/>
      <c r="AE126" s="64"/>
      <c r="AF126" s="60" t="s">
        <v>96</v>
      </c>
      <c r="AG126" s="64"/>
      <c r="AH126" s="64"/>
      <c r="AI126" s="64"/>
      <c r="AJ126" s="68" t="s">
        <v>96</v>
      </c>
      <c r="AK126" s="69" t="str">
        <f t="shared" si="2"/>
        <v/>
      </c>
      <c r="AL126" s="70" t="s">
        <v>96</v>
      </c>
      <c r="AM126" s="69" t="str">
        <f t="shared" si="3"/>
        <v/>
      </c>
      <c r="AN126" s="71"/>
      <c r="AO126" s="71"/>
      <c r="AP126" s="71"/>
      <c r="AQ126" s="71"/>
      <c r="AR126" s="71" t="s">
        <v>96</v>
      </c>
      <c r="AS126" s="71"/>
      <c r="AT126" s="71" t="s">
        <v>96</v>
      </c>
      <c r="AU126" s="71"/>
      <c r="AV126" s="71" t="s">
        <v>95</v>
      </c>
      <c r="AW126" s="71"/>
      <c r="AX126" s="71"/>
      <c r="AY126" s="71"/>
      <c r="AZ126" s="71"/>
      <c r="BA126" s="71"/>
      <c r="BB126" s="70" t="s">
        <v>218</v>
      </c>
      <c r="BC126" s="70" t="s">
        <v>98</v>
      </c>
      <c r="BD126" s="72" t="str">
        <f>IF('Cálculo MP'!K136="","",'Cálculo MP'!K136)</f>
        <v/>
      </c>
      <c r="BE126" s="72" t="str">
        <f>IF('Cálculo MP'!L136="","",'Cálculo MP'!L136)</f>
        <v/>
      </c>
      <c r="BF126" s="72" t="str">
        <f>IF('Cálculo MP'!M136="","",'Cálculo MP'!M136)</f>
        <v/>
      </c>
      <c r="BG126" s="72" t="str">
        <f>IF('Cálculo MP'!N136="","",'Cálculo MP'!N136)</f>
        <v/>
      </c>
      <c r="BH126" s="72" t="str">
        <f>IF('Cálculo MP'!O136="","",'Cálculo MP'!O136)</f>
        <v/>
      </c>
      <c r="BI126" s="72" t="str">
        <f>IF('Cálculo MP'!P136="","",'Cálculo MP'!P136)</f>
        <v/>
      </c>
      <c r="BJ126" s="72" t="str">
        <f>IF('Cálculo MP'!Q136="","",'Cálculo MP'!Q136)</f>
        <v/>
      </c>
      <c r="BK126" s="72" t="str">
        <f>IF('Cálculo MP'!R136="","",'Cálculo MP'!R136)</f>
        <v/>
      </c>
      <c r="BL126" s="72" t="str">
        <f>IF('Cálculo MP'!S136="","",'Cálculo MP'!S136)</f>
        <v/>
      </c>
      <c r="BM126" s="71"/>
      <c r="BN126" s="71"/>
      <c r="BO126" s="71"/>
      <c r="BP126" s="71"/>
      <c r="BQ126" s="71"/>
      <c r="BR126" s="71"/>
      <c r="BS126" s="71"/>
    </row>
    <row r="127" spans="1:71" ht="19.5" customHeight="1" x14ac:dyDescent="0.15">
      <c r="A127" s="56" t="s">
        <v>985</v>
      </c>
      <c r="B127" s="57" t="s">
        <v>986</v>
      </c>
      <c r="C127" s="58" t="s">
        <v>985</v>
      </c>
      <c r="D127" s="59" t="s">
        <v>985</v>
      </c>
      <c r="E127" s="61"/>
      <c r="F127" s="60" t="s">
        <v>95</v>
      </c>
      <c r="G127" s="61"/>
      <c r="H127" s="62"/>
      <c r="I127" s="75"/>
      <c r="J127" s="60" t="s">
        <v>95</v>
      </c>
      <c r="K127" s="64"/>
      <c r="L127" s="64"/>
      <c r="M127" s="64" t="s">
        <v>96</v>
      </c>
      <c r="N127" s="64" t="s">
        <v>97</v>
      </c>
      <c r="O127" s="65" t="s">
        <v>986</v>
      </c>
      <c r="P127" s="70" t="s">
        <v>96</v>
      </c>
      <c r="Q127" s="60" t="s">
        <v>95</v>
      </c>
      <c r="R127" s="60" t="s">
        <v>96</v>
      </c>
      <c r="S127" s="66" t="s">
        <v>96</v>
      </c>
      <c r="T127" s="67" t="s">
        <v>96</v>
      </c>
      <c r="U127" s="60" t="s">
        <v>96</v>
      </c>
      <c r="V127" s="60" t="s">
        <v>96</v>
      </c>
      <c r="W127" s="60" t="str" cm="1">
        <f t="array" ref="W127">_xlfn.LET(_xlpm.resultados,_xlfn.UNIQUE(_xlfn._xlws.FILTER(Tabla1[Proceso],(Tabla1[Metal Base]=Q127)*(Tabla1[Etiquetas]=_xlfn.TEXTJOIN(" + ",TRUE,IF((TRIM(Upload!R127:V127)="")+(LOWER(TRIM(Upload!R127:V127))="(seleccione)"),"",PROPER(TRIM(Upload!R127:V127)))))*(Tabla1[Línea2]=IFERROR(VLOOKUP(Upload!P127&amp;"*",CAT_Procesos!D:D,1,FALSE),"")))),_xlpm.cantidad,ROWS(_xlpm.resultados),IF(ISERROR(_xlpm.cantidad),"Combinación no existente",IF(_xlpm.cantidad=1,INDEX(_xlpm.resultados,1),"(seleccione)")))</f>
        <v>Combinación no existente</v>
      </c>
      <c r="X127" s="67" t="s">
        <v>96</v>
      </c>
      <c r="Y127" s="64"/>
      <c r="Z127" s="64"/>
      <c r="AA127" s="64"/>
      <c r="AB127" s="133" t="s">
        <v>96</v>
      </c>
      <c r="AC127" s="64"/>
      <c r="AD127" s="64"/>
      <c r="AE127" s="64"/>
      <c r="AF127" s="60" t="s">
        <v>96</v>
      </c>
      <c r="AG127" s="64"/>
      <c r="AH127" s="64"/>
      <c r="AI127" s="64"/>
      <c r="AJ127" s="68" t="s">
        <v>96</v>
      </c>
      <c r="AK127" s="69" t="str">
        <f t="shared" si="2"/>
        <v/>
      </c>
      <c r="AL127" s="70" t="s">
        <v>96</v>
      </c>
      <c r="AM127" s="69" t="str">
        <f t="shared" si="3"/>
        <v/>
      </c>
      <c r="AN127" s="71"/>
      <c r="AO127" s="71"/>
      <c r="AP127" s="71"/>
      <c r="AQ127" s="71"/>
      <c r="AR127" s="71" t="s">
        <v>96</v>
      </c>
      <c r="AS127" s="71"/>
      <c r="AT127" s="71" t="s">
        <v>96</v>
      </c>
      <c r="AU127" s="71"/>
      <c r="AV127" s="71" t="s">
        <v>95</v>
      </c>
      <c r="AW127" s="71"/>
      <c r="AX127" s="71"/>
      <c r="AY127" s="71"/>
      <c r="AZ127" s="71"/>
      <c r="BA127" s="71"/>
      <c r="BB127" s="70" t="s">
        <v>218</v>
      </c>
      <c r="BC127" s="70" t="s">
        <v>98</v>
      </c>
      <c r="BD127" s="72" t="str">
        <f>IF('Cálculo MP'!K137="","",'Cálculo MP'!K137)</f>
        <v/>
      </c>
      <c r="BE127" s="72" t="str">
        <f>IF('Cálculo MP'!L137="","",'Cálculo MP'!L137)</f>
        <v/>
      </c>
      <c r="BF127" s="72" t="str">
        <f>IF('Cálculo MP'!M137="","",'Cálculo MP'!M137)</f>
        <v/>
      </c>
      <c r="BG127" s="72" t="str">
        <f>IF('Cálculo MP'!N137="","",'Cálculo MP'!N137)</f>
        <v/>
      </c>
      <c r="BH127" s="72" t="str">
        <f>IF('Cálculo MP'!O137="","",'Cálculo MP'!O137)</f>
        <v/>
      </c>
      <c r="BI127" s="72" t="str">
        <f>IF('Cálculo MP'!P137="","",'Cálculo MP'!P137)</f>
        <v/>
      </c>
      <c r="BJ127" s="72" t="str">
        <f>IF('Cálculo MP'!Q137="","",'Cálculo MP'!Q137)</f>
        <v/>
      </c>
      <c r="BK127" s="72" t="str">
        <f>IF('Cálculo MP'!R137="","",'Cálculo MP'!R137)</f>
        <v/>
      </c>
      <c r="BL127" s="72" t="str">
        <f>IF('Cálculo MP'!S137="","",'Cálculo MP'!S137)</f>
        <v/>
      </c>
      <c r="BM127" s="71"/>
      <c r="BN127" s="71"/>
      <c r="BO127" s="71"/>
      <c r="BP127" s="71"/>
      <c r="BQ127" s="71"/>
      <c r="BR127" s="71"/>
      <c r="BS127" s="71"/>
    </row>
    <row r="128" spans="1:71" ht="19.5" customHeight="1" x14ac:dyDescent="0.15">
      <c r="A128" s="56" t="s">
        <v>985</v>
      </c>
      <c r="B128" s="57" t="s">
        <v>986</v>
      </c>
      <c r="C128" s="58" t="s">
        <v>985</v>
      </c>
      <c r="D128" s="59" t="s">
        <v>985</v>
      </c>
      <c r="E128" s="61"/>
      <c r="F128" s="60" t="s">
        <v>95</v>
      </c>
      <c r="G128" s="61"/>
      <c r="H128" s="62"/>
      <c r="I128" s="75"/>
      <c r="J128" s="60" t="s">
        <v>95</v>
      </c>
      <c r="K128" s="64"/>
      <c r="L128" s="64"/>
      <c r="M128" s="64" t="s">
        <v>96</v>
      </c>
      <c r="N128" s="64" t="s">
        <v>97</v>
      </c>
      <c r="O128" s="65" t="s">
        <v>986</v>
      </c>
      <c r="P128" s="70" t="s">
        <v>96</v>
      </c>
      <c r="Q128" s="60" t="s">
        <v>95</v>
      </c>
      <c r="R128" s="60" t="s">
        <v>96</v>
      </c>
      <c r="S128" s="66" t="s">
        <v>96</v>
      </c>
      <c r="T128" s="67" t="s">
        <v>96</v>
      </c>
      <c r="U128" s="60" t="s">
        <v>96</v>
      </c>
      <c r="V128" s="60" t="s">
        <v>96</v>
      </c>
      <c r="W128" s="60" t="str" cm="1">
        <f t="array" ref="W128">_xlfn.LET(_xlpm.resultados,_xlfn.UNIQUE(_xlfn._xlws.FILTER(Tabla1[Proceso],(Tabla1[Metal Base]=Q128)*(Tabla1[Etiquetas]=_xlfn.TEXTJOIN(" + ",TRUE,IF((TRIM(Upload!R128:V128)="")+(LOWER(TRIM(Upload!R128:V128))="(seleccione)"),"",PROPER(TRIM(Upload!R128:V128)))))*(Tabla1[Línea2]=IFERROR(VLOOKUP(Upload!P128&amp;"*",CAT_Procesos!D:D,1,FALSE),"")))),_xlpm.cantidad,ROWS(_xlpm.resultados),IF(ISERROR(_xlpm.cantidad),"Combinación no existente",IF(_xlpm.cantidad=1,INDEX(_xlpm.resultados,1),"(seleccione)")))</f>
        <v>Combinación no existente</v>
      </c>
      <c r="X128" s="67" t="s">
        <v>96</v>
      </c>
      <c r="Y128" s="64"/>
      <c r="Z128" s="64"/>
      <c r="AA128" s="64"/>
      <c r="AB128" s="133" t="s">
        <v>96</v>
      </c>
      <c r="AC128" s="64"/>
      <c r="AD128" s="64"/>
      <c r="AE128" s="64"/>
      <c r="AF128" s="60" t="s">
        <v>96</v>
      </c>
      <c r="AG128" s="64"/>
      <c r="AH128" s="64"/>
      <c r="AI128" s="64"/>
      <c r="AJ128" s="68" t="s">
        <v>96</v>
      </c>
      <c r="AK128" s="69" t="str">
        <f t="shared" si="2"/>
        <v/>
      </c>
      <c r="AL128" s="70" t="s">
        <v>96</v>
      </c>
      <c r="AM128" s="69" t="str">
        <f t="shared" si="3"/>
        <v/>
      </c>
      <c r="AN128" s="71"/>
      <c r="AO128" s="71"/>
      <c r="AP128" s="71"/>
      <c r="AQ128" s="71"/>
      <c r="AR128" s="71" t="s">
        <v>96</v>
      </c>
      <c r="AS128" s="71"/>
      <c r="AT128" s="71" t="s">
        <v>96</v>
      </c>
      <c r="AU128" s="71"/>
      <c r="AV128" s="71" t="s">
        <v>95</v>
      </c>
      <c r="AW128" s="71"/>
      <c r="AX128" s="71"/>
      <c r="AY128" s="71"/>
      <c r="AZ128" s="71"/>
      <c r="BA128" s="71"/>
      <c r="BB128" s="70" t="s">
        <v>218</v>
      </c>
      <c r="BC128" s="70" t="s">
        <v>98</v>
      </c>
      <c r="BD128" s="72" t="str">
        <f>IF('Cálculo MP'!K138="","",'Cálculo MP'!K138)</f>
        <v/>
      </c>
      <c r="BE128" s="72" t="str">
        <f>IF('Cálculo MP'!L138="","",'Cálculo MP'!L138)</f>
        <v/>
      </c>
      <c r="BF128" s="72" t="str">
        <f>IF('Cálculo MP'!M138="","",'Cálculo MP'!M138)</f>
        <v/>
      </c>
      <c r="BG128" s="72" t="str">
        <f>IF('Cálculo MP'!N138="","",'Cálculo MP'!N138)</f>
        <v/>
      </c>
      <c r="BH128" s="72" t="str">
        <f>IF('Cálculo MP'!O138="","",'Cálculo MP'!O138)</f>
        <v/>
      </c>
      <c r="BI128" s="72" t="str">
        <f>IF('Cálculo MP'!P138="","",'Cálculo MP'!P138)</f>
        <v/>
      </c>
      <c r="BJ128" s="72" t="str">
        <f>IF('Cálculo MP'!Q138="","",'Cálculo MP'!Q138)</f>
        <v/>
      </c>
      <c r="BK128" s="72" t="str">
        <f>IF('Cálculo MP'!R138="","",'Cálculo MP'!R138)</f>
        <v/>
      </c>
      <c r="BL128" s="72" t="str">
        <f>IF('Cálculo MP'!S138="","",'Cálculo MP'!S138)</f>
        <v/>
      </c>
      <c r="BM128" s="71"/>
      <c r="BN128" s="71"/>
      <c r="BO128" s="71"/>
      <c r="BP128" s="71"/>
      <c r="BQ128" s="71"/>
      <c r="BR128" s="71"/>
      <c r="BS128" s="71"/>
    </row>
    <row r="129" spans="1:71" ht="19.5" customHeight="1" x14ac:dyDescent="0.15">
      <c r="A129" s="56" t="s">
        <v>985</v>
      </c>
      <c r="B129" s="57" t="s">
        <v>986</v>
      </c>
      <c r="C129" s="58" t="s">
        <v>985</v>
      </c>
      <c r="D129" s="59" t="s">
        <v>985</v>
      </c>
      <c r="E129" s="61"/>
      <c r="F129" s="60" t="s">
        <v>95</v>
      </c>
      <c r="G129" s="61"/>
      <c r="H129" s="62"/>
      <c r="I129" s="75"/>
      <c r="J129" s="60" t="s">
        <v>95</v>
      </c>
      <c r="K129" s="64"/>
      <c r="L129" s="64"/>
      <c r="M129" s="64" t="s">
        <v>96</v>
      </c>
      <c r="N129" s="64" t="s">
        <v>97</v>
      </c>
      <c r="O129" s="65" t="s">
        <v>986</v>
      </c>
      <c r="P129" s="70" t="s">
        <v>96</v>
      </c>
      <c r="Q129" s="60" t="s">
        <v>95</v>
      </c>
      <c r="R129" s="60" t="s">
        <v>96</v>
      </c>
      <c r="S129" s="66" t="s">
        <v>96</v>
      </c>
      <c r="T129" s="67" t="s">
        <v>96</v>
      </c>
      <c r="U129" s="60" t="s">
        <v>96</v>
      </c>
      <c r="V129" s="60" t="s">
        <v>96</v>
      </c>
      <c r="W129" s="60" t="str" cm="1">
        <f t="array" ref="W129">_xlfn.LET(_xlpm.resultados,_xlfn.UNIQUE(_xlfn._xlws.FILTER(Tabla1[Proceso],(Tabla1[Metal Base]=Q129)*(Tabla1[Etiquetas]=_xlfn.TEXTJOIN(" + ",TRUE,IF((TRIM(Upload!R129:V129)="")+(LOWER(TRIM(Upload!R129:V129))="(seleccione)"),"",PROPER(TRIM(Upload!R129:V129)))))*(Tabla1[Línea2]=IFERROR(VLOOKUP(Upload!P129&amp;"*",CAT_Procesos!D:D,1,FALSE),"")))),_xlpm.cantidad,ROWS(_xlpm.resultados),IF(ISERROR(_xlpm.cantidad),"Combinación no existente",IF(_xlpm.cantidad=1,INDEX(_xlpm.resultados,1),"(seleccione)")))</f>
        <v>Combinación no existente</v>
      </c>
      <c r="X129" s="67" t="s">
        <v>96</v>
      </c>
      <c r="Y129" s="64"/>
      <c r="Z129" s="64"/>
      <c r="AA129" s="64"/>
      <c r="AB129" s="133" t="s">
        <v>96</v>
      </c>
      <c r="AC129" s="64"/>
      <c r="AD129" s="64"/>
      <c r="AE129" s="64"/>
      <c r="AF129" s="60" t="s">
        <v>96</v>
      </c>
      <c r="AG129" s="64"/>
      <c r="AH129" s="64"/>
      <c r="AI129" s="64"/>
      <c r="AJ129" s="68" t="s">
        <v>96</v>
      </c>
      <c r="AK129" s="69" t="str">
        <f t="shared" si="2"/>
        <v/>
      </c>
      <c r="AL129" s="70" t="s">
        <v>96</v>
      </c>
      <c r="AM129" s="69" t="str">
        <f t="shared" si="3"/>
        <v/>
      </c>
      <c r="AN129" s="71"/>
      <c r="AO129" s="71"/>
      <c r="AP129" s="71"/>
      <c r="AQ129" s="71"/>
      <c r="AR129" s="71" t="s">
        <v>96</v>
      </c>
      <c r="AS129" s="71"/>
      <c r="AT129" s="71" t="s">
        <v>96</v>
      </c>
      <c r="AU129" s="71"/>
      <c r="AV129" s="71" t="s">
        <v>95</v>
      </c>
      <c r="AW129" s="71"/>
      <c r="AX129" s="71"/>
      <c r="AY129" s="71"/>
      <c r="AZ129" s="71"/>
      <c r="BA129" s="71"/>
      <c r="BB129" s="70" t="s">
        <v>218</v>
      </c>
      <c r="BC129" s="70" t="s">
        <v>98</v>
      </c>
      <c r="BD129" s="72" t="str">
        <f>IF('Cálculo MP'!K139="","",'Cálculo MP'!K139)</f>
        <v/>
      </c>
      <c r="BE129" s="72" t="str">
        <f>IF('Cálculo MP'!L139="","",'Cálculo MP'!L139)</f>
        <v/>
      </c>
      <c r="BF129" s="72" t="str">
        <f>IF('Cálculo MP'!M139="","",'Cálculo MP'!M139)</f>
        <v/>
      </c>
      <c r="BG129" s="72" t="str">
        <f>IF('Cálculo MP'!N139="","",'Cálculo MP'!N139)</f>
        <v/>
      </c>
      <c r="BH129" s="72" t="str">
        <f>IF('Cálculo MP'!O139="","",'Cálculo MP'!O139)</f>
        <v/>
      </c>
      <c r="BI129" s="72" t="str">
        <f>IF('Cálculo MP'!P139="","",'Cálculo MP'!P139)</f>
        <v/>
      </c>
      <c r="BJ129" s="72" t="str">
        <f>IF('Cálculo MP'!Q139="","",'Cálculo MP'!Q139)</f>
        <v/>
      </c>
      <c r="BK129" s="72" t="str">
        <f>IF('Cálculo MP'!R139="","",'Cálculo MP'!R139)</f>
        <v/>
      </c>
      <c r="BL129" s="72" t="str">
        <f>IF('Cálculo MP'!S139="","",'Cálculo MP'!S139)</f>
        <v/>
      </c>
      <c r="BM129" s="71"/>
      <c r="BN129" s="71"/>
      <c r="BO129" s="71"/>
      <c r="BP129" s="71"/>
      <c r="BQ129" s="71"/>
      <c r="BR129" s="71"/>
      <c r="BS129" s="71"/>
    </row>
    <row r="130" spans="1:71" ht="19.5" customHeight="1" x14ac:dyDescent="0.15">
      <c r="A130" s="56" t="s">
        <v>985</v>
      </c>
      <c r="B130" s="57" t="s">
        <v>986</v>
      </c>
      <c r="C130" s="58" t="s">
        <v>985</v>
      </c>
      <c r="D130" s="59" t="s">
        <v>985</v>
      </c>
      <c r="E130" s="61"/>
      <c r="F130" s="60" t="s">
        <v>95</v>
      </c>
      <c r="G130" s="61"/>
      <c r="H130" s="62"/>
      <c r="I130" s="75"/>
      <c r="J130" s="60" t="s">
        <v>95</v>
      </c>
      <c r="K130" s="64"/>
      <c r="L130" s="64"/>
      <c r="M130" s="64" t="s">
        <v>96</v>
      </c>
      <c r="N130" s="64" t="s">
        <v>97</v>
      </c>
      <c r="O130" s="65" t="s">
        <v>986</v>
      </c>
      <c r="P130" s="70" t="s">
        <v>96</v>
      </c>
      <c r="Q130" s="60" t="s">
        <v>95</v>
      </c>
      <c r="R130" s="60" t="s">
        <v>96</v>
      </c>
      <c r="S130" s="66" t="s">
        <v>96</v>
      </c>
      <c r="T130" s="67" t="s">
        <v>96</v>
      </c>
      <c r="U130" s="60" t="s">
        <v>96</v>
      </c>
      <c r="V130" s="60" t="s">
        <v>96</v>
      </c>
      <c r="W130" s="60" t="str" cm="1">
        <f t="array" ref="W130">_xlfn.LET(_xlpm.resultados,_xlfn.UNIQUE(_xlfn._xlws.FILTER(Tabla1[Proceso],(Tabla1[Metal Base]=Q130)*(Tabla1[Etiquetas]=_xlfn.TEXTJOIN(" + ",TRUE,IF((TRIM(Upload!R130:V130)="")+(LOWER(TRIM(Upload!R130:V130))="(seleccione)"),"",PROPER(TRIM(Upload!R130:V130)))))*(Tabla1[Línea2]=IFERROR(VLOOKUP(Upload!P130&amp;"*",CAT_Procesos!D:D,1,FALSE),"")))),_xlpm.cantidad,ROWS(_xlpm.resultados),IF(ISERROR(_xlpm.cantidad),"Combinación no existente",IF(_xlpm.cantidad=1,INDEX(_xlpm.resultados,1),"(seleccione)")))</f>
        <v>Combinación no existente</v>
      </c>
      <c r="X130" s="67" t="s">
        <v>96</v>
      </c>
      <c r="Y130" s="64"/>
      <c r="Z130" s="64"/>
      <c r="AA130" s="64"/>
      <c r="AB130" s="133" t="s">
        <v>96</v>
      </c>
      <c r="AC130" s="64"/>
      <c r="AD130" s="64"/>
      <c r="AE130" s="64"/>
      <c r="AF130" s="60" t="s">
        <v>96</v>
      </c>
      <c r="AG130" s="64"/>
      <c r="AH130" s="64"/>
      <c r="AI130" s="64"/>
      <c r="AJ130" s="68" t="s">
        <v>96</v>
      </c>
      <c r="AK130" s="69" t="str">
        <f t="shared" si="2"/>
        <v/>
      </c>
      <c r="AL130" s="70" t="s">
        <v>96</v>
      </c>
      <c r="AM130" s="69" t="str">
        <f t="shared" si="3"/>
        <v/>
      </c>
      <c r="AN130" s="71"/>
      <c r="AO130" s="71"/>
      <c r="AP130" s="71"/>
      <c r="AQ130" s="71"/>
      <c r="AR130" s="71" t="s">
        <v>96</v>
      </c>
      <c r="AS130" s="71"/>
      <c r="AT130" s="71" t="s">
        <v>96</v>
      </c>
      <c r="AU130" s="71"/>
      <c r="AV130" s="71" t="s">
        <v>95</v>
      </c>
      <c r="AW130" s="71"/>
      <c r="AX130" s="71"/>
      <c r="AY130" s="71"/>
      <c r="AZ130" s="71"/>
      <c r="BA130" s="71"/>
      <c r="BB130" s="70" t="s">
        <v>218</v>
      </c>
      <c r="BC130" s="70" t="s">
        <v>98</v>
      </c>
      <c r="BD130" s="72" t="str">
        <f>IF('Cálculo MP'!K140="","",'Cálculo MP'!K140)</f>
        <v/>
      </c>
      <c r="BE130" s="72" t="str">
        <f>IF('Cálculo MP'!L140="","",'Cálculo MP'!L140)</f>
        <v/>
      </c>
      <c r="BF130" s="72" t="str">
        <f>IF('Cálculo MP'!M140="","",'Cálculo MP'!M140)</f>
        <v/>
      </c>
      <c r="BG130" s="72" t="str">
        <f>IF('Cálculo MP'!N140="","",'Cálculo MP'!N140)</f>
        <v/>
      </c>
      <c r="BH130" s="72" t="str">
        <f>IF('Cálculo MP'!O140="","",'Cálculo MP'!O140)</f>
        <v/>
      </c>
      <c r="BI130" s="72" t="str">
        <f>IF('Cálculo MP'!P140="","",'Cálculo MP'!P140)</f>
        <v/>
      </c>
      <c r="BJ130" s="72" t="str">
        <f>IF('Cálculo MP'!Q140="","",'Cálculo MP'!Q140)</f>
        <v/>
      </c>
      <c r="BK130" s="72" t="str">
        <f>IF('Cálculo MP'!R140="","",'Cálculo MP'!R140)</f>
        <v/>
      </c>
      <c r="BL130" s="72" t="str">
        <f>IF('Cálculo MP'!S140="","",'Cálculo MP'!S140)</f>
        <v/>
      </c>
      <c r="BM130" s="71"/>
      <c r="BN130" s="71"/>
      <c r="BO130" s="71"/>
      <c r="BP130" s="71"/>
      <c r="BQ130" s="71"/>
      <c r="BR130" s="71"/>
      <c r="BS130" s="71"/>
    </row>
    <row r="131" spans="1:71" ht="19.5" customHeight="1" x14ac:dyDescent="0.15">
      <c r="A131" s="56" t="s">
        <v>985</v>
      </c>
      <c r="B131" s="57" t="s">
        <v>986</v>
      </c>
      <c r="C131" s="58" t="s">
        <v>985</v>
      </c>
      <c r="D131" s="59" t="s">
        <v>985</v>
      </c>
      <c r="E131" s="61"/>
      <c r="F131" s="60" t="s">
        <v>95</v>
      </c>
      <c r="G131" s="61"/>
      <c r="H131" s="62"/>
      <c r="I131" s="75"/>
      <c r="J131" s="60" t="s">
        <v>95</v>
      </c>
      <c r="K131" s="64"/>
      <c r="L131" s="64"/>
      <c r="M131" s="64" t="s">
        <v>96</v>
      </c>
      <c r="N131" s="64" t="s">
        <v>97</v>
      </c>
      <c r="O131" s="65" t="s">
        <v>986</v>
      </c>
      <c r="P131" s="70" t="s">
        <v>96</v>
      </c>
      <c r="Q131" s="60" t="s">
        <v>95</v>
      </c>
      <c r="R131" s="60" t="s">
        <v>96</v>
      </c>
      <c r="S131" s="66" t="s">
        <v>96</v>
      </c>
      <c r="T131" s="67" t="s">
        <v>96</v>
      </c>
      <c r="U131" s="60" t="s">
        <v>96</v>
      </c>
      <c r="V131" s="60" t="s">
        <v>96</v>
      </c>
      <c r="W131" s="60" t="str" cm="1">
        <f t="array" ref="W131">_xlfn.LET(_xlpm.resultados,_xlfn.UNIQUE(_xlfn._xlws.FILTER(Tabla1[Proceso],(Tabla1[Metal Base]=Q131)*(Tabla1[Etiquetas]=_xlfn.TEXTJOIN(" + ",TRUE,IF((TRIM(Upload!R131:V131)="")+(LOWER(TRIM(Upload!R131:V131))="(seleccione)"),"",PROPER(TRIM(Upload!R131:V131)))))*(Tabla1[Línea2]=IFERROR(VLOOKUP(Upload!P131&amp;"*",CAT_Procesos!D:D,1,FALSE),"")))),_xlpm.cantidad,ROWS(_xlpm.resultados),IF(ISERROR(_xlpm.cantidad),"Combinación no existente",IF(_xlpm.cantidad=1,INDEX(_xlpm.resultados,1),"(seleccione)")))</f>
        <v>Combinación no existente</v>
      </c>
      <c r="X131" s="67" t="s">
        <v>96</v>
      </c>
      <c r="Y131" s="64"/>
      <c r="Z131" s="64"/>
      <c r="AA131" s="64"/>
      <c r="AB131" s="133" t="s">
        <v>96</v>
      </c>
      <c r="AC131" s="64"/>
      <c r="AD131" s="64"/>
      <c r="AE131" s="64"/>
      <c r="AF131" s="60" t="s">
        <v>96</v>
      </c>
      <c r="AG131" s="64"/>
      <c r="AH131" s="64"/>
      <c r="AI131" s="64"/>
      <c r="AJ131" s="68" t="s">
        <v>96</v>
      </c>
      <c r="AK131" s="69" t="str">
        <f t="shared" si="2"/>
        <v/>
      </c>
      <c r="AL131" s="70" t="s">
        <v>96</v>
      </c>
      <c r="AM131" s="69" t="str">
        <f t="shared" si="3"/>
        <v/>
      </c>
      <c r="AN131" s="71"/>
      <c r="AO131" s="71"/>
      <c r="AP131" s="71"/>
      <c r="AQ131" s="71"/>
      <c r="AR131" s="71" t="s">
        <v>96</v>
      </c>
      <c r="AS131" s="71"/>
      <c r="AT131" s="71" t="s">
        <v>96</v>
      </c>
      <c r="AU131" s="71"/>
      <c r="AV131" s="71" t="s">
        <v>95</v>
      </c>
      <c r="AW131" s="71"/>
      <c r="AX131" s="71"/>
      <c r="AY131" s="71"/>
      <c r="AZ131" s="71"/>
      <c r="BA131" s="71"/>
      <c r="BB131" s="70" t="s">
        <v>218</v>
      </c>
      <c r="BC131" s="70" t="s">
        <v>98</v>
      </c>
      <c r="BD131" s="72" t="str">
        <f>IF('Cálculo MP'!K141="","",'Cálculo MP'!K141)</f>
        <v/>
      </c>
      <c r="BE131" s="72" t="str">
        <f>IF('Cálculo MP'!L141="","",'Cálculo MP'!L141)</f>
        <v/>
      </c>
      <c r="BF131" s="72" t="str">
        <f>IF('Cálculo MP'!M141="","",'Cálculo MP'!M141)</f>
        <v/>
      </c>
      <c r="BG131" s="72" t="str">
        <f>IF('Cálculo MP'!N141="","",'Cálculo MP'!N141)</f>
        <v/>
      </c>
      <c r="BH131" s="72" t="str">
        <f>IF('Cálculo MP'!O141="","",'Cálculo MP'!O141)</f>
        <v/>
      </c>
      <c r="BI131" s="72" t="str">
        <f>IF('Cálculo MP'!P141="","",'Cálculo MP'!P141)</f>
        <v/>
      </c>
      <c r="BJ131" s="72" t="str">
        <f>IF('Cálculo MP'!Q141="","",'Cálculo MP'!Q141)</f>
        <v/>
      </c>
      <c r="BK131" s="72" t="str">
        <f>IF('Cálculo MP'!R141="","",'Cálculo MP'!R141)</f>
        <v/>
      </c>
      <c r="BL131" s="72" t="str">
        <f>IF('Cálculo MP'!S141="","",'Cálculo MP'!S141)</f>
        <v/>
      </c>
      <c r="BM131" s="71"/>
      <c r="BN131" s="71"/>
      <c r="BO131" s="71"/>
      <c r="BP131" s="71"/>
      <c r="BQ131" s="71"/>
      <c r="BR131" s="71"/>
      <c r="BS131" s="71"/>
    </row>
    <row r="132" spans="1:71" ht="19.5" customHeight="1" x14ac:dyDescent="0.15">
      <c r="A132" s="56" t="s">
        <v>985</v>
      </c>
      <c r="B132" s="57" t="s">
        <v>986</v>
      </c>
      <c r="C132" s="58" t="s">
        <v>985</v>
      </c>
      <c r="D132" s="59" t="s">
        <v>985</v>
      </c>
      <c r="E132" s="61"/>
      <c r="F132" s="60" t="s">
        <v>95</v>
      </c>
      <c r="G132" s="61"/>
      <c r="H132" s="62"/>
      <c r="I132" s="75"/>
      <c r="J132" s="60" t="s">
        <v>95</v>
      </c>
      <c r="K132" s="64"/>
      <c r="L132" s="64"/>
      <c r="M132" s="64" t="s">
        <v>96</v>
      </c>
      <c r="N132" s="64" t="s">
        <v>97</v>
      </c>
      <c r="O132" s="65" t="s">
        <v>986</v>
      </c>
      <c r="P132" s="70" t="s">
        <v>96</v>
      </c>
      <c r="Q132" s="60" t="s">
        <v>95</v>
      </c>
      <c r="R132" s="60" t="s">
        <v>96</v>
      </c>
      <c r="S132" s="66" t="s">
        <v>96</v>
      </c>
      <c r="T132" s="67" t="s">
        <v>96</v>
      </c>
      <c r="U132" s="60" t="s">
        <v>96</v>
      </c>
      <c r="V132" s="60" t="s">
        <v>96</v>
      </c>
      <c r="W132" s="60" t="str" cm="1">
        <f t="array" ref="W132">_xlfn.LET(_xlpm.resultados,_xlfn.UNIQUE(_xlfn._xlws.FILTER(Tabla1[Proceso],(Tabla1[Metal Base]=Q132)*(Tabla1[Etiquetas]=_xlfn.TEXTJOIN(" + ",TRUE,IF((TRIM(Upload!R132:V132)="")+(LOWER(TRIM(Upload!R132:V132))="(seleccione)"),"",PROPER(TRIM(Upload!R132:V132)))))*(Tabla1[Línea2]=IFERROR(VLOOKUP(Upload!P132&amp;"*",CAT_Procesos!D:D,1,FALSE),"")))),_xlpm.cantidad,ROWS(_xlpm.resultados),IF(ISERROR(_xlpm.cantidad),"Combinación no existente",IF(_xlpm.cantidad=1,INDEX(_xlpm.resultados,1),"(seleccione)")))</f>
        <v>Combinación no existente</v>
      </c>
      <c r="X132" s="67" t="s">
        <v>96</v>
      </c>
      <c r="Y132" s="64"/>
      <c r="Z132" s="64"/>
      <c r="AA132" s="64"/>
      <c r="AB132" s="133" t="s">
        <v>96</v>
      </c>
      <c r="AC132" s="64"/>
      <c r="AD132" s="64"/>
      <c r="AE132" s="64"/>
      <c r="AF132" s="60" t="s">
        <v>96</v>
      </c>
      <c r="AG132" s="64"/>
      <c r="AH132" s="64"/>
      <c r="AI132" s="64"/>
      <c r="AJ132" s="68" t="s">
        <v>96</v>
      </c>
      <c r="AK132" s="69" t="str">
        <f t="shared" si="2"/>
        <v/>
      </c>
      <c r="AL132" s="70" t="s">
        <v>96</v>
      </c>
      <c r="AM132" s="69" t="str">
        <f t="shared" si="3"/>
        <v/>
      </c>
      <c r="AN132" s="71"/>
      <c r="AO132" s="71"/>
      <c r="AP132" s="71"/>
      <c r="AQ132" s="71"/>
      <c r="AR132" s="71" t="s">
        <v>96</v>
      </c>
      <c r="AS132" s="71"/>
      <c r="AT132" s="71" t="s">
        <v>96</v>
      </c>
      <c r="AU132" s="71"/>
      <c r="AV132" s="71" t="s">
        <v>95</v>
      </c>
      <c r="AW132" s="71"/>
      <c r="AX132" s="71"/>
      <c r="AY132" s="71"/>
      <c r="AZ132" s="71"/>
      <c r="BA132" s="71"/>
      <c r="BB132" s="70" t="s">
        <v>218</v>
      </c>
      <c r="BC132" s="70" t="s">
        <v>98</v>
      </c>
      <c r="BD132" s="72" t="str">
        <f>IF('Cálculo MP'!K142="","",'Cálculo MP'!K142)</f>
        <v/>
      </c>
      <c r="BE132" s="72" t="str">
        <f>IF('Cálculo MP'!L142="","",'Cálculo MP'!L142)</f>
        <v/>
      </c>
      <c r="BF132" s="72" t="str">
        <f>IF('Cálculo MP'!M142="","",'Cálculo MP'!M142)</f>
        <v/>
      </c>
      <c r="BG132" s="72" t="str">
        <f>IF('Cálculo MP'!N142="","",'Cálculo MP'!N142)</f>
        <v/>
      </c>
      <c r="BH132" s="72" t="str">
        <f>IF('Cálculo MP'!O142="","",'Cálculo MP'!O142)</f>
        <v/>
      </c>
      <c r="BI132" s="72" t="str">
        <f>IF('Cálculo MP'!P142="","",'Cálculo MP'!P142)</f>
        <v/>
      </c>
      <c r="BJ132" s="72" t="str">
        <f>IF('Cálculo MP'!Q142="","",'Cálculo MP'!Q142)</f>
        <v/>
      </c>
      <c r="BK132" s="72" t="str">
        <f>IF('Cálculo MP'!R142="","",'Cálculo MP'!R142)</f>
        <v/>
      </c>
      <c r="BL132" s="72" t="str">
        <f>IF('Cálculo MP'!S142="","",'Cálculo MP'!S142)</f>
        <v/>
      </c>
      <c r="BM132" s="71"/>
      <c r="BN132" s="71"/>
      <c r="BO132" s="71"/>
      <c r="BP132" s="71"/>
      <c r="BQ132" s="71"/>
      <c r="BR132" s="71"/>
      <c r="BS132" s="71"/>
    </row>
    <row r="133" spans="1:71" ht="19.5" customHeight="1" x14ac:dyDescent="0.15">
      <c r="A133" s="56" t="s">
        <v>985</v>
      </c>
      <c r="B133" s="57" t="s">
        <v>986</v>
      </c>
      <c r="C133" s="58" t="s">
        <v>985</v>
      </c>
      <c r="D133" s="59" t="s">
        <v>985</v>
      </c>
      <c r="E133" s="61"/>
      <c r="F133" s="60" t="s">
        <v>95</v>
      </c>
      <c r="G133" s="61"/>
      <c r="H133" s="62"/>
      <c r="I133" s="75"/>
      <c r="J133" s="60" t="s">
        <v>95</v>
      </c>
      <c r="K133" s="64"/>
      <c r="L133" s="64"/>
      <c r="M133" s="64" t="s">
        <v>96</v>
      </c>
      <c r="N133" s="64" t="s">
        <v>97</v>
      </c>
      <c r="O133" s="65" t="s">
        <v>986</v>
      </c>
      <c r="P133" s="70" t="s">
        <v>96</v>
      </c>
      <c r="Q133" s="60" t="s">
        <v>95</v>
      </c>
      <c r="R133" s="60" t="s">
        <v>96</v>
      </c>
      <c r="S133" s="66" t="s">
        <v>96</v>
      </c>
      <c r="T133" s="67" t="s">
        <v>96</v>
      </c>
      <c r="U133" s="60" t="s">
        <v>96</v>
      </c>
      <c r="V133" s="60" t="s">
        <v>96</v>
      </c>
      <c r="W133" s="60" t="str" cm="1">
        <f t="array" ref="W133">_xlfn.LET(_xlpm.resultados,_xlfn.UNIQUE(_xlfn._xlws.FILTER(Tabla1[Proceso],(Tabla1[Metal Base]=Q133)*(Tabla1[Etiquetas]=_xlfn.TEXTJOIN(" + ",TRUE,IF((TRIM(Upload!R133:V133)="")+(LOWER(TRIM(Upload!R133:V133))="(seleccione)"),"",PROPER(TRIM(Upload!R133:V133)))))*(Tabla1[Línea2]=IFERROR(VLOOKUP(Upload!P133&amp;"*",CAT_Procesos!D:D,1,FALSE),"")))),_xlpm.cantidad,ROWS(_xlpm.resultados),IF(ISERROR(_xlpm.cantidad),"Combinación no existente",IF(_xlpm.cantidad=1,INDEX(_xlpm.resultados,1),"(seleccione)")))</f>
        <v>Combinación no existente</v>
      </c>
      <c r="X133" s="67" t="s">
        <v>96</v>
      </c>
      <c r="Y133" s="64"/>
      <c r="Z133" s="64"/>
      <c r="AA133" s="64"/>
      <c r="AB133" s="133" t="s">
        <v>96</v>
      </c>
      <c r="AC133" s="64"/>
      <c r="AD133" s="64"/>
      <c r="AE133" s="64"/>
      <c r="AF133" s="60" t="s">
        <v>96</v>
      </c>
      <c r="AG133" s="64"/>
      <c r="AH133" s="64"/>
      <c r="AI133" s="64"/>
      <c r="AJ133" s="68" t="s">
        <v>96</v>
      </c>
      <c r="AK133" s="69" t="str">
        <f t="shared" si="2"/>
        <v/>
      </c>
      <c r="AL133" s="70" t="s">
        <v>96</v>
      </c>
      <c r="AM133" s="69" t="str">
        <f t="shared" si="3"/>
        <v/>
      </c>
      <c r="AN133" s="71"/>
      <c r="AO133" s="71"/>
      <c r="AP133" s="71"/>
      <c r="AQ133" s="71"/>
      <c r="AR133" s="71" t="s">
        <v>96</v>
      </c>
      <c r="AS133" s="71"/>
      <c r="AT133" s="71" t="s">
        <v>96</v>
      </c>
      <c r="AU133" s="71"/>
      <c r="AV133" s="71" t="s">
        <v>95</v>
      </c>
      <c r="AW133" s="71"/>
      <c r="AX133" s="71"/>
      <c r="AY133" s="71"/>
      <c r="AZ133" s="71"/>
      <c r="BA133" s="71"/>
      <c r="BB133" s="70" t="s">
        <v>218</v>
      </c>
      <c r="BC133" s="70" t="s">
        <v>98</v>
      </c>
      <c r="BD133" s="72" t="str">
        <f>IF('Cálculo MP'!K143="","",'Cálculo MP'!K143)</f>
        <v/>
      </c>
      <c r="BE133" s="72" t="str">
        <f>IF('Cálculo MP'!L143="","",'Cálculo MP'!L143)</f>
        <v/>
      </c>
      <c r="BF133" s="72" t="str">
        <f>IF('Cálculo MP'!M143="","",'Cálculo MP'!M143)</f>
        <v/>
      </c>
      <c r="BG133" s="72" t="str">
        <f>IF('Cálculo MP'!N143="","",'Cálculo MP'!N143)</f>
        <v/>
      </c>
      <c r="BH133" s="72" t="str">
        <f>IF('Cálculo MP'!O143="","",'Cálculo MP'!O143)</f>
        <v/>
      </c>
      <c r="BI133" s="72" t="str">
        <f>IF('Cálculo MP'!P143="","",'Cálculo MP'!P143)</f>
        <v/>
      </c>
      <c r="BJ133" s="72" t="str">
        <f>IF('Cálculo MP'!Q143="","",'Cálculo MP'!Q143)</f>
        <v/>
      </c>
      <c r="BK133" s="72" t="str">
        <f>IF('Cálculo MP'!R143="","",'Cálculo MP'!R143)</f>
        <v/>
      </c>
      <c r="BL133" s="72" t="str">
        <f>IF('Cálculo MP'!S143="","",'Cálculo MP'!S143)</f>
        <v/>
      </c>
      <c r="BM133" s="71"/>
      <c r="BN133" s="71"/>
      <c r="BO133" s="71"/>
      <c r="BP133" s="71"/>
      <c r="BQ133" s="71"/>
      <c r="BR133" s="71"/>
      <c r="BS133" s="71"/>
    </row>
    <row r="134" spans="1:71" ht="19.5" customHeight="1" x14ac:dyDescent="0.15">
      <c r="A134" s="56" t="s">
        <v>985</v>
      </c>
      <c r="B134" s="57" t="s">
        <v>986</v>
      </c>
      <c r="C134" s="58" t="s">
        <v>985</v>
      </c>
      <c r="D134" s="59" t="s">
        <v>985</v>
      </c>
      <c r="E134" s="61"/>
      <c r="F134" s="60" t="s">
        <v>95</v>
      </c>
      <c r="G134" s="61"/>
      <c r="H134" s="62"/>
      <c r="I134" s="75"/>
      <c r="J134" s="60" t="s">
        <v>95</v>
      </c>
      <c r="K134" s="64"/>
      <c r="L134" s="64"/>
      <c r="M134" s="64" t="s">
        <v>96</v>
      </c>
      <c r="N134" s="64" t="s">
        <v>97</v>
      </c>
      <c r="O134" s="65" t="s">
        <v>986</v>
      </c>
      <c r="P134" s="70" t="s">
        <v>96</v>
      </c>
      <c r="Q134" s="60" t="s">
        <v>95</v>
      </c>
      <c r="R134" s="60" t="s">
        <v>96</v>
      </c>
      <c r="S134" s="66" t="s">
        <v>96</v>
      </c>
      <c r="T134" s="67" t="s">
        <v>96</v>
      </c>
      <c r="U134" s="60" t="s">
        <v>96</v>
      </c>
      <c r="V134" s="60" t="s">
        <v>96</v>
      </c>
      <c r="W134" s="60" t="str" cm="1">
        <f t="array" ref="W134">_xlfn.LET(_xlpm.resultados,_xlfn.UNIQUE(_xlfn._xlws.FILTER(Tabla1[Proceso],(Tabla1[Metal Base]=Q134)*(Tabla1[Etiquetas]=_xlfn.TEXTJOIN(" + ",TRUE,IF((TRIM(Upload!R134:V134)="")+(LOWER(TRIM(Upload!R134:V134))="(seleccione)"),"",PROPER(TRIM(Upload!R134:V134)))))*(Tabla1[Línea2]=IFERROR(VLOOKUP(Upload!P134&amp;"*",CAT_Procesos!D:D,1,FALSE),"")))),_xlpm.cantidad,ROWS(_xlpm.resultados),IF(ISERROR(_xlpm.cantidad),"Combinación no existente",IF(_xlpm.cantidad=1,INDEX(_xlpm.resultados,1),"(seleccione)")))</f>
        <v>Combinación no existente</v>
      </c>
      <c r="X134" s="67" t="s">
        <v>96</v>
      </c>
      <c r="Y134" s="64"/>
      <c r="Z134" s="64"/>
      <c r="AA134" s="64"/>
      <c r="AB134" s="133" t="s">
        <v>96</v>
      </c>
      <c r="AC134" s="64"/>
      <c r="AD134" s="64"/>
      <c r="AE134" s="64"/>
      <c r="AF134" s="60" t="s">
        <v>96</v>
      </c>
      <c r="AG134" s="64"/>
      <c r="AH134" s="64"/>
      <c r="AI134" s="64"/>
      <c r="AJ134" s="68" t="s">
        <v>96</v>
      </c>
      <c r="AK134" s="69" t="str">
        <f t="shared" si="2"/>
        <v/>
      </c>
      <c r="AL134" s="70" t="s">
        <v>96</v>
      </c>
      <c r="AM134" s="69" t="str">
        <f t="shared" si="3"/>
        <v/>
      </c>
      <c r="AN134" s="71"/>
      <c r="AO134" s="71"/>
      <c r="AP134" s="71"/>
      <c r="AQ134" s="71"/>
      <c r="AR134" s="71" t="s">
        <v>96</v>
      </c>
      <c r="AS134" s="71"/>
      <c r="AT134" s="71" t="s">
        <v>96</v>
      </c>
      <c r="AU134" s="71"/>
      <c r="AV134" s="71" t="s">
        <v>95</v>
      </c>
      <c r="AW134" s="71"/>
      <c r="AX134" s="71"/>
      <c r="AY134" s="71"/>
      <c r="AZ134" s="71"/>
      <c r="BA134" s="71"/>
      <c r="BB134" s="70" t="s">
        <v>218</v>
      </c>
      <c r="BC134" s="70" t="s">
        <v>98</v>
      </c>
      <c r="BD134" s="72" t="str">
        <f>IF('Cálculo MP'!K144="","",'Cálculo MP'!K144)</f>
        <v/>
      </c>
      <c r="BE134" s="72" t="str">
        <f>IF('Cálculo MP'!L144="","",'Cálculo MP'!L144)</f>
        <v/>
      </c>
      <c r="BF134" s="72" t="str">
        <f>IF('Cálculo MP'!M144="","",'Cálculo MP'!M144)</f>
        <v/>
      </c>
      <c r="BG134" s="72" t="str">
        <f>IF('Cálculo MP'!N144="","",'Cálculo MP'!N144)</f>
        <v/>
      </c>
      <c r="BH134" s="72" t="str">
        <f>IF('Cálculo MP'!O144="","",'Cálculo MP'!O144)</f>
        <v/>
      </c>
      <c r="BI134" s="72" t="str">
        <f>IF('Cálculo MP'!P144="","",'Cálculo MP'!P144)</f>
        <v/>
      </c>
      <c r="BJ134" s="72" t="str">
        <f>IF('Cálculo MP'!Q144="","",'Cálculo MP'!Q144)</f>
        <v/>
      </c>
      <c r="BK134" s="72" t="str">
        <f>IF('Cálculo MP'!R144="","",'Cálculo MP'!R144)</f>
        <v/>
      </c>
      <c r="BL134" s="72" t="str">
        <f>IF('Cálculo MP'!S144="","",'Cálculo MP'!S144)</f>
        <v/>
      </c>
      <c r="BM134" s="71"/>
      <c r="BN134" s="71"/>
      <c r="BO134" s="71"/>
      <c r="BP134" s="71"/>
      <c r="BQ134" s="71"/>
      <c r="BR134" s="71"/>
      <c r="BS134" s="71"/>
    </row>
    <row r="135" spans="1:71" ht="19.5" customHeight="1" x14ac:dyDescent="0.15">
      <c r="A135" s="56" t="s">
        <v>985</v>
      </c>
      <c r="B135" s="57" t="s">
        <v>986</v>
      </c>
      <c r="C135" s="58" t="s">
        <v>985</v>
      </c>
      <c r="D135" s="59" t="s">
        <v>985</v>
      </c>
      <c r="E135" s="61"/>
      <c r="F135" s="60" t="s">
        <v>95</v>
      </c>
      <c r="G135" s="61"/>
      <c r="H135" s="62"/>
      <c r="I135" s="75"/>
      <c r="J135" s="60" t="s">
        <v>95</v>
      </c>
      <c r="K135" s="64"/>
      <c r="L135" s="64"/>
      <c r="M135" s="64" t="s">
        <v>96</v>
      </c>
      <c r="N135" s="64" t="s">
        <v>97</v>
      </c>
      <c r="O135" s="65" t="s">
        <v>986</v>
      </c>
      <c r="P135" s="70" t="s">
        <v>96</v>
      </c>
      <c r="Q135" s="60" t="s">
        <v>95</v>
      </c>
      <c r="R135" s="60" t="s">
        <v>96</v>
      </c>
      <c r="S135" s="66" t="s">
        <v>96</v>
      </c>
      <c r="T135" s="67" t="s">
        <v>96</v>
      </c>
      <c r="U135" s="60" t="s">
        <v>96</v>
      </c>
      <c r="V135" s="60" t="s">
        <v>96</v>
      </c>
      <c r="W135" s="60" t="str" cm="1">
        <f t="array" ref="W135">_xlfn.LET(_xlpm.resultados,_xlfn.UNIQUE(_xlfn._xlws.FILTER(Tabla1[Proceso],(Tabla1[Metal Base]=Q135)*(Tabla1[Etiquetas]=_xlfn.TEXTJOIN(" + ",TRUE,IF((TRIM(Upload!R135:V135)="")+(LOWER(TRIM(Upload!R135:V135))="(seleccione)"),"",PROPER(TRIM(Upload!R135:V135)))))*(Tabla1[Línea2]=IFERROR(VLOOKUP(Upload!P135&amp;"*",CAT_Procesos!D:D,1,FALSE),"")))),_xlpm.cantidad,ROWS(_xlpm.resultados),IF(ISERROR(_xlpm.cantidad),"Combinación no existente",IF(_xlpm.cantidad=1,INDEX(_xlpm.resultados,1),"(seleccione)")))</f>
        <v>Combinación no existente</v>
      </c>
      <c r="X135" s="67" t="s">
        <v>96</v>
      </c>
      <c r="Y135" s="64"/>
      <c r="Z135" s="64"/>
      <c r="AA135" s="64"/>
      <c r="AB135" s="133" t="s">
        <v>96</v>
      </c>
      <c r="AC135" s="64"/>
      <c r="AD135" s="64"/>
      <c r="AE135" s="64"/>
      <c r="AF135" s="60" t="s">
        <v>96</v>
      </c>
      <c r="AG135" s="64"/>
      <c r="AH135" s="64"/>
      <c r="AI135" s="64"/>
      <c r="AJ135" s="68" t="s">
        <v>96</v>
      </c>
      <c r="AK135" s="69" t="str">
        <f t="shared" si="2"/>
        <v/>
      </c>
      <c r="AL135" s="70" t="s">
        <v>96</v>
      </c>
      <c r="AM135" s="69" t="str">
        <f t="shared" si="3"/>
        <v/>
      </c>
      <c r="AN135" s="71"/>
      <c r="AO135" s="71"/>
      <c r="AP135" s="71"/>
      <c r="AQ135" s="71"/>
      <c r="AR135" s="71" t="s">
        <v>96</v>
      </c>
      <c r="AS135" s="71"/>
      <c r="AT135" s="71" t="s">
        <v>96</v>
      </c>
      <c r="AU135" s="71"/>
      <c r="AV135" s="71" t="s">
        <v>95</v>
      </c>
      <c r="AW135" s="71"/>
      <c r="AX135" s="71"/>
      <c r="AY135" s="71"/>
      <c r="AZ135" s="71"/>
      <c r="BA135" s="71"/>
      <c r="BB135" s="70" t="s">
        <v>218</v>
      </c>
      <c r="BC135" s="70" t="s">
        <v>98</v>
      </c>
      <c r="BD135" s="72" t="str">
        <f>IF('Cálculo MP'!K145="","",'Cálculo MP'!K145)</f>
        <v/>
      </c>
      <c r="BE135" s="72" t="str">
        <f>IF('Cálculo MP'!L145="","",'Cálculo MP'!L145)</f>
        <v/>
      </c>
      <c r="BF135" s="72" t="str">
        <f>IF('Cálculo MP'!M145="","",'Cálculo MP'!M145)</f>
        <v/>
      </c>
      <c r="BG135" s="72" t="str">
        <f>IF('Cálculo MP'!N145="","",'Cálculo MP'!N145)</f>
        <v/>
      </c>
      <c r="BH135" s="72" t="str">
        <f>IF('Cálculo MP'!O145="","",'Cálculo MP'!O145)</f>
        <v/>
      </c>
      <c r="BI135" s="72" t="str">
        <f>IF('Cálculo MP'!P145="","",'Cálculo MP'!P145)</f>
        <v/>
      </c>
      <c r="BJ135" s="72" t="str">
        <f>IF('Cálculo MP'!Q145="","",'Cálculo MP'!Q145)</f>
        <v/>
      </c>
      <c r="BK135" s="72" t="str">
        <f>IF('Cálculo MP'!R145="","",'Cálculo MP'!R145)</f>
        <v/>
      </c>
      <c r="BL135" s="72" t="str">
        <f>IF('Cálculo MP'!S145="","",'Cálculo MP'!S145)</f>
        <v/>
      </c>
      <c r="BM135" s="71"/>
      <c r="BN135" s="71"/>
      <c r="BO135" s="71"/>
      <c r="BP135" s="71"/>
      <c r="BQ135" s="71"/>
      <c r="BR135" s="71"/>
      <c r="BS135" s="71"/>
    </row>
    <row r="136" spans="1:71" ht="19.5" customHeight="1" x14ac:dyDescent="0.15">
      <c r="A136" s="56" t="s">
        <v>985</v>
      </c>
      <c r="B136" s="57" t="s">
        <v>986</v>
      </c>
      <c r="C136" s="58" t="s">
        <v>985</v>
      </c>
      <c r="D136" s="59" t="s">
        <v>985</v>
      </c>
      <c r="E136" s="61"/>
      <c r="F136" s="60" t="s">
        <v>95</v>
      </c>
      <c r="G136" s="61"/>
      <c r="H136" s="62"/>
      <c r="I136" s="75"/>
      <c r="J136" s="60" t="s">
        <v>95</v>
      </c>
      <c r="K136" s="64"/>
      <c r="L136" s="64"/>
      <c r="M136" s="64" t="s">
        <v>96</v>
      </c>
      <c r="N136" s="64" t="s">
        <v>97</v>
      </c>
      <c r="O136" s="65" t="s">
        <v>986</v>
      </c>
      <c r="P136" s="70" t="s">
        <v>96</v>
      </c>
      <c r="Q136" s="60" t="s">
        <v>95</v>
      </c>
      <c r="R136" s="60" t="s">
        <v>96</v>
      </c>
      <c r="S136" s="66" t="s">
        <v>96</v>
      </c>
      <c r="T136" s="67" t="s">
        <v>96</v>
      </c>
      <c r="U136" s="60" t="s">
        <v>96</v>
      </c>
      <c r="V136" s="60" t="s">
        <v>96</v>
      </c>
      <c r="W136" s="60" t="str" cm="1">
        <f t="array" ref="W136">_xlfn.LET(_xlpm.resultados,_xlfn.UNIQUE(_xlfn._xlws.FILTER(Tabla1[Proceso],(Tabla1[Metal Base]=Q136)*(Tabla1[Etiquetas]=_xlfn.TEXTJOIN(" + ",TRUE,IF((TRIM(Upload!R136:V136)="")+(LOWER(TRIM(Upload!R136:V136))="(seleccione)"),"",PROPER(TRIM(Upload!R136:V136)))))*(Tabla1[Línea2]=IFERROR(VLOOKUP(Upload!P136&amp;"*",CAT_Procesos!D:D,1,FALSE),"")))),_xlpm.cantidad,ROWS(_xlpm.resultados),IF(ISERROR(_xlpm.cantidad),"Combinación no existente",IF(_xlpm.cantidad=1,INDEX(_xlpm.resultados,1),"(seleccione)")))</f>
        <v>Combinación no existente</v>
      </c>
      <c r="X136" s="67" t="s">
        <v>96</v>
      </c>
      <c r="Y136" s="64"/>
      <c r="Z136" s="64"/>
      <c r="AA136" s="64"/>
      <c r="AB136" s="133" t="s">
        <v>96</v>
      </c>
      <c r="AC136" s="64"/>
      <c r="AD136" s="64"/>
      <c r="AE136" s="64"/>
      <c r="AF136" s="60" t="s">
        <v>96</v>
      </c>
      <c r="AG136" s="64"/>
      <c r="AH136" s="64"/>
      <c r="AI136" s="64"/>
      <c r="AJ136" s="68" t="s">
        <v>96</v>
      </c>
      <c r="AK136" s="69" t="str">
        <f t="shared" si="2"/>
        <v/>
      </c>
      <c r="AL136" s="70" t="s">
        <v>96</v>
      </c>
      <c r="AM136" s="69" t="str">
        <f t="shared" si="3"/>
        <v/>
      </c>
      <c r="AN136" s="71"/>
      <c r="AO136" s="71"/>
      <c r="AP136" s="71"/>
      <c r="AQ136" s="71"/>
      <c r="AR136" s="71" t="s">
        <v>96</v>
      </c>
      <c r="AS136" s="71"/>
      <c r="AT136" s="71" t="s">
        <v>96</v>
      </c>
      <c r="AU136" s="71"/>
      <c r="AV136" s="71" t="s">
        <v>95</v>
      </c>
      <c r="AW136" s="71"/>
      <c r="AX136" s="71"/>
      <c r="AY136" s="71"/>
      <c r="AZ136" s="71"/>
      <c r="BA136" s="71"/>
      <c r="BB136" s="70" t="s">
        <v>218</v>
      </c>
      <c r="BC136" s="70" t="s">
        <v>98</v>
      </c>
      <c r="BD136" s="72" t="str">
        <f>IF('Cálculo MP'!K146="","",'Cálculo MP'!K146)</f>
        <v/>
      </c>
      <c r="BE136" s="72" t="str">
        <f>IF('Cálculo MP'!L146="","",'Cálculo MP'!L146)</f>
        <v/>
      </c>
      <c r="BF136" s="72" t="str">
        <f>IF('Cálculo MP'!M146="","",'Cálculo MP'!M146)</f>
        <v/>
      </c>
      <c r="BG136" s="72" t="str">
        <f>IF('Cálculo MP'!N146="","",'Cálculo MP'!N146)</f>
        <v/>
      </c>
      <c r="BH136" s="72" t="str">
        <f>IF('Cálculo MP'!O146="","",'Cálculo MP'!O146)</f>
        <v/>
      </c>
      <c r="BI136" s="72" t="str">
        <f>IF('Cálculo MP'!P146="","",'Cálculo MP'!P146)</f>
        <v/>
      </c>
      <c r="BJ136" s="72" t="str">
        <f>IF('Cálculo MP'!Q146="","",'Cálculo MP'!Q146)</f>
        <v/>
      </c>
      <c r="BK136" s="72" t="str">
        <f>IF('Cálculo MP'!R146="","",'Cálculo MP'!R146)</f>
        <v/>
      </c>
      <c r="BL136" s="72" t="str">
        <f>IF('Cálculo MP'!S146="","",'Cálculo MP'!S146)</f>
        <v/>
      </c>
      <c r="BM136" s="71"/>
      <c r="BN136" s="71"/>
      <c r="BO136" s="71"/>
      <c r="BP136" s="71"/>
      <c r="BQ136" s="71"/>
      <c r="BR136" s="71"/>
      <c r="BS136" s="71"/>
    </row>
    <row r="137" spans="1:71" ht="19.5" customHeight="1" x14ac:dyDescent="0.15">
      <c r="A137" s="56" t="s">
        <v>985</v>
      </c>
      <c r="B137" s="57" t="s">
        <v>986</v>
      </c>
      <c r="C137" s="58" t="s">
        <v>985</v>
      </c>
      <c r="D137" s="59" t="s">
        <v>985</v>
      </c>
      <c r="E137" s="61"/>
      <c r="F137" s="60" t="s">
        <v>95</v>
      </c>
      <c r="G137" s="61"/>
      <c r="H137" s="62"/>
      <c r="I137" s="75"/>
      <c r="J137" s="60" t="s">
        <v>95</v>
      </c>
      <c r="K137" s="64"/>
      <c r="L137" s="64"/>
      <c r="M137" s="64" t="s">
        <v>96</v>
      </c>
      <c r="N137" s="64" t="s">
        <v>97</v>
      </c>
      <c r="O137" s="65" t="s">
        <v>986</v>
      </c>
      <c r="P137" s="70" t="s">
        <v>96</v>
      </c>
      <c r="Q137" s="60" t="s">
        <v>95</v>
      </c>
      <c r="R137" s="60" t="s">
        <v>96</v>
      </c>
      <c r="S137" s="66" t="s">
        <v>96</v>
      </c>
      <c r="T137" s="67" t="s">
        <v>96</v>
      </c>
      <c r="U137" s="60" t="s">
        <v>96</v>
      </c>
      <c r="V137" s="60" t="s">
        <v>96</v>
      </c>
      <c r="W137" s="60" t="str" cm="1">
        <f t="array" ref="W137">_xlfn.LET(_xlpm.resultados,_xlfn.UNIQUE(_xlfn._xlws.FILTER(Tabla1[Proceso],(Tabla1[Metal Base]=Q137)*(Tabla1[Etiquetas]=_xlfn.TEXTJOIN(" + ",TRUE,IF((TRIM(Upload!R137:V137)="")+(LOWER(TRIM(Upload!R137:V137))="(seleccione)"),"",PROPER(TRIM(Upload!R137:V137)))))*(Tabla1[Línea2]=IFERROR(VLOOKUP(Upload!P137&amp;"*",CAT_Procesos!D:D,1,FALSE),"")))),_xlpm.cantidad,ROWS(_xlpm.resultados),IF(ISERROR(_xlpm.cantidad),"Combinación no existente",IF(_xlpm.cantidad=1,INDEX(_xlpm.resultados,1),"(seleccione)")))</f>
        <v>Combinación no existente</v>
      </c>
      <c r="X137" s="67" t="s">
        <v>96</v>
      </c>
      <c r="Y137" s="64"/>
      <c r="Z137" s="64"/>
      <c r="AA137" s="64"/>
      <c r="AB137" s="133" t="s">
        <v>96</v>
      </c>
      <c r="AC137" s="64"/>
      <c r="AD137" s="64"/>
      <c r="AE137" s="64"/>
      <c r="AF137" s="60" t="s">
        <v>96</v>
      </c>
      <c r="AG137" s="64"/>
      <c r="AH137" s="64"/>
      <c r="AI137" s="64"/>
      <c r="AJ137" s="68" t="s">
        <v>96</v>
      </c>
      <c r="AK137" s="69" t="str">
        <f t="shared" si="2"/>
        <v/>
      </c>
      <c r="AL137" s="70" t="s">
        <v>96</v>
      </c>
      <c r="AM137" s="69" t="str">
        <f t="shared" si="3"/>
        <v/>
      </c>
      <c r="AN137" s="71"/>
      <c r="AO137" s="71"/>
      <c r="AP137" s="71"/>
      <c r="AQ137" s="71"/>
      <c r="AR137" s="71" t="s">
        <v>96</v>
      </c>
      <c r="AS137" s="71"/>
      <c r="AT137" s="71" t="s">
        <v>96</v>
      </c>
      <c r="AU137" s="71"/>
      <c r="AV137" s="71" t="s">
        <v>95</v>
      </c>
      <c r="AW137" s="71"/>
      <c r="AX137" s="71"/>
      <c r="AY137" s="71"/>
      <c r="AZ137" s="71"/>
      <c r="BA137" s="71"/>
      <c r="BB137" s="70" t="s">
        <v>218</v>
      </c>
      <c r="BC137" s="70" t="s">
        <v>98</v>
      </c>
      <c r="BD137" s="72" t="str">
        <f>IF('Cálculo MP'!K147="","",'Cálculo MP'!K147)</f>
        <v/>
      </c>
      <c r="BE137" s="72" t="str">
        <f>IF('Cálculo MP'!L147="","",'Cálculo MP'!L147)</f>
        <v/>
      </c>
      <c r="BF137" s="72" t="str">
        <f>IF('Cálculo MP'!M147="","",'Cálculo MP'!M147)</f>
        <v/>
      </c>
      <c r="BG137" s="72" t="str">
        <f>IF('Cálculo MP'!N147="","",'Cálculo MP'!N147)</f>
        <v/>
      </c>
      <c r="BH137" s="72" t="str">
        <f>IF('Cálculo MP'!O147="","",'Cálculo MP'!O147)</f>
        <v/>
      </c>
      <c r="BI137" s="72" t="str">
        <f>IF('Cálculo MP'!P147="","",'Cálculo MP'!P147)</f>
        <v/>
      </c>
      <c r="BJ137" s="72" t="str">
        <f>IF('Cálculo MP'!Q147="","",'Cálculo MP'!Q147)</f>
        <v/>
      </c>
      <c r="BK137" s="72" t="str">
        <f>IF('Cálculo MP'!R147="","",'Cálculo MP'!R147)</f>
        <v/>
      </c>
      <c r="BL137" s="72" t="str">
        <f>IF('Cálculo MP'!S147="","",'Cálculo MP'!S147)</f>
        <v/>
      </c>
      <c r="BM137" s="71"/>
      <c r="BN137" s="71"/>
      <c r="BO137" s="71"/>
      <c r="BP137" s="71"/>
      <c r="BQ137" s="71"/>
      <c r="BR137" s="71"/>
      <c r="BS137" s="71"/>
    </row>
    <row r="138" spans="1:71" ht="19.5" customHeight="1" x14ac:dyDescent="0.15">
      <c r="A138" s="56" t="s">
        <v>985</v>
      </c>
      <c r="B138" s="57" t="s">
        <v>986</v>
      </c>
      <c r="C138" s="58" t="s">
        <v>985</v>
      </c>
      <c r="D138" s="59" t="s">
        <v>985</v>
      </c>
      <c r="E138" s="61"/>
      <c r="F138" s="60" t="s">
        <v>95</v>
      </c>
      <c r="G138" s="61"/>
      <c r="H138" s="62"/>
      <c r="I138" s="75"/>
      <c r="J138" s="60" t="s">
        <v>95</v>
      </c>
      <c r="K138" s="64"/>
      <c r="L138" s="64"/>
      <c r="M138" s="64" t="s">
        <v>96</v>
      </c>
      <c r="N138" s="64" t="s">
        <v>97</v>
      </c>
      <c r="O138" s="65" t="s">
        <v>986</v>
      </c>
      <c r="P138" s="70" t="s">
        <v>96</v>
      </c>
      <c r="Q138" s="60" t="s">
        <v>95</v>
      </c>
      <c r="R138" s="60" t="s">
        <v>96</v>
      </c>
      <c r="S138" s="66" t="s">
        <v>96</v>
      </c>
      <c r="T138" s="67" t="s">
        <v>96</v>
      </c>
      <c r="U138" s="60" t="s">
        <v>96</v>
      </c>
      <c r="V138" s="60" t="s">
        <v>96</v>
      </c>
      <c r="W138" s="60" t="str" cm="1">
        <f t="array" ref="W138">_xlfn.LET(_xlpm.resultados,_xlfn.UNIQUE(_xlfn._xlws.FILTER(Tabla1[Proceso],(Tabla1[Metal Base]=Q138)*(Tabla1[Etiquetas]=_xlfn.TEXTJOIN(" + ",TRUE,IF((TRIM(Upload!R138:V138)="")+(LOWER(TRIM(Upload!R138:V138))="(seleccione)"),"",PROPER(TRIM(Upload!R138:V138)))))*(Tabla1[Línea2]=IFERROR(VLOOKUP(Upload!P138&amp;"*",CAT_Procesos!D:D,1,FALSE),"")))),_xlpm.cantidad,ROWS(_xlpm.resultados),IF(ISERROR(_xlpm.cantidad),"Combinación no existente",IF(_xlpm.cantidad=1,INDEX(_xlpm.resultados,1),"(seleccione)")))</f>
        <v>Combinación no existente</v>
      </c>
      <c r="X138" s="67" t="s">
        <v>96</v>
      </c>
      <c r="Y138" s="64"/>
      <c r="Z138" s="64"/>
      <c r="AA138" s="64"/>
      <c r="AB138" s="133" t="s">
        <v>96</v>
      </c>
      <c r="AC138" s="64"/>
      <c r="AD138" s="64"/>
      <c r="AE138" s="64"/>
      <c r="AF138" s="60" t="s">
        <v>96</v>
      </c>
      <c r="AG138" s="64"/>
      <c r="AH138" s="64"/>
      <c r="AI138" s="64"/>
      <c r="AJ138" s="68" t="s">
        <v>96</v>
      </c>
      <c r="AK138" s="69" t="str">
        <f t="shared" ref="AK138:AK201" si="4">IFERROR(((VALUE(TRIM(LEFT(MID(AJ138,FIND("|",AJ138)+1,99),FIND("-",MID(AJ138,FIND("|",AJ138)+1,99))-1)))+VALUE(TRIM(SUBSTITUTE(SUBSTITUTE(SUBSTITUTE(SUBSTITUTE(SUBSTITUTE(MID(MID(AJ138,FIND("|",AJ138)+1,99),FIND("-",MID(AJ138,FIND("|",AJ138)+1,99))+1,20),"µm",""),"μm",""),"mils",""),"mil",""),"",""))))/2)*IF(ISNUMBER(SEARCH("mil",MID(AJ138,FIND("|",AJ138)+1,99))),25.4,1),"")</f>
        <v/>
      </c>
      <c r="AL138" s="70" t="s">
        <v>96</v>
      </c>
      <c r="AM138" s="69" t="str">
        <f t="shared" ref="AM138:AM201" si="5">IFERROR(((VALUE(TRIM(LEFT(MID(AL138,FIND("|",AL138)+1,99),FIND("-",MID(AL138,FIND("|",AL138)+1,99))-1)))+VALUE(TRIM(SUBSTITUTE(SUBSTITUTE(SUBSTITUTE(SUBSTITUTE(SUBSTITUTE(MID(MID(AL138,FIND("|",AL138)+1,99),FIND("-",MID(AL138,FIND("|",AL138)+1,99))+1,20),"µm",""),"μm",""),"mils",""),"mil",""),"",""))))/2)*IF(ISNUMBER(SEARCH("mil",MID(AL138,FIND("|",AL138)+1,99))),25.4,1),"")</f>
        <v/>
      </c>
      <c r="AN138" s="71"/>
      <c r="AO138" s="71"/>
      <c r="AP138" s="71"/>
      <c r="AQ138" s="71"/>
      <c r="AR138" s="71" t="s">
        <v>96</v>
      </c>
      <c r="AS138" s="71"/>
      <c r="AT138" s="71" t="s">
        <v>96</v>
      </c>
      <c r="AU138" s="71"/>
      <c r="AV138" s="71" t="s">
        <v>95</v>
      </c>
      <c r="AW138" s="71"/>
      <c r="AX138" s="71"/>
      <c r="AY138" s="71"/>
      <c r="AZ138" s="71"/>
      <c r="BA138" s="71"/>
      <c r="BB138" s="70" t="s">
        <v>218</v>
      </c>
      <c r="BC138" s="70" t="s">
        <v>98</v>
      </c>
      <c r="BD138" s="72" t="str">
        <f>IF('Cálculo MP'!K148="","",'Cálculo MP'!K148)</f>
        <v/>
      </c>
      <c r="BE138" s="72" t="str">
        <f>IF('Cálculo MP'!L148="","",'Cálculo MP'!L148)</f>
        <v/>
      </c>
      <c r="BF138" s="72" t="str">
        <f>IF('Cálculo MP'!M148="","",'Cálculo MP'!M148)</f>
        <v/>
      </c>
      <c r="BG138" s="72" t="str">
        <f>IF('Cálculo MP'!N148="","",'Cálculo MP'!N148)</f>
        <v/>
      </c>
      <c r="BH138" s="72" t="str">
        <f>IF('Cálculo MP'!O148="","",'Cálculo MP'!O148)</f>
        <v/>
      </c>
      <c r="BI138" s="72" t="str">
        <f>IF('Cálculo MP'!P148="","",'Cálculo MP'!P148)</f>
        <v/>
      </c>
      <c r="BJ138" s="72" t="str">
        <f>IF('Cálculo MP'!Q148="","",'Cálculo MP'!Q148)</f>
        <v/>
      </c>
      <c r="BK138" s="72" t="str">
        <f>IF('Cálculo MP'!R148="","",'Cálculo MP'!R148)</f>
        <v/>
      </c>
      <c r="BL138" s="72" t="str">
        <f>IF('Cálculo MP'!S148="","",'Cálculo MP'!S148)</f>
        <v/>
      </c>
      <c r="BM138" s="71"/>
      <c r="BN138" s="71"/>
      <c r="BO138" s="71"/>
      <c r="BP138" s="71"/>
      <c r="BQ138" s="71"/>
      <c r="BR138" s="71"/>
      <c r="BS138" s="71"/>
    </row>
    <row r="139" spans="1:71" ht="19.5" customHeight="1" x14ac:dyDescent="0.15">
      <c r="A139" s="56" t="s">
        <v>985</v>
      </c>
      <c r="B139" s="57" t="s">
        <v>986</v>
      </c>
      <c r="C139" s="58" t="s">
        <v>985</v>
      </c>
      <c r="D139" s="59" t="s">
        <v>985</v>
      </c>
      <c r="E139" s="61"/>
      <c r="F139" s="60" t="s">
        <v>95</v>
      </c>
      <c r="G139" s="61"/>
      <c r="H139" s="62"/>
      <c r="I139" s="75"/>
      <c r="J139" s="60" t="s">
        <v>95</v>
      </c>
      <c r="K139" s="64"/>
      <c r="L139" s="64"/>
      <c r="M139" s="64" t="s">
        <v>96</v>
      </c>
      <c r="N139" s="64" t="s">
        <v>97</v>
      </c>
      <c r="O139" s="65" t="s">
        <v>986</v>
      </c>
      <c r="P139" s="70" t="s">
        <v>96</v>
      </c>
      <c r="Q139" s="60" t="s">
        <v>95</v>
      </c>
      <c r="R139" s="60" t="s">
        <v>96</v>
      </c>
      <c r="S139" s="66" t="s">
        <v>96</v>
      </c>
      <c r="T139" s="67" t="s">
        <v>96</v>
      </c>
      <c r="U139" s="60" t="s">
        <v>96</v>
      </c>
      <c r="V139" s="60" t="s">
        <v>96</v>
      </c>
      <c r="W139" s="60" t="str" cm="1">
        <f t="array" ref="W139">_xlfn.LET(_xlpm.resultados,_xlfn.UNIQUE(_xlfn._xlws.FILTER(Tabla1[Proceso],(Tabla1[Metal Base]=Q139)*(Tabla1[Etiquetas]=_xlfn.TEXTJOIN(" + ",TRUE,IF((TRIM(Upload!R139:V139)="")+(LOWER(TRIM(Upload!R139:V139))="(seleccione)"),"",PROPER(TRIM(Upload!R139:V139)))))*(Tabla1[Línea2]=IFERROR(VLOOKUP(Upload!P139&amp;"*",CAT_Procesos!D:D,1,FALSE),"")))),_xlpm.cantidad,ROWS(_xlpm.resultados),IF(ISERROR(_xlpm.cantidad),"Combinación no existente",IF(_xlpm.cantidad=1,INDEX(_xlpm.resultados,1),"(seleccione)")))</f>
        <v>Combinación no existente</v>
      </c>
      <c r="X139" s="67" t="s">
        <v>96</v>
      </c>
      <c r="Y139" s="64"/>
      <c r="Z139" s="64"/>
      <c r="AA139" s="64"/>
      <c r="AB139" s="133" t="s">
        <v>96</v>
      </c>
      <c r="AC139" s="64"/>
      <c r="AD139" s="64"/>
      <c r="AE139" s="64"/>
      <c r="AF139" s="60" t="s">
        <v>96</v>
      </c>
      <c r="AG139" s="64"/>
      <c r="AH139" s="64"/>
      <c r="AI139" s="64"/>
      <c r="AJ139" s="68" t="s">
        <v>96</v>
      </c>
      <c r="AK139" s="69" t="str">
        <f t="shared" si="4"/>
        <v/>
      </c>
      <c r="AL139" s="70" t="s">
        <v>96</v>
      </c>
      <c r="AM139" s="69" t="str">
        <f t="shared" si="5"/>
        <v/>
      </c>
      <c r="AN139" s="71"/>
      <c r="AO139" s="71"/>
      <c r="AP139" s="71"/>
      <c r="AQ139" s="71"/>
      <c r="AR139" s="71" t="s">
        <v>96</v>
      </c>
      <c r="AS139" s="71"/>
      <c r="AT139" s="71" t="s">
        <v>96</v>
      </c>
      <c r="AU139" s="71"/>
      <c r="AV139" s="71" t="s">
        <v>95</v>
      </c>
      <c r="AW139" s="71"/>
      <c r="AX139" s="71"/>
      <c r="AY139" s="71"/>
      <c r="AZ139" s="71"/>
      <c r="BA139" s="71"/>
      <c r="BB139" s="70" t="s">
        <v>218</v>
      </c>
      <c r="BC139" s="70" t="s">
        <v>98</v>
      </c>
      <c r="BD139" s="72" t="str">
        <f>IF('Cálculo MP'!K149="","",'Cálculo MP'!K149)</f>
        <v/>
      </c>
      <c r="BE139" s="72" t="str">
        <f>IF('Cálculo MP'!L149="","",'Cálculo MP'!L149)</f>
        <v/>
      </c>
      <c r="BF139" s="72" t="str">
        <f>IF('Cálculo MP'!M149="","",'Cálculo MP'!M149)</f>
        <v/>
      </c>
      <c r="BG139" s="72" t="str">
        <f>IF('Cálculo MP'!N149="","",'Cálculo MP'!N149)</f>
        <v/>
      </c>
      <c r="BH139" s="72" t="str">
        <f>IF('Cálculo MP'!O149="","",'Cálculo MP'!O149)</f>
        <v/>
      </c>
      <c r="BI139" s="72" t="str">
        <f>IF('Cálculo MP'!P149="","",'Cálculo MP'!P149)</f>
        <v/>
      </c>
      <c r="BJ139" s="72" t="str">
        <f>IF('Cálculo MP'!Q149="","",'Cálculo MP'!Q149)</f>
        <v/>
      </c>
      <c r="BK139" s="72" t="str">
        <f>IF('Cálculo MP'!R149="","",'Cálculo MP'!R149)</f>
        <v/>
      </c>
      <c r="BL139" s="72" t="str">
        <f>IF('Cálculo MP'!S149="","",'Cálculo MP'!S149)</f>
        <v/>
      </c>
      <c r="BM139" s="71"/>
      <c r="BN139" s="71"/>
      <c r="BO139" s="71"/>
      <c r="BP139" s="71"/>
      <c r="BQ139" s="71"/>
      <c r="BR139" s="71"/>
      <c r="BS139" s="71"/>
    </row>
    <row r="140" spans="1:71" ht="19.5" customHeight="1" x14ac:dyDescent="0.15">
      <c r="A140" s="56" t="s">
        <v>985</v>
      </c>
      <c r="B140" s="57" t="s">
        <v>986</v>
      </c>
      <c r="C140" s="58" t="s">
        <v>985</v>
      </c>
      <c r="D140" s="59" t="s">
        <v>985</v>
      </c>
      <c r="E140" s="61"/>
      <c r="F140" s="60" t="s">
        <v>95</v>
      </c>
      <c r="G140" s="61"/>
      <c r="H140" s="62"/>
      <c r="I140" s="75"/>
      <c r="J140" s="60" t="s">
        <v>95</v>
      </c>
      <c r="K140" s="64"/>
      <c r="L140" s="64"/>
      <c r="M140" s="64" t="s">
        <v>96</v>
      </c>
      <c r="N140" s="64" t="s">
        <v>97</v>
      </c>
      <c r="O140" s="65" t="s">
        <v>986</v>
      </c>
      <c r="P140" s="70" t="s">
        <v>96</v>
      </c>
      <c r="Q140" s="60" t="s">
        <v>95</v>
      </c>
      <c r="R140" s="60" t="s">
        <v>96</v>
      </c>
      <c r="S140" s="66" t="s">
        <v>96</v>
      </c>
      <c r="T140" s="67" t="s">
        <v>96</v>
      </c>
      <c r="U140" s="60" t="s">
        <v>96</v>
      </c>
      <c r="V140" s="60" t="s">
        <v>96</v>
      </c>
      <c r="W140" s="60" t="str" cm="1">
        <f t="array" ref="W140">_xlfn.LET(_xlpm.resultados,_xlfn.UNIQUE(_xlfn._xlws.FILTER(Tabla1[Proceso],(Tabla1[Metal Base]=Q140)*(Tabla1[Etiquetas]=_xlfn.TEXTJOIN(" + ",TRUE,IF((TRIM(Upload!R140:V140)="")+(LOWER(TRIM(Upload!R140:V140))="(seleccione)"),"",PROPER(TRIM(Upload!R140:V140)))))*(Tabla1[Línea2]=IFERROR(VLOOKUP(Upload!P140&amp;"*",CAT_Procesos!D:D,1,FALSE),"")))),_xlpm.cantidad,ROWS(_xlpm.resultados),IF(ISERROR(_xlpm.cantidad),"Combinación no existente",IF(_xlpm.cantidad=1,INDEX(_xlpm.resultados,1),"(seleccione)")))</f>
        <v>Combinación no existente</v>
      </c>
      <c r="X140" s="67" t="s">
        <v>96</v>
      </c>
      <c r="Y140" s="64"/>
      <c r="Z140" s="64"/>
      <c r="AA140" s="64"/>
      <c r="AB140" s="133" t="s">
        <v>96</v>
      </c>
      <c r="AC140" s="64"/>
      <c r="AD140" s="64"/>
      <c r="AE140" s="64"/>
      <c r="AF140" s="60" t="s">
        <v>96</v>
      </c>
      <c r="AG140" s="64"/>
      <c r="AH140" s="64"/>
      <c r="AI140" s="64"/>
      <c r="AJ140" s="68" t="s">
        <v>96</v>
      </c>
      <c r="AK140" s="69" t="str">
        <f t="shared" si="4"/>
        <v/>
      </c>
      <c r="AL140" s="70" t="s">
        <v>96</v>
      </c>
      <c r="AM140" s="69" t="str">
        <f t="shared" si="5"/>
        <v/>
      </c>
      <c r="AN140" s="71"/>
      <c r="AO140" s="71"/>
      <c r="AP140" s="71"/>
      <c r="AQ140" s="71"/>
      <c r="AR140" s="71" t="s">
        <v>96</v>
      </c>
      <c r="AS140" s="71"/>
      <c r="AT140" s="71" t="s">
        <v>96</v>
      </c>
      <c r="AU140" s="71"/>
      <c r="AV140" s="71" t="s">
        <v>95</v>
      </c>
      <c r="AW140" s="71"/>
      <c r="AX140" s="71"/>
      <c r="AY140" s="71"/>
      <c r="AZ140" s="71"/>
      <c r="BA140" s="71"/>
      <c r="BB140" s="70" t="s">
        <v>218</v>
      </c>
      <c r="BC140" s="70" t="s">
        <v>98</v>
      </c>
      <c r="BD140" s="72" t="str">
        <f>IF('Cálculo MP'!K150="","",'Cálculo MP'!K150)</f>
        <v/>
      </c>
      <c r="BE140" s="72" t="str">
        <f>IF('Cálculo MP'!L150="","",'Cálculo MP'!L150)</f>
        <v/>
      </c>
      <c r="BF140" s="72" t="str">
        <f>IF('Cálculo MP'!M150="","",'Cálculo MP'!M150)</f>
        <v/>
      </c>
      <c r="BG140" s="72" t="str">
        <f>IF('Cálculo MP'!N150="","",'Cálculo MP'!N150)</f>
        <v/>
      </c>
      <c r="BH140" s="72" t="str">
        <f>IF('Cálculo MP'!O150="","",'Cálculo MP'!O150)</f>
        <v/>
      </c>
      <c r="BI140" s="72" t="str">
        <f>IF('Cálculo MP'!P150="","",'Cálculo MP'!P150)</f>
        <v/>
      </c>
      <c r="BJ140" s="72" t="str">
        <f>IF('Cálculo MP'!Q150="","",'Cálculo MP'!Q150)</f>
        <v/>
      </c>
      <c r="BK140" s="72" t="str">
        <f>IF('Cálculo MP'!R150="","",'Cálculo MP'!R150)</f>
        <v/>
      </c>
      <c r="BL140" s="72" t="str">
        <f>IF('Cálculo MP'!S150="","",'Cálculo MP'!S150)</f>
        <v/>
      </c>
      <c r="BM140" s="71"/>
      <c r="BN140" s="71"/>
      <c r="BO140" s="71"/>
      <c r="BP140" s="71"/>
      <c r="BQ140" s="71"/>
      <c r="BR140" s="71"/>
      <c r="BS140" s="71"/>
    </row>
    <row r="141" spans="1:71" ht="19.5" customHeight="1" x14ac:dyDescent="0.15">
      <c r="A141" s="56" t="s">
        <v>985</v>
      </c>
      <c r="B141" s="57" t="s">
        <v>986</v>
      </c>
      <c r="C141" s="58" t="s">
        <v>985</v>
      </c>
      <c r="D141" s="59" t="s">
        <v>985</v>
      </c>
      <c r="E141" s="61"/>
      <c r="F141" s="60" t="s">
        <v>95</v>
      </c>
      <c r="G141" s="61"/>
      <c r="H141" s="62"/>
      <c r="I141" s="75"/>
      <c r="J141" s="60" t="s">
        <v>95</v>
      </c>
      <c r="K141" s="64"/>
      <c r="L141" s="64"/>
      <c r="M141" s="64" t="s">
        <v>96</v>
      </c>
      <c r="N141" s="64" t="s">
        <v>97</v>
      </c>
      <c r="O141" s="65" t="s">
        <v>986</v>
      </c>
      <c r="P141" s="70" t="s">
        <v>96</v>
      </c>
      <c r="Q141" s="60" t="s">
        <v>95</v>
      </c>
      <c r="R141" s="60" t="s">
        <v>96</v>
      </c>
      <c r="S141" s="66" t="s">
        <v>96</v>
      </c>
      <c r="T141" s="67" t="s">
        <v>96</v>
      </c>
      <c r="U141" s="60" t="s">
        <v>96</v>
      </c>
      <c r="V141" s="60" t="s">
        <v>96</v>
      </c>
      <c r="W141" s="60" t="str" cm="1">
        <f t="array" ref="W141">_xlfn.LET(_xlpm.resultados,_xlfn.UNIQUE(_xlfn._xlws.FILTER(Tabla1[Proceso],(Tabla1[Metal Base]=Q141)*(Tabla1[Etiquetas]=_xlfn.TEXTJOIN(" + ",TRUE,IF((TRIM(Upload!R141:V141)="")+(LOWER(TRIM(Upload!R141:V141))="(seleccione)"),"",PROPER(TRIM(Upload!R141:V141)))))*(Tabla1[Línea2]=IFERROR(VLOOKUP(Upload!P141&amp;"*",CAT_Procesos!D:D,1,FALSE),"")))),_xlpm.cantidad,ROWS(_xlpm.resultados),IF(ISERROR(_xlpm.cantidad),"Combinación no existente",IF(_xlpm.cantidad=1,INDEX(_xlpm.resultados,1),"(seleccione)")))</f>
        <v>Combinación no existente</v>
      </c>
      <c r="X141" s="67" t="s">
        <v>96</v>
      </c>
      <c r="Y141" s="64"/>
      <c r="Z141" s="64"/>
      <c r="AA141" s="64"/>
      <c r="AB141" s="133" t="s">
        <v>96</v>
      </c>
      <c r="AC141" s="64"/>
      <c r="AD141" s="64"/>
      <c r="AE141" s="64"/>
      <c r="AF141" s="60" t="s">
        <v>96</v>
      </c>
      <c r="AG141" s="64"/>
      <c r="AH141" s="64"/>
      <c r="AI141" s="64"/>
      <c r="AJ141" s="68" t="s">
        <v>96</v>
      </c>
      <c r="AK141" s="69" t="str">
        <f t="shared" si="4"/>
        <v/>
      </c>
      <c r="AL141" s="70" t="s">
        <v>96</v>
      </c>
      <c r="AM141" s="69" t="str">
        <f t="shared" si="5"/>
        <v/>
      </c>
      <c r="AN141" s="71"/>
      <c r="AO141" s="71"/>
      <c r="AP141" s="71"/>
      <c r="AQ141" s="71"/>
      <c r="AR141" s="71" t="s">
        <v>96</v>
      </c>
      <c r="AS141" s="71"/>
      <c r="AT141" s="71" t="s">
        <v>96</v>
      </c>
      <c r="AU141" s="71"/>
      <c r="AV141" s="71" t="s">
        <v>95</v>
      </c>
      <c r="AW141" s="71"/>
      <c r="AX141" s="71"/>
      <c r="AY141" s="71"/>
      <c r="AZ141" s="71"/>
      <c r="BA141" s="71"/>
      <c r="BB141" s="70" t="s">
        <v>218</v>
      </c>
      <c r="BC141" s="70" t="s">
        <v>98</v>
      </c>
      <c r="BD141" s="72" t="str">
        <f>IF('Cálculo MP'!K151="","",'Cálculo MP'!K151)</f>
        <v/>
      </c>
      <c r="BE141" s="72" t="str">
        <f>IF('Cálculo MP'!L151="","",'Cálculo MP'!L151)</f>
        <v/>
      </c>
      <c r="BF141" s="72" t="str">
        <f>IF('Cálculo MP'!M151="","",'Cálculo MP'!M151)</f>
        <v/>
      </c>
      <c r="BG141" s="72" t="str">
        <f>IF('Cálculo MP'!N151="","",'Cálculo MP'!N151)</f>
        <v/>
      </c>
      <c r="BH141" s="72" t="str">
        <f>IF('Cálculo MP'!O151="","",'Cálculo MP'!O151)</f>
        <v/>
      </c>
      <c r="BI141" s="72" t="str">
        <f>IF('Cálculo MP'!P151="","",'Cálculo MP'!P151)</f>
        <v/>
      </c>
      <c r="BJ141" s="72" t="str">
        <f>IF('Cálculo MP'!Q151="","",'Cálculo MP'!Q151)</f>
        <v/>
      </c>
      <c r="BK141" s="72" t="str">
        <f>IF('Cálculo MP'!R151="","",'Cálculo MP'!R151)</f>
        <v/>
      </c>
      <c r="BL141" s="72" t="str">
        <f>IF('Cálculo MP'!S151="","",'Cálculo MP'!S151)</f>
        <v/>
      </c>
      <c r="BM141" s="71"/>
      <c r="BN141" s="71"/>
      <c r="BO141" s="71"/>
      <c r="BP141" s="71"/>
      <c r="BQ141" s="71"/>
      <c r="BR141" s="71"/>
      <c r="BS141" s="71"/>
    </row>
    <row r="142" spans="1:71" ht="19.5" customHeight="1" x14ac:dyDescent="0.15">
      <c r="A142" s="56" t="s">
        <v>985</v>
      </c>
      <c r="B142" s="57" t="s">
        <v>986</v>
      </c>
      <c r="C142" s="58" t="s">
        <v>985</v>
      </c>
      <c r="D142" s="59" t="s">
        <v>985</v>
      </c>
      <c r="E142" s="61"/>
      <c r="F142" s="60" t="s">
        <v>95</v>
      </c>
      <c r="G142" s="61"/>
      <c r="H142" s="62"/>
      <c r="I142" s="75"/>
      <c r="J142" s="60" t="s">
        <v>95</v>
      </c>
      <c r="K142" s="64"/>
      <c r="L142" s="64"/>
      <c r="M142" s="64" t="s">
        <v>96</v>
      </c>
      <c r="N142" s="64" t="s">
        <v>97</v>
      </c>
      <c r="O142" s="65" t="s">
        <v>986</v>
      </c>
      <c r="P142" s="70" t="s">
        <v>96</v>
      </c>
      <c r="Q142" s="60" t="s">
        <v>95</v>
      </c>
      <c r="R142" s="60" t="s">
        <v>96</v>
      </c>
      <c r="S142" s="66" t="s">
        <v>96</v>
      </c>
      <c r="T142" s="67" t="s">
        <v>96</v>
      </c>
      <c r="U142" s="60" t="s">
        <v>96</v>
      </c>
      <c r="V142" s="60" t="s">
        <v>96</v>
      </c>
      <c r="W142" s="60" t="str" cm="1">
        <f t="array" ref="W142">_xlfn.LET(_xlpm.resultados,_xlfn.UNIQUE(_xlfn._xlws.FILTER(Tabla1[Proceso],(Tabla1[Metal Base]=Q142)*(Tabla1[Etiquetas]=_xlfn.TEXTJOIN(" + ",TRUE,IF((TRIM(Upload!R142:V142)="")+(LOWER(TRIM(Upload!R142:V142))="(seleccione)"),"",PROPER(TRIM(Upload!R142:V142)))))*(Tabla1[Línea2]=IFERROR(VLOOKUP(Upload!P142&amp;"*",CAT_Procesos!D:D,1,FALSE),"")))),_xlpm.cantidad,ROWS(_xlpm.resultados),IF(ISERROR(_xlpm.cantidad),"Combinación no existente",IF(_xlpm.cantidad=1,INDEX(_xlpm.resultados,1),"(seleccione)")))</f>
        <v>Combinación no existente</v>
      </c>
      <c r="X142" s="67" t="s">
        <v>96</v>
      </c>
      <c r="Y142" s="64"/>
      <c r="Z142" s="64"/>
      <c r="AA142" s="64"/>
      <c r="AB142" s="133" t="s">
        <v>96</v>
      </c>
      <c r="AC142" s="64"/>
      <c r="AD142" s="64"/>
      <c r="AE142" s="64"/>
      <c r="AF142" s="60" t="s">
        <v>96</v>
      </c>
      <c r="AG142" s="64"/>
      <c r="AH142" s="64"/>
      <c r="AI142" s="64"/>
      <c r="AJ142" s="68" t="s">
        <v>96</v>
      </c>
      <c r="AK142" s="69" t="str">
        <f t="shared" si="4"/>
        <v/>
      </c>
      <c r="AL142" s="70" t="s">
        <v>96</v>
      </c>
      <c r="AM142" s="69" t="str">
        <f t="shared" si="5"/>
        <v/>
      </c>
      <c r="AN142" s="71"/>
      <c r="AO142" s="71"/>
      <c r="AP142" s="71"/>
      <c r="AQ142" s="71"/>
      <c r="AR142" s="71" t="s">
        <v>96</v>
      </c>
      <c r="AS142" s="71"/>
      <c r="AT142" s="71" t="s">
        <v>96</v>
      </c>
      <c r="AU142" s="71"/>
      <c r="AV142" s="71" t="s">
        <v>95</v>
      </c>
      <c r="AW142" s="71"/>
      <c r="AX142" s="71"/>
      <c r="AY142" s="71"/>
      <c r="AZ142" s="71"/>
      <c r="BA142" s="71"/>
      <c r="BB142" s="70" t="s">
        <v>218</v>
      </c>
      <c r="BC142" s="70" t="s">
        <v>98</v>
      </c>
      <c r="BD142" s="72" t="str">
        <f>IF('Cálculo MP'!K152="","",'Cálculo MP'!K152)</f>
        <v/>
      </c>
      <c r="BE142" s="72" t="str">
        <f>IF('Cálculo MP'!L152="","",'Cálculo MP'!L152)</f>
        <v/>
      </c>
      <c r="BF142" s="72" t="str">
        <f>IF('Cálculo MP'!M152="","",'Cálculo MP'!M152)</f>
        <v/>
      </c>
      <c r="BG142" s="72" t="str">
        <f>IF('Cálculo MP'!N152="","",'Cálculo MP'!N152)</f>
        <v/>
      </c>
      <c r="BH142" s="72" t="str">
        <f>IF('Cálculo MP'!O152="","",'Cálculo MP'!O152)</f>
        <v/>
      </c>
      <c r="BI142" s="72" t="str">
        <f>IF('Cálculo MP'!P152="","",'Cálculo MP'!P152)</f>
        <v/>
      </c>
      <c r="BJ142" s="72" t="str">
        <f>IF('Cálculo MP'!Q152="","",'Cálculo MP'!Q152)</f>
        <v/>
      </c>
      <c r="BK142" s="72" t="str">
        <f>IF('Cálculo MP'!R152="","",'Cálculo MP'!R152)</f>
        <v/>
      </c>
      <c r="BL142" s="72" t="str">
        <f>IF('Cálculo MP'!S152="","",'Cálculo MP'!S152)</f>
        <v/>
      </c>
      <c r="BM142" s="71"/>
      <c r="BN142" s="71"/>
      <c r="BO142" s="71"/>
      <c r="BP142" s="71"/>
      <c r="BQ142" s="71"/>
      <c r="BR142" s="71"/>
      <c r="BS142" s="71"/>
    </row>
    <row r="143" spans="1:71" ht="19.5" customHeight="1" x14ac:dyDescent="0.15">
      <c r="A143" s="56" t="s">
        <v>985</v>
      </c>
      <c r="B143" s="57" t="s">
        <v>986</v>
      </c>
      <c r="C143" s="58" t="s">
        <v>985</v>
      </c>
      <c r="D143" s="59" t="s">
        <v>985</v>
      </c>
      <c r="E143" s="61"/>
      <c r="F143" s="60" t="s">
        <v>95</v>
      </c>
      <c r="G143" s="61"/>
      <c r="H143" s="62"/>
      <c r="I143" s="75"/>
      <c r="J143" s="60" t="s">
        <v>95</v>
      </c>
      <c r="K143" s="64"/>
      <c r="L143" s="64"/>
      <c r="M143" s="64" t="s">
        <v>96</v>
      </c>
      <c r="N143" s="64" t="s">
        <v>97</v>
      </c>
      <c r="O143" s="65" t="s">
        <v>986</v>
      </c>
      <c r="P143" s="70" t="s">
        <v>96</v>
      </c>
      <c r="Q143" s="60" t="s">
        <v>95</v>
      </c>
      <c r="R143" s="60" t="s">
        <v>96</v>
      </c>
      <c r="S143" s="66" t="s">
        <v>96</v>
      </c>
      <c r="T143" s="67" t="s">
        <v>96</v>
      </c>
      <c r="U143" s="60" t="s">
        <v>96</v>
      </c>
      <c r="V143" s="60" t="s">
        <v>96</v>
      </c>
      <c r="W143" s="60" t="str" cm="1">
        <f t="array" ref="W143">_xlfn.LET(_xlpm.resultados,_xlfn.UNIQUE(_xlfn._xlws.FILTER(Tabla1[Proceso],(Tabla1[Metal Base]=Q143)*(Tabla1[Etiquetas]=_xlfn.TEXTJOIN(" + ",TRUE,IF((TRIM(Upload!R143:V143)="")+(LOWER(TRIM(Upload!R143:V143))="(seleccione)"),"",PROPER(TRIM(Upload!R143:V143)))))*(Tabla1[Línea2]=IFERROR(VLOOKUP(Upload!P143&amp;"*",CAT_Procesos!D:D,1,FALSE),"")))),_xlpm.cantidad,ROWS(_xlpm.resultados),IF(ISERROR(_xlpm.cantidad),"Combinación no existente",IF(_xlpm.cantidad=1,INDEX(_xlpm.resultados,1),"(seleccione)")))</f>
        <v>Combinación no existente</v>
      </c>
      <c r="X143" s="67" t="s">
        <v>96</v>
      </c>
      <c r="Y143" s="64"/>
      <c r="Z143" s="64"/>
      <c r="AA143" s="64"/>
      <c r="AB143" s="133" t="s">
        <v>96</v>
      </c>
      <c r="AC143" s="64"/>
      <c r="AD143" s="64"/>
      <c r="AE143" s="64"/>
      <c r="AF143" s="60" t="s">
        <v>96</v>
      </c>
      <c r="AG143" s="64"/>
      <c r="AH143" s="64"/>
      <c r="AI143" s="64"/>
      <c r="AJ143" s="68" t="s">
        <v>96</v>
      </c>
      <c r="AK143" s="69" t="str">
        <f t="shared" si="4"/>
        <v/>
      </c>
      <c r="AL143" s="70" t="s">
        <v>96</v>
      </c>
      <c r="AM143" s="69" t="str">
        <f t="shared" si="5"/>
        <v/>
      </c>
      <c r="AN143" s="71"/>
      <c r="AO143" s="71"/>
      <c r="AP143" s="71"/>
      <c r="AQ143" s="71"/>
      <c r="AR143" s="71" t="s">
        <v>96</v>
      </c>
      <c r="AS143" s="71"/>
      <c r="AT143" s="71" t="s">
        <v>96</v>
      </c>
      <c r="AU143" s="71"/>
      <c r="AV143" s="71" t="s">
        <v>95</v>
      </c>
      <c r="AW143" s="71"/>
      <c r="AX143" s="71"/>
      <c r="AY143" s="71"/>
      <c r="AZ143" s="71"/>
      <c r="BA143" s="71"/>
      <c r="BB143" s="70" t="s">
        <v>218</v>
      </c>
      <c r="BC143" s="70" t="s">
        <v>98</v>
      </c>
      <c r="BD143" s="72" t="str">
        <f>IF('Cálculo MP'!K153="","",'Cálculo MP'!K153)</f>
        <v/>
      </c>
      <c r="BE143" s="72" t="str">
        <f>IF('Cálculo MP'!L153="","",'Cálculo MP'!L153)</f>
        <v/>
      </c>
      <c r="BF143" s="72" t="str">
        <f>IF('Cálculo MP'!M153="","",'Cálculo MP'!M153)</f>
        <v/>
      </c>
      <c r="BG143" s="72" t="str">
        <f>IF('Cálculo MP'!N153="","",'Cálculo MP'!N153)</f>
        <v/>
      </c>
      <c r="BH143" s="72" t="str">
        <f>IF('Cálculo MP'!O153="","",'Cálculo MP'!O153)</f>
        <v/>
      </c>
      <c r="BI143" s="72" t="str">
        <f>IF('Cálculo MP'!P153="","",'Cálculo MP'!P153)</f>
        <v/>
      </c>
      <c r="BJ143" s="72" t="str">
        <f>IF('Cálculo MP'!Q153="","",'Cálculo MP'!Q153)</f>
        <v/>
      </c>
      <c r="BK143" s="72" t="str">
        <f>IF('Cálculo MP'!R153="","",'Cálculo MP'!R153)</f>
        <v/>
      </c>
      <c r="BL143" s="72" t="str">
        <f>IF('Cálculo MP'!S153="","",'Cálculo MP'!S153)</f>
        <v/>
      </c>
      <c r="BM143" s="71"/>
      <c r="BN143" s="71"/>
      <c r="BO143" s="71"/>
      <c r="BP143" s="71"/>
      <c r="BQ143" s="71"/>
      <c r="BR143" s="71"/>
      <c r="BS143" s="71"/>
    </row>
    <row r="144" spans="1:71" ht="19.5" customHeight="1" x14ac:dyDescent="0.15">
      <c r="A144" s="56" t="s">
        <v>985</v>
      </c>
      <c r="B144" s="57" t="s">
        <v>986</v>
      </c>
      <c r="C144" s="58" t="s">
        <v>985</v>
      </c>
      <c r="D144" s="59" t="s">
        <v>985</v>
      </c>
      <c r="E144" s="61"/>
      <c r="F144" s="60" t="s">
        <v>95</v>
      </c>
      <c r="G144" s="61"/>
      <c r="H144" s="62"/>
      <c r="I144" s="75"/>
      <c r="J144" s="60" t="s">
        <v>95</v>
      </c>
      <c r="K144" s="64"/>
      <c r="L144" s="64"/>
      <c r="M144" s="64" t="s">
        <v>96</v>
      </c>
      <c r="N144" s="64" t="s">
        <v>97</v>
      </c>
      <c r="O144" s="65" t="s">
        <v>986</v>
      </c>
      <c r="P144" s="70" t="s">
        <v>96</v>
      </c>
      <c r="Q144" s="60" t="s">
        <v>95</v>
      </c>
      <c r="R144" s="60" t="s">
        <v>96</v>
      </c>
      <c r="S144" s="66" t="s">
        <v>96</v>
      </c>
      <c r="T144" s="67" t="s">
        <v>96</v>
      </c>
      <c r="U144" s="60" t="s">
        <v>96</v>
      </c>
      <c r="V144" s="60" t="s">
        <v>96</v>
      </c>
      <c r="W144" s="60" t="str" cm="1">
        <f t="array" ref="W144">_xlfn.LET(_xlpm.resultados,_xlfn.UNIQUE(_xlfn._xlws.FILTER(Tabla1[Proceso],(Tabla1[Metal Base]=Q144)*(Tabla1[Etiquetas]=_xlfn.TEXTJOIN(" + ",TRUE,IF((TRIM(Upload!R144:V144)="")+(LOWER(TRIM(Upload!R144:V144))="(seleccione)"),"",PROPER(TRIM(Upload!R144:V144)))))*(Tabla1[Línea2]=IFERROR(VLOOKUP(Upload!P144&amp;"*",CAT_Procesos!D:D,1,FALSE),"")))),_xlpm.cantidad,ROWS(_xlpm.resultados),IF(ISERROR(_xlpm.cantidad),"Combinación no existente",IF(_xlpm.cantidad=1,INDEX(_xlpm.resultados,1),"(seleccione)")))</f>
        <v>Combinación no existente</v>
      </c>
      <c r="X144" s="67" t="s">
        <v>96</v>
      </c>
      <c r="Y144" s="64"/>
      <c r="Z144" s="64"/>
      <c r="AA144" s="64"/>
      <c r="AB144" s="133" t="s">
        <v>96</v>
      </c>
      <c r="AC144" s="64"/>
      <c r="AD144" s="64"/>
      <c r="AE144" s="64"/>
      <c r="AF144" s="60" t="s">
        <v>96</v>
      </c>
      <c r="AG144" s="64"/>
      <c r="AH144" s="64"/>
      <c r="AI144" s="64"/>
      <c r="AJ144" s="68" t="s">
        <v>96</v>
      </c>
      <c r="AK144" s="69" t="str">
        <f t="shared" si="4"/>
        <v/>
      </c>
      <c r="AL144" s="70" t="s">
        <v>96</v>
      </c>
      <c r="AM144" s="69" t="str">
        <f t="shared" si="5"/>
        <v/>
      </c>
      <c r="AN144" s="71"/>
      <c r="AO144" s="71"/>
      <c r="AP144" s="71"/>
      <c r="AQ144" s="71"/>
      <c r="AR144" s="71" t="s">
        <v>96</v>
      </c>
      <c r="AS144" s="71"/>
      <c r="AT144" s="71" t="s">
        <v>96</v>
      </c>
      <c r="AU144" s="71"/>
      <c r="AV144" s="71" t="s">
        <v>95</v>
      </c>
      <c r="AW144" s="71"/>
      <c r="AX144" s="71"/>
      <c r="AY144" s="71"/>
      <c r="AZ144" s="71"/>
      <c r="BA144" s="71"/>
      <c r="BB144" s="70" t="s">
        <v>218</v>
      </c>
      <c r="BC144" s="70" t="s">
        <v>98</v>
      </c>
      <c r="BD144" s="72" t="str">
        <f>IF('Cálculo MP'!K154="","",'Cálculo MP'!K154)</f>
        <v/>
      </c>
      <c r="BE144" s="72" t="str">
        <f>IF('Cálculo MP'!L154="","",'Cálculo MP'!L154)</f>
        <v/>
      </c>
      <c r="BF144" s="72" t="str">
        <f>IF('Cálculo MP'!M154="","",'Cálculo MP'!M154)</f>
        <v/>
      </c>
      <c r="BG144" s="72" t="str">
        <f>IF('Cálculo MP'!N154="","",'Cálculo MP'!N154)</f>
        <v/>
      </c>
      <c r="BH144" s="72" t="str">
        <f>IF('Cálculo MP'!O154="","",'Cálculo MP'!O154)</f>
        <v/>
      </c>
      <c r="BI144" s="72" t="str">
        <f>IF('Cálculo MP'!P154="","",'Cálculo MP'!P154)</f>
        <v/>
      </c>
      <c r="BJ144" s="72" t="str">
        <f>IF('Cálculo MP'!Q154="","",'Cálculo MP'!Q154)</f>
        <v/>
      </c>
      <c r="BK144" s="72" t="str">
        <f>IF('Cálculo MP'!R154="","",'Cálculo MP'!R154)</f>
        <v/>
      </c>
      <c r="BL144" s="72" t="str">
        <f>IF('Cálculo MP'!S154="","",'Cálculo MP'!S154)</f>
        <v/>
      </c>
      <c r="BM144" s="71"/>
      <c r="BN144" s="71"/>
      <c r="BO144" s="71"/>
      <c r="BP144" s="71"/>
      <c r="BQ144" s="71"/>
      <c r="BR144" s="71"/>
      <c r="BS144" s="71"/>
    </row>
    <row r="145" spans="1:71" ht="19.5" customHeight="1" x14ac:dyDescent="0.15">
      <c r="A145" s="56" t="s">
        <v>985</v>
      </c>
      <c r="B145" s="57" t="s">
        <v>986</v>
      </c>
      <c r="C145" s="58" t="s">
        <v>985</v>
      </c>
      <c r="D145" s="59" t="s">
        <v>985</v>
      </c>
      <c r="E145" s="61"/>
      <c r="F145" s="60" t="s">
        <v>95</v>
      </c>
      <c r="G145" s="61"/>
      <c r="H145" s="62"/>
      <c r="I145" s="75"/>
      <c r="J145" s="60" t="s">
        <v>95</v>
      </c>
      <c r="K145" s="64"/>
      <c r="L145" s="64"/>
      <c r="M145" s="64" t="s">
        <v>96</v>
      </c>
      <c r="N145" s="64" t="s">
        <v>97</v>
      </c>
      <c r="O145" s="65" t="s">
        <v>986</v>
      </c>
      <c r="P145" s="70" t="s">
        <v>96</v>
      </c>
      <c r="Q145" s="60" t="s">
        <v>95</v>
      </c>
      <c r="R145" s="60" t="s">
        <v>96</v>
      </c>
      <c r="S145" s="66" t="s">
        <v>96</v>
      </c>
      <c r="T145" s="67" t="s">
        <v>96</v>
      </c>
      <c r="U145" s="60" t="s">
        <v>96</v>
      </c>
      <c r="V145" s="60" t="s">
        <v>96</v>
      </c>
      <c r="W145" s="60" t="str" cm="1">
        <f t="array" ref="W145">_xlfn.LET(_xlpm.resultados,_xlfn.UNIQUE(_xlfn._xlws.FILTER(Tabla1[Proceso],(Tabla1[Metal Base]=Q145)*(Tabla1[Etiquetas]=_xlfn.TEXTJOIN(" + ",TRUE,IF((TRIM(Upload!R145:V145)="")+(LOWER(TRIM(Upload!R145:V145))="(seleccione)"),"",PROPER(TRIM(Upload!R145:V145)))))*(Tabla1[Línea2]=IFERROR(VLOOKUP(Upload!P145&amp;"*",CAT_Procesos!D:D,1,FALSE),"")))),_xlpm.cantidad,ROWS(_xlpm.resultados),IF(ISERROR(_xlpm.cantidad),"Combinación no existente",IF(_xlpm.cantidad=1,INDEX(_xlpm.resultados,1),"(seleccione)")))</f>
        <v>Combinación no existente</v>
      </c>
      <c r="X145" s="67" t="s">
        <v>96</v>
      </c>
      <c r="Y145" s="64"/>
      <c r="Z145" s="64"/>
      <c r="AA145" s="64"/>
      <c r="AB145" s="133" t="s">
        <v>96</v>
      </c>
      <c r="AC145" s="64"/>
      <c r="AD145" s="64"/>
      <c r="AE145" s="64"/>
      <c r="AF145" s="60" t="s">
        <v>96</v>
      </c>
      <c r="AG145" s="64"/>
      <c r="AH145" s="64"/>
      <c r="AI145" s="64"/>
      <c r="AJ145" s="68" t="s">
        <v>96</v>
      </c>
      <c r="AK145" s="69" t="str">
        <f t="shared" si="4"/>
        <v/>
      </c>
      <c r="AL145" s="70" t="s">
        <v>96</v>
      </c>
      <c r="AM145" s="69" t="str">
        <f t="shared" si="5"/>
        <v/>
      </c>
      <c r="AN145" s="71"/>
      <c r="AO145" s="71"/>
      <c r="AP145" s="71"/>
      <c r="AQ145" s="71"/>
      <c r="AR145" s="71" t="s">
        <v>96</v>
      </c>
      <c r="AS145" s="71"/>
      <c r="AT145" s="71" t="s">
        <v>96</v>
      </c>
      <c r="AU145" s="71"/>
      <c r="AV145" s="71" t="s">
        <v>95</v>
      </c>
      <c r="AW145" s="71"/>
      <c r="AX145" s="71"/>
      <c r="AY145" s="71"/>
      <c r="AZ145" s="71"/>
      <c r="BA145" s="71"/>
      <c r="BB145" s="70" t="s">
        <v>218</v>
      </c>
      <c r="BC145" s="70" t="s">
        <v>98</v>
      </c>
      <c r="BD145" s="72" t="str">
        <f>IF('Cálculo MP'!K155="","",'Cálculo MP'!K155)</f>
        <v/>
      </c>
      <c r="BE145" s="72" t="str">
        <f>IF('Cálculo MP'!L155="","",'Cálculo MP'!L155)</f>
        <v/>
      </c>
      <c r="BF145" s="72" t="str">
        <f>IF('Cálculo MP'!M155="","",'Cálculo MP'!M155)</f>
        <v/>
      </c>
      <c r="BG145" s="72" t="str">
        <f>IF('Cálculo MP'!N155="","",'Cálculo MP'!N155)</f>
        <v/>
      </c>
      <c r="BH145" s="72" t="str">
        <f>IF('Cálculo MP'!O155="","",'Cálculo MP'!O155)</f>
        <v/>
      </c>
      <c r="BI145" s="72" t="str">
        <f>IF('Cálculo MP'!P155="","",'Cálculo MP'!P155)</f>
        <v/>
      </c>
      <c r="BJ145" s="72" t="str">
        <f>IF('Cálculo MP'!Q155="","",'Cálculo MP'!Q155)</f>
        <v/>
      </c>
      <c r="BK145" s="72" t="str">
        <f>IF('Cálculo MP'!R155="","",'Cálculo MP'!R155)</f>
        <v/>
      </c>
      <c r="BL145" s="72" t="str">
        <f>IF('Cálculo MP'!S155="","",'Cálculo MP'!S155)</f>
        <v/>
      </c>
      <c r="BM145" s="71"/>
      <c r="BN145" s="71"/>
      <c r="BO145" s="71"/>
      <c r="BP145" s="71"/>
      <c r="BQ145" s="71"/>
      <c r="BR145" s="71"/>
      <c r="BS145" s="71"/>
    </row>
    <row r="146" spans="1:71" ht="19.5" customHeight="1" x14ac:dyDescent="0.15">
      <c r="A146" s="56" t="s">
        <v>985</v>
      </c>
      <c r="B146" s="57" t="s">
        <v>986</v>
      </c>
      <c r="C146" s="58" t="s">
        <v>985</v>
      </c>
      <c r="D146" s="59" t="s">
        <v>985</v>
      </c>
      <c r="E146" s="61"/>
      <c r="F146" s="60" t="s">
        <v>95</v>
      </c>
      <c r="G146" s="61"/>
      <c r="H146" s="62"/>
      <c r="I146" s="75"/>
      <c r="J146" s="60" t="s">
        <v>95</v>
      </c>
      <c r="K146" s="64"/>
      <c r="L146" s="64"/>
      <c r="M146" s="64" t="s">
        <v>96</v>
      </c>
      <c r="N146" s="64" t="s">
        <v>97</v>
      </c>
      <c r="O146" s="65" t="s">
        <v>986</v>
      </c>
      <c r="P146" s="70" t="s">
        <v>96</v>
      </c>
      <c r="Q146" s="60" t="s">
        <v>95</v>
      </c>
      <c r="R146" s="60" t="s">
        <v>96</v>
      </c>
      <c r="S146" s="66" t="s">
        <v>96</v>
      </c>
      <c r="T146" s="67" t="s">
        <v>96</v>
      </c>
      <c r="U146" s="60" t="s">
        <v>96</v>
      </c>
      <c r="V146" s="60" t="s">
        <v>96</v>
      </c>
      <c r="W146" s="60" t="str" cm="1">
        <f t="array" ref="W146">_xlfn.LET(_xlpm.resultados,_xlfn.UNIQUE(_xlfn._xlws.FILTER(Tabla1[Proceso],(Tabla1[Metal Base]=Q146)*(Tabla1[Etiquetas]=_xlfn.TEXTJOIN(" + ",TRUE,IF((TRIM(Upload!R146:V146)="")+(LOWER(TRIM(Upload!R146:V146))="(seleccione)"),"",PROPER(TRIM(Upload!R146:V146)))))*(Tabla1[Línea2]=IFERROR(VLOOKUP(Upload!P146&amp;"*",CAT_Procesos!D:D,1,FALSE),"")))),_xlpm.cantidad,ROWS(_xlpm.resultados),IF(ISERROR(_xlpm.cantidad),"Combinación no existente",IF(_xlpm.cantidad=1,INDEX(_xlpm.resultados,1),"(seleccione)")))</f>
        <v>Combinación no existente</v>
      </c>
      <c r="X146" s="67" t="s">
        <v>96</v>
      </c>
      <c r="Y146" s="64"/>
      <c r="Z146" s="64"/>
      <c r="AA146" s="64"/>
      <c r="AB146" s="133" t="s">
        <v>96</v>
      </c>
      <c r="AC146" s="64"/>
      <c r="AD146" s="64"/>
      <c r="AE146" s="64"/>
      <c r="AF146" s="60" t="s">
        <v>96</v>
      </c>
      <c r="AG146" s="64"/>
      <c r="AH146" s="64"/>
      <c r="AI146" s="64"/>
      <c r="AJ146" s="68" t="s">
        <v>96</v>
      </c>
      <c r="AK146" s="69" t="str">
        <f t="shared" si="4"/>
        <v/>
      </c>
      <c r="AL146" s="70" t="s">
        <v>96</v>
      </c>
      <c r="AM146" s="69" t="str">
        <f t="shared" si="5"/>
        <v/>
      </c>
      <c r="AN146" s="71"/>
      <c r="AO146" s="71"/>
      <c r="AP146" s="71"/>
      <c r="AQ146" s="71"/>
      <c r="AR146" s="71" t="s">
        <v>96</v>
      </c>
      <c r="AS146" s="71"/>
      <c r="AT146" s="71" t="s">
        <v>96</v>
      </c>
      <c r="AU146" s="71"/>
      <c r="AV146" s="71" t="s">
        <v>95</v>
      </c>
      <c r="AW146" s="71"/>
      <c r="AX146" s="71"/>
      <c r="AY146" s="71"/>
      <c r="AZ146" s="71"/>
      <c r="BA146" s="71"/>
      <c r="BB146" s="70" t="s">
        <v>218</v>
      </c>
      <c r="BC146" s="70" t="s">
        <v>98</v>
      </c>
      <c r="BD146" s="72" t="str">
        <f>IF('Cálculo MP'!K156="","",'Cálculo MP'!K156)</f>
        <v/>
      </c>
      <c r="BE146" s="72" t="str">
        <f>IF('Cálculo MP'!L156="","",'Cálculo MP'!L156)</f>
        <v/>
      </c>
      <c r="BF146" s="72" t="str">
        <f>IF('Cálculo MP'!M156="","",'Cálculo MP'!M156)</f>
        <v/>
      </c>
      <c r="BG146" s="72" t="str">
        <f>IF('Cálculo MP'!N156="","",'Cálculo MP'!N156)</f>
        <v/>
      </c>
      <c r="BH146" s="72" t="str">
        <f>IF('Cálculo MP'!O156="","",'Cálculo MP'!O156)</f>
        <v/>
      </c>
      <c r="BI146" s="72" t="str">
        <f>IF('Cálculo MP'!P156="","",'Cálculo MP'!P156)</f>
        <v/>
      </c>
      <c r="BJ146" s="72" t="str">
        <f>IF('Cálculo MP'!Q156="","",'Cálculo MP'!Q156)</f>
        <v/>
      </c>
      <c r="BK146" s="72" t="str">
        <f>IF('Cálculo MP'!R156="","",'Cálculo MP'!R156)</f>
        <v/>
      </c>
      <c r="BL146" s="72" t="str">
        <f>IF('Cálculo MP'!S156="","",'Cálculo MP'!S156)</f>
        <v/>
      </c>
      <c r="BM146" s="71"/>
      <c r="BN146" s="71"/>
      <c r="BO146" s="71"/>
      <c r="BP146" s="71"/>
      <c r="BQ146" s="71"/>
      <c r="BR146" s="71"/>
      <c r="BS146" s="71"/>
    </row>
    <row r="147" spans="1:71" ht="19.5" customHeight="1" x14ac:dyDescent="0.15">
      <c r="A147" s="56" t="s">
        <v>985</v>
      </c>
      <c r="B147" s="57" t="s">
        <v>986</v>
      </c>
      <c r="C147" s="58" t="s">
        <v>985</v>
      </c>
      <c r="D147" s="59" t="s">
        <v>985</v>
      </c>
      <c r="E147" s="61"/>
      <c r="F147" s="60" t="s">
        <v>95</v>
      </c>
      <c r="G147" s="61"/>
      <c r="H147" s="62"/>
      <c r="I147" s="75"/>
      <c r="J147" s="60" t="s">
        <v>95</v>
      </c>
      <c r="K147" s="64"/>
      <c r="L147" s="64"/>
      <c r="M147" s="64" t="s">
        <v>96</v>
      </c>
      <c r="N147" s="64" t="s">
        <v>97</v>
      </c>
      <c r="O147" s="65" t="s">
        <v>986</v>
      </c>
      <c r="P147" s="70" t="s">
        <v>96</v>
      </c>
      <c r="Q147" s="60" t="s">
        <v>95</v>
      </c>
      <c r="R147" s="60" t="s">
        <v>96</v>
      </c>
      <c r="S147" s="66" t="s">
        <v>96</v>
      </c>
      <c r="T147" s="67" t="s">
        <v>96</v>
      </c>
      <c r="U147" s="60" t="s">
        <v>96</v>
      </c>
      <c r="V147" s="60" t="s">
        <v>96</v>
      </c>
      <c r="W147" s="60" t="str" cm="1">
        <f t="array" ref="W147">_xlfn.LET(_xlpm.resultados,_xlfn.UNIQUE(_xlfn._xlws.FILTER(Tabla1[Proceso],(Tabla1[Metal Base]=Q147)*(Tabla1[Etiquetas]=_xlfn.TEXTJOIN(" + ",TRUE,IF((TRIM(Upload!R147:V147)="")+(LOWER(TRIM(Upload!R147:V147))="(seleccione)"),"",PROPER(TRIM(Upload!R147:V147)))))*(Tabla1[Línea2]=IFERROR(VLOOKUP(Upload!P147&amp;"*",CAT_Procesos!D:D,1,FALSE),"")))),_xlpm.cantidad,ROWS(_xlpm.resultados),IF(ISERROR(_xlpm.cantidad),"Combinación no existente",IF(_xlpm.cantidad=1,INDEX(_xlpm.resultados,1),"(seleccione)")))</f>
        <v>Combinación no existente</v>
      </c>
      <c r="X147" s="67" t="s">
        <v>96</v>
      </c>
      <c r="Y147" s="64"/>
      <c r="Z147" s="64"/>
      <c r="AA147" s="64"/>
      <c r="AB147" s="133" t="s">
        <v>96</v>
      </c>
      <c r="AC147" s="64"/>
      <c r="AD147" s="64"/>
      <c r="AE147" s="64"/>
      <c r="AF147" s="60" t="s">
        <v>96</v>
      </c>
      <c r="AG147" s="64"/>
      <c r="AH147" s="64"/>
      <c r="AI147" s="64"/>
      <c r="AJ147" s="68" t="s">
        <v>96</v>
      </c>
      <c r="AK147" s="69" t="str">
        <f t="shared" si="4"/>
        <v/>
      </c>
      <c r="AL147" s="70" t="s">
        <v>96</v>
      </c>
      <c r="AM147" s="69" t="str">
        <f t="shared" si="5"/>
        <v/>
      </c>
      <c r="AN147" s="71"/>
      <c r="AO147" s="71"/>
      <c r="AP147" s="71"/>
      <c r="AQ147" s="71"/>
      <c r="AR147" s="71" t="s">
        <v>96</v>
      </c>
      <c r="AS147" s="71"/>
      <c r="AT147" s="71" t="s">
        <v>96</v>
      </c>
      <c r="AU147" s="71"/>
      <c r="AV147" s="71" t="s">
        <v>95</v>
      </c>
      <c r="AW147" s="71"/>
      <c r="AX147" s="71"/>
      <c r="AY147" s="71"/>
      <c r="AZ147" s="71"/>
      <c r="BA147" s="71"/>
      <c r="BB147" s="70" t="s">
        <v>218</v>
      </c>
      <c r="BC147" s="70" t="s">
        <v>98</v>
      </c>
      <c r="BD147" s="72" t="str">
        <f>IF('Cálculo MP'!K157="","",'Cálculo MP'!K157)</f>
        <v/>
      </c>
      <c r="BE147" s="72" t="str">
        <f>IF('Cálculo MP'!L157="","",'Cálculo MP'!L157)</f>
        <v/>
      </c>
      <c r="BF147" s="72" t="str">
        <f>IF('Cálculo MP'!M157="","",'Cálculo MP'!M157)</f>
        <v/>
      </c>
      <c r="BG147" s="72" t="str">
        <f>IF('Cálculo MP'!N157="","",'Cálculo MP'!N157)</f>
        <v/>
      </c>
      <c r="BH147" s="72" t="str">
        <f>IF('Cálculo MP'!O157="","",'Cálculo MP'!O157)</f>
        <v/>
      </c>
      <c r="BI147" s="72" t="str">
        <f>IF('Cálculo MP'!P157="","",'Cálculo MP'!P157)</f>
        <v/>
      </c>
      <c r="BJ147" s="72" t="str">
        <f>IF('Cálculo MP'!Q157="","",'Cálculo MP'!Q157)</f>
        <v/>
      </c>
      <c r="BK147" s="72" t="str">
        <f>IF('Cálculo MP'!R157="","",'Cálculo MP'!R157)</f>
        <v/>
      </c>
      <c r="BL147" s="72" t="str">
        <f>IF('Cálculo MP'!S157="","",'Cálculo MP'!S157)</f>
        <v/>
      </c>
      <c r="BM147" s="71"/>
      <c r="BN147" s="71"/>
      <c r="BO147" s="71"/>
      <c r="BP147" s="71"/>
      <c r="BQ147" s="71"/>
      <c r="BR147" s="71"/>
      <c r="BS147" s="71"/>
    </row>
    <row r="148" spans="1:71" ht="19.5" customHeight="1" x14ac:dyDescent="0.15">
      <c r="A148" s="56" t="s">
        <v>985</v>
      </c>
      <c r="B148" s="57" t="s">
        <v>986</v>
      </c>
      <c r="C148" s="58" t="s">
        <v>985</v>
      </c>
      <c r="D148" s="59" t="s">
        <v>985</v>
      </c>
      <c r="E148" s="61"/>
      <c r="F148" s="60" t="s">
        <v>95</v>
      </c>
      <c r="G148" s="61"/>
      <c r="H148" s="62"/>
      <c r="I148" s="75"/>
      <c r="J148" s="60" t="s">
        <v>95</v>
      </c>
      <c r="K148" s="64"/>
      <c r="L148" s="64"/>
      <c r="M148" s="64" t="s">
        <v>96</v>
      </c>
      <c r="N148" s="64" t="s">
        <v>97</v>
      </c>
      <c r="O148" s="65" t="s">
        <v>986</v>
      </c>
      <c r="P148" s="70" t="s">
        <v>96</v>
      </c>
      <c r="Q148" s="60" t="s">
        <v>95</v>
      </c>
      <c r="R148" s="60" t="s">
        <v>96</v>
      </c>
      <c r="S148" s="66" t="s">
        <v>96</v>
      </c>
      <c r="T148" s="67" t="s">
        <v>96</v>
      </c>
      <c r="U148" s="60" t="s">
        <v>96</v>
      </c>
      <c r="V148" s="60" t="s">
        <v>96</v>
      </c>
      <c r="W148" s="60" t="str" cm="1">
        <f t="array" ref="W148">_xlfn.LET(_xlpm.resultados,_xlfn.UNIQUE(_xlfn._xlws.FILTER(Tabla1[Proceso],(Tabla1[Metal Base]=Q148)*(Tabla1[Etiquetas]=_xlfn.TEXTJOIN(" + ",TRUE,IF((TRIM(Upload!R148:V148)="")+(LOWER(TRIM(Upload!R148:V148))="(seleccione)"),"",PROPER(TRIM(Upload!R148:V148)))))*(Tabla1[Línea2]=IFERROR(VLOOKUP(Upload!P148&amp;"*",CAT_Procesos!D:D,1,FALSE),"")))),_xlpm.cantidad,ROWS(_xlpm.resultados),IF(ISERROR(_xlpm.cantidad),"Combinación no existente",IF(_xlpm.cantidad=1,INDEX(_xlpm.resultados,1),"(seleccione)")))</f>
        <v>Combinación no existente</v>
      </c>
      <c r="X148" s="67" t="s">
        <v>96</v>
      </c>
      <c r="Y148" s="64"/>
      <c r="Z148" s="64"/>
      <c r="AA148" s="64"/>
      <c r="AB148" s="133" t="s">
        <v>96</v>
      </c>
      <c r="AC148" s="64"/>
      <c r="AD148" s="64"/>
      <c r="AE148" s="64"/>
      <c r="AF148" s="60" t="s">
        <v>96</v>
      </c>
      <c r="AG148" s="64"/>
      <c r="AH148" s="64"/>
      <c r="AI148" s="64"/>
      <c r="AJ148" s="68" t="s">
        <v>96</v>
      </c>
      <c r="AK148" s="69" t="str">
        <f t="shared" si="4"/>
        <v/>
      </c>
      <c r="AL148" s="70" t="s">
        <v>96</v>
      </c>
      <c r="AM148" s="69" t="str">
        <f t="shared" si="5"/>
        <v/>
      </c>
      <c r="AN148" s="71"/>
      <c r="AO148" s="71"/>
      <c r="AP148" s="71"/>
      <c r="AQ148" s="71"/>
      <c r="AR148" s="71" t="s">
        <v>96</v>
      </c>
      <c r="AS148" s="71"/>
      <c r="AT148" s="71" t="s">
        <v>96</v>
      </c>
      <c r="AU148" s="71"/>
      <c r="AV148" s="71" t="s">
        <v>95</v>
      </c>
      <c r="AW148" s="71"/>
      <c r="AX148" s="71"/>
      <c r="AY148" s="71"/>
      <c r="AZ148" s="71"/>
      <c r="BA148" s="71"/>
      <c r="BB148" s="70" t="s">
        <v>218</v>
      </c>
      <c r="BC148" s="70" t="s">
        <v>98</v>
      </c>
      <c r="BD148" s="72" t="str">
        <f>IF('Cálculo MP'!K158="","",'Cálculo MP'!K158)</f>
        <v/>
      </c>
      <c r="BE148" s="72" t="str">
        <f>IF('Cálculo MP'!L158="","",'Cálculo MP'!L158)</f>
        <v/>
      </c>
      <c r="BF148" s="72" t="str">
        <f>IF('Cálculo MP'!M158="","",'Cálculo MP'!M158)</f>
        <v/>
      </c>
      <c r="BG148" s="72" t="str">
        <f>IF('Cálculo MP'!N158="","",'Cálculo MP'!N158)</f>
        <v/>
      </c>
      <c r="BH148" s="72" t="str">
        <f>IF('Cálculo MP'!O158="","",'Cálculo MP'!O158)</f>
        <v/>
      </c>
      <c r="BI148" s="72" t="str">
        <f>IF('Cálculo MP'!P158="","",'Cálculo MP'!P158)</f>
        <v/>
      </c>
      <c r="BJ148" s="72" t="str">
        <f>IF('Cálculo MP'!Q158="","",'Cálculo MP'!Q158)</f>
        <v/>
      </c>
      <c r="BK148" s="72" t="str">
        <f>IF('Cálculo MP'!R158="","",'Cálculo MP'!R158)</f>
        <v/>
      </c>
      <c r="BL148" s="72" t="str">
        <f>IF('Cálculo MP'!S158="","",'Cálculo MP'!S158)</f>
        <v/>
      </c>
      <c r="BM148" s="71"/>
      <c r="BN148" s="71"/>
      <c r="BO148" s="71"/>
      <c r="BP148" s="71"/>
      <c r="BQ148" s="71"/>
      <c r="BR148" s="71"/>
      <c r="BS148" s="71"/>
    </row>
    <row r="149" spans="1:71" ht="19.5" customHeight="1" x14ac:dyDescent="0.15">
      <c r="A149" s="56" t="s">
        <v>985</v>
      </c>
      <c r="B149" s="57" t="s">
        <v>986</v>
      </c>
      <c r="C149" s="58" t="s">
        <v>985</v>
      </c>
      <c r="D149" s="59" t="s">
        <v>985</v>
      </c>
      <c r="E149" s="61"/>
      <c r="F149" s="60" t="s">
        <v>95</v>
      </c>
      <c r="G149" s="61"/>
      <c r="H149" s="62"/>
      <c r="I149" s="75"/>
      <c r="J149" s="60" t="s">
        <v>95</v>
      </c>
      <c r="K149" s="64"/>
      <c r="L149" s="64"/>
      <c r="M149" s="64" t="s">
        <v>96</v>
      </c>
      <c r="N149" s="64" t="s">
        <v>97</v>
      </c>
      <c r="O149" s="65" t="s">
        <v>986</v>
      </c>
      <c r="P149" s="70" t="s">
        <v>96</v>
      </c>
      <c r="Q149" s="60" t="s">
        <v>95</v>
      </c>
      <c r="R149" s="60" t="s">
        <v>96</v>
      </c>
      <c r="S149" s="66" t="s">
        <v>96</v>
      </c>
      <c r="T149" s="67" t="s">
        <v>96</v>
      </c>
      <c r="U149" s="60" t="s">
        <v>96</v>
      </c>
      <c r="V149" s="60" t="s">
        <v>96</v>
      </c>
      <c r="W149" s="60" t="str" cm="1">
        <f t="array" ref="W149">_xlfn.LET(_xlpm.resultados,_xlfn.UNIQUE(_xlfn._xlws.FILTER(Tabla1[Proceso],(Tabla1[Metal Base]=Q149)*(Tabla1[Etiquetas]=_xlfn.TEXTJOIN(" + ",TRUE,IF((TRIM(Upload!R149:V149)="")+(LOWER(TRIM(Upload!R149:V149))="(seleccione)"),"",PROPER(TRIM(Upload!R149:V149)))))*(Tabla1[Línea2]=IFERROR(VLOOKUP(Upload!P149&amp;"*",CAT_Procesos!D:D,1,FALSE),"")))),_xlpm.cantidad,ROWS(_xlpm.resultados),IF(ISERROR(_xlpm.cantidad),"Combinación no existente",IF(_xlpm.cantidad=1,INDEX(_xlpm.resultados,1),"(seleccione)")))</f>
        <v>Combinación no existente</v>
      </c>
      <c r="X149" s="67" t="s">
        <v>96</v>
      </c>
      <c r="Y149" s="64"/>
      <c r="Z149" s="64"/>
      <c r="AA149" s="64"/>
      <c r="AB149" s="133" t="s">
        <v>96</v>
      </c>
      <c r="AC149" s="64"/>
      <c r="AD149" s="64"/>
      <c r="AE149" s="64"/>
      <c r="AF149" s="60" t="s">
        <v>96</v>
      </c>
      <c r="AG149" s="64"/>
      <c r="AH149" s="64"/>
      <c r="AI149" s="64"/>
      <c r="AJ149" s="68" t="s">
        <v>96</v>
      </c>
      <c r="AK149" s="69" t="str">
        <f t="shared" si="4"/>
        <v/>
      </c>
      <c r="AL149" s="70" t="s">
        <v>96</v>
      </c>
      <c r="AM149" s="69" t="str">
        <f t="shared" si="5"/>
        <v/>
      </c>
      <c r="AN149" s="71"/>
      <c r="AO149" s="71"/>
      <c r="AP149" s="71"/>
      <c r="AQ149" s="71"/>
      <c r="AR149" s="71" t="s">
        <v>96</v>
      </c>
      <c r="AS149" s="71"/>
      <c r="AT149" s="71" t="s">
        <v>96</v>
      </c>
      <c r="AU149" s="71"/>
      <c r="AV149" s="71" t="s">
        <v>95</v>
      </c>
      <c r="AW149" s="71"/>
      <c r="AX149" s="71"/>
      <c r="AY149" s="71"/>
      <c r="AZ149" s="71"/>
      <c r="BA149" s="71"/>
      <c r="BB149" s="70" t="s">
        <v>218</v>
      </c>
      <c r="BC149" s="70" t="s">
        <v>98</v>
      </c>
      <c r="BD149" s="72" t="str">
        <f>IF('Cálculo MP'!K159="","",'Cálculo MP'!K159)</f>
        <v/>
      </c>
      <c r="BE149" s="72" t="str">
        <f>IF('Cálculo MP'!L159="","",'Cálculo MP'!L159)</f>
        <v/>
      </c>
      <c r="BF149" s="72" t="str">
        <f>IF('Cálculo MP'!M159="","",'Cálculo MP'!M159)</f>
        <v/>
      </c>
      <c r="BG149" s="72" t="str">
        <f>IF('Cálculo MP'!N159="","",'Cálculo MP'!N159)</f>
        <v/>
      </c>
      <c r="BH149" s="72" t="str">
        <f>IF('Cálculo MP'!O159="","",'Cálculo MP'!O159)</f>
        <v/>
      </c>
      <c r="BI149" s="72" t="str">
        <f>IF('Cálculo MP'!P159="","",'Cálculo MP'!P159)</f>
        <v/>
      </c>
      <c r="BJ149" s="72" t="str">
        <f>IF('Cálculo MP'!Q159="","",'Cálculo MP'!Q159)</f>
        <v/>
      </c>
      <c r="BK149" s="72" t="str">
        <f>IF('Cálculo MP'!R159="","",'Cálculo MP'!R159)</f>
        <v/>
      </c>
      <c r="BL149" s="72" t="str">
        <f>IF('Cálculo MP'!S159="","",'Cálculo MP'!S159)</f>
        <v/>
      </c>
      <c r="BM149" s="71"/>
      <c r="BN149" s="71"/>
      <c r="BO149" s="71"/>
      <c r="BP149" s="71"/>
      <c r="BQ149" s="71"/>
      <c r="BR149" s="71"/>
      <c r="BS149" s="71"/>
    </row>
    <row r="150" spans="1:71" ht="19.5" customHeight="1" x14ac:dyDescent="0.15">
      <c r="A150" s="56" t="s">
        <v>985</v>
      </c>
      <c r="B150" s="57" t="s">
        <v>986</v>
      </c>
      <c r="C150" s="58" t="s">
        <v>985</v>
      </c>
      <c r="D150" s="59" t="s">
        <v>985</v>
      </c>
      <c r="E150" s="61"/>
      <c r="F150" s="60" t="s">
        <v>95</v>
      </c>
      <c r="G150" s="61"/>
      <c r="H150" s="62"/>
      <c r="I150" s="75"/>
      <c r="J150" s="60" t="s">
        <v>95</v>
      </c>
      <c r="K150" s="64"/>
      <c r="L150" s="64"/>
      <c r="M150" s="64" t="s">
        <v>96</v>
      </c>
      <c r="N150" s="64" t="s">
        <v>97</v>
      </c>
      <c r="O150" s="65" t="s">
        <v>986</v>
      </c>
      <c r="P150" s="70" t="s">
        <v>96</v>
      </c>
      <c r="Q150" s="60" t="s">
        <v>95</v>
      </c>
      <c r="R150" s="60" t="s">
        <v>96</v>
      </c>
      <c r="S150" s="66" t="s">
        <v>96</v>
      </c>
      <c r="T150" s="67" t="s">
        <v>96</v>
      </c>
      <c r="U150" s="60" t="s">
        <v>96</v>
      </c>
      <c r="V150" s="60" t="s">
        <v>96</v>
      </c>
      <c r="W150" s="60" t="str" cm="1">
        <f t="array" ref="W150">_xlfn.LET(_xlpm.resultados,_xlfn.UNIQUE(_xlfn._xlws.FILTER(Tabla1[Proceso],(Tabla1[Metal Base]=Q150)*(Tabla1[Etiquetas]=_xlfn.TEXTJOIN(" + ",TRUE,IF((TRIM(Upload!R150:V150)="")+(LOWER(TRIM(Upload!R150:V150))="(seleccione)"),"",PROPER(TRIM(Upload!R150:V150)))))*(Tabla1[Línea2]=IFERROR(VLOOKUP(Upload!P150&amp;"*",CAT_Procesos!D:D,1,FALSE),"")))),_xlpm.cantidad,ROWS(_xlpm.resultados),IF(ISERROR(_xlpm.cantidad),"Combinación no existente",IF(_xlpm.cantidad=1,INDEX(_xlpm.resultados,1),"(seleccione)")))</f>
        <v>Combinación no existente</v>
      </c>
      <c r="X150" s="67" t="s">
        <v>96</v>
      </c>
      <c r="Y150" s="64"/>
      <c r="Z150" s="64"/>
      <c r="AA150" s="64"/>
      <c r="AB150" s="133" t="s">
        <v>96</v>
      </c>
      <c r="AC150" s="64"/>
      <c r="AD150" s="64"/>
      <c r="AE150" s="64"/>
      <c r="AF150" s="60" t="s">
        <v>96</v>
      </c>
      <c r="AG150" s="64"/>
      <c r="AH150" s="64"/>
      <c r="AI150" s="64"/>
      <c r="AJ150" s="68" t="s">
        <v>96</v>
      </c>
      <c r="AK150" s="69" t="str">
        <f t="shared" si="4"/>
        <v/>
      </c>
      <c r="AL150" s="70" t="s">
        <v>96</v>
      </c>
      <c r="AM150" s="69" t="str">
        <f t="shared" si="5"/>
        <v/>
      </c>
      <c r="AN150" s="71"/>
      <c r="AO150" s="71"/>
      <c r="AP150" s="71"/>
      <c r="AQ150" s="71"/>
      <c r="AR150" s="71" t="s">
        <v>96</v>
      </c>
      <c r="AS150" s="71"/>
      <c r="AT150" s="71" t="s">
        <v>96</v>
      </c>
      <c r="AU150" s="71"/>
      <c r="AV150" s="71" t="s">
        <v>95</v>
      </c>
      <c r="AW150" s="71"/>
      <c r="AX150" s="71"/>
      <c r="AY150" s="71"/>
      <c r="AZ150" s="71"/>
      <c r="BA150" s="71"/>
      <c r="BB150" s="70" t="s">
        <v>218</v>
      </c>
      <c r="BC150" s="70" t="s">
        <v>98</v>
      </c>
      <c r="BD150" s="72" t="str">
        <f>IF('Cálculo MP'!K160="","",'Cálculo MP'!K160)</f>
        <v/>
      </c>
      <c r="BE150" s="72" t="str">
        <f>IF('Cálculo MP'!L160="","",'Cálculo MP'!L160)</f>
        <v/>
      </c>
      <c r="BF150" s="72" t="str">
        <f>IF('Cálculo MP'!M160="","",'Cálculo MP'!M160)</f>
        <v/>
      </c>
      <c r="BG150" s="72" t="str">
        <f>IF('Cálculo MP'!N160="","",'Cálculo MP'!N160)</f>
        <v/>
      </c>
      <c r="BH150" s="72" t="str">
        <f>IF('Cálculo MP'!O160="","",'Cálculo MP'!O160)</f>
        <v/>
      </c>
      <c r="BI150" s="72" t="str">
        <f>IF('Cálculo MP'!P160="","",'Cálculo MP'!P160)</f>
        <v/>
      </c>
      <c r="BJ150" s="72" t="str">
        <f>IF('Cálculo MP'!Q160="","",'Cálculo MP'!Q160)</f>
        <v/>
      </c>
      <c r="BK150" s="72" t="str">
        <f>IF('Cálculo MP'!R160="","",'Cálculo MP'!R160)</f>
        <v/>
      </c>
      <c r="BL150" s="72" t="str">
        <f>IF('Cálculo MP'!S160="","",'Cálculo MP'!S160)</f>
        <v/>
      </c>
      <c r="BM150" s="71"/>
      <c r="BN150" s="71"/>
      <c r="BO150" s="71"/>
      <c r="BP150" s="71"/>
      <c r="BQ150" s="71"/>
      <c r="BR150" s="71"/>
      <c r="BS150" s="71"/>
    </row>
    <row r="151" spans="1:71" ht="19.5" customHeight="1" x14ac:dyDescent="0.15">
      <c r="A151" s="56" t="s">
        <v>985</v>
      </c>
      <c r="B151" s="57" t="s">
        <v>986</v>
      </c>
      <c r="C151" s="58" t="s">
        <v>985</v>
      </c>
      <c r="D151" s="59" t="s">
        <v>985</v>
      </c>
      <c r="E151" s="61"/>
      <c r="F151" s="60" t="s">
        <v>95</v>
      </c>
      <c r="G151" s="61"/>
      <c r="H151" s="62"/>
      <c r="I151" s="75"/>
      <c r="J151" s="60" t="s">
        <v>95</v>
      </c>
      <c r="K151" s="64"/>
      <c r="L151" s="64"/>
      <c r="M151" s="64" t="s">
        <v>96</v>
      </c>
      <c r="N151" s="64" t="s">
        <v>97</v>
      </c>
      <c r="O151" s="65" t="s">
        <v>986</v>
      </c>
      <c r="P151" s="70" t="s">
        <v>96</v>
      </c>
      <c r="Q151" s="60" t="s">
        <v>95</v>
      </c>
      <c r="R151" s="60" t="s">
        <v>96</v>
      </c>
      <c r="S151" s="66" t="s">
        <v>96</v>
      </c>
      <c r="T151" s="67" t="s">
        <v>96</v>
      </c>
      <c r="U151" s="60" t="s">
        <v>96</v>
      </c>
      <c r="V151" s="60" t="s">
        <v>96</v>
      </c>
      <c r="W151" s="60" t="str" cm="1">
        <f t="array" ref="W151">_xlfn.LET(_xlpm.resultados,_xlfn.UNIQUE(_xlfn._xlws.FILTER(Tabla1[Proceso],(Tabla1[Metal Base]=Q151)*(Tabla1[Etiquetas]=_xlfn.TEXTJOIN(" + ",TRUE,IF((TRIM(Upload!R151:V151)="")+(LOWER(TRIM(Upload!R151:V151))="(seleccione)"),"",PROPER(TRIM(Upload!R151:V151)))))*(Tabla1[Línea2]=IFERROR(VLOOKUP(Upload!P151&amp;"*",CAT_Procesos!D:D,1,FALSE),"")))),_xlpm.cantidad,ROWS(_xlpm.resultados),IF(ISERROR(_xlpm.cantidad),"Combinación no existente",IF(_xlpm.cantidad=1,INDEX(_xlpm.resultados,1),"(seleccione)")))</f>
        <v>Combinación no existente</v>
      </c>
      <c r="X151" s="67" t="s">
        <v>96</v>
      </c>
      <c r="Y151" s="64"/>
      <c r="Z151" s="64"/>
      <c r="AA151" s="64"/>
      <c r="AB151" s="133" t="s">
        <v>96</v>
      </c>
      <c r="AC151" s="64"/>
      <c r="AD151" s="64"/>
      <c r="AE151" s="64"/>
      <c r="AF151" s="60" t="s">
        <v>96</v>
      </c>
      <c r="AG151" s="64"/>
      <c r="AH151" s="64"/>
      <c r="AI151" s="64"/>
      <c r="AJ151" s="68" t="s">
        <v>96</v>
      </c>
      <c r="AK151" s="69" t="str">
        <f t="shared" si="4"/>
        <v/>
      </c>
      <c r="AL151" s="70" t="s">
        <v>96</v>
      </c>
      <c r="AM151" s="69" t="str">
        <f t="shared" si="5"/>
        <v/>
      </c>
      <c r="AN151" s="71"/>
      <c r="AO151" s="71"/>
      <c r="AP151" s="71"/>
      <c r="AQ151" s="71"/>
      <c r="AR151" s="71" t="s">
        <v>96</v>
      </c>
      <c r="AS151" s="71"/>
      <c r="AT151" s="71" t="s">
        <v>96</v>
      </c>
      <c r="AU151" s="71"/>
      <c r="AV151" s="71" t="s">
        <v>95</v>
      </c>
      <c r="AW151" s="71"/>
      <c r="AX151" s="71"/>
      <c r="AY151" s="71"/>
      <c r="AZ151" s="71"/>
      <c r="BA151" s="71"/>
      <c r="BB151" s="70" t="s">
        <v>218</v>
      </c>
      <c r="BC151" s="70" t="s">
        <v>98</v>
      </c>
      <c r="BD151" s="72" t="str">
        <f>IF('Cálculo MP'!K161="","",'Cálculo MP'!K161)</f>
        <v/>
      </c>
      <c r="BE151" s="72" t="str">
        <f>IF('Cálculo MP'!L161="","",'Cálculo MP'!L161)</f>
        <v/>
      </c>
      <c r="BF151" s="72" t="str">
        <f>IF('Cálculo MP'!M161="","",'Cálculo MP'!M161)</f>
        <v/>
      </c>
      <c r="BG151" s="72" t="str">
        <f>IF('Cálculo MP'!N161="","",'Cálculo MP'!N161)</f>
        <v/>
      </c>
      <c r="BH151" s="72" t="str">
        <f>IF('Cálculo MP'!O161="","",'Cálculo MP'!O161)</f>
        <v/>
      </c>
      <c r="BI151" s="72" t="str">
        <f>IF('Cálculo MP'!P161="","",'Cálculo MP'!P161)</f>
        <v/>
      </c>
      <c r="BJ151" s="72" t="str">
        <f>IF('Cálculo MP'!Q161="","",'Cálculo MP'!Q161)</f>
        <v/>
      </c>
      <c r="BK151" s="72" t="str">
        <f>IF('Cálculo MP'!R161="","",'Cálculo MP'!R161)</f>
        <v/>
      </c>
      <c r="BL151" s="72" t="str">
        <f>IF('Cálculo MP'!S161="","",'Cálculo MP'!S161)</f>
        <v/>
      </c>
      <c r="BM151" s="71"/>
      <c r="BN151" s="71"/>
      <c r="BO151" s="71"/>
      <c r="BP151" s="71"/>
      <c r="BQ151" s="71"/>
      <c r="BR151" s="71"/>
      <c r="BS151" s="71"/>
    </row>
    <row r="152" spans="1:71" ht="19.5" customHeight="1" x14ac:dyDescent="0.15">
      <c r="A152" s="56" t="s">
        <v>985</v>
      </c>
      <c r="B152" s="57" t="s">
        <v>986</v>
      </c>
      <c r="C152" s="58" t="s">
        <v>985</v>
      </c>
      <c r="D152" s="59" t="s">
        <v>985</v>
      </c>
      <c r="E152" s="61"/>
      <c r="F152" s="60" t="s">
        <v>95</v>
      </c>
      <c r="G152" s="61"/>
      <c r="H152" s="62"/>
      <c r="I152" s="75"/>
      <c r="J152" s="60" t="s">
        <v>95</v>
      </c>
      <c r="K152" s="64"/>
      <c r="L152" s="64"/>
      <c r="M152" s="64" t="s">
        <v>96</v>
      </c>
      <c r="N152" s="64" t="s">
        <v>97</v>
      </c>
      <c r="O152" s="65" t="s">
        <v>986</v>
      </c>
      <c r="P152" s="70" t="s">
        <v>96</v>
      </c>
      <c r="Q152" s="60" t="s">
        <v>95</v>
      </c>
      <c r="R152" s="60" t="s">
        <v>96</v>
      </c>
      <c r="S152" s="66" t="s">
        <v>96</v>
      </c>
      <c r="T152" s="67" t="s">
        <v>96</v>
      </c>
      <c r="U152" s="60" t="s">
        <v>96</v>
      </c>
      <c r="V152" s="60" t="s">
        <v>96</v>
      </c>
      <c r="W152" s="60" t="str" cm="1">
        <f t="array" ref="W152">_xlfn.LET(_xlpm.resultados,_xlfn.UNIQUE(_xlfn._xlws.FILTER(Tabla1[Proceso],(Tabla1[Metal Base]=Q152)*(Tabla1[Etiquetas]=_xlfn.TEXTJOIN(" + ",TRUE,IF((TRIM(Upload!R152:V152)="")+(LOWER(TRIM(Upload!R152:V152))="(seleccione)"),"",PROPER(TRIM(Upload!R152:V152)))))*(Tabla1[Línea2]=IFERROR(VLOOKUP(Upload!P152&amp;"*",CAT_Procesos!D:D,1,FALSE),"")))),_xlpm.cantidad,ROWS(_xlpm.resultados),IF(ISERROR(_xlpm.cantidad),"Combinación no existente",IF(_xlpm.cantidad=1,INDEX(_xlpm.resultados,1),"(seleccione)")))</f>
        <v>Combinación no existente</v>
      </c>
      <c r="X152" s="67" t="s">
        <v>96</v>
      </c>
      <c r="Y152" s="64"/>
      <c r="Z152" s="64"/>
      <c r="AA152" s="64"/>
      <c r="AB152" s="133" t="s">
        <v>96</v>
      </c>
      <c r="AC152" s="64"/>
      <c r="AD152" s="64"/>
      <c r="AE152" s="64"/>
      <c r="AF152" s="60" t="s">
        <v>96</v>
      </c>
      <c r="AG152" s="64"/>
      <c r="AH152" s="64"/>
      <c r="AI152" s="64"/>
      <c r="AJ152" s="68" t="s">
        <v>96</v>
      </c>
      <c r="AK152" s="69" t="str">
        <f t="shared" si="4"/>
        <v/>
      </c>
      <c r="AL152" s="70" t="s">
        <v>96</v>
      </c>
      <c r="AM152" s="69" t="str">
        <f t="shared" si="5"/>
        <v/>
      </c>
      <c r="AN152" s="71"/>
      <c r="AO152" s="71"/>
      <c r="AP152" s="71"/>
      <c r="AQ152" s="71"/>
      <c r="AR152" s="71" t="s">
        <v>96</v>
      </c>
      <c r="AS152" s="71"/>
      <c r="AT152" s="71" t="s">
        <v>96</v>
      </c>
      <c r="AU152" s="71"/>
      <c r="AV152" s="71" t="s">
        <v>95</v>
      </c>
      <c r="AW152" s="71"/>
      <c r="AX152" s="71"/>
      <c r="AY152" s="71"/>
      <c r="AZ152" s="71"/>
      <c r="BA152" s="71"/>
      <c r="BB152" s="70" t="s">
        <v>218</v>
      </c>
      <c r="BC152" s="70" t="s">
        <v>98</v>
      </c>
      <c r="BD152" s="72" t="str">
        <f>IF('Cálculo MP'!K162="","",'Cálculo MP'!K162)</f>
        <v/>
      </c>
      <c r="BE152" s="72" t="str">
        <f>IF('Cálculo MP'!L162="","",'Cálculo MP'!L162)</f>
        <v/>
      </c>
      <c r="BF152" s="72" t="str">
        <f>IF('Cálculo MP'!M162="","",'Cálculo MP'!M162)</f>
        <v/>
      </c>
      <c r="BG152" s="72" t="str">
        <f>IF('Cálculo MP'!N162="","",'Cálculo MP'!N162)</f>
        <v/>
      </c>
      <c r="BH152" s="72" t="str">
        <f>IF('Cálculo MP'!O162="","",'Cálculo MP'!O162)</f>
        <v/>
      </c>
      <c r="BI152" s="72" t="str">
        <f>IF('Cálculo MP'!P162="","",'Cálculo MP'!P162)</f>
        <v/>
      </c>
      <c r="BJ152" s="72" t="str">
        <f>IF('Cálculo MP'!Q162="","",'Cálculo MP'!Q162)</f>
        <v/>
      </c>
      <c r="BK152" s="72" t="str">
        <f>IF('Cálculo MP'!R162="","",'Cálculo MP'!R162)</f>
        <v/>
      </c>
      <c r="BL152" s="72" t="str">
        <f>IF('Cálculo MP'!S162="","",'Cálculo MP'!S162)</f>
        <v/>
      </c>
      <c r="BM152" s="71"/>
      <c r="BN152" s="71"/>
      <c r="BO152" s="71"/>
      <c r="BP152" s="71"/>
      <c r="BQ152" s="71"/>
      <c r="BR152" s="71"/>
      <c r="BS152" s="71"/>
    </row>
    <row r="153" spans="1:71" ht="19.5" customHeight="1" x14ac:dyDescent="0.15">
      <c r="A153" s="56" t="s">
        <v>985</v>
      </c>
      <c r="B153" s="57" t="s">
        <v>986</v>
      </c>
      <c r="C153" s="58" t="s">
        <v>985</v>
      </c>
      <c r="D153" s="59" t="s">
        <v>985</v>
      </c>
      <c r="E153" s="61"/>
      <c r="F153" s="60" t="s">
        <v>95</v>
      </c>
      <c r="G153" s="61"/>
      <c r="H153" s="62"/>
      <c r="I153" s="75"/>
      <c r="J153" s="60" t="s">
        <v>95</v>
      </c>
      <c r="K153" s="64"/>
      <c r="L153" s="64"/>
      <c r="M153" s="64" t="s">
        <v>96</v>
      </c>
      <c r="N153" s="64" t="s">
        <v>97</v>
      </c>
      <c r="O153" s="65" t="s">
        <v>986</v>
      </c>
      <c r="P153" s="70" t="s">
        <v>96</v>
      </c>
      <c r="Q153" s="60" t="s">
        <v>95</v>
      </c>
      <c r="R153" s="60" t="s">
        <v>96</v>
      </c>
      <c r="S153" s="66" t="s">
        <v>96</v>
      </c>
      <c r="T153" s="67" t="s">
        <v>96</v>
      </c>
      <c r="U153" s="60" t="s">
        <v>96</v>
      </c>
      <c r="V153" s="60" t="s">
        <v>96</v>
      </c>
      <c r="W153" s="60" t="str" cm="1">
        <f t="array" ref="W153">_xlfn.LET(_xlpm.resultados,_xlfn.UNIQUE(_xlfn._xlws.FILTER(Tabla1[Proceso],(Tabla1[Metal Base]=Q153)*(Tabla1[Etiquetas]=_xlfn.TEXTJOIN(" + ",TRUE,IF((TRIM(Upload!R153:V153)="")+(LOWER(TRIM(Upload!R153:V153))="(seleccione)"),"",PROPER(TRIM(Upload!R153:V153)))))*(Tabla1[Línea2]=IFERROR(VLOOKUP(Upload!P153&amp;"*",CAT_Procesos!D:D,1,FALSE),"")))),_xlpm.cantidad,ROWS(_xlpm.resultados),IF(ISERROR(_xlpm.cantidad),"Combinación no existente",IF(_xlpm.cantidad=1,INDEX(_xlpm.resultados,1),"(seleccione)")))</f>
        <v>Combinación no existente</v>
      </c>
      <c r="X153" s="67" t="s">
        <v>96</v>
      </c>
      <c r="Y153" s="64"/>
      <c r="Z153" s="64"/>
      <c r="AA153" s="64"/>
      <c r="AB153" s="133" t="s">
        <v>96</v>
      </c>
      <c r="AC153" s="64"/>
      <c r="AD153" s="64"/>
      <c r="AE153" s="64"/>
      <c r="AF153" s="60" t="s">
        <v>96</v>
      </c>
      <c r="AG153" s="64"/>
      <c r="AH153" s="64"/>
      <c r="AI153" s="64"/>
      <c r="AJ153" s="68" t="s">
        <v>96</v>
      </c>
      <c r="AK153" s="69" t="str">
        <f t="shared" si="4"/>
        <v/>
      </c>
      <c r="AL153" s="70" t="s">
        <v>96</v>
      </c>
      <c r="AM153" s="69" t="str">
        <f t="shared" si="5"/>
        <v/>
      </c>
      <c r="AN153" s="71"/>
      <c r="AO153" s="71"/>
      <c r="AP153" s="71"/>
      <c r="AQ153" s="71"/>
      <c r="AR153" s="71" t="s">
        <v>96</v>
      </c>
      <c r="AS153" s="71"/>
      <c r="AT153" s="71" t="s">
        <v>96</v>
      </c>
      <c r="AU153" s="71"/>
      <c r="AV153" s="71" t="s">
        <v>95</v>
      </c>
      <c r="AW153" s="71"/>
      <c r="AX153" s="71"/>
      <c r="AY153" s="71"/>
      <c r="AZ153" s="71"/>
      <c r="BA153" s="71"/>
      <c r="BB153" s="70" t="s">
        <v>218</v>
      </c>
      <c r="BC153" s="70" t="s">
        <v>98</v>
      </c>
      <c r="BD153" s="72" t="str">
        <f>IF('Cálculo MP'!K163="","",'Cálculo MP'!K163)</f>
        <v/>
      </c>
      <c r="BE153" s="72" t="str">
        <f>IF('Cálculo MP'!L163="","",'Cálculo MP'!L163)</f>
        <v/>
      </c>
      <c r="BF153" s="72" t="str">
        <f>IF('Cálculo MP'!M163="","",'Cálculo MP'!M163)</f>
        <v/>
      </c>
      <c r="BG153" s="72" t="str">
        <f>IF('Cálculo MP'!N163="","",'Cálculo MP'!N163)</f>
        <v/>
      </c>
      <c r="BH153" s="72" t="str">
        <f>IF('Cálculo MP'!O163="","",'Cálculo MP'!O163)</f>
        <v/>
      </c>
      <c r="BI153" s="72" t="str">
        <f>IF('Cálculo MP'!P163="","",'Cálculo MP'!P163)</f>
        <v/>
      </c>
      <c r="BJ153" s="72" t="str">
        <f>IF('Cálculo MP'!Q163="","",'Cálculo MP'!Q163)</f>
        <v/>
      </c>
      <c r="BK153" s="72" t="str">
        <f>IF('Cálculo MP'!R163="","",'Cálculo MP'!R163)</f>
        <v/>
      </c>
      <c r="BL153" s="72" t="str">
        <f>IF('Cálculo MP'!S163="","",'Cálculo MP'!S163)</f>
        <v/>
      </c>
      <c r="BM153" s="71"/>
      <c r="BN153" s="71"/>
      <c r="BO153" s="71"/>
      <c r="BP153" s="71"/>
      <c r="BQ153" s="71"/>
      <c r="BR153" s="71"/>
      <c r="BS153" s="71"/>
    </row>
    <row r="154" spans="1:71" ht="19.5" customHeight="1" x14ac:dyDescent="0.15">
      <c r="A154" s="56" t="s">
        <v>985</v>
      </c>
      <c r="B154" s="57" t="s">
        <v>986</v>
      </c>
      <c r="C154" s="58" t="s">
        <v>985</v>
      </c>
      <c r="D154" s="59" t="s">
        <v>985</v>
      </c>
      <c r="E154" s="61"/>
      <c r="F154" s="60" t="s">
        <v>95</v>
      </c>
      <c r="G154" s="61"/>
      <c r="H154" s="62"/>
      <c r="I154" s="75"/>
      <c r="J154" s="60" t="s">
        <v>95</v>
      </c>
      <c r="K154" s="64"/>
      <c r="L154" s="64"/>
      <c r="M154" s="64" t="s">
        <v>96</v>
      </c>
      <c r="N154" s="64" t="s">
        <v>97</v>
      </c>
      <c r="O154" s="65" t="s">
        <v>986</v>
      </c>
      <c r="P154" s="70" t="s">
        <v>96</v>
      </c>
      <c r="Q154" s="60" t="s">
        <v>95</v>
      </c>
      <c r="R154" s="60" t="s">
        <v>96</v>
      </c>
      <c r="S154" s="66" t="s">
        <v>96</v>
      </c>
      <c r="T154" s="67" t="s">
        <v>96</v>
      </c>
      <c r="U154" s="60" t="s">
        <v>96</v>
      </c>
      <c r="V154" s="60" t="s">
        <v>96</v>
      </c>
      <c r="W154" s="60" t="str" cm="1">
        <f t="array" ref="W154">_xlfn.LET(_xlpm.resultados,_xlfn.UNIQUE(_xlfn._xlws.FILTER(Tabla1[Proceso],(Tabla1[Metal Base]=Q154)*(Tabla1[Etiquetas]=_xlfn.TEXTJOIN(" + ",TRUE,IF((TRIM(Upload!R154:V154)="")+(LOWER(TRIM(Upload!R154:V154))="(seleccione)"),"",PROPER(TRIM(Upload!R154:V154)))))*(Tabla1[Línea2]=IFERROR(VLOOKUP(Upload!P154&amp;"*",CAT_Procesos!D:D,1,FALSE),"")))),_xlpm.cantidad,ROWS(_xlpm.resultados),IF(ISERROR(_xlpm.cantidad),"Combinación no existente",IF(_xlpm.cantidad=1,INDEX(_xlpm.resultados,1),"(seleccione)")))</f>
        <v>Combinación no existente</v>
      </c>
      <c r="X154" s="67" t="s">
        <v>96</v>
      </c>
      <c r="Y154" s="64"/>
      <c r="Z154" s="64"/>
      <c r="AA154" s="64"/>
      <c r="AB154" s="133" t="s">
        <v>96</v>
      </c>
      <c r="AC154" s="64"/>
      <c r="AD154" s="64"/>
      <c r="AE154" s="64"/>
      <c r="AF154" s="60" t="s">
        <v>96</v>
      </c>
      <c r="AG154" s="64"/>
      <c r="AH154" s="64"/>
      <c r="AI154" s="64"/>
      <c r="AJ154" s="68" t="s">
        <v>96</v>
      </c>
      <c r="AK154" s="69" t="str">
        <f t="shared" si="4"/>
        <v/>
      </c>
      <c r="AL154" s="70" t="s">
        <v>96</v>
      </c>
      <c r="AM154" s="69" t="str">
        <f t="shared" si="5"/>
        <v/>
      </c>
      <c r="AN154" s="71"/>
      <c r="AO154" s="71"/>
      <c r="AP154" s="71"/>
      <c r="AQ154" s="71"/>
      <c r="AR154" s="71" t="s">
        <v>96</v>
      </c>
      <c r="AS154" s="71"/>
      <c r="AT154" s="71" t="s">
        <v>96</v>
      </c>
      <c r="AU154" s="71"/>
      <c r="AV154" s="71" t="s">
        <v>95</v>
      </c>
      <c r="AW154" s="71"/>
      <c r="AX154" s="71"/>
      <c r="AY154" s="71"/>
      <c r="AZ154" s="71"/>
      <c r="BA154" s="71"/>
      <c r="BB154" s="70" t="s">
        <v>218</v>
      </c>
      <c r="BC154" s="70" t="s">
        <v>98</v>
      </c>
      <c r="BD154" s="72" t="str">
        <f>IF('Cálculo MP'!K164="","",'Cálculo MP'!K164)</f>
        <v/>
      </c>
      <c r="BE154" s="72" t="str">
        <f>IF('Cálculo MP'!L164="","",'Cálculo MP'!L164)</f>
        <v/>
      </c>
      <c r="BF154" s="72" t="str">
        <f>IF('Cálculo MP'!M164="","",'Cálculo MP'!M164)</f>
        <v/>
      </c>
      <c r="BG154" s="72" t="str">
        <f>IF('Cálculo MP'!N164="","",'Cálculo MP'!N164)</f>
        <v/>
      </c>
      <c r="BH154" s="72" t="str">
        <f>IF('Cálculo MP'!O164="","",'Cálculo MP'!O164)</f>
        <v/>
      </c>
      <c r="BI154" s="72" t="str">
        <f>IF('Cálculo MP'!P164="","",'Cálculo MP'!P164)</f>
        <v/>
      </c>
      <c r="BJ154" s="72" t="str">
        <f>IF('Cálculo MP'!Q164="","",'Cálculo MP'!Q164)</f>
        <v/>
      </c>
      <c r="BK154" s="72" t="str">
        <f>IF('Cálculo MP'!R164="","",'Cálculo MP'!R164)</f>
        <v/>
      </c>
      <c r="BL154" s="72" t="str">
        <f>IF('Cálculo MP'!S164="","",'Cálculo MP'!S164)</f>
        <v/>
      </c>
      <c r="BM154" s="71"/>
      <c r="BN154" s="71"/>
      <c r="BO154" s="71"/>
      <c r="BP154" s="71"/>
      <c r="BQ154" s="71"/>
      <c r="BR154" s="71"/>
      <c r="BS154" s="71"/>
    </row>
    <row r="155" spans="1:71" ht="19.5" customHeight="1" x14ac:dyDescent="0.15">
      <c r="A155" s="56" t="s">
        <v>985</v>
      </c>
      <c r="B155" s="57" t="s">
        <v>986</v>
      </c>
      <c r="C155" s="58" t="s">
        <v>985</v>
      </c>
      <c r="D155" s="59" t="s">
        <v>985</v>
      </c>
      <c r="E155" s="61"/>
      <c r="F155" s="60" t="s">
        <v>95</v>
      </c>
      <c r="G155" s="61"/>
      <c r="H155" s="62"/>
      <c r="I155" s="75"/>
      <c r="J155" s="60" t="s">
        <v>95</v>
      </c>
      <c r="K155" s="64"/>
      <c r="L155" s="64"/>
      <c r="M155" s="64" t="s">
        <v>96</v>
      </c>
      <c r="N155" s="64" t="s">
        <v>97</v>
      </c>
      <c r="O155" s="65" t="s">
        <v>986</v>
      </c>
      <c r="P155" s="70" t="s">
        <v>96</v>
      </c>
      <c r="Q155" s="60" t="s">
        <v>95</v>
      </c>
      <c r="R155" s="60" t="s">
        <v>96</v>
      </c>
      <c r="S155" s="66" t="s">
        <v>96</v>
      </c>
      <c r="T155" s="67" t="s">
        <v>96</v>
      </c>
      <c r="U155" s="60" t="s">
        <v>96</v>
      </c>
      <c r="V155" s="60" t="s">
        <v>96</v>
      </c>
      <c r="W155" s="60" t="str" cm="1">
        <f t="array" ref="W155">_xlfn.LET(_xlpm.resultados,_xlfn.UNIQUE(_xlfn._xlws.FILTER(Tabla1[Proceso],(Tabla1[Metal Base]=Q155)*(Tabla1[Etiquetas]=_xlfn.TEXTJOIN(" + ",TRUE,IF((TRIM(Upload!R155:V155)="")+(LOWER(TRIM(Upload!R155:V155))="(seleccione)"),"",PROPER(TRIM(Upload!R155:V155)))))*(Tabla1[Línea2]=IFERROR(VLOOKUP(Upload!P155&amp;"*",CAT_Procesos!D:D,1,FALSE),"")))),_xlpm.cantidad,ROWS(_xlpm.resultados),IF(ISERROR(_xlpm.cantidad),"Combinación no existente",IF(_xlpm.cantidad=1,INDEX(_xlpm.resultados,1),"(seleccione)")))</f>
        <v>Combinación no existente</v>
      </c>
      <c r="X155" s="67" t="s">
        <v>96</v>
      </c>
      <c r="Y155" s="64"/>
      <c r="Z155" s="64"/>
      <c r="AA155" s="64"/>
      <c r="AB155" s="133" t="s">
        <v>96</v>
      </c>
      <c r="AC155" s="64"/>
      <c r="AD155" s="64"/>
      <c r="AE155" s="64"/>
      <c r="AF155" s="60" t="s">
        <v>96</v>
      </c>
      <c r="AG155" s="64"/>
      <c r="AH155" s="64"/>
      <c r="AI155" s="64"/>
      <c r="AJ155" s="68" t="s">
        <v>96</v>
      </c>
      <c r="AK155" s="69" t="str">
        <f t="shared" si="4"/>
        <v/>
      </c>
      <c r="AL155" s="70" t="s">
        <v>96</v>
      </c>
      <c r="AM155" s="69" t="str">
        <f t="shared" si="5"/>
        <v/>
      </c>
      <c r="AN155" s="71"/>
      <c r="AO155" s="71"/>
      <c r="AP155" s="71"/>
      <c r="AQ155" s="71"/>
      <c r="AR155" s="71" t="s">
        <v>96</v>
      </c>
      <c r="AS155" s="71"/>
      <c r="AT155" s="71" t="s">
        <v>96</v>
      </c>
      <c r="AU155" s="71"/>
      <c r="AV155" s="71" t="s">
        <v>95</v>
      </c>
      <c r="AW155" s="71"/>
      <c r="AX155" s="71"/>
      <c r="AY155" s="71"/>
      <c r="AZ155" s="71"/>
      <c r="BA155" s="71"/>
      <c r="BB155" s="70" t="s">
        <v>218</v>
      </c>
      <c r="BC155" s="70" t="s">
        <v>98</v>
      </c>
      <c r="BD155" s="72" t="str">
        <f>IF('Cálculo MP'!K165="","",'Cálculo MP'!K165)</f>
        <v/>
      </c>
      <c r="BE155" s="72" t="str">
        <f>IF('Cálculo MP'!L165="","",'Cálculo MP'!L165)</f>
        <v/>
      </c>
      <c r="BF155" s="72" t="str">
        <f>IF('Cálculo MP'!M165="","",'Cálculo MP'!M165)</f>
        <v/>
      </c>
      <c r="BG155" s="72" t="str">
        <f>IF('Cálculo MP'!N165="","",'Cálculo MP'!N165)</f>
        <v/>
      </c>
      <c r="BH155" s="72" t="str">
        <f>IF('Cálculo MP'!O165="","",'Cálculo MP'!O165)</f>
        <v/>
      </c>
      <c r="BI155" s="72" t="str">
        <f>IF('Cálculo MP'!P165="","",'Cálculo MP'!P165)</f>
        <v/>
      </c>
      <c r="BJ155" s="72" t="str">
        <f>IF('Cálculo MP'!Q165="","",'Cálculo MP'!Q165)</f>
        <v/>
      </c>
      <c r="BK155" s="72" t="str">
        <f>IF('Cálculo MP'!R165="","",'Cálculo MP'!R165)</f>
        <v/>
      </c>
      <c r="BL155" s="72" t="str">
        <f>IF('Cálculo MP'!S165="","",'Cálculo MP'!S165)</f>
        <v/>
      </c>
      <c r="BM155" s="71"/>
      <c r="BN155" s="71"/>
      <c r="BO155" s="71"/>
      <c r="BP155" s="71"/>
      <c r="BQ155" s="71"/>
      <c r="BR155" s="71"/>
      <c r="BS155" s="71"/>
    </row>
    <row r="156" spans="1:71" ht="19.5" customHeight="1" x14ac:dyDescent="0.15">
      <c r="A156" s="56" t="s">
        <v>985</v>
      </c>
      <c r="B156" s="57" t="s">
        <v>986</v>
      </c>
      <c r="C156" s="58" t="s">
        <v>985</v>
      </c>
      <c r="D156" s="59" t="s">
        <v>985</v>
      </c>
      <c r="E156" s="61"/>
      <c r="F156" s="60" t="s">
        <v>95</v>
      </c>
      <c r="G156" s="61"/>
      <c r="H156" s="62"/>
      <c r="I156" s="75"/>
      <c r="J156" s="60" t="s">
        <v>95</v>
      </c>
      <c r="K156" s="64"/>
      <c r="L156" s="64"/>
      <c r="M156" s="64" t="s">
        <v>96</v>
      </c>
      <c r="N156" s="64" t="s">
        <v>97</v>
      </c>
      <c r="O156" s="65" t="s">
        <v>986</v>
      </c>
      <c r="P156" s="70" t="s">
        <v>96</v>
      </c>
      <c r="Q156" s="60" t="s">
        <v>95</v>
      </c>
      <c r="R156" s="60" t="s">
        <v>96</v>
      </c>
      <c r="S156" s="66" t="s">
        <v>96</v>
      </c>
      <c r="T156" s="67" t="s">
        <v>96</v>
      </c>
      <c r="U156" s="60" t="s">
        <v>96</v>
      </c>
      <c r="V156" s="60" t="s">
        <v>96</v>
      </c>
      <c r="W156" s="60" t="str" cm="1">
        <f t="array" ref="W156">_xlfn.LET(_xlpm.resultados,_xlfn.UNIQUE(_xlfn._xlws.FILTER(Tabla1[Proceso],(Tabla1[Metal Base]=Q156)*(Tabla1[Etiquetas]=_xlfn.TEXTJOIN(" + ",TRUE,IF((TRIM(Upload!R156:V156)="")+(LOWER(TRIM(Upload!R156:V156))="(seleccione)"),"",PROPER(TRIM(Upload!R156:V156)))))*(Tabla1[Línea2]=IFERROR(VLOOKUP(Upload!P156&amp;"*",CAT_Procesos!D:D,1,FALSE),"")))),_xlpm.cantidad,ROWS(_xlpm.resultados),IF(ISERROR(_xlpm.cantidad),"Combinación no existente",IF(_xlpm.cantidad=1,INDEX(_xlpm.resultados,1),"(seleccione)")))</f>
        <v>Combinación no existente</v>
      </c>
      <c r="X156" s="67" t="s">
        <v>96</v>
      </c>
      <c r="Y156" s="64"/>
      <c r="Z156" s="64"/>
      <c r="AA156" s="64"/>
      <c r="AB156" s="133" t="s">
        <v>96</v>
      </c>
      <c r="AC156" s="64"/>
      <c r="AD156" s="64"/>
      <c r="AE156" s="64"/>
      <c r="AF156" s="60" t="s">
        <v>96</v>
      </c>
      <c r="AG156" s="64"/>
      <c r="AH156" s="64"/>
      <c r="AI156" s="64"/>
      <c r="AJ156" s="68" t="s">
        <v>96</v>
      </c>
      <c r="AK156" s="69" t="str">
        <f t="shared" si="4"/>
        <v/>
      </c>
      <c r="AL156" s="70" t="s">
        <v>96</v>
      </c>
      <c r="AM156" s="69" t="str">
        <f t="shared" si="5"/>
        <v/>
      </c>
      <c r="AN156" s="71"/>
      <c r="AO156" s="71"/>
      <c r="AP156" s="71"/>
      <c r="AQ156" s="71"/>
      <c r="AR156" s="71" t="s">
        <v>96</v>
      </c>
      <c r="AS156" s="71"/>
      <c r="AT156" s="71" t="s">
        <v>96</v>
      </c>
      <c r="AU156" s="71"/>
      <c r="AV156" s="71" t="s">
        <v>95</v>
      </c>
      <c r="AW156" s="71"/>
      <c r="AX156" s="71"/>
      <c r="AY156" s="71"/>
      <c r="AZ156" s="71"/>
      <c r="BA156" s="71"/>
      <c r="BB156" s="70" t="s">
        <v>218</v>
      </c>
      <c r="BC156" s="70" t="s">
        <v>98</v>
      </c>
      <c r="BD156" s="72" t="str">
        <f>IF('Cálculo MP'!K166="","",'Cálculo MP'!K166)</f>
        <v/>
      </c>
      <c r="BE156" s="72" t="str">
        <f>IF('Cálculo MP'!L166="","",'Cálculo MP'!L166)</f>
        <v/>
      </c>
      <c r="BF156" s="72" t="str">
        <f>IF('Cálculo MP'!M166="","",'Cálculo MP'!M166)</f>
        <v/>
      </c>
      <c r="BG156" s="72" t="str">
        <f>IF('Cálculo MP'!N166="","",'Cálculo MP'!N166)</f>
        <v/>
      </c>
      <c r="BH156" s="72" t="str">
        <f>IF('Cálculo MP'!O166="","",'Cálculo MP'!O166)</f>
        <v/>
      </c>
      <c r="BI156" s="72" t="str">
        <f>IF('Cálculo MP'!P166="","",'Cálculo MP'!P166)</f>
        <v/>
      </c>
      <c r="BJ156" s="72" t="str">
        <f>IF('Cálculo MP'!Q166="","",'Cálculo MP'!Q166)</f>
        <v/>
      </c>
      <c r="BK156" s="72" t="str">
        <f>IF('Cálculo MP'!R166="","",'Cálculo MP'!R166)</f>
        <v/>
      </c>
      <c r="BL156" s="72" t="str">
        <f>IF('Cálculo MP'!S166="","",'Cálculo MP'!S166)</f>
        <v/>
      </c>
      <c r="BM156" s="71"/>
      <c r="BN156" s="71"/>
      <c r="BO156" s="71"/>
      <c r="BP156" s="71"/>
      <c r="BQ156" s="71"/>
      <c r="BR156" s="71"/>
      <c r="BS156" s="71"/>
    </row>
    <row r="157" spans="1:71" ht="19.5" customHeight="1" x14ac:dyDescent="0.15">
      <c r="A157" s="56" t="s">
        <v>985</v>
      </c>
      <c r="B157" s="57" t="s">
        <v>986</v>
      </c>
      <c r="C157" s="58" t="s">
        <v>985</v>
      </c>
      <c r="D157" s="59" t="s">
        <v>985</v>
      </c>
      <c r="E157" s="61"/>
      <c r="F157" s="60" t="s">
        <v>95</v>
      </c>
      <c r="G157" s="61"/>
      <c r="H157" s="62"/>
      <c r="I157" s="75"/>
      <c r="J157" s="60" t="s">
        <v>95</v>
      </c>
      <c r="K157" s="64"/>
      <c r="L157" s="64"/>
      <c r="M157" s="64" t="s">
        <v>96</v>
      </c>
      <c r="N157" s="64" t="s">
        <v>97</v>
      </c>
      <c r="O157" s="65" t="s">
        <v>986</v>
      </c>
      <c r="P157" s="70" t="s">
        <v>96</v>
      </c>
      <c r="Q157" s="60" t="s">
        <v>95</v>
      </c>
      <c r="R157" s="60" t="s">
        <v>96</v>
      </c>
      <c r="S157" s="66" t="s">
        <v>96</v>
      </c>
      <c r="T157" s="67" t="s">
        <v>96</v>
      </c>
      <c r="U157" s="60" t="s">
        <v>96</v>
      </c>
      <c r="V157" s="60" t="s">
        <v>96</v>
      </c>
      <c r="W157" s="60" t="str" cm="1">
        <f t="array" ref="W157">_xlfn.LET(_xlpm.resultados,_xlfn.UNIQUE(_xlfn._xlws.FILTER(Tabla1[Proceso],(Tabla1[Metal Base]=Q157)*(Tabla1[Etiquetas]=_xlfn.TEXTJOIN(" + ",TRUE,IF((TRIM(Upload!R157:V157)="")+(LOWER(TRIM(Upload!R157:V157))="(seleccione)"),"",PROPER(TRIM(Upload!R157:V157)))))*(Tabla1[Línea2]=IFERROR(VLOOKUP(Upload!P157&amp;"*",CAT_Procesos!D:D,1,FALSE),"")))),_xlpm.cantidad,ROWS(_xlpm.resultados),IF(ISERROR(_xlpm.cantidad),"Combinación no existente",IF(_xlpm.cantidad=1,INDEX(_xlpm.resultados,1),"(seleccione)")))</f>
        <v>Combinación no existente</v>
      </c>
      <c r="X157" s="67" t="s">
        <v>96</v>
      </c>
      <c r="Y157" s="64"/>
      <c r="Z157" s="64"/>
      <c r="AA157" s="64"/>
      <c r="AB157" s="133" t="s">
        <v>96</v>
      </c>
      <c r="AC157" s="64"/>
      <c r="AD157" s="64"/>
      <c r="AE157" s="64"/>
      <c r="AF157" s="60" t="s">
        <v>96</v>
      </c>
      <c r="AG157" s="64"/>
      <c r="AH157" s="64"/>
      <c r="AI157" s="64"/>
      <c r="AJ157" s="68" t="s">
        <v>96</v>
      </c>
      <c r="AK157" s="69" t="str">
        <f t="shared" si="4"/>
        <v/>
      </c>
      <c r="AL157" s="70" t="s">
        <v>96</v>
      </c>
      <c r="AM157" s="69" t="str">
        <f t="shared" si="5"/>
        <v/>
      </c>
      <c r="AN157" s="71"/>
      <c r="AO157" s="71"/>
      <c r="AP157" s="71"/>
      <c r="AQ157" s="71"/>
      <c r="AR157" s="71" t="s">
        <v>96</v>
      </c>
      <c r="AS157" s="71"/>
      <c r="AT157" s="71" t="s">
        <v>96</v>
      </c>
      <c r="AU157" s="71"/>
      <c r="AV157" s="71" t="s">
        <v>95</v>
      </c>
      <c r="AW157" s="71"/>
      <c r="AX157" s="71"/>
      <c r="AY157" s="71"/>
      <c r="AZ157" s="71"/>
      <c r="BA157" s="71"/>
      <c r="BB157" s="70" t="s">
        <v>218</v>
      </c>
      <c r="BC157" s="70" t="s">
        <v>98</v>
      </c>
      <c r="BD157" s="72" t="str">
        <f>IF('Cálculo MP'!K167="","",'Cálculo MP'!K167)</f>
        <v/>
      </c>
      <c r="BE157" s="72" t="str">
        <f>IF('Cálculo MP'!L167="","",'Cálculo MP'!L167)</f>
        <v/>
      </c>
      <c r="BF157" s="72" t="str">
        <f>IF('Cálculo MP'!M167="","",'Cálculo MP'!M167)</f>
        <v/>
      </c>
      <c r="BG157" s="72" t="str">
        <f>IF('Cálculo MP'!N167="","",'Cálculo MP'!N167)</f>
        <v/>
      </c>
      <c r="BH157" s="72" t="str">
        <f>IF('Cálculo MP'!O167="","",'Cálculo MP'!O167)</f>
        <v/>
      </c>
      <c r="BI157" s="72" t="str">
        <f>IF('Cálculo MP'!P167="","",'Cálculo MP'!P167)</f>
        <v/>
      </c>
      <c r="BJ157" s="72" t="str">
        <f>IF('Cálculo MP'!Q167="","",'Cálculo MP'!Q167)</f>
        <v/>
      </c>
      <c r="BK157" s="72" t="str">
        <f>IF('Cálculo MP'!R167="","",'Cálculo MP'!R167)</f>
        <v/>
      </c>
      <c r="BL157" s="72" t="str">
        <f>IF('Cálculo MP'!S167="","",'Cálculo MP'!S167)</f>
        <v/>
      </c>
      <c r="BM157" s="71"/>
      <c r="BN157" s="71"/>
      <c r="BO157" s="71"/>
      <c r="BP157" s="71"/>
      <c r="BQ157" s="71"/>
      <c r="BR157" s="71"/>
      <c r="BS157" s="71"/>
    </row>
    <row r="158" spans="1:71" ht="19.5" customHeight="1" x14ac:dyDescent="0.15">
      <c r="A158" s="56" t="s">
        <v>985</v>
      </c>
      <c r="B158" s="57" t="s">
        <v>986</v>
      </c>
      <c r="C158" s="58" t="s">
        <v>985</v>
      </c>
      <c r="D158" s="59" t="s">
        <v>985</v>
      </c>
      <c r="E158" s="61"/>
      <c r="F158" s="60" t="s">
        <v>95</v>
      </c>
      <c r="G158" s="61"/>
      <c r="H158" s="62"/>
      <c r="I158" s="75"/>
      <c r="J158" s="60" t="s">
        <v>95</v>
      </c>
      <c r="K158" s="64"/>
      <c r="L158" s="64"/>
      <c r="M158" s="64" t="s">
        <v>96</v>
      </c>
      <c r="N158" s="64" t="s">
        <v>97</v>
      </c>
      <c r="O158" s="65" t="s">
        <v>986</v>
      </c>
      <c r="P158" s="70" t="s">
        <v>96</v>
      </c>
      <c r="Q158" s="60" t="s">
        <v>95</v>
      </c>
      <c r="R158" s="60" t="s">
        <v>96</v>
      </c>
      <c r="S158" s="66" t="s">
        <v>96</v>
      </c>
      <c r="T158" s="67" t="s">
        <v>96</v>
      </c>
      <c r="U158" s="60" t="s">
        <v>96</v>
      </c>
      <c r="V158" s="60" t="s">
        <v>96</v>
      </c>
      <c r="W158" s="60" t="str" cm="1">
        <f t="array" ref="W158">_xlfn.LET(_xlpm.resultados,_xlfn.UNIQUE(_xlfn._xlws.FILTER(Tabla1[Proceso],(Tabla1[Metal Base]=Q158)*(Tabla1[Etiquetas]=_xlfn.TEXTJOIN(" + ",TRUE,IF((TRIM(Upload!R158:V158)="")+(LOWER(TRIM(Upload!R158:V158))="(seleccione)"),"",PROPER(TRIM(Upload!R158:V158)))))*(Tabla1[Línea2]=IFERROR(VLOOKUP(Upload!P158&amp;"*",CAT_Procesos!D:D,1,FALSE),"")))),_xlpm.cantidad,ROWS(_xlpm.resultados),IF(ISERROR(_xlpm.cantidad),"Combinación no existente",IF(_xlpm.cantidad=1,INDEX(_xlpm.resultados,1),"(seleccione)")))</f>
        <v>Combinación no existente</v>
      </c>
      <c r="X158" s="67" t="s">
        <v>96</v>
      </c>
      <c r="Y158" s="64"/>
      <c r="Z158" s="64"/>
      <c r="AA158" s="64"/>
      <c r="AB158" s="133" t="s">
        <v>96</v>
      </c>
      <c r="AC158" s="64"/>
      <c r="AD158" s="64"/>
      <c r="AE158" s="64"/>
      <c r="AF158" s="60" t="s">
        <v>96</v>
      </c>
      <c r="AG158" s="64"/>
      <c r="AH158" s="64"/>
      <c r="AI158" s="64"/>
      <c r="AJ158" s="68" t="s">
        <v>96</v>
      </c>
      <c r="AK158" s="69" t="str">
        <f t="shared" si="4"/>
        <v/>
      </c>
      <c r="AL158" s="70" t="s">
        <v>96</v>
      </c>
      <c r="AM158" s="69" t="str">
        <f t="shared" si="5"/>
        <v/>
      </c>
      <c r="AN158" s="71"/>
      <c r="AO158" s="71"/>
      <c r="AP158" s="71"/>
      <c r="AQ158" s="71"/>
      <c r="AR158" s="71" t="s">
        <v>96</v>
      </c>
      <c r="AS158" s="71"/>
      <c r="AT158" s="71" t="s">
        <v>96</v>
      </c>
      <c r="AU158" s="71"/>
      <c r="AV158" s="71" t="s">
        <v>95</v>
      </c>
      <c r="AW158" s="71"/>
      <c r="AX158" s="71"/>
      <c r="AY158" s="71"/>
      <c r="AZ158" s="71"/>
      <c r="BA158" s="71"/>
      <c r="BB158" s="70" t="s">
        <v>218</v>
      </c>
      <c r="BC158" s="70" t="s">
        <v>98</v>
      </c>
      <c r="BD158" s="72" t="str">
        <f>IF('Cálculo MP'!K168="","",'Cálculo MP'!K168)</f>
        <v/>
      </c>
      <c r="BE158" s="72" t="str">
        <f>IF('Cálculo MP'!L168="","",'Cálculo MP'!L168)</f>
        <v/>
      </c>
      <c r="BF158" s="72" t="str">
        <f>IF('Cálculo MP'!M168="","",'Cálculo MP'!M168)</f>
        <v/>
      </c>
      <c r="BG158" s="72" t="str">
        <f>IF('Cálculo MP'!N168="","",'Cálculo MP'!N168)</f>
        <v/>
      </c>
      <c r="BH158" s="72" t="str">
        <f>IF('Cálculo MP'!O168="","",'Cálculo MP'!O168)</f>
        <v/>
      </c>
      <c r="BI158" s="72" t="str">
        <f>IF('Cálculo MP'!P168="","",'Cálculo MP'!P168)</f>
        <v/>
      </c>
      <c r="BJ158" s="72" t="str">
        <f>IF('Cálculo MP'!Q168="","",'Cálculo MP'!Q168)</f>
        <v/>
      </c>
      <c r="BK158" s="72" t="str">
        <f>IF('Cálculo MP'!R168="","",'Cálculo MP'!R168)</f>
        <v/>
      </c>
      <c r="BL158" s="72" t="str">
        <f>IF('Cálculo MP'!S168="","",'Cálculo MP'!S168)</f>
        <v/>
      </c>
      <c r="BM158" s="71"/>
      <c r="BN158" s="71"/>
      <c r="BO158" s="71"/>
      <c r="BP158" s="71"/>
      <c r="BQ158" s="71"/>
      <c r="BR158" s="71"/>
      <c r="BS158" s="71"/>
    </row>
    <row r="159" spans="1:71" ht="19.5" customHeight="1" x14ac:dyDescent="0.15">
      <c r="A159" s="56" t="s">
        <v>985</v>
      </c>
      <c r="B159" s="57" t="s">
        <v>986</v>
      </c>
      <c r="C159" s="58" t="s">
        <v>985</v>
      </c>
      <c r="D159" s="59" t="s">
        <v>985</v>
      </c>
      <c r="E159" s="61"/>
      <c r="F159" s="60" t="s">
        <v>95</v>
      </c>
      <c r="G159" s="61"/>
      <c r="H159" s="62"/>
      <c r="I159" s="75"/>
      <c r="J159" s="60" t="s">
        <v>95</v>
      </c>
      <c r="K159" s="64"/>
      <c r="L159" s="64"/>
      <c r="M159" s="64" t="s">
        <v>96</v>
      </c>
      <c r="N159" s="64" t="s">
        <v>97</v>
      </c>
      <c r="O159" s="65" t="s">
        <v>986</v>
      </c>
      <c r="P159" s="70" t="s">
        <v>96</v>
      </c>
      <c r="Q159" s="60" t="s">
        <v>95</v>
      </c>
      <c r="R159" s="60" t="s">
        <v>96</v>
      </c>
      <c r="S159" s="66" t="s">
        <v>96</v>
      </c>
      <c r="T159" s="67" t="s">
        <v>96</v>
      </c>
      <c r="U159" s="60" t="s">
        <v>96</v>
      </c>
      <c r="V159" s="60" t="s">
        <v>96</v>
      </c>
      <c r="W159" s="60" t="str" cm="1">
        <f t="array" ref="W159">_xlfn.LET(_xlpm.resultados,_xlfn.UNIQUE(_xlfn._xlws.FILTER(Tabla1[Proceso],(Tabla1[Metal Base]=Q159)*(Tabla1[Etiquetas]=_xlfn.TEXTJOIN(" + ",TRUE,IF((TRIM(Upload!R159:V159)="")+(LOWER(TRIM(Upload!R159:V159))="(seleccione)"),"",PROPER(TRIM(Upload!R159:V159)))))*(Tabla1[Línea2]=IFERROR(VLOOKUP(Upload!P159&amp;"*",CAT_Procesos!D:D,1,FALSE),"")))),_xlpm.cantidad,ROWS(_xlpm.resultados),IF(ISERROR(_xlpm.cantidad),"Combinación no existente",IF(_xlpm.cantidad=1,INDEX(_xlpm.resultados,1),"(seleccione)")))</f>
        <v>Combinación no existente</v>
      </c>
      <c r="X159" s="67" t="s">
        <v>96</v>
      </c>
      <c r="Y159" s="64"/>
      <c r="Z159" s="64"/>
      <c r="AA159" s="64"/>
      <c r="AB159" s="133" t="s">
        <v>96</v>
      </c>
      <c r="AC159" s="64"/>
      <c r="AD159" s="64"/>
      <c r="AE159" s="64"/>
      <c r="AF159" s="60" t="s">
        <v>96</v>
      </c>
      <c r="AG159" s="64"/>
      <c r="AH159" s="64"/>
      <c r="AI159" s="64"/>
      <c r="AJ159" s="68" t="s">
        <v>96</v>
      </c>
      <c r="AK159" s="69" t="str">
        <f t="shared" si="4"/>
        <v/>
      </c>
      <c r="AL159" s="70" t="s">
        <v>96</v>
      </c>
      <c r="AM159" s="69" t="str">
        <f t="shared" si="5"/>
        <v/>
      </c>
      <c r="AN159" s="71"/>
      <c r="AO159" s="71"/>
      <c r="AP159" s="71"/>
      <c r="AQ159" s="71"/>
      <c r="AR159" s="71" t="s">
        <v>96</v>
      </c>
      <c r="AS159" s="71"/>
      <c r="AT159" s="71" t="s">
        <v>96</v>
      </c>
      <c r="AU159" s="71"/>
      <c r="AV159" s="71" t="s">
        <v>95</v>
      </c>
      <c r="AW159" s="71"/>
      <c r="AX159" s="71"/>
      <c r="AY159" s="71"/>
      <c r="AZ159" s="71"/>
      <c r="BA159" s="71"/>
      <c r="BB159" s="70" t="s">
        <v>218</v>
      </c>
      <c r="BC159" s="70" t="s">
        <v>98</v>
      </c>
      <c r="BD159" s="72" t="str">
        <f>IF('Cálculo MP'!K169="","",'Cálculo MP'!K169)</f>
        <v/>
      </c>
      <c r="BE159" s="72" t="str">
        <f>IF('Cálculo MP'!L169="","",'Cálculo MP'!L169)</f>
        <v/>
      </c>
      <c r="BF159" s="72" t="str">
        <f>IF('Cálculo MP'!M169="","",'Cálculo MP'!M169)</f>
        <v/>
      </c>
      <c r="BG159" s="72" t="str">
        <f>IF('Cálculo MP'!N169="","",'Cálculo MP'!N169)</f>
        <v/>
      </c>
      <c r="BH159" s="72" t="str">
        <f>IF('Cálculo MP'!O169="","",'Cálculo MP'!O169)</f>
        <v/>
      </c>
      <c r="BI159" s="72" t="str">
        <f>IF('Cálculo MP'!P169="","",'Cálculo MP'!P169)</f>
        <v/>
      </c>
      <c r="BJ159" s="72" t="str">
        <f>IF('Cálculo MP'!Q169="","",'Cálculo MP'!Q169)</f>
        <v/>
      </c>
      <c r="BK159" s="72" t="str">
        <f>IF('Cálculo MP'!R169="","",'Cálculo MP'!R169)</f>
        <v/>
      </c>
      <c r="BL159" s="72" t="str">
        <f>IF('Cálculo MP'!S169="","",'Cálculo MP'!S169)</f>
        <v/>
      </c>
      <c r="BM159" s="71"/>
      <c r="BN159" s="71"/>
      <c r="BO159" s="71"/>
      <c r="BP159" s="71"/>
      <c r="BQ159" s="71"/>
      <c r="BR159" s="71"/>
      <c r="BS159" s="71"/>
    </row>
    <row r="160" spans="1:71" ht="19.5" customHeight="1" x14ac:dyDescent="0.15">
      <c r="A160" s="56" t="s">
        <v>985</v>
      </c>
      <c r="B160" s="57" t="s">
        <v>986</v>
      </c>
      <c r="C160" s="58" t="s">
        <v>985</v>
      </c>
      <c r="D160" s="59" t="s">
        <v>985</v>
      </c>
      <c r="E160" s="61"/>
      <c r="F160" s="60" t="s">
        <v>95</v>
      </c>
      <c r="G160" s="61"/>
      <c r="H160" s="62"/>
      <c r="I160" s="75"/>
      <c r="J160" s="60" t="s">
        <v>95</v>
      </c>
      <c r="K160" s="64"/>
      <c r="L160" s="64"/>
      <c r="M160" s="64" t="s">
        <v>96</v>
      </c>
      <c r="N160" s="64" t="s">
        <v>97</v>
      </c>
      <c r="O160" s="65" t="s">
        <v>986</v>
      </c>
      <c r="P160" s="70" t="s">
        <v>96</v>
      </c>
      <c r="Q160" s="60" t="s">
        <v>95</v>
      </c>
      <c r="R160" s="60" t="s">
        <v>96</v>
      </c>
      <c r="S160" s="66" t="s">
        <v>96</v>
      </c>
      <c r="T160" s="67" t="s">
        <v>96</v>
      </c>
      <c r="U160" s="60" t="s">
        <v>96</v>
      </c>
      <c r="V160" s="60" t="s">
        <v>96</v>
      </c>
      <c r="W160" s="60" t="str" cm="1">
        <f t="array" ref="W160">_xlfn.LET(_xlpm.resultados,_xlfn.UNIQUE(_xlfn._xlws.FILTER(Tabla1[Proceso],(Tabla1[Metal Base]=Q160)*(Tabla1[Etiquetas]=_xlfn.TEXTJOIN(" + ",TRUE,IF((TRIM(Upload!R160:V160)="")+(LOWER(TRIM(Upload!R160:V160))="(seleccione)"),"",PROPER(TRIM(Upload!R160:V160)))))*(Tabla1[Línea2]=IFERROR(VLOOKUP(Upload!P160&amp;"*",CAT_Procesos!D:D,1,FALSE),"")))),_xlpm.cantidad,ROWS(_xlpm.resultados),IF(ISERROR(_xlpm.cantidad),"Combinación no existente",IF(_xlpm.cantidad=1,INDEX(_xlpm.resultados,1),"(seleccione)")))</f>
        <v>Combinación no existente</v>
      </c>
      <c r="X160" s="67" t="s">
        <v>96</v>
      </c>
      <c r="Y160" s="64"/>
      <c r="Z160" s="64"/>
      <c r="AA160" s="64"/>
      <c r="AB160" s="133" t="s">
        <v>96</v>
      </c>
      <c r="AC160" s="64"/>
      <c r="AD160" s="64"/>
      <c r="AE160" s="64"/>
      <c r="AF160" s="60" t="s">
        <v>96</v>
      </c>
      <c r="AG160" s="64"/>
      <c r="AH160" s="64"/>
      <c r="AI160" s="64"/>
      <c r="AJ160" s="68" t="s">
        <v>96</v>
      </c>
      <c r="AK160" s="69" t="str">
        <f t="shared" si="4"/>
        <v/>
      </c>
      <c r="AL160" s="70" t="s">
        <v>96</v>
      </c>
      <c r="AM160" s="69" t="str">
        <f t="shared" si="5"/>
        <v/>
      </c>
      <c r="AN160" s="71"/>
      <c r="AO160" s="71"/>
      <c r="AP160" s="71"/>
      <c r="AQ160" s="71"/>
      <c r="AR160" s="71" t="s">
        <v>96</v>
      </c>
      <c r="AS160" s="71"/>
      <c r="AT160" s="71" t="s">
        <v>96</v>
      </c>
      <c r="AU160" s="71"/>
      <c r="AV160" s="71" t="s">
        <v>95</v>
      </c>
      <c r="AW160" s="71"/>
      <c r="AX160" s="71"/>
      <c r="AY160" s="71"/>
      <c r="AZ160" s="71"/>
      <c r="BA160" s="71"/>
      <c r="BB160" s="70" t="s">
        <v>218</v>
      </c>
      <c r="BC160" s="70" t="s">
        <v>98</v>
      </c>
      <c r="BD160" s="72" t="str">
        <f>IF('Cálculo MP'!K170="","",'Cálculo MP'!K170)</f>
        <v/>
      </c>
      <c r="BE160" s="72" t="str">
        <f>IF('Cálculo MP'!L170="","",'Cálculo MP'!L170)</f>
        <v/>
      </c>
      <c r="BF160" s="72" t="str">
        <f>IF('Cálculo MP'!M170="","",'Cálculo MP'!M170)</f>
        <v/>
      </c>
      <c r="BG160" s="72" t="str">
        <f>IF('Cálculo MP'!N170="","",'Cálculo MP'!N170)</f>
        <v/>
      </c>
      <c r="BH160" s="72" t="str">
        <f>IF('Cálculo MP'!O170="","",'Cálculo MP'!O170)</f>
        <v/>
      </c>
      <c r="BI160" s="72" t="str">
        <f>IF('Cálculo MP'!P170="","",'Cálculo MP'!P170)</f>
        <v/>
      </c>
      <c r="BJ160" s="72" t="str">
        <f>IF('Cálculo MP'!Q170="","",'Cálculo MP'!Q170)</f>
        <v/>
      </c>
      <c r="BK160" s="72" t="str">
        <f>IF('Cálculo MP'!R170="","",'Cálculo MP'!R170)</f>
        <v/>
      </c>
      <c r="BL160" s="72" t="str">
        <f>IF('Cálculo MP'!S170="","",'Cálculo MP'!S170)</f>
        <v/>
      </c>
      <c r="BM160" s="71"/>
      <c r="BN160" s="71"/>
      <c r="BO160" s="71"/>
      <c r="BP160" s="71"/>
      <c r="BQ160" s="71"/>
      <c r="BR160" s="71"/>
      <c r="BS160" s="71"/>
    </row>
    <row r="161" spans="1:71" ht="19.5" customHeight="1" x14ac:dyDescent="0.15">
      <c r="A161" s="56" t="s">
        <v>985</v>
      </c>
      <c r="B161" s="57" t="s">
        <v>986</v>
      </c>
      <c r="C161" s="58" t="s">
        <v>985</v>
      </c>
      <c r="D161" s="59" t="s">
        <v>985</v>
      </c>
      <c r="E161" s="61"/>
      <c r="F161" s="60" t="s">
        <v>95</v>
      </c>
      <c r="G161" s="61"/>
      <c r="H161" s="62"/>
      <c r="I161" s="75"/>
      <c r="J161" s="60" t="s">
        <v>95</v>
      </c>
      <c r="K161" s="64"/>
      <c r="L161" s="64"/>
      <c r="M161" s="64" t="s">
        <v>96</v>
      </c>
      <c r="N161" s="64" t="s">
        <v>97</v>
      </c>
      <c r="O161" s="65" t="s">
        <v>986</v>
      </c>
      <c r="P161" s="70" t="s">
        <v>96</v>
      </c>
      <c r="Q161" s="60" t="s">
        <v>95</v>
      </c>
      <c r="R161" s="60" t="s">
        <v>96</v>
      </c>
      <c r="S161" s="66" t="s">
        <v>96</v>
      </c>
      <c r="T161" s="67" t="s">
        <v>96</v>
      </c>
      <c r="U161" s="60" t="s">
        <v>96</v>
      </c>
      <c r="V161" s="60" t="s">
        <v>96</v>
      </c>
      <c r="W161" s="60" t="str" cm="1">
        <f t="array" ref="W161">_xlfn.LET(_xlpm.resultados,_xlfn.UNIQUE(_xlfn._xlws.FILTER(Tabla1[Proceso],(Tabla1[Metal Base]=Q161)*(Tabla1[Etiquetas]=_xlfn.TEXTJOIN(" + ",TRUE,IF((TRIM(Upload!R161:V161)="")+(LOWER(TRIM(Upload!R161:V161))="(seleccione)"),"",PROPER(TRIM(Upload!R161:V161)))))*(Tabla1[Línea2]=IFERROR(VLOOKUP(Upload!P161&amp;"*",CAT_Procesos!D:D,1,FALSE),"")))),_xlpm.cantidad,ROWS(_xlpm.resultados),IF(ISERROR(_xlpm.cantidad),"Combinación no existente",IF(_xlpm.cantidad=1,INDEX(_xlpm.resultados,1),"(seleccione)")))</f>
        <v>Combinación no existente</v>
      </c>
      <c r="X161" s="67" t="s">
        <v>96</v>
      </c>
      <c r="Y161" s="64"/>
      <c r="Z161" s="64"/>
      <c r="AA161" s="64"/>
      <c r="AB161" s="133" t="s">
        <v>96</v>
      </c>
      <c r="AC161" s="64"/>
      <c r="AD161" s="64"/>
      <c r="AE161" s="64"/>
      <c r="AF161" s="60" t="s">
        <v>96</v>
      </c>
      <c r="AG161" s="64"/>
      <c r="AH161" s="64"/>
      <c r="AI161" s="64"/>
      <c r="AJ161" s="68" t="s">
        <v>96</v>
      </c>
      <c r="AK161" s="69" t="str">
        <f t="shared" si="4"/>
        <v/>
      </c>
      <c r="AL161" s="70" t="s">
        <v>96</v>
      </c>
      <c r="AM161" s="69" t="str">
        <f t="shared" si="5"/>
        <v/>
      </c>
      <c r="AN161" s="71"/>
      <c r="AO161" s="71"/>
      <c r="AP161" s="71"/>
      <c r="AQ161" s="71"/>
      <c r="AR161" s="71" t="s">
        <v>96</v>
      </c>
      <c r="AS161" s="71"/>
      <c r="AT161" s="71" t="s">
        <v>96</v>
      </c>
      <c r="AU161" s="71"/>
      <c r="AV161" s="71" t="s">
        <v>95</v>
      </c>
      <c r="AW161" s="71"/>
      <c r="AX161" s="71"/>
      <c r="AY161" s="71"/>
      <c r="AZ161" s="71"/>
      <c r="BA161" s="71"/>
      <c r="BB161" s="70" t="s">
        <v>218</v>
      </c>
      <c r="BC161" s="70" t="s">
        <v>98</v>
      </c>
      <c r="BD161" s="72" t="str">
        <f>IF('Cálculo MP'!K171="","",'Cálculo MP'!K171)</f>
        <v/>
      </c>
      <c r="BE161" s="72" t="str">
        <f>IF('Cálculo MP'!L171="","",'Cálculo MP'!L171)</f>
        <v/>
      </c>
      <c r="BF161" s="72" t="str">
        <f>IF('Cálculo MP'!M171="","",'Cálculo MP'!M171)</f>
        <v/>
      </c>
      <c r="BG161" s="72" t="str">
        <f>IF('Cálculo MP'!N171="","",'Cálculo MP'!N171)</f>
        <v/>
      </c>
      <c r="BH161" s="72" t="str">
        <f>IF('Cálculo MP'!O171="","",'Cálculo MP'!O171)</f>
        <v/>
      </c>
      <c r="BI161" s="72" t="str">
        <f>IF('Cálculo MP'!P171="","",'Cálculo MP'!P171)</f>
        <v/>
      </c>
      <c r="BJ161" s="72" t="str">
        <f>IF('Cálculo MP'!Q171="","",'Cálculo MP'!Q171)</f>
        <v/>
      </c>
      <c r="BK161" s="72" t="str">
        <f>IF('Cálculo MP'!R171="","",'Cálculo MP'!R171)</f>
        <v/>
      </c>
      <c r="BL161" s="72" t="str">
        <f>IF('Cálculo MP'!S171="","",'Cálculo MP'!S171)</f>
        <v/>
      </c>
      <c r="BM161" s="71"/>
      <c r="BN161" s="71"/>
      <c r="BO161" s="71"/>
      <c r="BP161" s="71"/>
      <c r="BQ161" s="71"/>
      <c r="BR161" s="71"/>
      <c r="BS161" s="71"/>
    </row>
    <row r="162" spans="1:71" ht="19.5" customHeight="1" x14ac:dyDescent="0.15">
      <c r="A162" s="56" t="s">
        <v>985</v>
      </c>
      <c r="B162" s="57" t="s">
        <v>986</v>
      </c>
      <c r="C162" s="58" t="s">
        <v>985</v>
      </c>
      <c r="D162" s="59" t="s">
        <v>985</v>
      </c>
      <c r="E162" s="61"/>
      <c r="F162" s="60" t="s">
        <v>95</v>
      </c>
      <c r="G162" s="61"/>
      <c r="H162" s="62"/>
      <c r="I162" s="75"/>
      <c r="J162" s="60" t="s">
        <v>95</v>
      </c>
      <c r="K162" s="64"/>
      <c r="L162" s="64"/>
      <c r="M162" s="64" t="s">
        <v>96</v>
      </c>
      <c r="N162" s="64" t="s">
        <v>97</v>
      </c>
      <c r="O162" s="65" t="s">
        <v>986</v>
      </c>
      <c r="P162" s="70" t="s">
        <v>96</v>
      </c>
      <c r="Q162" s="60" t="s">
        <v>95</v>
      </c>
      <c r="R162" s="60" t="s">
        <v>96</v>
      </c>
      <c r="S162" s="66" t="s">
        <v>96</v>
      </c>
      <c r="T162" s="67" t="s">
        <v>96</v>
      </c>
      <c r="U162" s="60" t="s">
        <v>96</v>
      </c>
      <c r="V162" s="60" t="s">
        <v>96</v>
      </c>
      <c r="W162" s="60" t="str" cm="1">
        <f t="array" ref="W162">_xlfn.LET(_xlpm.resultados,_xlfn.UNIQUE(_xlfn._xlws.FILTER(Tabla1[Proceso],(Tabla1[Metal Base]=Q162)*(Tabla1[Etiquetas]=_xlfn.TEXTJOIN(" + ",TRUE,IF((TRIM(Upload!R162:V162)="")+(LOWER(TRIM(Upload!R162:V162))="(seleccione)"),"",PROPER(TRIM(Upload!R162:V162)))))*(Tabla1[Línea2]=IFERROR(VLOOKUP(Upload!P162&amp;"*",CAT_Procesos!D:D,1,FALSE),"")))),_xlpm.cantidad,ROWS(_xlpm.resultados),IF(ISERROR(_xlpm.cantidad),"Combinación no existente",IF(_xlpm.cantidad=1,INDEX(_xlpm.resultados,1),"(seleccione)")))</f>
        <v>Combinación no existente</v>
      </c>
      <c r="X162" s="67" t="s">
        <v>96</v>
      </c>
      <c r="Y162" s="64"/>
      <c r="Z162" s="64"/>
      <c r="AA162" s="64"/>
      <c r="AB162" s="133" t="s">
        <v>96</v>
      </c>
      <c r="AC162" s="64"/>
      <c r="AD162" s="64"/>
      <c r="AE162" s="64"/>
      <c r="AF162" s="60" t="s">
        <v>96</v>
      </c>
      <c r="AG162" s="64"/>
      <c r="AH162" s="64"/>
      <c r="AI162" s="64"/>
      <c r="AJ162" s="68" t="s">
        <v>96</v>
      </c>
      <c r="AK162" s="69" t="str">
        <f t="shared" si="4"/>
        <v/>
      </c>
      <c r="AL162" s="70" t="s">
        <v>96</v>
      </c>
      <c r="AM162" s="69" t="str">
        <f t="shared" si="5"/>
        <v/>
      </c>
      <c r="AN162" s="71"/>
      <c r="AO162" s="71"/>
      <c r="AP162" s="71"/>
      <c r="AQ162" s="71"/>
      <c r="AR162" s="71" t="s">
        <v>96</v>
      </c>
      <c r="AS162" s="71"/>
      <c r="AT162" s="71" t="s">
        <v>96</v>
      </c>
      <c r="AU162" s="71"/>
      <c r="AV162" s="71" t="s">
        <v>95</v>
      </c>
      <c r="AW162" s="71"/>
      <c r="AX162" s="71"/>
      <c r="AY162" s="71"/>
      <c r="AZ162" s="71"/>
      <c r="BA162" s="71"/>
      <c r="BB162" s="70" t="s">
        <v>218</v>
      </c>
      <c r="BC162" s="70" t="s">
        <v>98</v>
      </c>
      <c r="BD162" s="72" t="str">
        <f>IF('Cálculo MP'!K172="","",'Cálculo MP'!K172)</f>
        <v/>
      </c>
      <c r="BE162" s="72" t="str">
        <f>IF('Cálculo MP'!L172="","",'Cálculo MP'!L172)</f>
        <v/>
      </c>
      <c r="BF162" s="72" t="str">
        <f>IF('Cálculo MP'!M172="","",'Cálculo MP'!M172)</f>
        <v/>
      </c>
      <c r="BG162" s="72" t="str">
        <f>IF('Cálculo MP'!N172="","",'Cálculo MP'!N172)</f>
        <v/>
      </c>
      <c r="BH162" s="72" t="str">
        <f>IF('Cálculo MP'!O172="","",'Cálculo MP'!O172)</f>
        <v/>
      </c>
      <c r="BI162" s="72" t="str">
        <f>IF('Cálculo MP'!P172="","",'Cálculo MP'!P172)</f>
        <v/>
      </c>
      <c r="BJ162" s="72" t="str">
        <f>IF('Cálculo MP'!Q172="","",'Cálculo MP'!Q172)</f>
        <v/>
      </c>
      <c r="BK162" s="72" t="str">
        <f>IF('Cálculo MP'!R172="","",'Cálculo MP'!R172)</f>
        <v/>
      </c>
      <c r="BL162" s="72" t="str">
        <f>IF('Cálculo MP'!S172="","",'Cálculo MP'!S172)</f>
        <v/>
      </c>
      <c r="BM162" s="71"/>
      <c r="BN162" s="71"/>
      <c r="BO162" s="71"/>
      <c r="BP162" s="71"/>
      <c r="BQ162" s="71"/>
      <c r="BR162" s="71"/>
      <c r="BS162" s="71"/>
    </row>
    <row r="163" spans="1:71" ht="19.5" customHeight="1" x14ac:dyDescent="0.15">
      <c r="A163" s="56" t="s">
        <v>985</v>
      </c>
      <c r="B163" s="57" t="s">
        <v>986</v>
      </c>
      <c r="C163" s="58" t="s">
        <v>985</v>
      </c>
      <c r="D163" s="59" t="s">
        <v>985</v>
      </c>
      <c r="E163" s="61"/>
      <c r="F163" s="60" t="s">
        <v>95</v>
      </c>
      <c r="G163" s="61"/>
      <c r="H163" s="62"/>
      <c r="I163" s="75"/>
      <c r="J163" s="60" t="s">
        <v>95</v>
      </c>
      <c r="K163" s="64"/>
      <c r="L163" s="64"/>
      <c r="M163" s="64" t="s">
        <v>96</v>
      </c>
      <c r="N163" s="64" t="s">
        <v>97</v>
      </c>
      <c r="O163" s="65" t="s">
        <v>986</v>
      </c>
      <c r="P163" s="70" t="s">
        <v>96</v>
      </c>
      <c r="Q163" s="60" t="s">
        <v>95</v>
      </c>
      <c r="R163" s="60" t="s">
        <v>96</v>
      </c>
      <c r="S163" s="66" t="s">
        <v>96</v>
      </c>
      <c r="T163" s="67" t="s">
        <v>96</v>
      </c>
      <c r="U163" s="60" t="s">
        <v>96</v>
      </c>
      <c r="V163" s="60" t="s">
        <v>96</v>
      </c>
      <c r="W163" s="60" t="str" cm="1">
        <f t="array" ref="W163">_xlfn.LET(_xlpm.resultados,_xlfn.UNIQUE(_xlfn._xlws.FILTER(Tabla1[Proceso],(Tabla1[Metal Base]=Q163)*(Tabla1[Etiquetas]=_xlfn.TEXTJOIN(" + ",TRUE,IF((TRIM(Upload!R163:V163)="")+(LOWER(TRIM(Upload!R163:V163))="(seleccione)"),"",PROPER(TRIM(Upload!R163:V163)))))*(Tabla1[Línea2]=IFERROR(VLOOKUP(Upload!P163&amp;"*",CAT_Procesos!D:D,1,FALSE),"")))),_xlpm.cantidad,ROWS(_xlpm.resultados),IF(ISERROR(_xlpm.cantidad),"Combinación no existente",IF(_xlpm.cantidad=1,INDEX(_xlpm.resultados,1),"(seleccione)")))</f>
        <v>Combinación no existente</v>
      </c>
      <c r="X163" s="67" t="s">
        <v>96</v>
      </c>
      <c r="Y163" s="64"/>
      <c r="Z163" s="64"/>
      <c r="AA163" s="64"/>
      <c r="AB163" s="133" t="s">
        <v>96</v>
      </c>
      <c r="AC163" s="64"/>
      <c r="AD163" s="64"/>
      <c r="AE163" s="64"/>
      <c r="AF163" s="60" t="s">
        <v>96</v>
      </c>
      <c r="AG163" s="64"/>
      <c r="AH163" s="64"/>
      <c r="AI163" s="64"/>
      <c r="AJ163" s="68" t="s">
        <v>96</v>
      </c>
      <c r="AK163" s="69" t="str">
        <f t="shared" si="4"/>
        <v/>
      </c>
      <c r="AL163" s="70" t="s">
        <v>96</v>
      </c>
      <c r="AM163" s="69" t="str">
        <f t="shared" si="5"/>
        <v/>
      </c>
      <c r="AN163" s="71"/>
      <c r="AO163" s="71"/>
      <c r="AP163" s="71"/>
      <c r="AQ163" s="71"/>
      <c r="AR163" s="71" t="s">
        <v>96</v>
      </c>
      <c r="AS163" s="71"/>
      <c r="AT163" s="71" t="s">
        <v>96</v>
      </c>
      <c r="AU163" s="71"/>
      <c r="AV163" s="71" t="s">
        <v>95</v>
      </c>
      <c r="AW163" s="71"/>
      <c r="AX163" s="71"/>
      <c r="AY163" s="71"/>
      <c r="AZ163" s="71"/>
      <c r="BA163" s="71"/>
      <c r="BB163" s="70" t="s">
        <v>218</v>
      </c>
      <c r="BC163" s="70" t="s">
        <v>98</v>
      </c>
      <c r="BD163" s="72" t="str">
        <f>IF('Cálculo MP'!K173="","",'Cálculo MP'!K173)</f>
        <v/>
      </c>
      <c r="BE163" s="72" t="str">
        <f>IF('Cálculo MP'!L173="","",'Cálculo MP'!L173)</f>
        <v/>
      </c>
      <c r="BF163" s="72" t="str">
        <f>IF('Cálculo MP'!M173="","",'Cálculo MP'!M173)</f>
        <v/>
      </c>
      <c r="BG163" s="72" t="str">
        <f>IF('Cálculo MP'!N173="","",'Cálculo MP'!N173)</f>
        <v/>
      </c>
      <c r="BH163" s="72" t="str">
        <f>IF('Cálculo MP'!O173="","",'Cálculo MP'!O173)</f>
        <v/>
      </c>
      <c r="BI163" s="72" t="str">
        <f>IF('Cálculo MP'!P173="","",'Cálculo MP'!P173)</f>
        <v/>
      </c>
      <c r="BJ163" s="72" t="str">
        <f>IF('Cálculo MP'!Q173="","",'Cálculo MP'!Q173)</f>
        <v/>
      </c>
      <c r="BK163" s="72" t="str">
        <f>IF('Cálculo MP'!R173="","",'Cálculo MP'!R173)</f>
        <v/>
      </c>
      <c r="BL163" s="72" t="str">
        <f>IF('Cálculo MP'!S173="","",'Cálculo MP'!S173)</f>
        <v/>
      </c>
      <c r="BM163" s="71"/>
      <c r="BN163" s="71"/>
      <c r="BO163" s="71"/>
      <c r="BP163" s="71"/>
      <c r="BQ163" s="71"/>
      <c r="BR163" s="71"/>
      <c r="BS163" s="71"/>
    </row>
    <row r="164" spans="1:71" ht="19.5" customHeight="1" x14ac:dyDescent="0.15">
      <c r="A164" s="56" t="s">
        <v>985</v>
      </c>
      <c r="B164" s="57" t="s">
        <v>986</v>
      </c>
      <c r="C164" s="58" t="s">
        <v>985</v>
      </c>
      <c r="D164" s="59" t="s">
        <v>985</v>
      </c>
      <c r="E164" s="61"/>
      <c r="F164" s="60" t="s">
        <v>95</v>
      </c>
      <c r="G164" s="61"/>
      <c r="H164" s="62"/>
      <c r="I164" s="75"/>
      <c r="J164" s="60" t="s">
        <v>95</v>
      </c>
      <c r="K164" s="64"/>
      <c r="L164" s="64"/>
      <c r="M164" s="64" t="s">
        <v>96</v>
      </c>
      <c r="N164" s="64" t="s">
        <v>97</v>
      </c>
      <c r="O164" s="65" t="s">
        <v>986</v>
      </c>
      <c r="P164" s="70" t="s">
        <v>96</v>
      </c>
      <c r="Q164" s="60" t="s">
        <v>95</v>
      </c>
      <c r="R164" s="60" t="s">
        <v>96</v>
      </c>
      <c r="S164" s="66" t="s">
        <v>96</v>
      </c>
      <c r="T164" s="67" t="s">
        <v>96</v>
      </c>
      <c r="U164" s="60" t="s">
        <v>96</v>
      </c>
      <c r="V164" s="60" t="s">
        <v>96</v>
      </c>
      <c r="W164" s="60" t="str" cm="1">
        <f t="array" ref="W164">_xlfn.LET(_xlpm.resultados,_xlfn.UNIQUE(_xlfn._xlws.FILTER(Tabla1[Proceso],(Tabla1[Metal Base]=Q164)*(Tabla1[Etiquetas]=_xlfn.TEXTJOIN(" + ",TRUE,IF((TRIM(Upload!R164:V164)="")+(LOWER(TRIM(Upload!R164:V164))="(seleccione)"),"",PROPER(TRIM(Upload!R164:V164)))))*(Tabla1[Línea2]=IFERROR(VLOOKUP(Upload!P164&amp;"*",CAT_Procesos!D:D,1,FALSE),"")))),_xlpm.cantidad,ROWS(_xlpm.resultados),IF(ISERROR(_xlpm.cantidad),"Combinación no existente",IF(_xlpm.cantidad=1,INDEX(_xlpm.resultados,1),"(seleccione)")))</f>
        <v>Combinación no existente</v>
      </c>
      <c r="X164" s="67" t="s">
        <v>96</v>
      </c>
      <c r="Y164" s="64"/>
      <c r="Z164" s="64"/>
      <c r="AA164" s="64"/>
      <c r="AB164" s="133" t="s">
        <v>96</v>
      </c>
      <c r="AC164" s="64"/>
      <c r="AD164" s="64"/>
      <c r="AE164" s="64"/>
      <c r="AF164" s="60" t="s">
        <v>96</v>
      </c>
      <c r="AG164" s="64"/>
      <c r="AH164" s="64"/>
      <c r="AI164" s="64"/>
      <c r="AJ164" s="68" t="s">
        <v>96</v>
      </c>
      <c r="AK164" s="69" t="str">
        <f t="shared" si="4"/>
        <v/>
      </c>
      <c r="AL164" s="70" t="s">
        <v>96</v>
      </c>
      <c r="AM164" s="69" t="str">
        <f t="shared" si="5"/>
        <v/>
      </c>
      <c r="AN164" s="71"/>
      <c r="AO164" s="71"/>
      <c r="AP164" s="71"/>
      <c r="AQ164" s="71"/>
      <c r="AR164" s="71" t="s">
        <v>96</v>
      </c>
      <c r="AS164" s="71"/>
      <c r="AT164" s="71" t="s">
        <v>96</v>
      </c>
      <c r="AU164" s="71"/>
      <c r="AV164" s="71" t="s">
        <v>95</v>
      </c>
      <c r="AW164" s="71"/>
      <c r="AX164" s="71"/>
      <c r="AY164" s="71"/>
      <c r="AZ164" s="71"/>
      <c r="BA164" s="71"/>
      <c r="BB164" s="70" t="s">
        <v>218</v>
      </c>
      <c r="BC164" s="70" t="s">
        <v>98</v>
      </c>
      <c r="BD164" s="72" t="str">
        <f>IF('Cálculo MP'!K174="","",'Cálculo MP'!K174)</f>
        <v/>
      </c>
      <c r="BE164" s="72" t="str">
        <f>IF('Cálculo MP'!L174="","",'Cálculo MP'!L174)</f>
        <v/>
      </c>
      <c r="BF164" s="72" t="str">
        <f>IF('Cálculo MP'!M174="","",'Cálculo MP'!M174)</f>
        <v/>
      </c>
      <c r="BG164" s="72" t="str">
        <f>IF('Cálculo MP'!N174="","",'Cálculo MP'!N174)</f>
        <v/>
      </c>
      <c r="BH164" s="72" t="str">
        <f>IF('Cálculo MP'!O174="","",'Cálculo MP'!O174)</f>
        <v/>
      </c>
      <c r="BI164" s="72" t="str">
        <f>IF('Cálculo MP'!P174="","",'Cálculo MP'!P174)</f>
        <v/>
      </c>
      <c r="BJ164" s="72" t="str">
        <f>IF('Cálculo MP'!Q174="","",'Cálculo MP'!Q174)</f>
        <v/>
      </c>
      <c r="BK164" s="72" t="str">
        <f>IF('Cálculo MP'!R174="","",'Cálculo MP'!R174)</f>
        <v/>
      </c>
      <c r="BL164" s="72" t="str">
        <f>IF('Cálculo MP'!S174="","",'Cálculo MP'!S174)</f>
        <v/>
      </c>
      <c r="BM164" s="71"/>
      <c r="BN164" s="71"/>
      <c r="BO164" s="71"/>
      <c r="BP164" s="71"/>
      <c r="BQ164" s="71"/>
      <c r="BR164" s="71"/>
      <c r="BS164" s="71"/>
    </row>
    <row r="165" spans="1:71" ht="19.5" customHeight="1" x14ac:dyDescent="0.15">
      <c r="A165" s="56" t="s">
        <v>985</v>
      </c>
      <c r="B165" s="57" t="s">
        <v>986</v>
      </c>
      <c r="C165" s="58" t="s">
        <v>985</v>
      </c>
      <c r="D165" s="59" t="s">
        <v>985</v>
      </c>
      <c r="E165" s="61"/>
      <c r="F165" s="60" t="s">
        <v>95</v>
      </c>
      <c r="G165" s="61"/>
      <c r="H165" s="62"/>
      <c r="I165" s="75"/>
      <c r="J165" s="60" t="s">
        <v>95</v>
      </c>
      <c r="K165" s="64"/>
      <c r="L165" s="64"/>
      <c r="M165" s="64" t="s">
        <v>96</v>
      </c>
      <c r="N165" s="64" t="s">
        <v>97</v>
      </c>
      <c r="O165" s="65" t="s">
        <v>986</v>
      </c>
      <c r="P165" s="70" t="s">
        <v>96</v>
      </c>
      <c r="Q165" s="60" t="s">
        <v>95</v>
      </c>
      <c r="R165" s="60" t="s">
        <v>96</v>
      </c>
      <c r="S165" s="66" t="s">
        <v>96</v>
      </c>
      <c r="T165" s="67" t="s">
        <v>96</v>
      </c>
      <c r="U165" s="60" t="s">
        <v>96</v>
      </c>
      <c r="V165" s="60" t="s">
        <v>96</v>
      </c>
      <c r="W165" s="60" t="str" cm="1">
        <f t="array" ref="W165">_xlfn.LET(_xlpm.resultados,_xlfn.UNIQUE(_xlfn._xlws.FILTER(Tabla1[Proceso],(Tabla1[Metal Base]=Q165)*(Tabla1[Etiquetas]=_xlfn.TEXTJOIN(" + ",TRUE,IF((TRIM(Upload!R165:V165)="")+(LOWER(TRIM(Upload!R165:V165))="(seleccione)"),"",PROPER(TRIM(Upload!R165:V165)))))*(Tabla1[Línea2]=IFERROR(VLOOKUP(Upload!P165&amp;"*",CAT_Procesos!D:D,1,FALSE),"")))),_xlpm.cantidad,ROWS(_xlpm.resultados),IF(ISERROR(_xlpm.cantidad),"Combinación no existente",IF(_xlpm.cantidad=1,INDEX(_xlpm.resultados,1),"(seleccione)")))</f>
        <v>Combinación no existente</v>
      </c>
      <c r="X165" s="67" t="s">
        <v>96</v>
      </c>
      <c r="Y165" s="64"/>
      <c r="Z165" s="64"/>
      <c r="AA165" s="64"/>
      <c r="AB165" s="133" t="s">
        <v>96</v>
      </c>
      <c r="AC165" s="64"/>
      <c r="AD165" s="64"/>
      <c r="AE165" s="64"/>
      <c r="AF165" s="60" t="s">
        <v>96</v>
      </c>
      <c r="AG165" s="64"/>
      <c r="AH165" s="64"/>
      <c r="AI165" s="64"/>
      <c r="AJ165" s="68" t="s">
        <v>96</v>
      </c>
      <c r="AK165" s="69" t="str">
        <f t="shared" si="4"/>
        <v/>
      </c>
      <c r="AL165" s="70" t="s">
        <v>96</v>
      </c>
      <c r="AM165" s="69" t="str">
        <f t="shared" si="5"/>
        <v/>
      </c>
      <c r="AN165" s="71"/>
      <c r="AO165" s="71"/>
      <c r="AP165" s="71"/>
      <c r="AQ165" s="71"/>
      <c r="AR165" s="71" t="s">
        <v>96</v>
      </c>
      <c r="AS165" s="71"/>
      <c r="AT165" s="71" t="s">
        <v>96</v>
      </c>
      <c r="AU165" s="71"/>
      <c r="AV165" s="71" t="s">
        <v>95</v>
      </c>
      <c r="AW165" s="71"/>
      <c r="AX165" s="71"/>
      <c r="AY165" s="71"/>
      <c r="AZ165" s="71"/>
      <c r="BA165" s="71"/>
      <c r="BB165" s="70" t="s">
        <v>218</v>
      </c>
      <c r="BC165" s="70" t="s">
        <v>98</v>
      </c>
      <c r="BD165" s="72" t="str">
        <f>IF('Cálculo MP'!K175="","",'Cálculo MP'!K175)</f>
        <v/>
      </c>
      <c r="BE165" s="72" t="str">
        <f>IF('Cálculo MP'!L175="","",'Cálculo MP'!L175)</f>
        <v/>
      </c>
      <c r="BF165" s="72" t="str">
        <f>IF('Cálculo MP'!M175="","",'Cálculo MP'!M175)</f>
        <v/>
      </c>
      <c r="BG165" s="72" t="str">
        <f>IF('Cálculo MP'!N175="","",'Cálculo MP'!N175)</f>
        <v/>
      </c>
      <c r="BH165" s="72" t="str">
        <f>IF('Cálculo MP'!O175="","",'Cálculo MP'!O175)</f>
        <v/>
      </c>
      <c r="BI165" s="72" t="str">
        <f>IF('Cálculo MP'!P175="","",'Cálculo MP'!P175)</f>
        <v/>
      </c>
      <c r="BJ165" s="72" t="str">
        <f>IF('Cálculo MP'!Q175="","",'Cálculo MP'!Q175)</f>
        <v/>
      </c>
      <c r="BK165" s="72" t="str">
        <f>IF('Cálculo MP'!R175="","",'Cálculo MP'!R175)</f>
        <v/>
      </c>
      <c r="BL165" s="72" t="str">
        <f>IF('Cálculo MP'!S175="","",'Cálculo MP'!S175)</f>
        <v/>
      </c>
      <c r="BM165" s="71"/>
      <c r="BN165" s="71"/>
      <c r="BO165" s="71"/>
      <c r="BP165" s="71"/>
      <c r="BQ165" s="71"/>
      <c r="BR165" s="71"/>
      <c r="BS165" s="71"/>
    </row>
    <row r="166" spans="1:71" ht="19.5" customHeight="1" x14ac:dyDescent="0.15">
      <c r="A166" s="56" t="s">
        <v>985</v>
      </c>
      <c r="B166" s="57" t="s">
        <v>986</v>
      </c>
      <c r="C166" s="58" t="s">
        <v>985</v>
      </c>
      <c r="D166" s="59" t="s">
        <v>985</v>
      </c>
      <c r="E166" s="61"/>
      <c r="F166" s="60" t="s">
        <v>95</v>
      </c>
      <c r="G166" s="61"/>
      <c r="H166" s="62"/>
      <c r="I166" s="75"/>
      <c r="J166" s="60" t="s">
        <v>95</v>
      </c>
      <c r="K166" s="64"/>
      <c r="L166" s="64"/>
      <c r="M166" s="64" t="s">
        <v>96</v>
      </c>
      <c r="N166" s="64" t="s">
        <v>97</v>
      </c>
      <c r="O166" s="65" t="s">
        <v>986</v>
      </c>
      <c r="P166" s="70" t="s">
        <v>96</v>
      </c>
      <c r="Q166" s="60" t="s">
        <v>95</v>
      </c>
      <c r="R166" s="60" t="s">
        <v>96</v>
      </c>
      <c r="S166" s="66" t="s">
        <v>96</v>
      </c>
      <c r="T166" s="67" t="s">
        <v>96</v>
      </c>
      <c r="U166" s="60" t="s">
        <v>96</v>
      </c>
      <c r="V166" s="60" t="s">
        <v>96</v>
      </c>
      <c r="W166" s="60" t="str" cm="1">
        <f t="array" ref="W166">_xlfn.LET(_xlpm.resultados,_xlfn.UNIQUE(_xlfn._xlws.FILTER(Tabla1[Proceso],(Tabla1[Metal Base]=Q166)*(Tabla1[Etiquetas]=_xlfn.TEXTJOIN(" + ",TRUE,IF((TRIM(Upload!R166:V166)="")+(LOWER(TRIM(Upload!R166:V166))="(seleccione)"),"",PROPER(TRIM(Upload!R166:V166)))))*(Tabla1[Línea2]=IFERROR(VLOOKUP(Upload!P166&amp;"*",CAT_Procesos!D:D,1,FALSE),"")))),_xlpm.cantidad,ROWS(_xlpm.resultados),IF(ISERROR(_xlpm.cantidad),"Combinación no existente",IF(_xlpm.cantidad=1,INDEX(_xlpm.resultados,1),"(seleccione)")))</f>
        <v>Combinación no existente</v>
      </c>
      <c r="X166" s="67" t="s">
        <v>96</v>
      </c>
      <c r="Y166" s="64"/>
      <c r="Z166" s="64"/>
      <c r="AA166" s="64"/>
      <c r="AB166" s="133" t="s">
        <v>96</v>
      </c>
      <c r="AC166" s="64"/>
      <c r="AD166" s="64"/>
      <c r="AE166" s="64"/>
      <c r="AF166" s="60" t="s">
        <v>96</v>
      </c>
      <c r="AG166" s="64"/>
      <c r="AH166" s="64"/>
      <c r="AI166" s="64"/>
      <c r="AJ166" s="68" t="s">
        <v>96</v>
      </c>
      <c r="AK166" s="69" t="str">
        <f t="shared" si="4"/>
        <v/>
      </c>
      <c r="AL166" s="70" t="s">
        <v>96</v>
      </c>
      <c r="AM166" s="69" t="str">
        <f t="shared" si="5"/>
        <v/>
      </c>
      <c r="AN166" s="71"/>
      <c r="AO166" s="71"/>
      <c r="AP166" s="71"/>
      <c r="AQ166" s="71"/>
      <c r="AR166" s="71" t="s">
        <v>96</v>
      </c>
      <c r="AS166" s="71"/>
      <c r="AT166" s="71" t="s">
        <v>96</v>
      </c>
      <c r="AU166" s="71"/>
      <c r="AV166" s="71" t="s">
        <v>95</v>
      </c>
      <c r="AW166" s="71"/>
      <c r="AX166" s="71"/>
      <c r="AY166" s="71"/>
      <c r="AZ166" s="71"/>
      <c r="BA166" s="71"/>
      <c r="BB166" s="70" t="s">
        <v>218</v>
      </c>
      <c r="BC166" s="70" t="s">
        <v>98</v>
      </c>
      <c r="BD166" s="72" t="str">
        <f>IF('Cálculo MP'!K176="","",'Cálculo MP'!K176)</f>
        <v/>
      </c>
      <c r="BE166" s="72" t="str">
        <f>IF('Cálculo MP'!L176="","",'Cálculo MP'!L176)</f>
        <v/>
      </c>
      <c r="BF166" s="72" t="str">
        <f>IF('Cálculo MP'!M176="","",'Cálculo MP'!M176)</f>
        <v/>
      </c>
      <c r="BG166" s="72" t="str">
        <f>IF('Cálculo MP'!N176="","",'Cálculo MP'!N176)</f>
        <v/>
      </c>
      <c r="BH166" s="72" t="str">
        <f>IF('Cálculo MP'!O176="","",'Cálculo MP'!O176)</f>
        <v/>
      </c>
      <c r="BI166" s="72" t="str">
        <f>IF('Cálculo MP'!P176="","",'Cálculo MP'!P176)</f>
        <v/>
      </c>
      <c r="BJ166" s="72" t="str">
        <f>IF('Cálculo MP'!Q176="","",'Cálculo MP'!Q176)</f>
        <v/>
      </c>
      <c r="BK166" s="72" t="str">
        <f>IF('Cálculo MP'!R176="","",'Cálculo MP'!R176)</f>
        <v/>
      </c>
      <c r="BL166" s="72" t="str">
        <f>IF('Cálculo MP'!S176="","",'Cálculo MP'!S176)</f>
        <v/>
      </c>
      <c r="BM166" s="71"/>
      <c r="BN166" s="71"/>
      <c r="BO166" s="71"/>
      <c r="BP166" s="71"/>
      <c r="BQ166" s="71"/>
      <c r="BR166" s="71"/>
      <c r="BS166" s="71"/>
    </row>
    <row r="167" spans="1:71" ht="19.5" customHeight="1" x14ac:dyDescent="0.15">
      <c r="A167" s="56" t="s">
        <v>985</v>
      </c>
      <c r="B167" s="57" t="s">
        <v>986</v>
      </c>
      <c r="C167" s="58" t="s">
        <v>985</v>
      </c>
      <c r="D167" s="59" t="s">
        <v>985</v>
      </c>
      <c r="E167" s="61"/>
      <c r="F167" s="60" t="s">
        <v>95</v>
      </c>
      <c r="G167" s="61"/>
      <c r="H167" s="62"/>
      <c r="I167" s="75"/>
      <c r="J167" s="60" t="s">
        <v>95</v>
      </c>
      <c r="K167" s="64"/>
      <c r="L167" s="64"/>
      <c r="M167" s="64" t="s">
        <v>96</v>
      </c>
      <c r="N167" s="64" t="s">
        <v>97</v>
      </c>
      <c r="O167" s="65" t="s">
        <v>986</v>
      </c>
      <c r="P167" s="70" t="s">
        <v>96</v>
      </c>
      <c r="Q167" s="60" t="s">
        <v>95</v>
      </c>
      <c r="R167" s="60" t="s">
        <v>96</v>
      </c>
      <c r="S167" s="66" t="s">
        <v>96</v>
      </c>
      <c r="T167" s="67" t="s">
        <v>96</v>
      </c>
      <c r="U167" s="60" t="s">
        <v>96</v>
      </c>
      <c r="V167" s="60" t="s">
        <v>96</v>
      </c>
      <c r="W167" s="60" t="str" cm="1">
        <f t="array" ref="W167">_xlfn.LET(_xlpm.resultados,_xlfn.UNIQUE(_xlfn._xlws.FILTER(Tabla1[Proceso],(Tabla1[Metal Base]=Q167)*(Tabla1[Etiquetas]=_xlfn.TEXTJOIN(" + ",TRUE,IF((TRIM(Upload!R167:V167)="")+(LOWER(TRIM(Upload!R167:V167))="(seleccione)"),"",PROPER(TRIM(Upload!R167:V167)))))*(Tabla1[Línea2]=IFERROR(VLOOKUP(Upload!P167&amp;"*",CAT_Procesos!D:D,1,FALSE),"")))),_xlpm.cantidad,ROWS(_xlpm.resultados),IF(ISERROR(_xlpm.cantidad),"Combinación no existente",IF(_xlpm.cantidad=1,INDEX(_xlpm.resultados,1),"(seleccione)")))</f>
        <v>Combinación no existente</v>
      </c>
      <c r="X167" s="67" t="s">
        <v>96</v>
      </c>
      <c r="Y167" s="64"/>
      <c r="Z167" s="64"/>
      <c r="AA167" s="64"/>
      <c r="AB167" s="133" t="s">
        <v>96</v>
      </c>
      <c r="AC167" s="64"/>
      <c r="AD167" s="64"/>
      <c r="AE167" s="64"/>
      <c r="AF167" s="60" t="s">
        <v>96</v>
      </c>
      <c r="AG167" s="64"/>
      <c r="AH167" s="64"/>
      <c r="AI167" s="64"/>
      <c r="AJ167" s="68" t="s">
        <v>96</v>
      </c>
      <c r="AK167" s="69" t="str">
        <f t="shared" si="4"/>
        <v/>
      </c>
      <c r="AL167" s="70" t="s">
        <v>96</v>
      </c>
      <c r="AM167" s="69" t="str">
        <f t="shared" si="5"/>
        <v/>
      </c>
      <c r="AN167" s="71"/>
      <c r="AO167" s="71"/>
      <c r="AP167" s="71"/>
      <c r="AQ167" s="71"/>
      <c r="AR167" s="71" t="s">
        <v>96</v>
      </c>
      <c r="AS167" s="71"/>
      <c r="AT167" s="71" t="s">
        <v>96</v>
      </c>
      <c r="AU167" s="71"/>
      <c r="AV167" s="71" t="s">
        <v>95</v>
      </c>
      <c r="AW167" s="71"/>
      <c r="AX167" s="71"/>
      <c r="AY167" s="71"/>
      <c r="AZ167" s="71"/>
      <c r="BA167" s="71"/>
      <c r="BB167" s="70" t="s">
        <v>218</v>
      </c>
      <c r="BC167" s="70" t="s">
        <v>98</v>
      </c>
      <c r="BD167" s="72" t="str">
        <f>IF('Cálculo MP'!K177="","",'Cálculo MP'!K177)</f>
        <v/>
      </c>
      <c r="BE167" s="72" t="str">
        <f>IF('Cálculo MP'!L177="","",'Cálculo MP'!L177)</f>
        <v/>
      </c>
      <c r="BF167" s="72" t="str">
        <f>IF('Cálculo MP'!M177="","",'Cálculo MP'!M177)</f>
        <v/>
      </c>
      <c r="BG167" s="72" t="str">
        <f>IF('Cálculo MP'!N177="","",'Cálculo MP'!N177)</f>
        <v/>
      </c>
      <c r="BH167" s="72" t="str">
        <f>IF('Cálculo MP'!O177="","",'Cálculo MP'!O177)</f>
        <v/>
      </c>
      <c r="BI167" s="72" t="str">
        <f>IF('Cálculo MP'!P177="","",'Cálculo MP'!P177)</f>
        <v/>
      </c>
      <c r="BJ167" s="72" t="str">
        <f>IF('Cálculo MP'!Q177="","",'Cálculo MP'!Q177)</f>
        <v/>
      </c>
      <c r="BK167" s="72" t="str">
        <f>IF('Cálculo MP'!R177="","",'Cálculo MP'!R177)</f>
        <v/>
      </c>
      <c r="BL167" s="72" t="str">
        <f>IF('Cálculo MP'!S177="","",'Cálculo MP'!S177)</f>
        <v/>
      </c>
      <c r="BM167" s="71"/>
      <c r="BN167" s="71"/>
      <c r="BO167" s="71"/>
      <c r="BP167" s="71"/>
      <c r="BQ167" s="71"/>
      <c r="BR167" s="71"/>
      <c r="BS167" s="71"/>
    </row>
    <row r="168" spans="1:71" ht="19.5" customHeight="1" x14ac:dyDescent="0.15">
      <c r="A168" s="56" t="s">
        <v>985</v>
      </c>
      <c r="B168" s="57" t="s">
        <v>986</v>
      </c>
      <c r="C168" s="58" t="s">
        <v>985</v>
      </c>
      <c r="D168" s="59" t="s">
        <v>985</v>
      </c>
      <c r="E168" s="61"/>
      <c r="F168" s="60" t="s">
        <v>95</v>
      </c>
      <c r="G168" s="61"/>
      <c r="H168" s="62"/>
      <c r="I168" s="75"/>
      <c r="J168" s="60" t="s">
        <v>95</v>
      </c>
      <c r="K168" s="64"/>
      <c r="L168" s="64"/>
      <c r="M168" s="64" t="s">
        <v>96</v>
      </c>
      <c r="N168" s="64" t="s">
        <v>97</v>
      </c>
      <c r="O168" s="65" t="s">
        <v>986</v>
      </c>
      <c r="P168" s="70" t="s">
        <v>96</v>
      </c>
      <c r="Q168" s="60" t="s">
        <v>95</v>
      </c>
      <c r="R168" s="60" t="s">
        <v>96</v>
      </c>
      <c r="S168" s="66" t="s">
        <v>96</v>
      </c>
      <c r="T168" s="67" t="s">
        <v>96</v>
      </c>
      <c r="U168" s="60" t="s">
        <v>96</v>
      </c>
      <c r="V168" s="60" t="s">
        <v>96</v>
      </c>
      <c r="W168" s="60" t="str" cm="1">
        <f t="array" ref="W168">_xlfn.LET(_xlpm.resultados,_xlfn.UNIQUE(_xlfn._xlws.FILTER(Tabla1[Proceso],(Tabla1[Metal Base]=Q168)*(Tabla1[Etiquetas]=_xlfn.TEXTJOIN(" + ",TRUE,IF((TRIM(Upload!R168:V168)="")+(LOWER(TRIM(Upload!R168:V168))="(seleccione)"),"",PROPER(TRIM(Upload!R168:V168)))))*(Tabla1[Línea2]=IFERROR(VLOOKUP(Upload!P168&amp;"*",CAT_Procesos!D:D,1,FALSE),"")))),_xlpm.cantidad,ROWS(_xlpm.resultados),IF(ISERROR(_xlpm.cantidad),"Combinación no existente",IF(_xlpm.cantidad=1,INDEX(_xlpm.resultados,1),"(seleccione)")))</f>
        <v>Combinación no existente</v>
      </c>
      <c r="X168" s="67" t="s">
        <v>96</v>
      </c>
      <c r="Y168" s="64"/>
      <c r="Z168" s="64"/>
      <c r="AA168" s="64"/>
      <c r="AB168" s="133" t="s">
        <v>96</v>
      </c>
      <c r="AC168" s="64"/>
      <c r="AD168" s="64"/>
      <c r="AE168" s="64"/>
      <c r="AF168" s="60" t="s">
        <v>96</v>
      </c>
      <c r="AG168" s="64"/>
      <c r="AH168" s="64"/>
      <c r="AI168" s="64"/>
      <c r="AJ168" s="68" t="s">
        <v>96</v>
      </c>
      <c r="AK168" s="69" t="str">
        <f t="shared" si="4"/>
        <v/>
      </c>
      <c r="AL168" s="70" t="s">
        <v>96</v>
      </c>
      <c r="AM168" s="69" t="str">
        <f t="shared" si="5"/>
        <v/>
      </c>
      <c r="AN168" s="71"/>
      <c r="AO168" s="71"/>
      <c r="AP168" s="71"/>
      <c r="AQ168" s="71"/>
      <c r="AR168" s="71" t="s">
        <v>96</v>
      </c>
      <c r="AS168" s="71"/>
      <c r="AT168" s="71" t="s">
        <v>96</v>
      </c>
      <c r="AU168" s="71"/>
      <c r="AV168" s="71" t="s">
        <v>95</v>
      </c>
      <c r="AW168" s="71"/>
      <c r="AX168" s="71"/>
      <c r="AY168" s="71"/>
      <c r="AZ168" s="71"/>
      <c r="BA168" s="71"/>
      <c r="BB168" s="70" t="s">
        <v>218</v>
      </c>
      <c r="BC168" s="70" t="s">
        <v>98</v>
      </c>
      <c r="BD168" s="72" t="str">
        <f>IF('Cálculo MP'!K178="","",'Cálculo MP'!K178)</f>
        <v/>
      </c>
      <c r="BE168" s="72" t="str">
        <f>IF('Cálculo MP'!L178="","",'Cálculo MP'!L178)</f>
        <v/>
      </c>
      <c r="BF168" s="72" t="str">
        <f>IF('Cálculo MP'!M178="","",'Cálculo MP'!M178)</f>
        <v/>
      </c>
      <c r="BG168" s="72" t="str">
        <f>IF('Cálculo MP'!N178="","",'Cálculo MP'!N178)</f>
        <v/>
      </c>
      <c r="BH168" s="72" t="str">
        <f>IF('Cálculo MP'!O178="","",'Cálculo MP'!O178)</f>
        <v/>
      </c>
      <c r="BI168" s="72" t="str">
        <f>IF('Cálculo MP'!P178="","",'Cálculo MP'!P178)</f>
        <v/>
      </c>
      <c r="BJ168" s="72" t="str">
        <f>IF('Cálculo MP'!Q178="","",'Cálculo MP'!Q178)</f>
        <v/>
      </c>
      <c r="BK168" s="72" t="str">
        <f>IF('Cálculo MP'!R178="","",'Cálculo MP'!R178)</f>
        <v/>
      </c>
      <c r="BL168" s="72" t="str">
        <f>IF('Cálculo MP'!S178="","",'Cálculo MP'!S178)</f>
        <v/>
      </c>
      <c r="BM168" s="71"/>
      <c r="BN168" s="71"/>
      <c r="BO168" s="71"/>
      <c r="BP168" s="71"/>
      <c r="BQ168" s="71"/>
      <c r="BR168" s="71"/>
      <c r="BS168" s="71"/>
    </row>
    <row r="169" spans="1:71" ht="19.5" customHeight="1" x14ac:dyDescent="0.15">
      <c r="A169" s="56" t="s">
        <v>985</v>
      </c>
      <c r="B169" s="57" t="s">
        <v>986</v>
      </c>
      <c r="C169" s="58" t="s">
        <v>985</v>
      </c>
      <c r="D169" s="59" t="s">
        <v>985</v>
      </c>
      <c r="E169" s="61"/>
      <c r="F169" s="60" t="s">
        <v>95</v>
      </c>
      <c r="G169" s="61"/>
      <c r="H169" s="62"/>
      <c r="I169" s="75"/>
      <c r="J169" s="60" t="s">
        <v>95</v>
      </c>
      <c r="K169" s="64"/>
      <c r="L169" s="64"/>
      <c r="M169" s="64" t="s">
        <v>96</v>
      </c>
      <c r="N169" s="64" t="s">
        <v>97</v>
      </c>
      <c r="O169" s="65" t="s">
        <v>986</v>
      </c>
      <c r="P169" s="70" t="s">
        <v>96</v>
      </c>
      <c r="Q169" s="60" t="s">
        <v>95</v>
      </c>
      <c r="R169" s="60" t="s">
        <v>96</v>
      </c>
      <c r="S169" s="66" t="s">
        <v>96</v>
      </c>
      <c r="T169" s="67" t="s">
        <v>96</v>
      </c>
      <c r="U169" s="60" t="s">
        <v>96</v>
      </c>
      <c r="V169" s="60" t="s">
        <v>96</v>
      </c>
      <c r="W169" s="60" t="str" cm="1">
        <f t="array" ref="W169">_xlfn.LET(_xlpm.resultados,_xlfn.UNIQUE(_xlfn._xlws.FILTER(Tabla1[Proceso],(Tabla1[Metal Base]=Q169)*(Tabla1[Etiquetas]=_xlfn.TEXTJOIN(" + ",TRUE,IF((TRIM(Upload!R169:V169)="")+(LOWER(TRIM(Upload!R169:V169))="(seleccione)"),"",PROPER(TRIM(Upload!R169:V169)))))*(Tabla1[Línea2]=IFERROR(VLOOKUP(Upload!P169&amp;"*",CAT_Procesos!D:D,1,FALSE),"")))),_xlpm.cantidad,ROWS(_xlpm.resultados),IF(ISERROR(_xlpm.cantidad),"Combinación no existente",IF(_xlpm.cantidad=1,INDEX(_xlpm.resultados,1),"(seleccione)")))</f>
        <v>Combinación no existente</v>
      </c>
      <c r="X169" s="67" t="s">
        <v>96</v>
      </c>
      <c r="Y169" s="64"/>
      <c r="Z169" s="64"/>
      <c r="AA169" s="64"/>
      <c r="AB169" s="133" t="s">
        <v>96</v>
      </c>
      <c r="AC169" s="64"/>
      <c r="AD169" s="64"/>
      <c r="AE169" s="64"/>
      <c r="AF169" s="60" t="s">
        <v>96</v>
      </c>
      <c r="AG169" s="64"/>
      <c r="AH169" s="64"/>
      <c r="AI169" s="64"/>
      <c r="AJ169" s="68" t="s">
        <v>96</v>
      </c>
      <c r="AK169" s="69" t="str">
        <f t="shared" si="4"/>
        <v/>
      </c>
      <c r="AL169" s="70" t="s">
        <v>96</v>
      </c>
      <c r="AM169" s="69" t="str">
        <f t="shared" si="5"/>
        <v/>
      </c>
      <c r="AN169" s="71"/>
      <c r="AO169" s="71"/>
      <c r="AP169" s="71"/>
      <c r="AQ169" s="71"/>
      <c r="AR169" s="71" t="s">
        <v>96</v>
      </c>
      <c r="AS169" s="71"/>
      <c r="AT169" s="71" t="s">
        <v>96</v>
      </c>
      <c r="AU169" s="71"/>
      <c r="AV169" s="71" t="s">
        <v>95</v>
      </c>
      <c r="AW169" s="71"/>
      <c r="AX169" s="71"/>
      <c r="AY169" s="71"/>
      <c r="AZ169" s="71"/>
      <c r="BA169" s="71"/>
      <c r="BB169" s="70" t="s">
        <v>218</v>
      </c>
      <c r="BC169" s="70" t="s">
        <v>98</v>
      </c>
      <c r="BD169" s="72" t="str">
        <f>IF('Cálculo MP'!K179="","",'Cálculo MP'!K179)</f>
        <v/>
      </c>
      <c r="BE169" s="72" t="str">
        <f>IF('Cálculo MP'!L179="","",'Cálculo MP'!L179)</f>
        <v/>
      </c>
      <c r="BF169" s="72" t="str">
        <f>IF('Cálculo MP'!M179="","",'Cálculo MP'!M179)</f>
        <v/>
      </c>
      <c r="BG169" s="72" t="str">
        <f>IF('Cálculo MP'!N179="","",'Cálculo MP'!N179)</f>
        <v/>
      </c>
      <c r="BH169" s="72" t="str">
        <f>IF('Cálculo MP'!O179="","",'Cálculo MP'!O179)</f>
        <v/>
      </c>
      <c r="BI169" s="72" t="str">
        <f>IF('Cálculo MP'!P179="","",'Cálculo MP'!P179)</f>
        <v/>
      </c>
      <c r="BJ169" s="72" t="str">
        <f>IF('Cálculo MP'!Q179="","",'Cálculo MP'!Q179)</f>
        <v/>
      </c>
      <c r="BK169" s="72" t="str">
        <f>IF('Cálculo MP'!R179="","",'Cálculo MP'!R179)</f>
        <v/>
      </c>
      <c r="BL169" s="72" t="str">
        <f>IF('Cálculo MP'!S179="","",'Cálculo MP'!S179)</f>
        <v/>
      </c>
      <c r="BM169" s="71"/>
      <c r="BN169" s="71"/>
      <c r="BO169" s="71"/>
      <c r="BP169" s="71"/>
      <c r="BQ169" s="71"/>
      <c r="BR169" s="71"/>
      <c r="BS169" s="71"/>
    </row>
    <row r="170" spans="1:71" ht="19.5" customHeight="1" x14ac:dyDescent="0.15">
      <c r="A170" s="56" t="s">
        <v>985</v>
      </c>
      <c r="B170" s="57" t="s">
        <v>986</v>
      </c>
      <c r="C170" s="58" t="s">
        <v>985</v>
      </c>
      <c r="D170" s="59" t="s">
        <v>985</v>
      </c>
      <c r="E170" s="61"/>
      <c r="F170" s="60" t="s">
        <v>95</v>
      </c>
      <c r="G170" s="61"/>
      <c r="H170" s="62"/>
      <c r="I170" s="75"/>
      <c r="J170" s="60" t="s">
        <v>95</v>
      </c>
      <c r="K170" s="64"/>
      <c r="L170" s="64"/>
      <c r="M170" s="64" t="s">
        <v>96</v>
      </c>
      <c r="N170" s="64" t="s">
        <v>97</v>
      </c>
      <c r="O170" s="65" t="s">
        <v>986</v>
      </c>
      <c r="P170" s="70" t="s">
        <v>96</v>
      </c>
      <c r="Q170" s="60" t="s">
        <v>95</v>
      </c>
      <c r="R170" s="60" t="s">
        <v>96</v>
      </c>
      <c r="S170" s="66" t="s">
        <v>96</v>
      </c>
      <c r="T170" s="67" t="s">
        <v>96</v>
      </c>
      <c r="U170" s="60" t="s">
        <v>96</v>
      </c>
      <c r="V170" s="60" t="s">
        <v>96</v>
      </c>
      <c r="W170" s="60" t="str" cm="1">
        <f t="array" ref="W170">_xlfn.LET(_xlpm.resultados,_xlfn.UNIQUE(_xlfn._xlws.FILTER(Tabla1[Proceso],(Tabla1[Metal Base]=Q170)*(Tabla1[Etiquetas]=_xlfn.TEXTJOIN(" + ",TRUE,IF((TRIM(Upload!R170:V170)="")+(LOWER(TRIM(Upload!R170:V170))="(seleccione)"),"",PROPER(TRIM(Upload!R170:V170)))))*(Tabla1[Línea2]=IFERROR(VLOOKUP(Upload!P170&amp;"*",CAT_Procesos!D:D,1,FALSE),"")))),_xlpm.cantidad,ROWS(_xlpm.resultados),IF(ISERROR(_xlpm.cantidad),"Combinación no existente",IF(_xlpm.cantidad=1,INDEX(_xlpm.resultados,1),"(seleccione)")))</f>
        <v>Combinación no existente</v>
      </c>
      <c r="X170" s="67" t="s">
        <v>96</v>
      </c>
      <c r="Y170" s="64"/>
      <c r="Z170" s="64"/>
      <c r="AA170" s="64"/>
      <c r="AB170" s="133" t="s">
        <v>96</v>
      </c>
      <c r="AC170" s="64"/>
      <c r="AD170" s="64"/>
      <c r="AE170" s="64"/>
      <c r="AF170" s="60" t="s">
        <v>96</v>
      </c>
      <c r="AG170" s="64"/>
      <c r="AH170" s="64"/>
      <c r="AI170" s="64"/>
      <c r="AJ170" s="68" t="s">
        <v>96</v>
      </c>
      <c r="AK170" s="69" t="str">
        <f t="shared" si="4"/>
        <v/>
      </c>
      <c r="AL170" s="70" t="s">
        <v>96</v>
      </c>
      <c r="AM170" s="69" t="str">
        <f t="shared" si="5"/>
        <v/>
      </c>
      <c r="AN170" s="71"/>
      <c r="AO170" s="71"/>
      <c r="AP170" s="71"/>
      <c r="AQ170" s="71"/>
      <c r="AR170" s="71" t="s">
        <v>96</v>
      </c>
      <c r="AS170" s="71"/>
      <c r="AT170" s="71" t="s">
        <v>96</v>
      </c>
      <c r="AU170" s="71"/>
      <c r="AV170" s="71" t="s">
        <v>95</v>
      </c>
      <c r="AW170" s="71"/>
      <c r="AX170" s="71"/>
      <c r="AY170" s="71"/>
      <c r="AZ170" s="71"/>
      <c r="BA170" s="71"/>
      <c r="BB170" s="70" t="s">
        <v>218</v>
      </c>
      <c r="BC170" s="70" t="s">
        <v>98</v>
      </c>
      <c r="BD170" s="72" t="str">
        <f>IF('Cálculo MP'!K180="","",'Cálculo MP'!K180)</f>
        <v/>
      </c>
      <c r="BE170" s="72" t="str">
        <f>IF('Cálculo MP'!L180="","",'Cálculo MP'!L180)</f>
        <v/>
      </c>
      <c r="BF170" s="72" t="str">
        <f>IF('Cálculo MP'!M180="","",'Cálculo MP'!M180)</f>
        <v/>
      </c>
      <c r="BG170" s="72" t="str">
        <f>IF('Cálculo MP'!N180="","",'Cálculo MP'!N180)</f>
        <v/>
      </c>
      <c r="BH170" s="72" t="str">
        <f>IF('Cálculo MP'!O180="","",'Cálculo MP'!O180)</f>
        <v/>
      </c>
      <c r="BI170" s="72" t="str">
        <f>IF('Cálculo MP'!P180="","",'Cálculo MP'!P180)</f>
        <v/>
      </c>
      <c r="BJ170" s="72" t="str">
        <f>IF('Cálculo MP'!Q180="","",'Cálculo MP'!Q180)</f>
        <v/>
      </c>
      <c r="BK170" s="72" t="str">
        <f>IF('Cálculo MP'!R180="","",'Cálculo MP'!R180)</f>
        <v/>
      </c>
      <c r="BL170" s="72" t="str">
        <f>IF('Cálculo MP'!S180="","",'Cálculo MP'!S180)</f>
        <v/>
      </c>
      <c r="BM170" s="71"/>
      <c r="BN170" s="71"/>
      <c r="BO170" s="71"/>
      <c r="BP170" s="71"/>
      <c r="BQ170" s="71"/>
      <c r="BR170" s="71"/>
      <c r="BS170" s="71"/>
    </row>
    <row r="171" spans="1:71" ht="19.5" customHeight="1" x14ac:dyDescent="0.15">
      <c r="A171" s="56" t="s">
        <v>985</v>
      </c>
      <c r="B171" s="57" t="s">
        <v>986</v>
      </c>
      <c r="C171" s="58" t="s">
        <v>985</v>
      </c>
      <c r="D171" s="59" t="s">
        <v>985</v>
      </c>
      <c r="E171" s="61"/>
      <c r="F171" s="60" t="s">
        <v>95</v>
      </c>
      <c r="G171" s="61"/>
      <c r="H171" s="62"/>
      <c r="I171" s="75"/>
      <c r="J171" s="60" t="s">
        <v>95</v>
      </c>
      <c r="K171" s="64"/>
      <c r="L171" s="64"/>
      <c r="M171" s="64" t="s">
        <v>96</v>
      </c>
      <c r="N171" s="64" t="s">
        <v>97</v>
      </c>
      <c r="O171" s="65" t="s">
        <v>986</v>
      </c>
      <c r="P171" s="70" t="s">
        <v>96</v>
      </c>
      <c r="Q171" s="60" t="s">
        <v>95</v>
      </c>
      <c r="R171" s="60" t="s">
        <v>96</v>
      </c>
      <c r="S171" s="66" t="s">
        <v>96</v>
      </c>
      <c r="T171" s="67" t="s">
        <v>96</v>
      </c>
      <c r="U171" s="60" t="s">
        <v>96</v>
      </c>
      <c r="V171" s="60" t="s">
        <v>96</v>
      </c>
      <c r="W171" s="60" t="str" cm="1">
        <f t="array" ref="W171">_xlfn.LET(_xlpm.resultados,_xlfn.UNIQUE(_xlfn._xlws.FILTER(Tabla1[Proceso],(Tabla1[Metal Base]=Q171)*(Tabla1[Etiquetas]=_xlfn.TEXTJOIN(" + ",TRUE,IF((TRIM(Upload!R171:V171)="")+(LOWER(TRIM(Upload!R171:V171))="(seleccione)"),"",PROPER(TRIM(Upload!R171:V171)))))*(Tabla1[Línea2]=IFERROR(VLOOKUP(Upload!P171&amp;"*",CAT_Procesos!D:D,1,FALSE),"")))),_xlpm.cantidad,ROWS(_xlpm.resultados),IF(ISERROR(_xlpm.cantidad),"Combinación no existente",IF(_xlpm.cantidad=1,INDEX(_xlpm.resultados,1),"(seleccione)")))</f>
        <v>Combinación no existente</v>
      </c>
      <c r="X171" s="67" t="s">
        <v>96</v>
      </c>
      <c r="Y171" s="64"/>
      <c r="Z171" s="64"/>
      <c r="AA171" s="64"/>
      <c r="AB171" s="133" t="s">
        <v>96</v>
      </c>
      <c r="AC171" s="64"/>
      <c r="AD171" s="64"/>
      <c r="AE171" s="64"/>
      <c r="AF171" s="60" t="s">
        <v>96</v>
      </c>
      <c r="AG171" s="64"/>
      <c r="AH171" s="64"/>
      <c r="AI171" s="64"/>
      <c r="AJ171" s="68" t="s">
        <v>96</v>
      </c>
      <c r="AK171" s="69" t="str">
        <f t="shared" si="4"/>
        <v/>
      </c>
      <c r="AL171" s="70" t="s">
        <v>96</v>
      </c>
      <c r="AM171" s="69" t="str">
        <f t="shared" si="5"/>
        <v/>
      </c>
      <c r="AN171" s="71"/>
      <c r="AO171" s="71"/>
      <c r="AP171" s="71"/>
      <c r="AQ171" s="71"/>
      <c r="AR171" s="71" t="s">
        <v>96</v>
      </c>
      <c r="AS171" s="71"/>
      <c r="AT171" s="71" t="s">
        <v>96</v>
      </c>
      <c r="AU171" s="71"/>
      <c r="AV171" s="71" t="s">
        <v>95</v>
      </c>
      <c r="AW171" s="71"/>
      <c r="AX171" s="71"/>
      <c r="AY171" s="71"/>
      <c r="AZ171" s="71"/>
      <c r="BA171" s="71"/>
      <c r="BB171" s="70" t="s">
        <v>218</v>
      </c>
      <c r="BC171" s="70" t="s">
        <v>98</v>
      </c>
      <c r="BD171" s="72" t="str">
        <f>IF('Cálculo MP'!K181="","",'Cálculo MP'!K181)</f>
        <v/>
      </c>
      <c r="BE171" s="72" t="str">
        <f>IF('Cálculo MP'!L181="","",'Cálculo MP'!L181)</f>
        <v/>
      </c>
      <c r="BF171" s="72" t="str">
        <f>IF('Cálculo MP'!M181="","",'Cálculo MP'!M181)</f>
        <v/>
      </c>
      <c r="BG171" s="72" t="str">
        <f>IF('Cálculo MP'!N181="","",'Cálculo MP'!N181)</f>
        <v/>
      </c>
      <c r="BH171" s="72" t="str">
        <f>IF('Cálculo MP'!O181="","",'Cálculo MP'!O181)</f>
        <v/>
      </c>
      <c r="BI171" s="72" t="str">
        <f>IF('Cálculo MP'!P181="","",'Cálculo MP'!P181)</f>
        <v/>
      </c>
      <c r="BJ171" s="72" t="str">
        <f>IF('Cálculo MP'!Q181="","",'Cálculo MP'!Q181)</f>
        <v/>
      </c>
      <c r="BK171" s="72" t="str">
        <f>IF('Cálculo MP'!R181="","",'Cálculo MP'!R181)</f>
        <v/>
      </c>
      <c r="BL171" s="72" t="str">
        <f>IF('Cálculo MP'!S181="","",'Cálculo MP'!S181)</f>
        <v/>
      </c>
      <c r="BM171" s="71"/>
      <c r="BN171" s="71"/>
      <c r="BO171" s="71"/>
      <c r="BP171" s="71"/>
      <c r="BQ171" s="71"/>
      <c r="BR171" s="71"/>
      <c r="BS171" s="71"/>
    </row>
    <row r="172" spans="1:71" ht="19.5" customHeight="1" x14ac:dyDescent="0.15">
      <c r="A172" s="56" t="s">
        <v>985</v>
      </c>
      <c r="B172" s="57" t="s">
        <v>986</v>
      </c>
      <c r="C172" s="58" t="s">
        <v>985</v>
      </c>
      <c r="D172" s="59" t="s">
        <v>985</v>
      </c>
      <c r="E172" s="61"/>
      <c r="F172" s="60" t="s">
        <v>95</v>
      </c>
      <c r="G172" s="61"/>
      <c r="H172" s="62"/>
      <c r="I172" s="75"/>
      <c r="J172" s="60" t="s">
        <v>95</v>
      </c>
      <c r="K172" s="64"/>
      <c r="L172" s="64"/>
      <c r="M172" s="64" t="s">
        <v>96</v>
      </c>
      <c r="N172" s="64" t="s">
        <v>97</v>
      </c>
      <c r="O172" s="65" t="s">
        <v>986</v>
      </c>
      <c r="P172" s="70" t="s">
        <v>96</v>
      </c>
      <c r="Q172" s="60" t="s">
        <v>95</v>
      </c>
      <c r="R172" s="60" t="s">
        <v>96</v>
      </c>
      <c r="S172" s="66" t="s">
        <v>96</v>
      </c>
      <c r="T172" s="67" t="s">
        <v>96</v>
      </c>
      <c r="U172" s="60" t="s">
        <v>96</v>
      </c>
      <c r="V172" s="60" t="s">
        <v>96</v>
      </c>
      <c r="W172" s="60" t="str" cm="1">
        <f t="array" ref="W172">_xlfn.LET(_xlpm.resultados,_xlfn.UNIQUE(_xlfn._xlws.FILTER(Tabla1[Proceso],(Tabla1[Metal Base]=Q172)*(Tabla1[Etiquetas]=_xlfn.TEXTJOIN(" + ",TRUE,IF((TRIM(Upload!R172:V172)="")+(LOWER(TRIM(Upload!R172:V172))="(seleccione)"),"",PROPER(TRIM(Upload!R172:V172)))))*(Tabla1[Línea2]=IFERROR(VLOOKUP(Upload!P172&amp;"*",CAT_Procesos!D:D,1,FALSE),"")))),_xlpm.cantidad,ROWS(_xlpm.resultados),IF(ISERROR(_xlpm.cantidad),"Combinación no existente",IF(_xlpm.cantidad=1,INDEX(_xlpm.resultados,1),"(seleccione)")))</f>
        <v>Combinación no existente</v>
      </c>
      <c r="X172" s="67" t="s">
        <v>96</v>
      </c>
      <c r="Y172" s="64"/>
      <c r="Z172" s="64"/>
      <c r="AA172" s="64"/>
      <c r="AB172" s="133" t="s">
        <v>96</v>
      </c>
      <c r="AC172" s="64"/>
      <c r="AD172" s="64"/>
      <c r="AE172" s="64"/>
      <c r="AF172" s="60" t="s">
        <v>96</v>
      </c>
      <c r="AG172" s="64"/>
      <c r="AH172" s="64"/>
      <c r="AI172" s="64"/>
      <c r="AJ172" s="68" t="s">
        <v>96</v>
      </c>
      <c r="AK172" s="69" t="str">
        <f t="shared" si="4"/>
        <v/>
      </c>
      <c r="AL172" s="70" t="s">
        <v>96</v>
      </c>
      <c r="AM172" s="69" t="str">
        <f t="shared" si="5"/>
        <v/>
      </c>
      <c r="AN172" s="71"/>
      <c r="AO172" s="71"/>
      <c r="AP172" s="71"/>
      <c r="AQ172" s="71"/>
      <c r="AR172" s="71" t="s">
        <v>96</v>
      </c>
      <c r="AS172" s="71"/>
      <c r="AT172" s="71" t="s">
        <v>96</v>
      </c>
      <c r="AU172" s="71"/>
      <c r="AV172" s="71" t="s">
        <v>95</v>
      </c>
      <c r="AW172" s="71"/>
      <c r="AX172" s="71"/>
      <c r="AY172" s="71"/>
      <c r="AZ172" s="71"/>
      <c r="BA172" s="71"/>
      <c r="BB172" s="70" t="s">
        <v>218</v>
      </c>
      <c r="BC172" s="70" t="s">
        <v>98</v>
      </c>
      <c r="BD172" s="72" t="str">
        <f>IF('Cálculo MP'!K182="","",'Cálculo MP'!K182)</f>
        <v/>
      </c>
      <c r="BE172" s="72" t="str">
        <f>IF('Cálculo MP'!L182="","",'Cálculo MP'!L182)</f>
        <v/>
      </c>
      <c r="BF172" s="72" t="str">
        <f>IF('Cálculo MP'!M182="","",'Cálculo MP'!M182)</f>
        <v/>
      </c>
      <c r="BG172" s="72" t="str">
        <f>IF('Cálculo MP'!N182="","",'Cálculo MP'!N182)</f>
        <v/>
      </c>
      <c r="BH172" s="72" t="str">
        <f>IF('Cálculo MP'!O182="","",'Cálculo MP'!O182)</f>
        <v/>
      </c>
      <c r="BI172" s="72" t="str">
        <f>IF('Cálculo MP'!P182="","",'Cálculo MP'!P182)</f>
        <v/>
      </c>
      <c r="BJ172" s="72" t="str">
        <f>IF('Cálculo MP'!Q182="","",'Cálculo MP'!Q182)</f>
        <v/>
      </c>
      <c r="BK172" s="72" t="str">
        <f>IF('Cálculo MP'!R182="","",'Cálculo MP'!R182)</f>
        <v/>
      </c>
      <c r="BL172" s="72" t="str">
        <f>IF('Cálculo MP'!S182="","",'Cálculo MP'!S182)</f>
        <v/>
      </c>
      <c r="BM172" s="71"/>
      <c r="BN172" s="71"/>
      <c r="BO172" s="71"/>
      <c r="BP172" s="71"/>
      <c r="BQ172" s="71"/>
      <c r="BR172" s="71"/>
      <c r="BS172" s="71"/>
    </row>
    <row r="173" spans="1:71" ht="19.5" customHeight="1" x14ac:dyDescent="0.15">
      <c r="A173" s="56" t="s">
        <v>985</v>
      </c>
      <c r="B173" s="57" t="s">
        <v>986</v>
      </c>
      <c r="C173" s="58" t="s">
        <v>985</v>
      </c>
      <c r="D173" s="59" t="s">
        <v>985</v>
      </c>
      <c r="E173" s="61"/>
      <c r="F173" s="60" t="s">
        <v>95</v>
      </c>
      <c r="G173" s="61"/>
      <c r="H173" s="62"/>
      <c r="I173" s="75"/>
      <c r="J173" s="60" t="s">
        <v>95</v>
      </c>
      <c r="K173" s="64"/>
      <c r="L173" s="64"/>
      <c r="M173" s="64" t="s">
        <v>96</v>
      </c>
      <c r="N173" s="64" t="s">
        <v>97</v>
      </c>
      <c r="O173" s="65" t="s">
        <v>986</v>
      </c>
      <c r="P173" s="70" t="s">
        <v>96</v>
      </c>
      <c r="Q173" s="60" t="s">
        <v>95</v>
      </c>
      <c r="R173" s="60" t="s">
        <v>96</v>
      </c>
      <c r="S173" s="66" t="s">
        <v>96</v>
      </c>
      <c r="T173" s="67" t="s">
        <v>96</v>
      </c>
      <c r="U173" s="60" t="s">
        <v>96</v>
      </c>
      <c r="V173" s="60" t="s">
        <v>96</v>
      </c>
      <c r="W173" s="60" t="str" cm="1">
        <f t="array" ref="W173">_xlfn.LET(_xlpm.resultados,_xlfn.UNIQUE(_xlfn._xlws.FILTER(Tabla1[Proceso],(Tabla1[Metal Base]=Q173)*(Tabla1[Etiquetas]=_xlfn.TEXTJOIN(" + ",TRUE,IF((TRIM(Upload!R173:V173)="")+(LOWER(TRIM(Upload!R173:V173))="(seleccione)"),"",PROPER(TRIM(Upload!R173:V173)))))*(Tabla1[Línea2]=IFERROR(VLOOKUP(Upload!P173&amp;"*",CAT_Procesos!D:D,1,FALSE),"")))),_xlpm.cantidad,ROWS(_xlpm.resultados),IF(ISERROR(_xlpm.cantidad),"Combinación no existente",IF(_xlpm.cantidad=1,INDEX(_xlpm.resultados,1),"(seleccione)")))</f>
        <v>Combinación no existente</v>
      </c>
      <c r="X173" s="67" t="s">
        <v>96</v>
      </c>
      <c r="Y173" s="64"/>
      <c r="Z173" s="64"/>
      <c r="AA173" s="64"/>
      <c r="AB173" s="133" t="s">
        <v>96</v>
      </c>
      <c r="AC173" s="64"/>
      <c r="AD173" s="64"/>
      <c r="AE173" s="64"/>
      <c r="AF173" s="60" t="s">
        <v>96</v>
      </c>
      <c r="AG173" s="64"/>
      <c r="AH173" s="64"/>
      <c r="AI173" s="64"/>
      <c r="AJ173" s="68" t="s">
        <v>96</v>
      </c>
      <c r="AK173" s="69" t="str">
        <f t="shared" si="4"/>
        <v/>
      </c>
      <c r="AL173" s="70" t="s">
        <v>96</v>
      </c>
      <c r="AM173" s="69" t="str">
        <f t="shared" si="5"/>
        <v/>
      </c>
      <c r="AN173" s="71"/>
      <c r="AO173" s="71"/>
      <c r="AP173" s="71"/>
      <c r="AQ173" s="71"/>
      <c r="AR173" s="71" t="s">
        <v>96</v>
      </c>
      <c r="AS173" s="71"/>
      <c r="AT173" s="71" t="s">
        <v>96</v>
      </c>
      <c r="AU173" s="71"/>
      <c r="AV173" s="71" t="s">
        <v>95</v>
      </c>
      <c r="AW173" s="71"/>
      <c r="AX173" s="71"/>
      <c r="AY173" s="71"/>
      <c r="AZ173" s="71"/>
      <c r="BA173" s="71"/>
      <c r="BB173" s="70" t="s">
        <v>218</v>
      </c>
      <c r="BC173" s="70" t="s">
        <v>98</v>
      </c>
      <c r="BD173" s="72" t="str">
        <f>IF('Cálculo MP'!K183="","",'Cálculo MP'!K183)</f>
        <v/>
      </c>
      <c r="BE173" s="72" t="str">
        <f>IF('Cálculo MP'!L183="","",'Cálculo MP'!L183)</f>
        <v/>
      </c>
      <c r="BF173" s="72" t="str">
        <f>IF('Cálculo MP'!M183="","",'Cálculo MP'!M183)</f>
        <v/>
      </c>
      <c r="BG173" s="72" t="str">
        <f>IF('Cálculo MP'!N183="","",'Cálculo MP'!N183)</f>
        <v/>
      </c>
      <c r="BH173" s="72" t="str">
        <f>IF('Cálculo MP'!O183="","",'Cálculo MP'!O183)</f>
        <v/>
      </c>
      <c r="BI173" s="72" t="str">
        <f>IF('Cálculo MP'!P183="","",'Cálculo MP'!P183)</f>
        <v/>
      </c>
      <c r="BJ173" s="72" t="str">
        <f>IF('Cálculo MP'!Q183="","",'Cálculo MP'!Q183)</f>
        <v/>
      </c>
      <c r="BK173" s="72" t="str">
        <f>IF('Cálculo MP'!R183="","",'Cálculo MP'!R183)</f>
        <v/>
      </c>
      <c r="BL173" s="72" t="str">
        <f>IF('Cálculo MP'!S183="","",'Cálculo MP'!S183)</f>
        <v/>
      </c>
      <c r="BM173" s="71"/>
      <c r="BN173" s="71"/>
      <c r="BO173" s="71"/>
      <c r="BP173" s="71"/>
      <c r="BQ173" s="71"/>
      <c r="BR173" s="71"/>
      <c r="BS173" s="71"/>
    </row>
    <row r="174" spans="1:71" ht="19.5" customHeight="1" x14ac:dyDescent="0.15">
      <c r="A174" s="56" t="s">
        <v>985</v>
      </c>
      <c r="B174" s="57" t="s">
        <v>986</v>
      </c>
      <c r="C174" s="58" t="s">
        <v>985</v>
      </c>
      <c r="D174" s="59" t="s">
        <v>985</v>
      </c>
      <c r="E174" s="61"/>
      <c r="F174" s="60" t="s">
        <v>95</v>
      </c>
      <c r="G174" s="61"/>
      <c r="H174" s="62"/>
      <c r="I174" s="75"/>
      <c r="J174" s="60" t="s">
        <v>95</v>
      </c>
      <c r="K174" s="64"/>
      <c r="L174" s="64"/>
      <c r="M174" s="64" t="s">
        <v>96</v>
      </c>
      <c r="N174" s="64" t="s">
        <v>97</v>
      </c>
      <c r="O174" s="65" t="s">
        <v>986</v>
      </c>
      <c r="P174" s="70" t="s">
        <v>96</v>
      </c>
      <c r="Q174" s="60" t="s">
        <v>95</v>
      </c>
      <c r="R174" s="60" t="s">
        <v>96</v>
      </c>
      <c r="S174" s="66" t="s">
        <v>96</v>
      </c>
      <c r="T174" s="67" t="s">
        <v>96</v>
      </c>
      <c r="U174" s="60" t="s">
        <v>96</v>
      </c>
      <c r="V174" s="60" t="s">
        <v>96</v>
      </c>
      <c r="W174" s="60" t="str" cm="1">
        <f t="array" ref="W174">_xlfn.LET(_xlpm.resultados,_xlfn.UNIQUE(_xlfn._xlws.FILTER(Tabla1[Proceso],(Tabla1[Metal Base]=Q174)*(Tabla1[Etiquetas]=_xlfn.TEXTJOIN(" + ",TRUE,IF((TRIM(Upload!R174:V174)="")+(LOWER(TRIM(Upload!R174:V174))="(seleccione)"),"",PROPER(TRIM(Upload!R174:V174)))))*(Tabla1[Línea2]=IFERROR(VLOOKUP(Upload!P174&amp;"*",CAT_Procesos!D:D,1,FALSE),"")))),_xlpm.cantidad,ROWS(_xlpm.resultados),IF(ISERROR(_xlpm.cantidad),"Combinación no existente",IF(_xlpm.cantidad=1,INDEX(_xlpm.resultados,1),"(seleccione)")))</f>
        <v>Combinación no existente</v>
      </c>
      <c r="X174" s="67" t="s">
        <v>96</v>
      </c>
      <c r="Y174" s="64"/>
      <c r="Z174" s="64"/>
      <c r="AA174" s="64"/>
      <c r="AB174" s="133" t="s">
        <v>96</v>
      </c>
      <c r="AC174" s="64"/>
      <c r="AD174" s="64"/>
      <c r="AE174" s="64"/>
      <c r="AF174" s="60" t="s">
        <v>96</v>
      </c>
      <c r="AG174" s="64"/>
      <c r="AH174" s="64"/>
      <c r="AI174" s="64"/>
      <c r="AJ174" s="68" t="s">
        <v>96</v>
      </c>
      <c r="AK174" s="69" t="str">
        <f t="shared" si="4"/>
        <v/>
      </c>
      <c r="AL174" s="70" t="s">
        <v>96</v>
      </c>
      <c r="AM174" s="69" t="str">
        <f t="shared" si="5"/>
        <v/>
      </c>
      <c r="AN174" s="71"/>
      <c r="AO174" s="71"/>
      <c r="AP174" s="71"/>
      <c r="AQ174" s="71"/>
      <c r="AR174" s="71" t="s">
        <v>96</v>
      </c>
      <c r="AS174" s="71"/>
      <c r="AT174" s="71" t="s">
        <v>96</v>
      </c>
      <c r="AU174" s="71"/>
      <c r="AV174" s="71" t="s">
        <v>95</v>
      </c>
      <c r="AW174" s="71"/>
      <c r="AX174" s="71"/>
      <c r="AY174" s="71"/>
      <c r="AZ174" s="71"/>
      <c r="BA174" s="71"/>
      <c r="BB174" s="70" t="s">
        <v>218</v>
      </c>
      <c r="BC174" s="70" t="s">
        <v>98</v>
      </c>
      <c r="BD174" s="72" t="str">
        <f>IF('Cálculo MP'!K184="","",'Cálculo MP'!K184)</f>
        <v/>
      </c>
      <c r="BE174" s="72" t="str">
        <f>IF('Cálculo MP'!L184="","",'Cálculo MP'!L184)</f>
        <v/>
      </c>
      <c r="BF174" s="72" t="str">
        <f>IF('Cálculo MP'!M184="","",'Cálculo MP'!M184)</f>
        <v/>
      </c>
      <c r="BG174" s="72" t="str">
        <f>IF('Cálculo MP'!N184="","",'Cálculo MP'!N184)</f>
        <v/>
      </c>
      <c r="BH174" s="72" t="str">
        <f>IF('Cálculo MP'!O184="","",'Cálculo MP'!O184)</f>
        <v/>
      </c>
      <c r="BI174" s="72" t="str">
        <f>IF('Cálculo MP'!P184="","",'Cálculo MP'!P184)</f>
        <v/>
      </c>
      <c r="BJ174" s="72" t="str">
        <f>IF('Cálculo MP'!Q184="","",'Cálculo MP'!Q184)</f>
        <v/>
      </c>
      <c r="BK174" s="72" t="str">
        <f>IF('Cálculo MP'!R184="","",'Cálculo MP'!R184)</f>
        <v/>
      </c>
      <c r="BL174" s="72" t="str">
        <f>IF('Cálculo MP'!S184="","",'Cálculo MP'!S184)</f>
        <v/>
      </c>
      <c r="BM174" s="71"/>
      <c r="BN174" s="71"/>
      <c r="BO174" s="71"/>
      <c r="BP174" s="71"/>
      <c r="BQ174" s="71"/>
      <c r="BR174" s="71"/>
      <c r="BS174" s="71"/>
    </row>
    <row r="175" spans="1:71" ht="19.5" customHeight="1" x14ac:dyDescent="0.15">
      <c r="A175" s="56" t="s">
        <v>985</v>
      </c>
      <c r="B175" s="57" t="s">
        <v>986</v>
      </c>
      <c r="C175" s="58" t="s">
        <v>985</v>
      </c>
      <c r="D175" s="59" t="s">
        <v>985</v>
      </c>
      <c r="E175" s="61"/>
      <c r="F175" s="60" t="s">
        <v>95</v>
      </c>
      <c r="G175" s="61"/>
      <c r="H175" s="62"/>
      <c r="I175" s="75"/>
      <c r="J175" s="60" t="s">
        <v>95</v>
      </c>
      <c r="K175" s="64"/>
      <c r="L175" s="64"/>
      <c r="M175" s="64" t="s">
        <v>96</v>
      </c>
      <c r="N175" s="64" t="s">
        <v>97</v>
      </c>
      <c r="O175" s="65" t="s">
        <v>986</v>
      </c>
      <c r="P175" s="70" t="s">
        <v>96</v>
      </c>
      <c r="Q175" s="60" t="s">
        <v>95</v>
      </c>
      <c r="R175" s="60" t="s">
        <v>96</v>
      </c>
      <c r="S175" s="66" t="s">
        <v>96</v>
      </c>
      <c r="T175" s="67" t="s">
        <v>96</v>
      </c>
      <c r="U175" s="60" t="s">
        <v>96</v>
      </c>
      <c r="V175" s="60" t="s">
        <v>96</v>
      </c>
      <c r="W175" s="60" t="str" cm="1">
        <f t="array" ref="W175">_xlfn.LET(_xlpm.resultados,_xlfn.UNIQUE(_xlfn._xlws.FILTER(Tabla1[Proceso],(Tabla1[Metal Base]=Q175)*(Tabla1[Etiquetas]=_xlfn.TEXTJOIN(" + ",TRUE,IF((TRIM(Upload!R175:V175)="")+(LOWER(TRIM(Upload!R175:V175))="(seleccione)"),"",PROPER(TRIM(Upload!R175:V175)))))*(Tabla1[Línea2]=IFERROR(VLOOKUP(Upload!P175&amp;"*",CAT_Procesos!D:D,1,FALSE),"")))),_xlpm.cantidad,ROWS(_xlpm.resultados),IF(ISERROR(_xlpm.cantidad),"Combinación no existente",IF(_xlpm.cantidad=1,INDEX(_xlpm.resultados,1),"(seleccione)")))</f>
        <v>Combinación no existente</v>
      </c>
      <c r="X175" s="67" t="s">
        <v>96</v>
      </c>
      <c r="Y175" s="64"/>
      <c r="Z175" s="64"/>
      <c r="AA175" s="64"/>
      <c r="AB175" s="133" t="s">
        <v>96</v>
      </c>
      <c r="AC175" s="64"/>
      <c r="AD175" s="64"/>
      <c r="AE175" s="64"/>
      <c r="AF175" s="60" t="s">
        <v>96</v>
      </c>
      <c r="AG175" s="64"/>
      <c r="AH175" s="64"/>
      <c r="AI175" s="64"/>
      <c r="AJ175" s="68" t="s">
        <v>96</v>
      </c>
      <c r="AK175" s="69" t="str">
        <f t="shared" si="4"/>
        <v/>
      </c>
      <c r="AL175" s="70" t="s">
        <v>96</v>
      </c>
      <c r="AM175" s="69" t="str">
        <f t="shared" si="5"/>
        <v/>
      </c>
      <c r="AN175" s="71"/>
      <c r="AO175" s="71"/>
      <c r="AP175" s="71"/>
      <c r="AQ175" s="71"/>
      <c r="AR175" s="71" t="s">
        <v>96</v>
      </c>
      <c r="AS175" s="71"/>
      <c r="AT175" s="71" t="s">
        <v>96</v>
      </c>
      <c r="AU175" s="71"/>
      <c r="AV175" s="71" t="s">
        <v>95</v>
      </c>
      <c r="AW175" s="71"/>
      <c r="AX175" s="71"/>
      <c r="AY175" s="71"/>
      <c r="AZ175" s="71"/>
      <c r="BA175" s="71"/>
      <c r="BB175" s="70" t="s">
        <v>218</v>
      </c>
      <c r="BC175" s="70" t="s">
        <v>98</v>
      </c>
      <c r="BD175" s="72" t="str">
        <f>IF('Cálculo MP'!K185="","",'Cálculo MP'!K185)</f>
        <v/>
      </c>
      <c r="BE175" s="72" t="str">
        <f>IF('Cálculo MP'!L185="","",'Cálculo MP'!L185)</f>
        <v/>
      </c>
      <c r="BF175" s="72" t="str">
        <f>IF('Cálculo MP'!M185="","",'Cálculo MP'!M185)</f>
        <v/>
      </c>
      <c r="BG175" s="72" t="str">
        <f>IF('Cálculo MP'!N185="","",'Cálculo MP'!N185)</f>
        <v/>
      </c>
      <c r="BH175" s="72" t="str">
        <f>IF('Cálculo MP'!O185="","",'Cálculo MP'!O185)</f>
        <v/>
      </c>
      <c r="BI175" s="72" t="str">
        <f>IF('Cálculo MP'!P185="","",'Cálculo MP'!P185)</f>
        <v/>
      </c>
      <c r="BJ175" s="72" t="str">
        <f>IF('Cálculo MP'!Q185="","",'Cálculo MP'!Q185)</f>
        <v/>
      </c>
      <c r="BK175" s="72" t="str">
        <f>IF('Cálculo MP'!R185="","",'Cálculo MP'!R185)</f>
        <v/>
      </c>
      <c r="BL175" s="72" t="str">
        <f>IF('Cálculo MP'!S185="","",'Cálculo MP'!S185)</f>
        <v/>
      </c>
      <c r="BM175" s="71"/>
      <c r="BN175" s="71"/>
      <c r="BO175" s="71"/>
      <c r="BP175" s="71"/>
      <c r="BQ175" s="71"/>
      <c r="BR175" s="71"/>
      <c r="BS175" s="71"/>
    </row>
    <row r="176" spans="1:71" ht="19.5" customHeight="1" x14ac:dyDescent="0.15">
      <c r="A176" s="56" t="s">
        <v>985</v>
      </c>
      <c r="B176" s="57" t="s">
        <v>986</v>
      </c>
      <c r="C176" s="58" t="s">
        <v>985</v>
      </c>
      <c r="D176" s="59" t="s">
        <v>985</v>
      </c>
      <c r="E176" s="61"/>
      <c r="F176" s="60" t="s">
        <v>95</v>
      </c>
      <c r="G176" s="61"/>
      <c r="H176" s="62"/>
      <c r="I176" s="75"/>
      <c r="J176" s="60" t="s">
        <v>95</v>
      </c>
      <c r="K176" s="64"/>
      <c r="L176" s="64"/>
      <c r="M176" s="64" t="s">
        <v>96</v>
      </c>
      <c r="N176" s="64" t="s">
        <v>97</v>
      </c>
      <c r="O176" s="65" t="s">
        <v>986</v>
      </c>
      <c r="P176" s="70" t="s">
        <v>96</v>
      </c>
      <c r="Q176" s="60" t="s">
        <v>95</v>
      </c>
      <c r="R176" s="60" t="s">
        <v>96</v>
      </c>
      <c r="S176" s="66" t="s">
        <v>96</v>
      </c>
      <c r="T176" s="67" t="s">
        <v>96</v>
      </c>
      <c r="U176" s="60" t="s">
        <v>96</v>
      </c>
      <c r="V176" s="60" t="s">
        <v>96</v>
      </c>
      <c r="W176" s="60" t="str" cm="1">
        <f t="array" ref="W176">_xlfn.LET(_xlpm.resultados,_xlfn.UNIQUE(_xlfn._xlws.FILTER(Tabla1[Proceso],(Tabla1[Metal Base]=Q176)*(Tabla1[Etiquetas]=_xlfn.TEXTJOIN(" + ",TRUE,IF((TRIM(Upload!R176:V176)="")+(LOWER(TRIM(Upload!R176:V176))="(seleccione)"),"",PROPER(TRIM(Upload!R176:V176)))))*(Tabla1[Línea2]=IFERROR(VLOOKUP(Upload!P176&amp;"*",CAT_Procesos!D:D,1,FALSE),"")))),_xlpm.cantidad,ROWS(_xlpm.resultados),IF(ISERROR(_xlpm.cantidad),"Combinación no existente",IF(_xlpm.cantidad=1,INDEX(_xlpm.resultados,1),"(seleccione)")))</f>
        <v>Combinación no existente</v>
      </c>
      <c r="X176" s="67" t="s">
        <v>96</v>
      </c>
      <c r="Y176" s="64"/>
      <c r="Z176" s="64"/>
      <c r="AA176" s="64"/>
      <c r="AB176" s="133" t="s">
        <v>96</v>
      </c>
      <c r="AC176" s="64"/>
      <c r="AD176" s="64"/>
      <c r="AE176" s="64"/>
      <c r="AF176" s="60" t="s">
        <v>96</v>
      </c>
      <c r="AG176" s="64"/>
      <c r="AH176" s="64"/>
      <c r="AI176" s="64"/>
      <c r="AJ176" s="68" t="s">
        <v>96</v>
      </c>
      <c r="AK176" s="69" t="str">
        <f t="shared" si="4"/>
        <v/>
      </c>
      <c r="AL176" s="70" t="s">
        <v>96</v>
      </c>
      <c r="AM176" s="69" t="str">
        <f t="shared" si="5"/>
        <v/>
      </c>
      <c r="AN176" s="71"/>
      <c r="AO176" s="71"/>
      <c r="AP176" s="71"/>
      <c r="AQ176" s="71"/>
      <c r="AR176" s="71" t="s">
        <v>96</v>
      </c>
      <c r="AS176" s="71"/>
      <c r="AT176" s="71" t="s">
        <v>96</v>
      </c>
      <c r="AU176" s="71"/>
      <c r="AV176" s="71" t="s">
        <v>95</v>
      </c>
      <c r="AW176" s="71"/>
      <c r="AX176" s="71"/>
      <c r="AY176" s="71"/>
      <c r="AZ176" s="71"/>
      <c r="BA176" s="71"/>
      <c r="BB176" s="70" t="s">
        <v>218</v>
      </c>
      <c r="BC176" s="70" t="s">
        <v>98</v>
      </c>
      <c r="BD176" s="72" t="str">
        <f>IF('Cálculo MP'!K186="","",'Cálculo MP'!K186)</f>
        <v/>
      </c>
      <c r="BE176" s="72" t="str">
        <f>IF('Cálculo MP'!L186="","",'Cálculo MP'!L186)</f>
        <v/>
      </c>
      <c r="BF176" s="72" t="str">
        <f>IF('Cálculo MP'!M186="","",'Cálculo MP'!M186)</f>
        <v/>
      </c>
      <c r="BG176" s="72" t="str">
        <f>IF('Cálculo MP'!N186="","",'Cálculo MP'!N186)</f>
        <v/>
      </c>
      <c r="BH176" s="72" t="str">
        <f>IF('Cálculo MP'!O186="","",'Cálculo MP'!O186)</f>
        <v/>
      </c>
      <c r="BI176" s="72" t="str">
        <f>IF('Cálculo MP'!P186="","",'Cálculo MP'!P186)</f>
        <v/>
      </c>
      <c r="BJ176" s="72" t="str">
        <f>IF('Cálculo MP'!Q186="","",'Cálculo MP'!Q186)</f>
        <v/>
      </c>
      <c r="BK176" s="72" t="str">
        <f>IF('Cálculo MP'!R186="","",'Cálculo MP'!R186)</f>
        <v/>
      </c>
      <c r="BL176" s="72" t="str">
        <f>IF('Cálculo MP'!S186="","",'Cálculo MP'!S186)</f>
        <v/>
      </c>
      <c r="BM176" s="71"/>
      <c r="BN176" s="71"/>
      <c r="BO176" s="71"/>
      <c r="BP176" s="71"/>
      <c r="BQ176" s="71"/>
      <c r="BR176" s="71"/>
      <c r="BS176" s="71"/>
    </row>
    <row r="177" spans="1:71" ht="19.5" customHeight="1" x14ac:dyDescent="0.15">
      <c r="A177" s="56" t="s">
        <v>985</v>
      </c>
      <c r="B177" s="57" t="s">
        <v>986</v>
      </c>
      <c r="C177" s="58" t="s">
        <v>985</v>
      </c>
      <c r="D177" s="59" t="s">
        <v>985</v>
      </c>
      <c r="E177" s="61"/>
      <c r="F177" s="60" t="s">
        <v>95</v>
      </c>
      <c r="G177" s="61"/>
      <c r="H177" s="62"/>
      <c r="I177" s="75"/>
      <c r="J177" s="60" t="s">
        <v>95</v>
      </c>
      <c r="K177" s="64"/>
      <c r="L177" s="64"/>
      <c r="M177" s="64" t="s">
        <v>96</v>
      </c>
      <c r="N177" s="64" t="s">
        <v>97</v>
      </c>
      <c r="O177" s="65" t="s">
        <v>986</v>
      </c>
      <c r="P177" s="70" t="s">
        <v>96</v>
      </c>
      <c r="Q177" s="60" t="s">
        <v>95</v>
      </c>
      <c r="R177" s="60" t="s">
        <v>96</v>
      </c>
      <c r="S177" s="66" t="s">
        <v>96</v>
      </c>
      <c r="T177" s="67" t="s">
        <v>96</v>
      </c>
      <c r="U177" s="60" t="s">
        <v>96</v>
      </c>
      <c r="V177" s="60" t="s">
        <v>96</v>
      </c>
      <c r="W177" s="60" t="str" cm="1">
        <f t="array" ref="W177">_xlfn.LET(_xlpm.resultados,_xlfn.UNIQUE(_xlfn._xlws.FILTER(Tabla1[Proceso],(Tabla1[Metal Base]=Q177)*(Tabla1[Etiquetas]=_xlfn.TEXTJOIN(" + ",TRUE,IF((TRIM(Upload!R177:V177)="")+(LOWER(TRIM(Upload!R177:V177))="(seleccione)"),"",PROPER(TRIM(Upload!R177:V177)))))*(Tabla1[Línea2]=IFERROR(VLOOKUP(Upload!P177&amp;"*",CAT_Procesos!D:D,1,FALSE),"")))),_xlpm.cantidad,ROWS(_xlpm.resultados),IF(ISERROR(_xlpm.cantidad),"Combinación no existente",IF(_xlpm.cantidad=1,INDEX(_xlpm.resultados,1),"(seleccione)")))</f>
        <v>Combinación no existente</v>
      </c>
      <c r="X177" s="67" t="s">
        <v>96</v>
      </c>
      <c r="Y177" s="64"/>
      <c r="Z177" s="64"/>
      <c r="AA177" s="64"/>
      <c r="AB177" s="133" t="s">
        <v>96</v>
      </c>
      <c r="AC177" s="64"/>
      <c r="AD177" s="64"/>
      <c r="AE177" s="64"/>
      <c r="AF177" s="60" t="s">
        <v>96</v>
      </c>
      <c r="AG177" s="64"/>
      <c r="AH177" s="64"/>
      <c r="AI177" s="64"/>
      <c r="AJ177" s="68" t="s">
        <v>96</v>
      </c>
      <c r="AK177" s="69" t="str">
        <f t="shared" si="4"/>
        <v/>
      </c>
      <c r="AL177" s="70" t="s">
        <v>96</v>
      </c>
      <c r="AM177" s="69" t="str">
        <f t="shared" si="5"/>
        <v/>
      </c>
      <c r="AN177" s="71"/>
      <c r="AO177" s="71"/>
      <c r="AP177" s="71"/>
      <c r="AQ177" s="71"/>
      <c r="AR177" s="71" t="s">
        <v>96</v>
      </c>
      <c r="AS177" s="71"/>
      <c r="AT177" s="71" t="s">
        <v>96</v>
      </c>
      <c r="AU177" s="71"/>
      <c r="AV177" s="71" t="s">
        <v>95</v>
      </c>
      <c r="AW177" s="71"/>
      <c r="AX177" s="71"/>
      <c r="AY177" s="71"/>
      <c r="AZ177" s="71"/>
      <c r="BA177" s="71"/>
      <c r="BB177" s="70" t="s">
        <v>218</v>
      </c>
      <c r="BC177" s="70" t="s">
        <v>98</v>
      </c>
      <c r="BD177" s="72" t="str">
        <f>IF('Cálculo MP'!K187="","",'Cálculo MP'!K187)</f>
        <v/>
      </c>
      <c r="BE177" s="72" t="str">
        <f>IF('Cálculo MP'!L187="","",'Cálculo MP'!L187)</f>
        <v/>
      </c>
      <c r="BF177" s="72" t="str">
        <f>IF('Cálculo MP'!M187="","",'Cálculo MP'!M187)</f>
        <v/>
      </c>
      <c r="BG177" s="72" t="str">
        <f>IF('Cálculo MP'!N187="","",'Cálculo MP'!N187)</f>
        <v/>
      </c>
      <c r="BH177" s="72" t="str">
        <f>IF('Cálculo MP'!O187="","",'Cálculo MP'!O187)</f>
        <v/>
      </c>
      <c r="BI177" s="72" t="str">
        <f>IF('Cálculo MP'!P187="","",'Cálculo MP'!P187)</f>
        <v/>
      </c>
      <c r="BJ177" s="72" t="str">
        <f>IF('Cálculo MP'!Q187="","",'Cálculo MP'!Q187)</f>
        <v/>
      </c>
      <c r="BK177" s="72" t="str">
        <f>IF('Cálculo MP'!R187="","",'Cálculo MP'!R187)</f>
        <v/>
      </c>
      <c r="BL177" s="72" t="str">
        <f>IF('Cálculo MP'!S187="","",'Cálculo MP'!S187)</f>
        <v/>
      </c>
      <c r="BM177" s="71"/>
      <c r="BN177" s="71"/>
      <c r="BO177" s="71"/>
      <c r="BP177" s="71"/>
      <c r="BQ177" s="71"/>
      <c r="BR177" s="71"/>
      <c r="BS177" s="71"/>
    </row>
    <row r="178" spans="1:71" ht="19.5" customHeight="1" x14ac:dyDescent="0.15">
      <c r="A178" s="56" t="s">
        <v>985</v>
      </c>
      <c r="B178" s="57" t="s">
        <v>986</v>
      </c>
      <c r="C178" s="58" t="s">
        <v>985</v>
      </c>
      <c r="D178" s="59" t="s">
        <v>985</v>
      </c>
      <c r="E178" s="61"/>
      <c r="F178" s="60" t="s">
        <v>95</v>
      </c>
      <c r="G178" s="61"/>
      <c r="H178" s="62"/>
      <c r="I178" s="75"/>
      <c r="J178" s="60" t="s">
        <v>95</v>
      </c>
      <c r="K178" s="64"/>
      <c r="L178" s="64"/>
      <c r="M178" s="64" t="s">
        <v>96</v>
      </c>
      <c r="N178" s="64" t="s">
        <v>97</v>
      </c>
      <c r="O178" s="65" t="s">
        <v>986</v>
      </c>
      <c r="P178" s="70" t="s">
        <v>96</v>
      </c>
      <c r="Q178" s="60" t="s">
        <v>95</v>
      </c>
      <c r="R178" s="60" t="s">
        <v>96</v>
      </c>
      <c r="S178" s="66" t="s">
        <v>96</v>
      </c>
      <c r="T178" s="67" t="s">
        <v>96</v>
      </c>
      <c r="U178" s="60" t="s">
        <v>96</v>
      </c>
      <c r="V178" s="60" t="s">
        <v>96</v>
      </c>
      <c r="W178" s="60" t="str" cm="1">
        <f t="array" ref="W178">_xlfn.LET(_xlpm.resultados,_xlfn.UNIQUE(_xlfn._xlws.FILTER(Tabla1[Proceso],(Tabla1[Metal Base]=Q178)*(Tabla1[Etiquetas]=_xlfn.TEXTJOIN(" + ",TRUE,IF((TRIM(Upload!R178:V178)="")+(LOWER(TRIM(Upload!R178:V178))="(seleccione)"),"",PROPER(TRIM(Upload!R178:V178)))))*(Tabla1[Línea2]=IFERROR(VLOOKUP(Upload!P178&amp;"*",CAT_Procesos!D:D,1,FALSE),"")))),_xlpm.cantidad,ROWS(_xlpm.resultados),IF(ISERROR(_xlpm.cantidad),"Combinación no existente",IF(_xlpm.cantidad=1,INDEX(_xlpm.resultados,1),"(seleccione)")))</f>
        <v>Combinación no existente</v>
      </c>
      <c r="X178" s="67" t="s">
        <v>96</v>
      </c>
      <c r="Y178" s="64"/>
      <c r="Z178" s="64"/>
      <c r="AA178" s="64"/>
      <c r="AB178" s="133" t="s">
        <v>96</v>
      </c>
      <c r="AC178" s="64"/>
      <c r="AD178" s="64"/>
      <c r="AE178" s="64"/>
      <c r="AF178" s="60" t="s">
        <v>96</v>
      </c>
      <c r="AG178" s="64"/>
      <c r="AH178" s="64"/>
      <c r="AI178" s="64"/>
      <c r="AJ178" s="68" t="s">
        <v>96</v>
      </c>
      <c r="AK178" s="69" t="str">
        <f t="shared" si="4"/>
        <v/>
      </c>
      <c r="AL178" s="70" t="s">
        <v>96</v>
      </c>
      <c r="AM178" s="69" t="str">
        <f t="shared" si="5"/>
        <v/>
      </c>
      <c r="AN178" s="71"/>
      <c r="AO178" s="71"/>
      <c r="AP178" s="71"/>
      <c r="AQ178" s="71"/>
      <c r="AR178" s="71" t="s">
        <v>96</v>
      </c>
      <c r="AS178" s="71"/>
      <c r="AT178" s="71" t="s">
        <v>96</v>
      </c>
      <c r="AU178" s="71"/>
      <c r="AV178" s="71" t="s">
        <v>95</v>
      </c>
      <c r="AW178" s="71"/>
      <c r="AX178" s="71"/>
      <c r="AY178" s="71"/>
      <c r="AZ178" s="71"/>
      <c r="BA178" s="71"/>
      <c r="BB178" s="70" t="s">
        <v>218</v>
      </c>
      <c r="BC178" s="70" t="s">
        <v>98</v>
      </c>
      <c r="BD178" s="72" t="str">
        <f>IF('Cálculo MP'!K188="","",'Cálculo MP'!K188)</f>
        <v/>
      </c>
      <c r="BE178" s="72" t="str">
        <f>IF('Cálculo MP'!L188="","",'Cálculo MP'!L188)</f>
        <v/>
      </c>
      <c r="BF178" s="72" t="str">
        <f>IF('Cálculo MP'!M188="","",'Cálculo MP'!M188)</f>
        <v/>
      </c>
      <c r="BG178" s="72" t="str">
        <f>IF('Cálculo MP'!N188="","",'Cálculo MP'!N188)</f>
        <v/>
      </c>
      <c r="BH178" s="72" t="str">
        <f>IF('Cálculo MP'!O188="","",'Cálculo MP'!O188)</f>
        <v/>
      </c>
      <c r="BI178" s="72" t="str">
        <f>IF('Cálculo MP'!P188="","",'Cálculo MP'!P188)</f>
        <v/>
      </c>
      <c r="BJ178" s="72" t="str">
        <f>IF('Cálculo MP'!Q188="","",'Cálculo MP'!Q188)</f>
        <v/>
      </c>
      <c r="BK178" s="72" t="str">
        <f>IF('Cálculo MP'!R188="","",'Cálculo MP'!R188)</f>
        <v/>
      </c>
      <c r="BL178" s="72" t="str">
        <f>IF('Cálculo MP'!S188="","",'Cálculo MP'!S188)</f>
        <v/>
      </c>
      <c r="BM178" s="71"/>
      <c r="BN178" s="71"/>
      <c r="BO178" s="71"/>
      <c r="BP178" s="71"/>
      <c r="BQ178" s="71"/>
      <c r="BR178" s="71"/>
      <c r="BS178" s="71"/>
    </row>
    <row r="179" spans="1:71" ht="19.5" customHeight="1" x14ac:dyDescent="0.15">
      <c r="A179" s="56" t="s">
        <v>985</v>
      </c>
      <c r="B179" s="57" t="s">
        <v>986</v>
      </c>
      <c r="C179" s="58" t="s">
        <v>985</v>
      </c>
      <c r="D179" s="59" t="s">
        <v>985</v>
      </c>
      <c r="E179" s="61"/>
      <c r="F179" s="60" t="s">
        <v>95</v>
      </c>
      <c r="G179" s="61"/>
      <c r="H179" s="62"/>
      <c r="I179" s="75"/>
      <c r="J179" s="60" t="s">
        <v>95</v>
      </c>
      <c r="K179" s="64"/>
      <c r="L179" s="64"/>
      <c r="M179" s="64" t="s">
        <v>96</v>
      </c>
      <c r="N179" s="64" t="s">
        <v>97</v>
      </c>
      <c r="O179" s="65" t="s">
        <v>986</v>
      </c>
      <c r="P179" s="70" t="s">
        <v>96</v>
      </c>
      <c r="Q179" s="60" t="s">
        <v>95</v>
      </c>
      <c r="R179" s="60" t="s">
        <v>96</v>
      </c>
      <c r="S179" s="66" t="s">
        <v>96</v>
      </c>
      <c r="T179" s="67" t="s">
        <v>96</v>
      </c>
      <c r="U179" s="60" t="s">
        <v>96</v>
      </c>
      <c r="V179" s="60" t="s">
        <v>96</v>
      </c>
      <c r="W179" s="60" t="str" cm="1">
        <f t="array" ref="W179">_xlfn.LET(_xlpm.resultados,_xlfn.UNIQUE(_xlfn._xlws.FILTER(Tabla1[Proceso],(Tabla1[Metal Base]=Q179)*(Tabla1[Etiquetas]=_xlfn.TEXTJOIN(" + ",TRUE,IF((TRIM(Upload!R179:V179)="")+(LOWER(TRIM(Upload!R179:V179))="(seleccione)"),"",PROPER(TRIM(Upload!R179:V179)))))*(Tabla1[Línea2]=IFERROR(VLOOKUP(Upload!P179&amp;"*",CAT_Procesos!D:D,1,FALSE),"")))),_xlpm.cantidad,ROWS(_xlpm.resultados),IF(ISERROR(_xlpm.cantidad),"Combinación no existente",IF(_xlpm.cantidad=1,INDEX(_xlpm.resultados,1),"(seleccione)")))</f>
        <v>Combinación no existente</v>
      </c>
      <c r="X179" s="67" t="s">
        <v>96</v>
      </c>
      <c r="Y179" s="64"/>
      <c r="Z179" s="64"/>
      <c r="AA179" s="64"/>
      <c r="AB179" s="133" t="s">
        <v>96</v>
      </c>
      <c r="AC179" s="64"/>
      <c r="AD179" s="64"/>
      <c r="AE179" s="64"/>
      <c r="AF179" s="60" t="s">
        <v>96</v>
      </c>
      <c r="AG179" s="64"/>
      <c r="AH179" s="64"/>
      <c r="AI179" s="64"/>
      <c r="AJ179" s="68" t="s">
        <v>96</v>
      </c>
      <c r="AK179" s="69" t="str">
        <f t="shared" si="4"/>
        <v/>
      </c>
      <c r="AL179" s="70" t="s">
        <v>96</v>
      </c>
      <c r="AM179" s="69" t="str">
        <f t="shared" si="5"/>
        <v/>
      </c>
      <c r="AN179" s="71"/>
      <c r="AO179" s="71"/>
      <c r="AP179" s="71"/>
      <c r="AQ179" s="71"/>
      <c r="AR179" s="71" t="s">
        <v>96</v>
      </c>
      <c r="AS179" s="71"/>
      <c r="AT179" s="71" t="s">
        <v>96</v>
      </c>
      <c r="AU179" s="71"/>
      <c r="AV179" s="71" t="s">
        <v>95</v>
      </c>
      <c r="AW179" s="71"/>
      <c r="AX179" s="71"/>
      <c r="AY179" s="71"/>
      <c r="AZ179" s="71"/>
      <c r="BA179" s="71"/>
      <c r="BB179" s="70" t="s">
        <v>218</v>
      </c>
      <c r="BC179" s="70" t="s">
        <v>98</v>
      </c>
      <c r="BD179" s="72" t="str">
        <f>IF('Cálculo MP'!K189="","",'Cálculo MP'!K189)</f>
        <v/>
      </c>
      <c r="BE179" s="72" t="str">
        <f>IF('Cálculo MP'!L189="","",'Cálculo MP'!L189)</f>
        <v/>
      </c>
      <c r="BF179" s="72" t="str">
        <f>IF('Cálculo MP'!M189="","",'Cálculo MP'!M189)</f>
        <v/>
      </c>
      <c r="BG179" s="72" t="str">
        <f>IF('Cálculo MP'!N189="","",'Cálculo MP'!N189)</f>
        <v/>
      </c>
      <c r="BH179" s="72" t="str">
        <f>IF('Cálculo MP'!O189="","",'Cálculo MP'!O189)</f>
        <v/>
      </c>
      <c r="BI179" s="72" t="str">
        <f>IF('Cálculo MP'!P189="","",'Cálculo MP'!P189)</f>
        <v/>
      </c>
      <c r="BJ179" s="72" t="str">
        <f>IF('Cálculo MP'!Q189="","",'Cálculo MP'!Q189)</f>
        <v/>
      </c>
      <c r="BK179" s="72" t="str">
        <f>IF('Cálculo MP'!R189="","",'Cálculo MP'!R189)</f>
        <v/>
      </c>
      <c r="BL179" s="72" t="str">
        <f>IF('Cálculo MP'!S189="","",'Cálculo MP'!S189)</f>
        <v/>
      </c>
      <c r="BM179" s="71"/>
      <c r="BN179" s="71"/>
      <c r="BO179" s="71"/>
      <c r="BP179" s="71"/>
      <c r="BQ179" s="71"/>
      <c r="BR179" s="71"/>
      <c r="BS179" s="71"/>
    </row>
    <row r="180" spans="1:71" ht="19.5" customHeight="1" x14ac:dyDescent="0.15">
      <c r="A180" s="56" t="s">
        <v>985</v>
      </c>
      <c r="B180" s="57" t="s">
        <v>986</v>
      </c>
      <c r="C180" s="58" t="s">
        <v>985</v>
      </c>
      <c r="D180" s="59" t="s">
        <v>985</v>
      </c>
      <c r="E180" s="61"/>
      <c r="F180" s="60" t="s">
        <v>95</v>
      </c>
      <c r="G180" s="61"/>
      <c r="H180" s="62"/>
      <c r="I180" s="75"/>
      <c r="J180" s="60" t="s">
        <v>95</v>
      </c>
      <c r="K180" s="64"/>
      <c r="L180" s="64"/>
      <c r="M180" s="64" t="s">
        <v>96</v>
      </c>
      <c r="N180" s="64" t="s">
        <v>97</v>
      </c>
      <c r="O180" s="65" t="s">
        <v>986</v>
      </c>
      <c r="P180" s="70" t="s">
        <v>96</v>
      </c>
      <c r="Q180" s="60" t="s">
        <v>95</v>
      </c>
      <c r="R180" s="60" t="s">
        <v>96</v>
      </c>
      <c r="S180" s="66" t="s">
        <v>96</v>
      </c>
      <c r="T180" s="67" t="s">
        <v>96</v>
      </c>
      <c r="U180" s="60" t="s">
        <v>96</v>
      </c>
      <c r="V180" s="60" t="s">
        <v>96</v>
      </c>
      <c r="W180" s="60" t="str" cm="1">
        <f t="array" ref="W180">_xlfn.LET(_xlpm.resultados,_xlfn.UNIQUE(_xlfn._xlws.FILTER(Tabla1[Proceso],(Tabla1[Metal Base]=Q180)*(Tabla1[Etiquetas]=_xlfn.TEXTJOIN(" + ",TRUE,IF((TRIM(Upload!R180:V180)="")+(LOWER(TRIM(Upload!R180:V180))="(seleccione)"),"",PROPER(TRIM(Upload!R180:V180)))))*(Tabla1[Línea2]=IFERROR(VLOOKUP(Upload!P180&amp;"*",CAT_Procesos!D:D,1,FALSE),"")))),_xlpm.cantidad,ROWS(_xlpm.resultados),IF(ISERROR(_xlpm.cantidad),"Combinación no existente",IF(_xlpm.cantidad=1,INDEX(_xlpm.resultados,1),"(seleccione)")))</f>
        <v>Combinación no existente</v>
      </c>
      <c r="X180" s="67" t="s">
        <v>96</v>
      </c>
      <c r="Y180" s="64"/>
      <c r="Z180" s="64"/>
      <c r="AA180" s="64"/>
      <c r="AB180" s="133" t="s">
        <v>96</v>
      </c>
      <c r="AC180" s="64"/>
      <c r="AD180" s="64"/>
      <c r="AE180" s="64"/>
      <c r="AF180" s="60" t="s">
        <v>96</v>
      </c>
      <c r="AG180" s="64"/>
      <c r="AH180" s="64"/>
      <c r="AI180" s="64"/>
      <c r="AJ180" s="68" t="s">
        <v>96</v>
      </c>
      <c r="AK180" s="69" t="str">
        <f t="shared" si="4"/>
        <v/>
      </c>
      <c r="AL180" s="70" t="s">
        <v>96</v>
      </c>
      <c r="AM180" s="69" t="str">
        <f t="shared" si="5"/>
        <v/>
      </c>
      <c r="AN180" s="71"/>
      <c r="AO180" s="71"/>
      <c r="AP180" s="71"/>
      <c r="AQ180" s="71"/>
      <c r="AR180" s="71" t="s">
        <v>96</v>
      </c>
      <c r="AS180" s="71"/>
      <c r="AT180" s="71" t="s">
        <v>96</v>
      </c>
      <c r="AU180" s="71"/>
      <c r="AV180" s="71" t="s">
        <v>95</v>
      </c>
      <c r="AW180" s="71"/>
      <c r="AX180" s="71"/>
      <c r="AY180" s="71"/>
      <c r="AZ180" s="71"/>
      <c r="BA180" s="71"/>
      <c r="BB180" s="70" t="s">
        <v>218</v>
      </c>
      <c r="BC180" s="70" t="s">
        <v>98</v>
      </c>
      <c r="BD180" s="72" t="str">
        <f>IF('Cálculo MP'!K190="","",'Cálculo MP'!K190)</f>
        <v/>
      </c>
      <c r="BE180" s="72" t="str">
        <f>IF('Cálculo MP'!L190="","",'Cálculo MP'!L190)</f>
        <v/>
      </c>
      <c r="BF180" s="72" t="str">
        <f>IF('Cálculo MP'!M190="","",'Cálculo MP'!M190)</f>
        <v/>
      </c>
      <c r="BG180" s="72" t="str">
        <f>IF('Cálculo MP'!N190="","",'Cálculo MP'!N190)</f>
        <v/>
      </c>
      <c r="BH180" s="72" t="str">
        <f>IF('Cálculo MP'!O190="","",'Cálculo MP'!O190)</f>
        <v/>
      </c>
      <c r="BI180" s="72" t="str">
        <f>IF('Cálculo MP'!P190="","",'Cálculo MP'!P190)</f>
        <v/>
      </c>
      <c r="BJ180" s="72" t="str">
        <f>IF('Cálculo MP'!Q190="","",'Cálculo MP'!Q190)</f>
        <v/>
      </c>
      <c r="BK180" s="72" t="str">
        <f>IF('Cálculo MP'!R190="","",'Cálculo MP'!R190)</f>
        <v/>
      </c>
      <c r="BL180" s="72" t="str">
        <f>IF('Cálculo MP'!S190="","",'Cálculo MP'!S190)</f>
        <v/>
      </c>
      <c r="BM180" s="71"/>
      <c r="BN180" s="71"/>
      <c r="BO180" s="71"/>
      <c r="BP180" s="71"/>
      <c r="BQ180" s="71"/>
      <c r="BR180" s="71"/>
      <c r="BS180" s="71"/>
    </row>
    <row r="181" spans="1:71" ht="19.5" customHeight="1" x14ac:dyDescent="0.15">
      <c r="A181" s="56" t="s">
        <v>985</v>
      </c>
      <c r="B181" s="57" t="s">
        <v>986</v>
      </c>
      <c r="C181" s="58" t="s">
        <v>985</v>
      </c>
      <c r="D181" s="59" t="s">
        <v>985</v>
      </c>
      <c r="E181" s="61"/>
      <c r="F181" s="60" t="s">
        <v>95</v>
      </c>
      <c r="G181" s="61"/>
      <c r="H181" s="62"/>
      <c r="I181" s="75"/>
      <c r="J181" s="60" t="s">
        <v>95</v>
      </c>
      <c r="K181" s="64"/>
      <c r="L181" s="64"/>
      <c r="M181" s="64" t="s">
        <v>96</v>
      </c>
      <c r="N181" s="64" t="s">
        <v>97</v>
      </c>
      <c r="O181" s="65" t="s">
        <v>986</v>
      </c>
      <c r="P181" s="70" t="s">
        <v>96</v>
      </c>
      <c r="Q181" s="60" t="s">
        <v>95</v>
      </c>
      <c r="R181" s="60" t="s">
        <v>96</v>
      </c>
      <c r="S181" s="66" t="s">
        <v>96</v>
      </c>
      <c r="T181" s="67" t="s">
        <v>96</v>
      </c>
      <c r="U181" s="60" t="s">
        <v>96</v>
      </c>
      <c r="V181" s="60" t="s">
        <v>96</v>
      </c>
      <c r="W181" s="60" t="str" cm="1">
        <f t="array" ref="W181">_xlfn.LET(_xlpm.resultados,_xlfn.UNIQUE(_xlfn._xlws.FILTER(Tabla1[Proceso],(Tabla1[Metal Base]=Q181)*(Tabla1[Etiquetas]=_xlfn.TEXTJOIN(" + ",TRUE,IF((TRIM(Upload!R181:V181)="")+(LOWER(TRIM(Upload!R181:V181))="(seleccione)"),"",PROPER(TRIM(Upload!R181:V181)))))*(Tabla1[Línea2]=IFERROR(VLOOKUP(Upload!P181&amp;"*",CAT_Procesos!D:D,1,FALSE),"")))),_xlpm.cantidad,ROWS(_xlpm.resultados),IF(ISERROR(_xlpm.cantidad),"Combinación no existente",IF(_xlpm.cantidad=1,INDEX(_xlpm.resultados,1),"(seleccione)")))</f>
        <v>Combinación no existente</v>
      </c>
      <c r="X181" s="67" t="s">
        <v>96</v>
      </c>
      <c r="Y181" s="64"/>
      <c r="Z181" s="64"/>
      <c r="AA181" s="64"/>
      <c r="AB181" s="133" t="s">
        <v>96</v>
      </c>
      <c r="AC181" s="64"/>
      <c r="AD181" s="64"/>
      <c r="AE181" s="64"/>
      <c r="AF181" s="60" t="s">
        <v>96</v>
      </c>
      <c r="AG181" s="64"/>
      <c r="AH181" s="64"/>
      <c r="AI181" s="64"/>
      <c r="AJ181" s="68" t="s">
        <v>96</v>
      </c>
      <c r="AK181" s="69" t="str">
        <f t="shared" si="4"/>
        <v/>
      </c>
      <c r="AL181" s="70" t="s">
        <v>96</v>
      </c>
      <c r="AM181" s="69" t="str">
        <f t="shared" si="5"/>
        <v/>
      </c>
      <c r="AN181" s="71"/>
      <c r="AO181" s="71"/>
      <c r="AP181" s="71"/>
      <c r="AQ181" s="71"/>
      <c r="AR181" s="71" t="s">
        <v>96</v>
      </c>
      <c r="AS181" s="71"/>
      <c r="AT181" s="71" t="s">
        <v>96</v>
      </c>
      <c r="AU181" s="71"/>
      <c r="AV181" s="71" t="s">
        <v>95</v>
      </c>
      <c r="AW181" s="71"/>
      <c r="AX181" s="71"/>
      <c r="AY181" s="71"/>
      <c r="AZ181" s="71"/>
      <c r="BA181" s="71"/>
      <c r="BB181" s="70" t="s">
        <v>218</v>
      </c>
      <c r="BC181" s="70" t="s">
        <v>98</v>
      </c>
      <c r="BD181" s="72" t="str">
        <f>IF('Cálculo MP'!K191="","",'Cálculo MP'!K191)</f>
        <v/>
      </c>
      <c r="BE181" s="72" t="str">
        <f>IF('Cálculo MP'!L191="","",'Cálculo MP'!L191)</f>
        <v/>
      </c>
      <c r="BF181" s="72" t="str">
        <f>IF('Cálculo MP'!M191="","",'Cálculo MP'!M191)</f>
        <v/>
      </c>
      <c r="BG181" s="72" t="str">
        <f>IF('Cálculo MP'!N191="","",'Cálculo MP'!N191)</f>
        <v/>
      </c>
      <c r="BH181" s="72" t="str">
        <f>IF('Cálculo MP'!O191="","",'Cálculo MP'!O191)</f>
        <v/>
      </c>
      <c r="BI181" s="72" t="str">
        <f>IF('Cálculo MP'!P191="","",'Cálculo MP'!P191)</f>
        <v/>
      </c>
      <c r="BJ181" s="72" t="str">
        <f>IF('Cálculo MP'!Q191="","",'Cálculo MP'!Q191)</f>
        <v/>
      </c>
      <c r="BK181" s="72" t="str">
        <f>IF('Cálculo MP'!R191="","",'Cálculo MP'!R191)</f>
        <v/>
      </c>
      <c r="BL181" s="72" t="str">
        <f>IF('Cálculo MP'!S191="","",'Cálculo MP'!S191)</f>
        <v/>
      </c>
      <c r="BM181" s="71"/>
      <c r="BN181" s="71"/>
      <c r="BO181" s="71"/>
      <c r="BP181" s="71"/>
      <c r="BQ181" s="71"/>
      <c r="BR181" s="71"/>
      <c r="BS181" s="71"/>
    </row>
    <row r="182" spans="1:71" ht="19.5" customHeight="1" x14ac:dyDescent="0.15">
      <c r="A182" s="56" t="s">
        <v>985</v>
      </c>
      <c r="B182" s="57" t="s">
        <v>986</v>
      </c>
      <c r="C182" s="58" t="s">
        <v>985</v>
      </c>
      <c r="D182" s="59" t="s">
        <v>985</v>
      </c>
      <c r="E182" s="61"/>
      <c r="F182" s="60" t="s">
        <v>95</v>
      </c>
      <c r="G182" s="61"/>
      <c r="H182" s="62"/>
      <c r="I182" s="75"/>
      <c r="J182" s="60" t="s">
        <v>95</v>
      </c>
      <c r="K182" s="64"/>
      <c r="L182" s="64"/>
      <c r="M182" s="64" t="s">
        <v>96</v>
      </c>
      <c r="N182" s="64" t="s">
        <v>97</v>
      </c>
      <c r="O182" s="65" t="s">
        <v>986</v>
      </c>
      <c r="P182" s="70" t="s">
        <v>96</v>
      </c>
      <c r="Q182" s="60" t="s">
        <v>95</v>
      </c>
      <c r="R182" s="60" t="s">
        <v>96</v>
      </c>
      <c r="S182" s="66" t="s">
        <v>96</v>
      </c>
      <c r="T182" s="67" t="s">
        <v>96</v>
      </c>
      <c r="U182" s="60" t="s">
        <v>96</v>
      </c>
      <c r="V182" s="60" t="s">
        <v>96</v>
      </c>
      <c r="W182" s="60" t="str" cm="1">
        <f t="array" ref="W182">_xlfn.LET(_xlpm.resultados,_xlfn.UNIQUE(_xlfn._xlws.FILTER(Tabla1[Proceso],(Tabla1[Metal Base]=Q182)*(Tabla1[Etiquetas]=_xlfn.TEXTJOIN(" + ",TRUE,IF((TRIM(Upload!R182:V182)="")+(LOWER(TRIM(Upload!R182:V182))="(seleccione)"),"",PROPER(TRIM(Upload!R182:V182)))))*(Tabla1[Línea2]=IFERROR(VLOOKUP(Upload!P182&amp;"*",CAT_Procesos!D:D,1,FALSE),"")))),_xlpm.cantidad,ROWS(_xlpm.resultados),IF(ISERROR(_xlpm.cantidad),"Combinación no existente",IF(_xlpm.cantidad=1,INDEX(_xlpm.resultados,1),"(seleccione)")))</f>
        <v>Combinación no existente</v>
      </c>
      <c r="X182" s="67" t="s">
        <v>96</v>
      </c>
      <c r="Y182" s="64"/>
      <c r="Z182" s="64"/>
      <c r="AA182" s="64"/>
      <c r="AB182" s="133" t="s">
        <v>96</v>
      </c>
      <c r="AC182" s="64"/>
      <c r="AD182" s="64"/>
      <c r="AE182" s="64"/>
      <c r="AF182" s="60" t="s">
        <v>96</v>
      </c>
      <c r="AG182" s="64"/>
      <c r="AH182" s="64"/>
      <c r="AI182" s="64"/>
      <c r="AJ182" s="68" t="s">
        <v>96</v>
      </c>
      <c r="AK182" s="69" t="str">
        <f t="shared" si="4"/>
        <v/>
      </c>
      <c r="AL182" s="70" t="s">
        <v>96</v>
      </c>
      <c r="AM182" s="69" t="str">
        <f t="shared" si="5"/>
        <v/>
      </c>
      <c r="AN182" s="71"/>
      <c r="AO182" s="71"/>
      <c r="AP182" s="71"/>
      <c r="AQ182" s="71"/>
      <c r="AR182" s="71" t="s">
        <v>96</v>
      </c>
      <c r="AS182" s="71"/>
      <c r="AT182" s="71" t="s">
        <v>96</v>
      </c>
      <c r="AU182" s="71"/>
      <c r="AV182" s="71" t="s">
        <v>95</v>
      </c>
      <c r="AW182" s="71"/>
      <c r="AX182" s="71"/>
      <c r="AY182" s="71"/>
      <c r="AZ182" s="71"/>
      <c r="BA182" s="71"/>
      <c r="BB182" s="70" t="s">
        <v>218</v>
      </c>
      <c r="BC182" s="70" t="s">
        <v>98</v>
      </c>
      <c r="BD182" s="72" t="str">
        <f>IF('Cálculo MP'!K192="","",'Cálculo MP'!K192)</f>
        <v/>
      </c>
      <c r="BE182" s="72" t="str">
        <f>IF('Cálculo MP'!L192="","",'Cálculo MP'!L192)</f>
        <v/>
      </c>
      <c r="BF182" s="72" t="str">
        <f>IF('Cálculo MP'!M192="","",'Cálculo MP'!M192)</f>
        <v/>
      </c>
      <c r="BG182" s="72" t="str">
        <f>IF('Cálculo MP'!N192="","",'Cálculo MP'!N192)</f>
        <v/>
      </c>
      <c r="BH182" s="72" t="str">
        <f>IF('Cálculo MP'!O192="","",'Cálculo MP'!O192)</f>
        <v/>
      </c>
      <c r="BI182" s="72" t="str">
        <f>IF('Cálculo MP'!P192="","",'Cálculo MP'!P192)</f>
        <v/>
      </c>
      <c r="BJ182" s="72" t="str">
        <f>IF('Cálculo MP'!Q192="","",'Cálculo MP'!Q192)</f>
        <v/>
      </c>
      <c r="BK182" s="72" t="str">
        <f>IF('Cálculo MP'!R192="","",'Cálculo MP'!R192)</f>
        <v/>
      </c>
      <c r="BL182" s="72" t="str">
        <f>IF('Cálculo MP'!S192="","",'Cálculo MP'!S192)</f>
        <v/>
      </c>
      <c r="BM182" s="71"/>
      <c r="BN182" s="71"/>
      <c r="BO182" s="71"/>
      <c r="BP182" s="71"/>
      <c r="BQ182" s="71"/>
      <c r="BR182" s="71"/>
      <c r="BS182" s="71"/>
    </row>
    <row r="183" spans="1:71" ht="19.5" customHeight="1" x14ac:dyDescent="0.15">
      <c r="A183" s="56" t="s">
        <v>985</v>
      </c>
      <c r="B183" s="57" t="s">
        <v>986</v>
      </c>
      <c r="C183" s="58" t="s">
        <v>985</v>
      </c>
      <c r="D183" s="59" t="s">
        <v>985</v>
      </c>
      <c r="E183" s="61"/>
      <c r="F183" s="60" t="s">
        <v>95</v>
      </c>
      <c r="G183" s="61"/>
      <c r="H183" s="62"/>
      <c r="I183" s="75"/>
      <c r="J183" s="60" t="s">
        <v>95</v>
      </c>
      <c r="K183" s="64"/>
      <c r="L183" s="64"/>
      <c r="M183" s="64" t="s">
        <v>96</v>
      </c>
      <c r="N183" s="64" t="s">
        <v>97</v>
      </c>
      <c r="O183" s="65" t="s">
        <v>986</v>
      </c>
      <c r="P183" s="70" t="s">
        <v>96</v>
      </c>
      <c r="Q183" s="60" t="s">
        <v>95</v>
      </c>
      <c r="R183" s="60" t="s">
        <v>96</v>
      </c>
      <c r="S183" s="66" t="s">
        <v>96</v>
      </c>
      <c r="T183" s="67" t="s">
        <v>96</v>
      </c>
      <c r="U183" s="60" t="s">
        <v>96</v>
      </c>
      <c r="V183" s="60" t="s">
        <v>96</v>
      </c>
      <c r="W183" s="60" t="str" cm="1">
        <f t="array" ref="W183">_xlfn.LET(_xlpm.resultados,_xlfn.UNIQUE(_xlfn._xlws.FILTER(Tabla1[Proceso],(Tabla1[Metal Base]=Q183)*(Tabla1[Etiquetas]=_xlfn.TEXTJOIN(" + ",TRUE,IF((TRIM(Upload!R183:V183)="")+(LOWER(TRIM(Upload!R183:V183))="(seleccione)"),"",PROPER(TRIM(Upload!R183:V183)))))*(Tabla1[Línea2]=IFERROR(VLOOKUP(Upload!P183&amp;"*",CAT_Procesos!D:D,1,FALSE),"")))),_xlpm.cantidad,ROWS(_xlpm.resultados),IF(ISERROR(_xlpm.cantidad),"Combinación no existente",IF(_xlpm.cantidad=1,INDEX(_xlpm.resultados,1),"(seleccione)")))</f>
        <v>Combinación no existente</v>
      </c>
      <c r="X183" s="67" t="s">
        <v>96</v>
      </c>
      <c r="Y183" s="64"/>
      <c r="Z183" s="64"/>
      <c r="AA183" s="64"/>
      <c r="AB183" s="133" t="s">
        <v>96</v>
      </c>
      <c r="AC183" s="64"/>
      <c r="AD183" s="64"/>
      <c r="AE183" s="64"/>
      <c r="AF183" s="60" t="s">
        <v>96</v>
      </c>
      <c r="AG183" s="64"/>
      <c r="AH183" s="64"/>
      <c r="AI183" s="64"/>
      <c r="AJ183" s="68" t="s">
        <v>96</v>
      </c>
      <c r="AK183" s="69" t="str">
        <f t="shared" si="4"/>
        <v/>
      </c>
      <c r="AL183" s="70" t="s">
        <v>96</v>
      </c>
      <c r="AM183" s="69" t="str">
        <f t="shared" si="5"/>
        <v/>
      </c>
      <c r="AN183" s="71"/>
      <c r="AO183" s="71"/>
      <c r="AP183" s="71"/>
      <c r="AQ183" s="71"/>
      <c r="AR183" s="71" t="s">
        <v>96</v>
      </c>
      <c r="AS183" s="71"/>
      <c r="AT183" s="71" t="s">
        <v>96</v>
      </c>
      <c r="AU183" s="71"/>
      <c r="AV183" s="71" t="s">
        <v>95</v>
      </c>
      <c r="AW183" s="71"/>
      <c r="AX183" s="71"/>
      <c r="AY183" s="71"/>
      <c r="AZ183" s="71"/>
      <c r="BA183" s="71"/>
      <c r="BB183" s="70" t="s">
        <v>218</v>
      </c>
      <c r="BC183" s="70" t="s">
        <v>98</v>
      </c>
      <c r="BD183" s="72" t="str">
        <f>IF('Cálculo MP'!K193="","",'Cálculo MP'!K193)</f>
        <v/>
      </c>
      <c r="BE183" s="72" t="str">
        <f>IF('Cálculo MP'!L193="","",'Cálculo MP'!L193)</f>
        <v/>
      </c>
      <c r="BF183" s="72" t="str">
        <f>IF('Cálculo MP'!M193="","",'Cálculo MP'!M193)</f>
        <v/>
      </c>
      <c r="BG183" s="72" t="str">
        <f>IF('Cálculo MP'!N193="","",'Cálculo MP'!N193)</f>
        <v/>
      </c>
      <c r="BH183" s="72" t="str">
        <f>IF('Cálculo MP'!O193="","",'Cálculo MP'!O193)</f>
        <v/>
      </c>
      <c r="BI183" s="72" t="str">
        <f>IF('Cálculo MP'!P193="","",'Cálculo MP'!P193)</f>
        <v/>
      </c>
      <c r="BJ183" s="72" t="str">
        <f>IF('Cálculo MP'!Q193="","",'Cálculo MP'!Q193)</f>
        <v/>
      </c>
      <c r="BK183" s="72" t="str">
        <f>IF('Cálculo MP'!R193="","",'Cálculo MP'!R193)</f>
        <v/>
      </c>
      <c r="BL183" s="72" t="str">
        <f>IF('Cálculo MP'!S193="","",'Cálculo MP'!S193)</f>
        <v/>
      </c>
      <c r="BM183" s="71"/>
      <c r="BN183" s="71"/>
      <c r="BO183" s="71"/>
      <c r="BP183" s="71"/>
      <c r="BQ183" s="71"/>
      <c r="BR183" s="71"/>
      <c r="BS183" s="71"/>
    </row>
    <row r="184" spans="1:71" ht="19.5" customHeight="1" x14ac:dyDescent="0.15">
      <c r="A184" s="56" t="s">
        <v>985</v>
      </c>
      <c r="B184" s="57" t="s">
        <v>986</v>
      </c>
      <c r="C184" s="58" t="s">
        <v>985</v>
      </c>
      <c r="D184" s="59" t="s">
        <v>985</v>
      </c>
      <c r="E184" s="61"/>
      <c r="F184" s="60" t="s">
        <v>95</v>
      </c>
      <c r="G184" s="61"/>
      <c r="H184" s="62"/>
      <c r="I184" s="75"/>
      <c r="J184" s="60" t="s">
        <v>95</v>
      </c>
      <c r="K184" s="64"/>
      <c r="L184" s="64"/>
      <c r="M184" s="64" t="s">
        <v>96</v>
      </c>
      <c r="N184" s="64" t="s">
        <v>97</v>
      </c>
      <c r="O184" s="65" t="s">
        <v>986</v>
      </c>
      <c r="P184" s="70" t="s">
        <v>96</v>
      </c>
      <c r="Q184" s="60" t="s">
        <v>95</v>
      </c>
      <c r="R184" s="60" t="s">
        <v>96</v>
      </c>
      <c r="S184" s="66" t="s">
        <v>96</v>
      </c>
      <c r="T184" s="67" t="s">
        <v>96</v>
      </c>
      <c r="U184" s="60" t="s">
        <v>96</v>
      </c>
      <c r="V184" s="60" t="s">
        <v>96</v>
      </c>
      <c r="W184" s="60" t="str" cm="1">
        <f t="array" ref="W184">_xlfn.LET(_xlpm.resultados,_xlfn.UNIQUE(_xlfn._xlws.FILTER(Tabla1[Proceso],(Tabla1[Metal Base]=Q184)*(Tabla1[Etiquetas]=_xlfn.TEXTJOIN(" + ",TRUE,IF((TRIM(Upload!R184:V184)="")+(LOWER(TRIM(Upload!R184:V184))="(seleccione)"),"",PROPER(TRIM(Upload!R184:V184)))))*(Tabla1[Línea2]=IFERROR(VLOOKUP(Upload!P184&amp;"*",CAT_Procesos!D:D,1,FALSE),"")))),_xlpm.cantidad,ROWS(_xlpm.resultados),IF(ISERROR(_xlpm.cantidad),"Combinación no existente",IF(_xlpm.cantidad=1,INDEX(_xlpm.resultados,1),"(seleccione)")))</f>
        <v>Combinación no existente</v>
      </c>
      <c r="X184" s="67" t="s">
        <v>96</v>
      </c>
      <c r="Y184" s="64"/>
      <c r="Z184" s="64"/>
      <c r="AA184" s="64"/>
      <c r="AB184" s="133" t="s">
        <v>96</v>
      </c>
      <c r="AC184" s="64"/>
      <c r="AD184" s="64"/>
      <c r="AE184" s="64"/>
      <c r="AF184" s="60" t="s">
        <v>96</v>
      </c>
      <c r="AG184" s="64"/>
      <c r="AH184" s="64"/>
      <c r="AI184" s="64"/>
      <c r="AJ184" s="68" t="s">
        <v>96</v>
      </c>
      <c r="AK184" s="69" t="str">
        <f t="shared" si="4"/>
        <v/>
      </c>
      <c r="AL184" s="70" t="s">
        <v>96</v>
      </c>
      <c r="AM184" s="69" t="str">
        <f t="shared" si="5"/>
        <v/>
      </c>
      <c r="AN184" s="71"/>
      <c r="AO184" s="71"/>
      <c r="AP184" s="71"/>
      <c r="AQ184" s="71"/>
      <c r="AR184" s="71" t="s">
        <v>96</v>
      </c>
      <c r="AS184" s="71"/>
      <c r="AT184" s="71" t="s">
        <v>96</v>
      </c>
      <c r="AU184" s="71"/>
      <c r="AV184" s="71" t="s">
        <v>95</v>
      </c>
      <c r="AW184" s="71"/>
      <c r="AX184" s="71"/>
      <c r="AY184" s="71"/>
      <c r="AZ184" s="71"/>
      <c r="BA184" s="71"/>
      <c r="BB184" s="70" t="s">
        <v>218</v>
      </c>
      <c r="BC184" s="70" t="s">
        <v>98</v>
      </c>
      <c r="BD184" s="72" t="str">
        <f>IF('Cálculo MP'!K194="","",'Cálculo MP'!K194)</f>
        <v/>
      </c>
      <c r="BE184" s="72" t="str">
        <f>IF('Cálculo MP'!L194="","",'Cálculo MP'!L194)</f>
        <v/>
      </c>
      <c r="BF184" s="72" t="str">
        <f>IF('Cálculo MP'!M194="","",'Cálculo MP'!M194)</f>
        <v/>
      </c>
      <c r="BG184" s="72" t="str">
        <f>IF('Cálculo MP'!N194="","",'Cálculo MP'!N194)</f>
        <v/>
      </c>
      <c r="BH184" s="72" t="str">
        <f>IF('Cálculo MP'!O194="","",'Cálculo MP'!O194)</f>
        <v/>
      </c>
      <c r="BI184" s="72" t="str">
        <f>IF('Cálculo MP'!P194="","",'Cálculo MP'!P194)</f>
        <v/>
      </c>
      <c r="BJ184" s="72" t="str">
        <f>IF('Cálculo MP'!Q194="","",'Cálculo MP'!Q194)</f>
        <v/>
      </c>
      <c r="BK184" s="72" t="str">
        <f>IF('Cálculo MP'!R194="","",'Cálculo MP'!R194)</f>
        <v/>
      </c>
      <c r="BL184" s="72" t="str">
        <f>IF('Cálculo MP'!S194="","",'Cálculo MP'!S194)</f>
        <v/>
      </c>
      <c r="BM184" s="71"/>
      <c r="BN184" s="71"/>
      <c r="BO184" s="71"/>
      <c r="BP184" s="71"/>
      <c r="BQ184" s="71"/>
      <c r="BR184" s="71"/>
      <c r="BS184" s="71"/>
    </row>
    <row r="185" spans="1:71" ht="19.5" customHeight="1" x14ac:dyDescent="0.15">
      <c r="A185" s="56" t="s">
        <v>985</v>
      </c>
      <c r="B185" s="57" t="s">
        <v>986</v>
      </c>
      <c r="C185" s="58" t="s">
        <v>985</v>
      </c>
      <c r="D185" s="59" t="s">
        <v>985</v>
      </c>
      <c r="E185" s="61"/>
      <c r="F185" s="60" t="s">
        <v>95</v>
      </c>
      <c r="G185" s="61"/>
      <c r="H185" s="62"/>
      <c r="I185" s="75"/>
      <c r="J185" s="60" t="s">
        <v>95</v>
      </c>
      <c r="K185" s="64"/>
      <c r="L185" s="64"/>
      <c r="M185" s="64" t="s">
        <v>96</v>
      </c>
      <c r="N185" s="64" t="s">
        <v>97</v>
      </c>
      <c r="O185" s="65" t="s">
        <v>986</v>
      </c>
      <c r="P185" s="70" t="s">
        <v>96</v>
      </c>
      <c r="Q185" s="60" t="s">
        <v>95</v>
      </c>
      <c r="R185" s="60" t="s">
        <v>96</v>
      </c>
      <c r="S185" s="66" t="s">
        <v>96</v>
      </c>
      <c r="T185" s="67" t="s">
        <v>96</v>
      </c>
      <c r="U185" s="60" t="s">
        <v>96</v>
      </c>
      <c r="V185" s="60" t="s">
        <v>96</v>
      </c>
      <c r="W185" s="60" t="str" cm="1">
        <f t="array" ref="W185">_xlfn.LET(_xlpm.resultados,_xlfn.UNIQUE(_xlfn._xlws.FILTER(Tabla1[Proceso],(Tabla1[Metal Base]=Q185)*(Tabla1[Etiquetas]=_xlfn.TEXTJOIN(" + ",TRUE,IF((TRIM(Upload!R185:V185)="")+(LOWER(TRIM(Upload!R185:V185))="(seleccione)"),"",PROPER(TRIM(Upload!R185:V185)))))*(Tabla1[Línea2]=IFERROR(VLOOKUP(Upload!P185&amp;"*",CAT_Procesos!D:D,1,FALSE),"")))),_xlpm.cantidad,ROWS(_xlpm.resultados),IF(ISERROR(_xlpm.cantidad),"Combinación no existente",IF(_xlpm.cantidad=1,INDEX(_xlpm.resultados,1),"(seleccione)")))</f>
        <v>Combinación no existente</v>
      </c>
      <c r="X185" s="67" t="s">
        <v>96</v>
      </c>
      <c r="Y185" s="64"/>
      <c r="Z185" s="64"/>
      <c r="AA185" s="64"/>
      <c r="AB185" s="133" t="s">
        <v>96</v>
      </c>
      <c r="AC185" s="64"/>
      <c r="AD185" s="64"/>
      <c r="AE185" s="64"/>
      <c r="AF185" s="60" t="s">
        <v>96</v>
      </c>
      <c r="AG185" s="64"/>
      <c r="AH185" s="64"/>
      <c r="AI185" s="64"/>
      <c r="AJ185" s="68" t="s">
        <v>96</v>
      </c>
      <c r="AK185" s="69" t="str">
        <f t="shared" si="4"/>
        <v/>
      </c>
      <c r="AL185" s="70" t="s">
        <v>96</v>
      </c>
      <c r="AM185" s="69" t="str">
        <f t="shared" si="5"/>
        <v/>
      </c>
      <c r="AN185" s="71"/>
      <c r="AO185" s="71"/>
      <c r="AP185" s="71"/>
      <c r="AQ185" s="71"/>
      <c r="AR185" s="71" t="s">
        <v>96</v>
      </c>
      <c r="AS185" s="71"/>
      <c r="AT185" s="71" t="s">
        <v>96</v>
      </c>
      <c r="AU185" s="71"/>
      <c r="AV185" s="71" t="s">
        <v>95</v>
      </c>
      <c r="AW185" s="71"/>
      <c r="AX185" s="71"/>
      <c r="AY185" s="71"/>
      <c r="AZ185" s="71"/>
      <c r="BA185" s="71"/>
      <c r="BB185" s="70" t="s">
        <v>218</v>
      </c>
      <c r="BC185" s="70" t="s">
        <v>98</v>
      </c>
      <c r="BD185" s="72" t="str">
        <f>IF('Cálculo MP'!K195="","",'Cálculo MP'!K195)</f>
        <v/>
      </c>
      <c r="BE185" s="72" t="str">
        <f>IF('Cálculo MP'!L195="","",'Cálculo MP'!L195)</f>
        <v/>
      </c>
      <c r="BF185" s="72" t="str">
        <f>IF('Cálculo MP'!M195="","",'Cálculo MP'!M195)</f>
        <v/>
      </c>
      <c r="BG185" s="72" t="str">
        <f>IF('Cálculo MP'!N195="","",'Cálculo MP'!N195)</f>
        <v/>
      </c>
      <c r="BH185" s="72" t="str">
        <f>IF('Cálculo MP'!O195="","",'Cálculo MP'!O195)</f>
        <v/>
      </c>
      <c r="BI185" s="72" t="str">
        <f>IF('Cálculo MP'!P195="","",'Cálculo MP'!P195)</f>
        <v/>
      </c>
      <c r="BJ185" s="72" t="str">
        <f>IF('Cálculo MP'!Q195="","",'Cálculo MP'!Q195)</f>
        <v/>
      </c>
      <c r="BK185" s="72" t="str">
        <f>IF('Cálculo MP'!R195="","",'Cálculo MP'!R195)</f>
        <v/>
      </c>
      <c r="BL185" s="72" t="str">
        <f>IF('Cálculo MP'!S195="","",'Cálculo MP'!S195)</f>
        <v/>
      </c>
      <c r="BM185" s="71"/>
      <c r="BN185" s="71"/>
      <c r="BO185" s="71"/>
      <c r="BP185" s="71"/>
      <c r="BQ185" s="71"/>
      <c r="BR185" s="71"/>
      <c r="BS185" s="71"/>
    </row>
    <row r="186" spans="1:71" ht="19.5" customHeight="1" x14ac:dyDescent="0.15">
      <c r="A186" s="56" t="s">
        <v>985</v>
      </c>
      <c r="B186" s="57" t="s">
        <v>986</v>
      </c>
      <c r="C186" s="58" t="s">
        <v>985</v>
      </c>
      <c r="D186" s="59" t="s">
        <v>985</v>
      </c>
      <c r="E186" s="61"/>
      <c r="F186" s="60" t="s">
        <v>95</v>
      </c>
      <c r="G186" s="61"/>
      <c r="H186" s="62"/>
      <c r="I186" s="75"/>
      <c r="J186" s="60" t="s">
        <v>95</v>
      </c>
      <c r="K186" s="64"/>
      <c r="L186" s="64"/>
      <c r="M186" s="64" t="s">
        <v>96</v>
      </c>
      <c r="N186" s="64" t="s">
        <v>97</v>
      </c>
      <c r="O186" s="65" t="s">
        <v>986</v>
      </c>
      <c r="P186" s="70" t="s">
        <v>96</v>
      </c>
      <c r="Q186" s="60" t="s">
        <v>95</v>
      </c>
      <c r="R186" s="60" t="s">
        <v>96</v>
      </c>
      <c r="S186" s="66" t="s">
        <v>96</v>
      </c>
      <c r="T186" s="67" t="s">
        <v>96</v>
      </c>
      <c r="U186" s="60" t="s">
        <v>96</v>
      </c>
      <c r="V186" s="60" t="s">
        <v>96</v>
      </c>
      <c r="W186" s="60" t="str" cm="1">
        <f t="array" ref="W186">_xlfn.LET(_xlpm.resultados,_xlfn.UNIQUE(_xlfn._xlws.FILTER(Tabla1[Proceso],(Tabla1[Metal Base]=Q186)*(Tabla1[Etiquetas]=_xlfn.TEXTJOIN(" + ",TRUE,IF((TRIM(Upload!R186:V186)="")+(LOWER(TRIM(Upload!R186:V186))="(seleccione)"),"",PROPER(TRIM(Upload!R186:V186)))))*(Tabla1[Línea2]=IFERROR(VLOOKUP(Upload!P186&amp;"*",CAT_Procesos!D:D,1,FALSE),"")))),_xlpm.cantidad,ROWS(_xlpm.resultados),IF(ISERROR(_xlpm.cantidad),"Combinación no existente",IF(_xlpm.cantidad=1,INDEX(_xlpm.resultados,1),"(seleccione)")))</f>
        <v>Combinación no existente</v>
      </c>
      <c r="X186" s="67" t="s">
        <v>96</v>
      </c>
      <c r="Y186" s="64"/>
      <c r="Z186" s="64"/>
      <c r="AA186" s="64"/>
      <c r="AB186" s="133" t="s">
        <v>96</v>
      </c>
      <c r="AC186" s="64"/>
      <c r="AD186" s="64"/>
      <c r="AE186" s="64"/>
      <c r="AF186" s="60" t="s">
        <v>96</v>
      </c>
      <c r="AG186" s="64"/>
      <c r="AH186" s="64"/>
      <c r="AI186" s="64"/>
      <c r="AJ186" s="68" t="s">
        <v>96</v>
      </c>
      <c r="AK186" s="69" t="str">
        <f t="shared" si="4"/>
        <v/>
      </c>
      <c r="AL186" s="70" t="s">
        <v>96</v>
      </c>
      <c r="AM186" s="69" t="str">
        <f t="shared" si="5"/>
        <v/>
      </c>
      <c r="AN186" s="71"/>
      <c r="AO186" s="71"/>
      <c r="AP186" s="71"/>
      <c r="AQ186" s="71"/>
      <c r="AR186" s="71" t="s">
        <v>96</v>
      </c>
      <c r="AS186" s="71"/>
      <c r="AT186" s="71" t="s">
        <v>96</v>
      </c>
      <c r="AU186" s="71"/>
      <c r="AV186" s="71" t="s">
        <v>95</v>
      </c>
      <c r="AW186" s="71"/>
      <c r="AX186" s="71"/>
      <c r="AY186" s="71"/>
      <c r="AZ186" s="71"/>
      <c r="BA186" s="71"/>
      <c r="BB186" s="70" t="s">
        <v>218</v>
      </c>
      <c r="BC186" s="70" t="s">
        <v>98</v>
      </c>
      <c r="BD186" s="72" t="str">
        <f>IF('Cálculo MP'!K196="","",'Cálculo MP'!K196)</f>
        <v/>
      </c>
      <c r="BE186" s="72" t="str">
        <f>IF('Cálculo MP'!L196="","",'Cálculo MP'!L196)</f>
        <v/>
      </c>
      <c r="BF186" s="72" t="str">
        <f>IF('Cálculo MP'!M196="","",'Cálculo MP'!M196)</f>
        <v/>
      </c>
      <c r="BG186" s="72" t="str">
        <f>IF('Cálculo MP'!N196="","",'Cálculo MP'!N196)</f>
        <v/>
      </c>
      <c r="BH186" s="72" t="str">
        <f>IF('Cálculo MP'!O196="","",'Cálculo MP'!O196)</f>
        <v/>
      </c>
      <c r="BI186" s="72" t="str">
        <f>IF('Cálculo MP'!P196="","",'Cálculo MP'!P196)</f>
        <v/>
      </c>
      <c r="BJ186" s="72" t="str">
        <f>IF('Cálculo MP'!Q196="","",'Cálculo MP'!Q196)</f>
        <v/>
      </c>
      <c r="BK186" s="72" t="str">
        <f>IF('Cálculo MP'!R196="","",'Cálculo MP'!R196)</f>
        <v/>
      </c>
      <c r="BL186" s="72" t="str">
        <f>IF('Cálculo MP'!S196="","",'Cálculo MP'!S196)</f>
        <v/>
      </c>
      <c r="BM186" s="71"/>
      <c r="BN186" s="71"/>
      <c r="BO186" s="71"/>
      <c r="BP186" s="71"/>
      <c r="BQ186" s="71"/>
      <c r="BR186" s="71"/>
      <c r="BS186" s="71"/>
    </row>
    <row r="187" spans="1:71" ht="19.5" customHeight="1" x14ac:dyDescent="0.15">
      <c r="A187" s="56" t="s">
        <v>985</v>
      </c>
      <c r="B187" s="57" t="s">
        <v>986</v>
      </c>
      <c r="C187" s="58" t="s">
        <v>985</v>
      </c>
      <c r="D187" s="59" t="s">
        <v>985</v>
      </c>
      <c r="E187" s="61"/>
      <c r="F187" s="60" t="s">
        <v>95</v>
      </c>
      <c r="G187" s="61"/>
      <c r="H187" s="62"/>
      <c r="I187" s="75"/>
      <c r="J187" s="60" t="s">
        <v>95</v>
      </c>
      <c r="K187" s="64"/>
      <c r="L187" s="64"/>
      <c r="M187" s="64" t="s">
        <v>96</v>
      </c>
      <c r="N187" s="64" t="s">
        <v>97</v>
      </c>
      <c r="O187" s="65" t="s">
        <v>986</v>
      </c>
      <c r="P187" s="70" t="s">
        <v>96</v>
      </c>
      <c r="Q187" s="60" t="s">
        <v>95</v>
      </c>
      <c r="R187" s="60" t="s">
        <v>96</v>
      </c>
      <c r="S187" s="66" t="s">
        <v>96</v>
      </c>
      <c r="T187" s="67" t="s">
        <v>96</v>
      </c>
      <c r="U187" s="60" t="s">
        <v>96</v>
      </c>
      <c r="V187" s="60" t="s">
        <v>96</v>
      </c>
      <c r="W187" s="60" t="str" cm="1">
        <f t="array" ref="W187">_xlfn.LET(_xlpm.resultados,_xlfn.UNIQUE(_xlfn._xlws.FILTER(Tabla1[Proceso],(Tabla1[Metal Base]=Q187)*(Tabla1[Etiquetas]=_xlfn.TEXTJOIN(" + ",TRUE,IF((TRIM(Upload!R187:V187)="")+(LOWER(TRIM(Upload!R187:V187))="(seleccione)"),"",PROPER(TRIM(Upload!R187:V187)))))*(Tabla1[Línea2]=IFERROR(VLOOKUP(Upload!P187&amp;"*",CAT_Procesos!D:D,1,FALSE),"")))),_xlpm.cantidad,ROWS(_xlpm.resultados),IF(ISERROR(_xlpm.cantidad),"Combinación no existente",IF(_xlpm.cantidad=1,INDEX(_xlpm.resultados,1),"(seleccione)")))</f>
        <v>Combinación no existente</v>
      </c>
      <c r="X187" s="67" t="s">
        <v>96</v>
      </c>
      <c r="Y187" s="64"/>
      <c r="Z187" s="64"/>
      <c r="AA187" s="64"/>
      <c r="AB187" s="133" t="s">
        <v>96</v>
      </c>
      <c r="AC187" s="64"/>
      <c r="AD187" s="64"/>
      <c r="AE187" s="64"/>
      <c r="AF187" s="60" t="s">
        <v>96</v>
      </c>
      <c r="AG187" s="64"/>
      <c r="AH187" s="64"/>
      <c r="AI187" s="64"/>
      <c r="AJ187" s="68" t="s">
        <v>96</v>
      </c>
      <c r="AK187" s="69" t="str">
        <f t="shared" si="4"/>
        <v/>
      </c>
      <c r="AL187" s="70" t="s">
        <v>96</v>
      </c>
      <c r="AM187" s="69" t="str">
        <f t="shared" si="5"/>
        <v/>
      </c>
      <c r="AN187" s="71"/>
      <c r="AO187" s="71"/>
      <c r="AP187" s="71"/>
      <c r="AQ187" s="71"/>
      <c r="AR187" s="71" t="s">
        <v>96</v>
      </c>
      <c r="AS187" s="71"/>
      <c r="AT187" s="71" t="s">
        <v>96</v>
      </c>
      <c r="AU187" s="71"/>
      <c r="AV187" s="71" t="s">
        <v>95</v>
      </c>
      <c r="AW187" s="71"/>
      <c r="AX187" s="71"/>
      <c r="AY187" s="71"/>
      <c r="AZ187" s="71"/>
      <c r="BA187" s="71"/>
      <c r="BB187" s="70" t="s">
        <v>218</v>
      </c>
      <c r="BC187" s="70" t="s">
        <v>98</v>
      </c>
      <c r="BD187" s="72" t="str">
        <f>IF('Cálculo MP'!K197="","",'Cálculo MP'!K197)</f>
        <v/>
      </c>
      <c r="BE187" s="72" t="str">
        <f>IF('Cálculo MP'!L197="","",'Cálculo MP'!L197)</f>
        <v/>
      </c>
      <c r="BF187" s="72" t="str">
        <f>IF('Cálculo MP'!M197="","",'Cálculo MP'!M197)</f>
        <v/>
      </c>
      <c r="BG187" s="72" t="str">
        <f>IF('Cálculo MP'!N197="","",'Cálculo MP'!N197)</f>
        <v/>
      </c>
      <c r="BH187" s="72" t="str">
        <f>IF('Cálculo MP'!O197="","",'Cálculo MP'!O197)</f>
        <v/>
      </c>
      <c r="BI187" s="72" t="str">
        <f>IF('Cálculo MP'!P197="","",'Cálculo MP'!P197)</f>
        <v/>
      </c>
      <c r="BJ187" s="72" t="str">
        <f>IF('Cálculo MP'!Q197="","",'Cálculo MP'!Q197)</f>
        <v/>
      </c>
      <c r="BK187" s="72" t="str">
        <f>IF('Cálculo MP'!R197="","",'Cálculo MP'!R197)</f>
        <v/>
      </c>
      <c r="BL187" s="72" t="str">
        <f>IF('Cálculo MP'!S197="","",'Cálculo MP'!S197)</f>
        <v/>
      </c>
      <c r="BM187" s="71"/>
      <c r="BN187" s="71"/>
      <c r="BO187" s="71"/>
      <c r="BP187" s="71"/>
      <c r="BQ187" s="71"/>
      <c r="BR187" s="71"/>
      <c r="BS187" s="71"/>
    </row>
    <row r="188" spans="1:71" ht="19.5" customHeight="1" x14ac:dyDescent="0.15">
      <c r="A188" s="56" t="s">
        <v>985</v>
      </c>
      <c r="B188" s="57" t="s">
        <v>986</v>
      </c>
      <c r="C188" s="58" t="s">
        <v>985</v>
      </c>
      <c r="D188" s="59" t="s">
        <v>985</v>
      </c>
      <c r="E188" s="61"/>
      <c r="F188" s="60" t="s">
        <v>95</v>
      </c>
      <c r="G188" s="61"/>
      <c r="H188" s="62"/>
      <c r="I188" s="75"/>
      <c r="J188" s="60" t="s">
        <v>95</v>
      </c>
      <c r="K188" s="64"/>
      <c r="L188" s="64"/>
      <c r="M188" s="64" t="s">
        <v>96</v>
      </c>
      <c r="N188" s="64" t="s">
        <v>97</v>
      </c>
      <c r="O188" s="65" t="s">
        <v>986</v>
      </c>
      <c r="P188" s="70" t="s">
        <v>96</v>
      </c>
      <c r="Q188" s="60" t="s">
        <v>95</v>
      </c>
      <c r="R188" s="60" t="s">
        <v>96</v>
      </c>
      <c r="S188" s="66" t="s">
        <v>96</v>
      </c>
      <c r="T188" s="67" t="s">
        <v>96</v>
      </c>
      <c r="U188" s="60" t="s">
        <v>96</v>
      </c>
      <c r="V188" s="60" t="s">
        <v>96</v>
      </c>
      <c r="W188" s="60" t="str" cm="1">
        <f t="array" ref="W188">_xlfn.LET(_xlpm.resultados,_xlfn.UNIQUE(_xlfn._xlws.FILTER(Tabla1[Proceso],(Tabla1[Metal Base]=Q188)*(Tabla1[Etiquetas]=_xlfn.TEXTJOIN(" + ",TRUE,IF((TRIM(Upload!R188:V188)="")+(LOWER(TRIM(Upload!R188:V188))="(seleccione)"),"",PROPER(TRIM(Upload!R188:V188)))))*(Tabla1[Línea2]=IFERROR(VLOOKUP(Upload!P188&amp;"*",CAT_Procesos!D:D,1,FALSE),"")))),_xlpm.cantidad,ROWS(_xlpm.resultados),IF(ISERROR(_xlpm.cantidad),"Combinación no existente",IF(_xlpm.cantidad=1,INDEX(_xlpm.resultados,1),"(seleccione)")))</f>
        <v>Combinación no existente</v>
      </c>
      <c r="X188" s="67" t="s">
        <v>96</v>
      </c>
      <c r="Y188" s="64"/>
      <c r="Z188" s="64"/>
      <c r="AA188" s="64"/>
      <c r="AB188" s="133" t="s">
        <v>96</v>
      </c>
      <c r="AC188" s="64"/>
      <c r="AD188" s="64"/>
      <c r="AE188" s="64"/>
      <c r="AF188" s="60" t="s">
        <v>96</v>
      </c>
      <c r="AG188" s="64"/>
      <c r="AH188" s="64"/>
      <c r="AI188" s="64"/>
      <c r="AJ188" s="68" t="s">
        <v>96</v>
      </c>
      <c r="AK188" s="69" t="str">
        <f t="shared" si="4"/>
        <v/>
      </c>
      <c r="AL188" s="70" t="s">
        <v>96</v>
      </c>
      <c r="AM188" s="69" t="str">
        <f t="shared" si="5"/>
        <v/>
      </c>
      <c r="AN188" s="71"/>
      <c r="AO188" s="71"/>
      <c r="AP188" s="71"/>
      <c r="AQ188" s="71"/>
      <c r="AR188" s="71" t="s">
        <v>96</v>
      </c>
      <c r="AS188" s="71"/>
      <c r="AT188" s="71" t="s">
        <v>96</v>
      </c>
      <c r="AU188" s="71"/>
      <c r="AV188" s="71" t="s">
        <v>95</v>
      </c>
      <c r="AW188" s="71"/>
      <c r="AX188" s="71"/>
      <c r="AY188" s="71"/>
      <c r="AZ188" s="71"/>
      <c r="BA188" s="71"/>
      <c r="BB188" s="70" t="s">
        <v>218</v>
      </c>
      <c r="BC188" s="70" t="s">
        <v>98</v>
      </c>
      <c r="BD188" s="72" t="str">
        <f>IF('Cálculo MP'!K198="","",'Cálculo MP'!K198)</f>
        <v/>
      </c>
      <c r="BE188" s="72" t="str">
        <f>IF('Cálculo MP'!L198="","",'Cálculo MP'!L198)</f>
        <v/>
      </c>
      <c r="BF188" s="72" t="str">
        <f>IF('Cálculo MP'!M198="","",'Cálculo MP'!M198)</f>
        <v/>
      </c>
      <c r="BG188" s="72" t="str">
        <f>IF('Cálculo MP'!N198="","",'Cálculo MP'!N198)</f>
        <v/>
      </c>
      <c r="BH188" s="72" t="str">
        <f>IF('Cálculo MP'!O198="","",'Cálculo MP'!O198)</f>
        <v/>
      </c>
      <c r="BI188" s="72" t="str">
        <f>IF('Cálculo MP'!P198="","",'Cálculo MP'!P198)</f>
        <v/>
      </c>
      <c r="BJ188" s="72" t="str">
        <f>IF('Cálculo MP'!Q198="","",'Cálculo MP'!Q198)</f>
        <v/>
      </c>
      <c r="BK188" s="72" t="str">
        <f>IF('Cálculo MP'!R198="","",'Cálculo MP'!R198)</f>
        <v/>
      </c>
      <c r="BL188" s="72" t="str">
        <f>IF('Cálculo MP'!S198="","",'Cálculo MP'!S198)</f>
        <v/>
      </c>
      <c r="BM188" s="71"/>
      <c r="BN188" s="71"/>
      <c r="BO188" s="71"/>
      <c r="BP188" s="71"/>
      <c r="BQ188" s="71"/>
      <c r="BR188" s="71"/>
      <c r="BS188" s="71"/>
    </row>
    <row r="189" spans="1:71" ht="19.5" customHeight="1" x14ac:dyDescent="0.15">
      <c r="A189" s="56" t="s">
        <v>985</v>
      </c>
      <c r="B189" s="57" t="s">
        <v>986</v>
      </c>
      <c r="C189" s="58" t="s">
        <v>985</v>
      </c>
      <c r="D189" s="59" t="s">
        <v>985</v>
      </c>
      <c r="E189" s="61"/>
      <c r="F189" s="60" t="s">
        <v>95</v>
      </c>
      <c r="G189" s="61"/>
      <c r="H189" s="62"/>
      <c r="I189" s="75"/>
      <c r="J189" s="60" t="s">
        <v>95</v>
      </c>
      <c r="K189" s="64"/>
      <c r="L189" s="64"/>
      <c r="M189" s="64" t="s">
        <v>96</v>
      </c>
      <c r="N189" s="64" t="s">
        <v>97</v>
      </c>
      <c r="O189" s="65" t="s">
        <v>986</v>
      </c>
      <c r="P189" s="70" t="s">
        <v>96</v>
      </c>
      <c r="Q189" s="60" t="s">
        <v>95</v>
      </c>
      <c r="R189" s="60" t="s">
        <v>96</v>
      </c>
      <c r="S189" s="66" t="s">
        <v>96</v>
      </c>
      <c r="T189" s="67" t="s">
        <v>96</v>
      </c>
      <c r="U189" s="60" t="s">
        <v>96</v>
      </c>
      <c r="V189" s="60" t="s">
        <v>96</v>
      </c>
      <c r="W189" s="60" t="str" cm="1">
        <f t="array" ref="W189">_xlfn.LET(_xlpm.resultados,_xlfn.UNIQUE(_xlfn._xlws.FILTER(Tabla1[Proceso],(Tabla1[Metal Base]=Q189)*(Tabla1[Etiquetas]=_xlfn.TEXTJOIN(" + ",TRUE,IF((TRIM(Upload!R189:V189)="")+(LOWER(TRIM(Upload!R189:V189))="(seleccione)"),"",PROPER(TRIM(Upload!R189:V189)))))*(Tabla1[Línea2]=IFERROR(VLOOKUP(Upload!P189&amp;"*",CAT_Procesos!D:D,1,FALSE),"")))),_xlpm.cantidad,ROWS(_xlpm.resultados),IF(ISERROR(_xlpm.cantidad),"Combinación no existente",IF(_xlpm.cantidad=1,INDEX(_xlpm.resultados,1),"(seleccione)")))</f>
        <v>Combinación no existente</v>
      </c>
      <c r="X189" s="67" t="s">
        <v>96</v>
      </c>
      <c r="Y189" s="64"/>
      <c r="Z189" s="64"/>
      <c r="AA189" s="64"/>
      <c r="AB189" s="133" t="s">
        <v>96</v>
      </c>
      <c r="AC189" s="64"/>
      <c r="AD189" s="64"/>
      <c r="AE189" s="64"/>
      <c r="AF189" s="60" t="s">
        <v>96</v>
      </c>
      <c r="AG189" s="64"/>
      <c r="AH189" s="64"/>
      <c r="AI189" s="64"/>
      <c r="AJ189" s="68" t="s">
        <v>96</v>
      </c>
      <c r="AK189" s="69" t="str">
        <f t="shared" si="4"/>
        <v/>
      </c>
      <c r="AL189" s="70" t="s">
        <v>96</v>
      </c>
      <c r="AM189" s="69" t="str">
        <f t="shared" si="5"/>
        <v/>
      </c>
      <c r="AN189" s="71"/>
      <c r="AO189" s="71"/>
      <c r="AP189" s="71"/>
      <c r="AQ189" s="71"/>
      <c r="AR189" s="71" t="s">
        <v>96</v>
      </c>
      <c r="AS189" s="71"/>
      <c r="AT189" s="71" t="s">
        <v>96</v>
      </c>
      <c r="AU189" s="71"/>
      <c r="AV189" s="71" t="s">
        <v>95</v>
      </c>
      <c r="AW189" s="71"/>
      <c r="AX189" s="71"/>
      <c r="AY189" s="71"/>
      <c r="AZ189" s="71"/>
      <c r="BA189" s="71"/>
      <c r="BB189" s="70" t="s">
        <v>218</v>
      </c>
      <c r="BC189" s="70" t="s">
        <v>98</v>
      </c>
      <c r="BD189" s="72" t="str">
        <f>IF('Cálculo MP'!K199="","",'Cálculo MP'!K199)</f>
        <v/>
      </c>
      <c r="BE189" s="72" t="str">
        <f>IF('Cálculo MP'!L199="","",'Cálculo MP'!L199)</f>
        <v/>
      </c>
      <c r="BF189" s="72" t="str">
        <f>IF('Cálculo MP'!M199="","",'Cálculo MP'!M199)</f>
        <v/>
      </c>
      <c r="BG189" s="72" t="str">
        <f>IF('Cálculo MP'!N199="","",'Cálculo MP'!N199)</f>
        <v/>
      </c>
      <c r="BH189" s="72" t="str">
        <f>IF('Cálculo MP'!O199="","",'Cálculo MP'!O199)</f>
        <v/>
      </c>
      <c r="BI189" s="72" t="str">
        <f>IF('Cálculo MP'!P199="","",'Cálculo MP'!P199)</f>
        <v/>
      </c>
      <c r="BJ189" s="72" t="str">
        <f>IF('Cálculo MP'!Q199="","",'Cálculo MP'!Q199)</f>
        <v/>
      </c>
      <c r="BK189" s="72" t="str">
        <f>IF('Cálculo MP'!R199="","",'Cálculo MP'!R199)</f>
        <v/>
      </c>
      <c r="BL189" s="72" t="str">
        <f>IF('Cálculo MP'!S199="","",'Cálculo MP'!S199)</f>
        <v/>
      </c>
      <c r="BM189" s="71"/>
      <c r="BN189" s="71"/>
      <c r="BO189" s="71"/>
      <c r="BP189" s="71"/>
      <c r="BQ189" s="71"/>
      <c r="BR189" s="71"/>
      <c r="BS189" s="71"/>
    </row>
    <row r="190" spans="1:71" ht="19.5" customHeight="1" x14ac:dyDescent="0.15">
      <c r="A190" s="56" t="s">
        <v>985</v>
      </c>
      <c r="B190" s="57" t="s">
        <v>986</v>
      </c>
      <c r="C190" s="58" t="s">
        <v>985</v>
      </c>
      <c r="D190" s="59" t="s">
        <v>985</v>
      </c>
      <c r="E190" s="61"/>
      <c r="F190" s="60" t="s">
        <v>95</v>
      </c>
      <c r="G190" s="61"/>
      <c r="H190" s="62"/>
      <c r="I190" s="75"/>
      <c r="J190" s="60" t="s">
        <v>95</v>
      </c>
      <c r="K190" s="64"/>
      <c r="L190" s="64"/>
      <c r="M190" s="64" t="s">
        <v>96</v>
      </c>
      <c r="N190" s="64" t="s">
        <v>97</v>
      </c>
      <c r="O190" s="65" t="s">
        <v>986</v>
      </c>
      <c r="P190" s="70" t="s">
        <v>96</v>
      </c>
      <c r="Q190" s="60" t="s">
        <v>95</v>
      </c>
      <c r="R190" s="60" t="s">
        <v>96</v>
      </c>
      <c r="S190" s="66" t="s">
        <v>96</v>
      </c>
      <c r="T190" s="67" t="s">
        <v>96</v>
      </c>
      <c r="U190" s="60" t="s">
        <v>96</v>
      </c>
      <c r="V190" s="60" t="s">
        <v>96</v>
      </c>
      <c r="W190" s="60" t="str" cm="1">
        <f t="array" ref="W190">_xlfn.LET(_xlpm.resultados,_xlfn.UNIQUE(_xlfn._xlws.FILTER(Tabla1[Proceso],(Tabla1[Metal Base]=Q190)*(Tabla1[Etiquetas]=_xlfn.TEXTJOIN(" + ",TRUE,IF((TRIM(Upload!R190:V190)="")+(LOWER(TRIM(Upload!R190:V190))="(seleccione)"),"",PROPER(TRIM(Upload!R190:V190)))))*(Tabla1[Línea2]=IFERROR(VLOOKUP(Upload!P190&amp;"*",CAT_Procesos!D:D,1,FALSE),"")))),_xlpm.cantidad,ROWS(_xlpm.resultados),IF(ISERROR(_xlpm.cantidad),"Combinación no existente",IF(_xlpm.cantidad=1,INDEX(_xlpm.resultados,1),"(seleccione)")))</f>
        <v>Combinación no existente</v>
      </c>
      <c r="X190" s="67" t="s">
        <v>96</v>
      </c>
      <c r="Y190" s="64"/>
      <c r="Z190" s="64"/>
      <c r="AA190" s="64"/>
      <c r="AB190" s="133" t="s">
        <v>96</v>
      </c>
      <c r="AC190" s="64"/>
      <c r="AD190" s="64"/>
      <c r="AE190" s="64"/>
      <c r="AF190" s="60" t="s">
        <v>96</v>
      </c>
      <c r="AG190" s="64"/>
      <c r="AH190" s="64"/>
      <c r="AI190" s="64"/>
      <c r="AJ190" s="68" t="s">
        <v>96</v>
      </c>
      <c r="AK190" s="69" t="str">
        <f t="shared" si="4"/>
        <v/>
      </c>
      <c r="AL190" s="70" t="s">
        <v>96</v>
      </c>
      <c r="AM190" s="69" t="str">
        <f t="shared" si="5"/>
        <v/>
      </c>
      <c r="AN190" s="71"/>
      <c r="AO190" s="71"/>
      <c r="AP190" s="71"/>
      <c r="AQ190" s="71"/>
      <c r="AR190" s="71" t="s">
        <v>96</v>
      </c>
      <c r="AS190" s="71"/>
      <c r="AT190" s="71" t="s">
        <v>96</v>
      </c>
      <c r="AU190" s="71"/>
      <c r="AV190" s="71" t="s">
        <v>95</v>
      </c>
      <c r="AW190" s="71"/>
      <c r="AX190" s="71"/>
      <c r="AY190" s="71"/>
      <c r="AZ190" s="71"/>
      <c r="BA190" s="71"/>
      <c r="BB190" s="70" t="s">
        <v>218</v>
      </c>
      <c r="BC190" s="70" t="s">
        <v>98</v>
      </c>
      <c r="BD190" s="72" t="str">
        <f>IF('Cálculo MP'!K200="","",'Cálculo MP'!K200)</f>
        <v/>
      </c>
      <c r="BE190" s="72" t="str">
        <f>IF('Cálculo MP'!L200="","",'Cálculo MP'!L200)</f>
        <v/>
      </c>
      <c r="BF190" s="72" t="str">
        <f>IF('Cálculo MP'!M200="","",'Cálculo MP'!M200)</f>
        <v/>
      </c>
      <c r="BG190" s="72" t="str">
        <f>IF('Cálculo MP'!N200="","",'Cálculo MP'!N200)</f>
        <v/>
      </c>
      <c r="BH190" s="72" t="str">
        <f>IF('Cálculo MP'!O200="","",'Cálculo MP'!O200)</f>
        <v/>
      </c>
      <c r="BI190" s="72" t="str">
        <f>IF('Cálculo MP'!P200="","",'Cálculo MP'!P200)</f>
        <v/>
      </c>
      <c r="BJ190" s="72" t="str">
        <f>IF('Cálculo MP'!Q200="","",'Cálculo MP'!Q200)</f>
        <v/>
      </c>
      <c r="BK190" s="72" t="str">
        <f>IF('Cálculo MP'!R200="","",'Cálculo MP'!R200)</f>
        <v/>
      </c>
      <c r="BL190" s="72" t="str">
        <f>IF('Cálculo MP'!S200="","",'Cálculo MP'!S200)</f>
        <v/>
      </c>
      <c r="BM190" s="71"/>
      <c r="BN190" s="71"/>
      <c r="BO190" s="71"/>
      <c r="BP190" s="71"/>
      <c r="BQ190" s="71"/>
      <c r="BR190" s="71"/>
      <c r="BS190" s="71"/>
    </row>
    <row r="191" spans="1:71" ht="19.5" customHeight="1" x14ac:dyDescent="0.15">
      <c r="A191" s="56" t="s">
        <v>985</v>
      </c>
      <c r="B191" s="57" t="s">
        <v>986</v>
      </c>
      <c r="C191" s="58" t="s">
        <v>985</v>
      </c>
      <c r="D191" s="59" t="s">
        <v>985</v>
      </c>
      <c r="E191" s="61"/>
      <c r="F191" s="60" t="s">
        <v>95</v>
      </c>
      <c r="G191" s="61"/>
      <c r="H191" s="62"/>
      <c r="I191" s="75"/>
      <c r="J191" s="60" t="s">
        <v>95</v>
      </c>
      <c r="K191" s="64"/>
      <c r="L191" s="64"/>
      <c r="M191" s="64" t="s">
        <v>96</v>
      </c>
      <c r="N191" s="64" t="s">
        <v>97</v>
      </c>
      <c r="O191" s="65" t="s">
        <v>986</v>
      </c>
      <c r="P191" s="70" t="s">
        <v>96</v>
      </c>
      <c r="Q191" s="60" t="s">
        <v>95</v>
      </c>
      <c r="R191" s="60" t="s">
        <v>96</v>
      </c>
      <c r="S191" s="66" t="s">
        <v>96</v>
      </c>
      <c r="T191" s="67" t="s">
        <v>96</v>
      </c>
      <c r="U191" s="60" t="s">
        <v>96</v>
      </c>
      <c r="V191" s="60" t="s">
        <v>96</v>
      </c>
      <c r="W191" s="60" t="str" cm="1">
        <f t="array" ref="W191">_xlfn.LET(_xlpm.resultados,_xlfn.UNIQUE(_xlfn._xlws.FILTER(Tabla1[Proceso],(Tabla1[Metal Base]=Q191)*(Tabla1[Etiquetas]=_xlfn.TEXTJOIN(" + ",TRUE,IF((TRIM(Upload!R191:V191)="")+(LOWER(TRIM(Upload!R191:V191))="(seleccione)"),"",PROPER(TRIM(Upload!R191:V191)))))*(Tabla1[Línea2]=IFERROR(VLOOKUP(Upload!P191&amp;"*",CAT_Procesos!D:D,1,FALSE),"")))),_xlpm.cantidad,ROWS(_xlpm.resultados),IF(ISERROR(_xlpm.cantidad),"Combinación no existente",IF(_xlpm.cantidad=1,INDEX(_xlpm.resultados,1),"(seleccione)")))</f>
        <v>Combinación no existente</v>
      </c>
      <c r="X191" s="67" t="s">
        <v>96</v>
      </c>
      <c r="Y191" s="64"/>
      <c r="Z191" s="64"/>
      <c r="AA191" s="64"/>
      <c r="AB191" s="133" t="s">
        <v>96</v>
      </c>
      <c r="AC191" s="64"/>
      <c r="AD191" s="64"/>
      <c r="AE191" s="64"/>
      <c r="AF191" s="60" t="s">
        <v>96</v>
      </c>
      <c r="AG191" s="64"/>
      <c r="AH191" s="64"/>
      <c r="AI191" s="64"/>
      <c r="AJ191" s="68" t="s">
        <v>96</v>
      </c>
      <c r="AK191" s="69" t="str">
        <f t="shared" si="4"/>
        <v/>
      </c>
      <c r="AL191" s="70" t="s">
        <v>96</v>
      </c>
      <c r="AM191" s="69" t="str">
        <f t="shared" si="5"/>
        <v/>
      </c>
      <c r="AN191" s="71"/>
      <c r="AO191" s="71"/>
      <c r="AP191" s="71"/>
      <c r="AQ191" s="71"/>
      <c r="AR191" s="71" t="s">
        <v>96</v>
      </c>
      <c r="AS191" s="71"/>
      <c r="AT191" s="71" t="s">
        <v>96</v>
      </c>
      <c r="AU191" s="71"/>
      <c r="AV191" s="71" t="s">
        <v>95</v>
      </c>
      <c r="AW191" s="71"/>
      <c r="AX191" s="71"/>
      <c r="AY191" s="71"/>
      <c r="AZ191" s="71"/>
      <c r="BA191" s="71"/>
      <c r="BB191" s="70" t="s">
        <v>218</v>
      </c>
      <c r="BC191" s="70" t="s">
        <v>98</v>
      </c>
      <c r="BD191" s="72" t="str">
        <f>IF('Cálculo MP'!K201="","",'Cálculo MP'!K201)</f>
        <v/>
      </c>
      <c r="BE191" s="72" t="str">
        <f>IF('Cálculo MP'!L201="","",'Cálculo MP'!L201)</f>
        <v/>
      </c>
      <c r="BF191" s="72" t="str">
        <f>IF('Cálculo MP'!M201="","",'Cálculo MP'!M201)</f>
        <v/>
      </c>
      <c r="BG191" s="72" t="str">
        <f>IF('Cálculo MP'!N201="","",'Cálculo MP'!N201)</f>
        <v/>
      </c>
      <c r="BH191" s="72" t="str">
        <f>IF('Cálculo MP'!O201="","",'Cálculo MP'!O201)</f>
        <v/>
      </c>
      <c r="BI191" s="72" t="str">
        <f>IF('Cálculo MP'!P201="","",'Cálculo MP'!P201)</f>
        <v/>
      </c>
      <c r="BJ191" s="72" t="str">
        <f>IF('Cálculo MP'!Q201="","",'Cálculo MP'!Q201)</f>
        <v/>
      </c>
      <c r="BK191" s="72" t="str">
        <f>IF('Cálculo MP'!R201="","",'Cálculo MP'!R201)</f>
        <v/>
      </c>
      <c r="BL191" s="72" t="str">
        <f>IF('Cálculo MP'!S201="","",'Cálculo MP'!S201)</f>
        <v/>
      </c>
      <c r="BM191" s="71"/>
      <c r="BN191" s="71"/>
      <c r="BO191" s="71"/>
      <c r="BP191" s="71"/>
      <c r="BQ191" s="71"/>
      <c r="BR191" s="71"/>
      <c r="BS191" s="71"/>
    </row>
    <row r="192" spans="1:71" ht="19.5" customHeight="1" x14ac:dyDescent="0.15">
      <c r="A192" s="56" t="s">
        <v>985</v>
      </c>
      <c r="B192" s="57" t="s">
        <v>986</v>
      </c>
      <c r="C192" s="58" t="s">
        <v>985</v>
      </c>
      <c r="D192" s="59" t="s">
        <v>985</v>
      </c>
      <c r="E192" s="61"/>
      <c r="F192" s="60" t="s">
        <v>95</v>
      </c>
      <c r="G192" s="61"/>
      <c r="H192" s="62"/>
      <c r="I192" s="75"/>
      <c r="J192" s="60" t="s">
        <v>95</v>
      </c>
      <c r="K192" s="64"/>
      <c r="L192" s="64"/>
      <c r="M192" s="64" t="s">
        <v>96</v>
      </c>
      <c r="N192" s="64" t="s">
        <v>97</v>
      </c>
      <c r="O192" s="65" t="s">
        <v>986</v>
      </c>
      <c r="P192" s="70" t="s">
        <v>96</v>
      </c>
      <c r="Q192" s="60" t="s">
        <v>95</v>
      </c>
      <c r="R192" s="60" t="s">
        <v>96</v>
      </c>
      <c r="S192" s="66" t="s">
        <v>96</v>
      </c>
      <c r="T192" s="67" t="s">
        <v>96</v>
      </c>
      <c r="U192" s="60" t="s">
        <v>96</v>
      </c>
      <c r="V192" s="60" t="s">
        <v>96</v>
      </c>
      <c r="W192" s="60" t="str" cm="1">
        <f t="array" ref="W192">_xlfn.LET(_xlpm.resultados,_xlfn.UNIQUE(_xlfn._xlws.FILTER(Tabla1[Proceso],(Tabla1[Metal Base]=Q192)*(Tabla1[Etiquetas]=_xlfn.TEXTJOIN(" + ",TRUE,IF((TRIM(Upload!R192:V192)="")+(LOWER(TRIM(Upload!R192:V192))="(seleccione)"),"",PROPER(TRIM(Upload!R192:V192)))))*(Tabla1[Línea2]=IFERROR(VLOOKUP(Upload!P192&amp;"*",CAT_Procesos!D:D,1,FALSE),"")))),_xlpm.cantidad,ROWS(_xlpm.resultados),IF(ISERROR(_xlpm.cantidad),"Combinación no existente",IF(_xlpm.cantidad=1,INDEX(_xlpm.resultados,1),"(seleccione)")))</f>
        <v>Combinación no existente</v>
      </c>
      <c r="X192" s="67" t="s">
        <v>96</v>
      </c>
      <c r="Y192" s="64"/>
      <c r="Z192" s="64"/>
      <c r="AA192" s="64"/>
      <c r="AB192" s="133" t="s">
        <v>96</v>
      </c>
      <c r="AC192" s="64"/>
      <c r="AD192" s="64"/>
      <c r="AE192" s="64"/>
      <c r="AF192" s="60" t="s">
        <v>96</v>
      </c>
      <c r="AG192" s="64"/>
      <c r="AH192" s="64"/>
      <c r="AI192" s="64"/>
      <c r="AJ192" s="68" t="s">
        <v>96</v>
      </c>
      <c r="AK192" s="69" t="str">
        <f t="shared" si="4"/>
        <v/>
      </c>
      <c r="AL192" s="70" t="s">
        <v>96</v>
      </c>
      <c r="AM192" s="69" t="str">
        <f t="shared" si="5"/>
        <v/>
      </c>
      <c r="AN192" s="71"/>
      <c r="AO192" s="71"/>
      <c r="AP192" s="71"/>
      <c r="AQ192" s="71"/>
      <c r="AR192" s="71" t="s">
        <v>96</v>
      </c>
      <c r="AS192" s="71"/>
      <c r="AT192" s="71" t="s">
        <v>96</v>
      </c>
      <c r="AU192" s="71"/>
      <c r="AV192" s="71" t="s">
        <v>95</v>
      </c>
      <c r="AW192" s="71"/>
      <c r="AX192" s="71"/>
      <c r="AY192" s="71"/>
      <c r="AZ192" s="71"/>
      <c r="BA192" s="71"/>
      <c r="BB192" s="70" t="s">
        <v>218</v>
      </c>
      <c r="BC192" s="70" t="s">
        <v>98</v>
      </c>
      <c r="BD192" s="72" t="str">
        <f>IF('Cálculo MP'!K202="","",'Cálculo MP'!K202)</f>
        <v/>
      </c>
      <c r="BE192" s="72" t="str">
        <f>IF('Cálculo MP'!L202="","",'Cálculo MP'!L202)</f>
        <v/>
      </c>
      <c r="BF192" s="72" t="str">
        <f>IF('Cálculo MP'!M202="","",'Cálculo MP'!M202)</f>
        <v/>
      </c>
      <c r="BG192" s="72" t="str">
        <f>IF('Cálculo MP'!N202="","",'Cálculo MP'!N202)</f>
        <v/>
      </c>
      <c r="BH192" s="72" t="str">
        <f>IF('Cálculo MP'!O202="","",'Cálculo MP'!O202)</f>
        <v/>
      </c>
      <c r="BI192" s="72" t="str">
        <f>IF('Cálculo MP'!P202="","",'Cálculo MP'!P202)</f>
        <v/>
      </c>
      <c r="BJ192" s="72" t="str">
        <f>IF('Cálculo MP'!Q202="","",'Cálculo MP'!Q202)</f>
        <v/>
      </c>
      <c r="BK192" s="72" t="str">
        <f>IF('Cálculo MP'!R202="","",'Cálculo MP'!R202)</f>
        <v/>
      </c>
      <c r="BL192" s="72" t="str">
        <f>IF('Cálculo MP'!S202="","",'Cálculo MP'!S202)</f>
        <v/>
      </c>
      <c r="BM192" s="71"/>
      <c r="BN192" s="71"/>
      <c r="BO192" s="71"/>
      <c r="BP192" s="71"/>
      <c r="BQ192" s="71"/>
      <c r="BR192" s="71"/>
      <c r="BS192" s="71"/>
    </row>
    <row r="193" spans="1:71" ht="19.5" customHeight="1" x14ac:dyDescent="0.15">
      <c r="A193" s="56" t="s">
        <v>985</v>
      </c>
      <c r="B193" s="57" t="s">
        <v>986</v>
      </c>
      <c r="C193" s="58" t="s">
        <v>985</v>
      </c>
      <c r="D193" s="59" t="s">
        <v>985</v>
      </c>
      <c r="E193" s="61"/>
      <c r="F193" s="60" t="s">
        <v>95</v>
      </c>
      <c r="G193" s="61"/>
      <c r="H193" s="62"/>
      <c r="I193" s="75"/>
      <c r="J193" s="60" t="s">
        <v>95</v>
      </c>
      <c r="K193" s="64"/>
      <c r="L193" s="64"/>
      <c r="M193" s="64" t="s">
        <v>96</v>
      </c>
      <c r="N193" s="64" t="s">
        <v>97</v>
      </c>
      <c r="O193" s="65" t="s">
        <v>986</v>
      </c>
      <c r="P193" s="70" t="s">
        <v>96</v>
      </c>
      <c r="Q193" s="60" t="s">
        <v>95</v>
      </c>
      <c r="R193" s="60" t="s">
        <v>96</v>
      </c>
      <c r="S193" s="66" t="s">
        <v>96</v>
      </c>
      <c r="T193" s="67" t="s">
        <v>96</v>
      </c>
      <c r="U193" s="60" t="s">
        <v>96</v>
      </c>
      <c r="V193" s="60" t="s">
        <v>96</v>
      </c>
      <c r="W193" s="60" t="str" cm="1">
        <f t="array" ref="W193">_xlfn.LET(_xlpm.resultados,_xlfn.UNIQUE(_xlfn._xlws.FILTER(Tabla1[Proceso],(Tabla1[Metal Base]=Q193)*(Tabla1[Etiquetas]=_xlfn.TEXTJOIN(" + ",TRUE,IF((TRIM(Upload!R193:V193)="")+(LOWER(TRIM(Upload!R193:V193))="(seleccione)"),"",PROPER(TRIM(Upload!R193:V193)))))*(Tabla1[Línea2]=IFERROR(VLOOKUP(Upload!P193&amp;"*",CAT_Procesos!D:D,1,FALSE),"")))),_xlpm.cantidad,ROWS(_xlpm.resultados),IF(ISERROR(_xlpm.cantidad),"Combinación no existente",IF(_xlpm.cantidad=1,INDEX(_xlpm.resultados,1),"(seleccione)")))</f>
        <v>Combinación no existente</v>
      </c>
      <c r="X193" s="67" t="s">
        <v>96</v>
      </c>
      <c r="Y193" s="64"/>
      <c r="Z193" s="64"/>
      <c r="AA193" s="64"/>
      <c r="AB193" s="133" t="s">
        <v>96</v>
      </c>
      <c r="AC193" s="64"/>
      <c r="AD193" s="64"/>
      <c r="AE193" s="64"/>
      <c r="AF193" s="60" t="s">
        <v>96</v>
      </c>
      <c r="AG193" s="64"/>
      <c r="AH193" s="64"/>
      <c r="AI193" s="64"/>
      <c r="AJ193" s="68" t="s">
        <v>96</v>
      </c>
      <c r="AK193" s="69" t="str">
        <f t="shared" si="4"/>
        <v/>
      </c>
      <c r="AL193" s="70" t="s">
        <v>96</v>
      </c>
      <c r="AM193" s="69" t="str">
        <f t="shared" si="5"/>
        <v/>
      </c>
      <c r="AN193" s="71"/>
      <c r="AO193" s="71"/>
      <c r="AP193" s="71"/>
      <c r="AQ193" s="71"/>
      <c r="AR193" s="71" t="s">
        <v>96</v>
      </c>
      <c r="AS193" s="71"/>
      <c r="AT193" s="71" t="s">
        <v>96</v>
      </c>
      <c r="AU193" s="71"/>
      <c r="AV193" s="71" t="s">
        <v>95</v>
      </c>
      <c r="AW193" s="71"/>
      <c r="AX193" s="71"/>
      <c r="AY193" s="71"/>
      <c r="AZ193" s="71"/>
      <c r="BA193" s="71"/>
      <c r="BB193" s="70" t="s">
        <v>218</v>
      </c>
      <c r="BC193" s="70" t="s">
        <v>98</v>
      </c>
      <c r="BD193" s="72" t="str">
        <f>IF('Cálculo MP'!K203="","",'Cálculo MP'!K203)</f>
        <v/>
      </c>
      <c r="BE193" s="72" t="str">
        <f>IF('Cálculo MP'!L203="","",'Cálculo MP'!L203)</f>
        <v/>
      </c>
      <c r="BF193" s="72" t="str">
        <f>IF('Cálculo MP'!M203="","",'Cálculo MP'!M203)</f>
        <v/>
      </c>
      <c r="BG193" s="72" t="str">
        <f>IF('Cálculo MP'!N203="","",'Cálculo MP'!N203)</f>
        <v/>
      </c>
      <c r="BH193" s="72" t="str">
        <f>IF('Cálculo MP'!O203="","",'Cálculo MP'!O203)</f>
        <v/>
      </c>
      <c r="BI193" s="72" t="str">
        <f>IF('Cálculo MP'!P203="","",'Cálculo MP'!P203)</f>
        <v/>
      </c>
      <c r="BJ193" s="72" t="str">
        <f>IF('Cálculo MP'!Q203="","",'Cálculo MP'!Q203)</f>
        <v/>
      </c>
      <c r="BK193" s="72" t="str">
        <f>IF('Cálculo MP'!R203="","",'Cálculo MP'!R203)</f>
        <v/>
      </c>
      <c r="BL193" s="72" t="str">
        <f>IF('Cálculo MP'!S203="","",'Cálculo MP'!S203)</f>
        <v/>
      </c>
      <c r="BM193" s="71"/>
      <c r="BN193" s="71"/>
      <c r="BO193" s="71"/>
      <c r="BP193" s="71"/>
      <c r="BQ193" s="71"/>
      <c r="BR193" s="71"/>
      <c r="BS193" s="71"/>
    </row>
    <row r="194" spans="1:71" ht="19.5" customHeight="1" x14ac:dyDescent="0.15">
      <c r="A194" s="56" t="s">
        <v>985</v>
      </c>
      <c r="B194" s="57" t="s">
        <v>986</v>
      </c>
      <c r="C194" s="58" t="s">
        <v>985</v>
      </c>
      <c r="D194" s="59" t="s">
        <v>985</v>
      </c>
      <c r="E194" s="61"/>
      <c r="F194" s="60" t="s">
        <v>95</v>
      </c>
      <c r="G194" s="61"/>
      <c r="H194" s="62"/>
      <c r="I194" s="75"/>
      <c r="J194" s="60" t="s">
        <v>95</v>
      </c>
      <c r="K194" s="64"/>
      <c r="L194" s="64"/>
      <c r="M194" s="64" t="s">
        <v>96</v>
      </c>
      <c r="N194" s="64" t="s">
        <v>97</v>
      </c>
      <c r="O194" s="65" t="s">
        <v>986</v>
      </c>
      <c r="P194" s="70" t="s">
        <v>96</v>
      </c>
      <c r="Q194" s="60" t="s">
        <v>95</v>
      </c>
      <c r="R194" s="60" t="s">
        <v>96</v>
      </c>
      <c r="S194" s="66" t="s">
        <v>96</v>
      </c>
      <c r="T194" s="67" t="s">
        <v>96</v>
      </c>
      <c r="U194" s="60" t="s">
        <v>96</v>
      </c>
      <c r="V194" s="60" t="s">
        <v>96</v>
      </c>
      <c r="W194" s="60" t="str" cm="1">
        <f t="array" ref="W194">_xlfn.LET(_xlpm.resultados,_xlfn.UNIQUE(_xlfn._xlws.FILTER(Tabla1[Proceso],(Tabla1[Metal Base]=Q194)*(Tabla1[Etiquetas]=_xlfn.TEXTJOIN(" + ",TRUE,IF((TRIM(Upload!R194:V194)="")+(LOWER(TRIM(Upload!R194:V194))="(seleccione)"),"",PROPER(TRIM(Upload!R194:V194)))))*(Tabla1[Línea2]=IFERROR(VLOOKUP(Upload!P194&amp;"*",CAT_Procesos!D:D,1,FALSE),"")))),_xlpm.cantidad,ROWS(_xlpm.resultados),IF(ISERROR(_xlpm.cantidad),"Combinación no existente",IF(_xlpm.cantidad=1,INDEX(_xlpm.resultados,1),"(seleccione)")))</f>
        <v>Combinación no existente</v>
      </c>
      <c r="X194" s="67" t="s">
        <v>96</v>
      </c>
      <c r="Y194" s="64"/>
      <c r="Z194" s="64"/>
      <c r="AA194" s="64"/>
      <c r="AB194" s="133" t="s">
        <v>96</v>
      </c>
      <c r="AC194" s="64"/>
      <c r="AD194" s="64"/>
      <c r="AE194" s="64"/>
      <c r="AF194" s="60" t="s">
        <v>96</v>
      </c>
      <c r="AG194" s="64"/>
      <c r="AH194" s="64"/>
      <c r="AI194" s="64"/>
      <c r="AJ194" s="68" t="s">
        <v>96</v>
      </c>
      <c r="AK194" s="69" t="str">
        <f t="shared" si="4"/>
        <v/>
      </c>
      <c r="AL194" s="70" t="s">
        <v>96</v>
      </c>
      <c r="AM194" s="69" t="str">
        <f t="shared" si="5"/>
        <v/>
      </c>
      <c r="AN194" s="71"/>
      <c r="AO194" s="71"/>
      <c r="AP194" s="71"/>
      <c r="AQ194" s="71"/>
      <c r="AR194" s="71" t="s">
        <v>96</v>
      </c>
      <c r="AS194" s="71"/>
      <c r="AT194" s="71" t="s">
        <v>96</v>
      </c>
      <c r="AU194" s="71"/>
      <c r="AV194" s="71" t="s">
        <v>95</v>
      </c>
      <c r="AW194" s="71"/>
      <c r="AX194" s="71"/>
      <c r="AY194" s="71"/>
      <c r="AZ194" s="71"/>
      <c r="BA194" s="71"/>
      <c r="BB194" s="70" t="s">
        <v>218</v>
      </c>
      <c r="BC194" s="70" t="s">
        <v>98</v>
      </c>
      <c r="BD194" s="72" t="str">
        <f>IF('Cálculo MP'!K204="","",'Cálculo MP'!K204)</f>
        <v/>
      </c>
      <c r="BE194" s="72" t="str">
        <f>IF('Cálculo MP'!L204="","",'Cálculo MP'!L204)</f>
        <v/>
      </c>
      <c r="BF194" s="72" t="str">
        <f>IF('Cálculo MP'!M204="","",'Cálculo MP'!M204)</f>
        <v/>
      </c>
      <c r="BG194" s="72" t="str">
        <f>IF('Cálculo MP'!N204="","",'Cálculo MP'!N204)</f>
        <v/>
      </c>
      <c r="BH194" s="72" t="str">
        <f>IF('Cálculo MP'!O204="","",'Cálculo MP'!O204)</f>
        <v/>
      </c>
      <c r="BI194" s="72" t="str">
        <f>IF('Cálculo MP'!P204="","",'Cálculo MP'!P204)</f>
        <v/>
      </c>
      <c r="BJ194" s="72" t="str">
        <f>IF('Cálculo MP'!Q204="","",'Cálculo MP'!Q204)</f>
        <v/>
      </c>
      <c r="BK194" s="72" t="str">
        <f>IF('Cálculo MP'!R204="","",'Cálculo MP'!R204)</f>
        <v/>
      </c>
      <c r="BL194" s="72" t="str">
        <f>IF('Cálculo MP'!S204="","",'Cálculo MP'!S204)</f>
        <v/>
      </c>
      <c r="BM194" s="71"/>
      <c r="BN194" s="71"/>
      <c r="BO194" s="71"/>
      <c r="BP194" s="71"/>
      <c r="BQ194" s="71"/>
      <c r="BR194" s="71"/>
      <c r="BS194" s="71"/>
    </row>
    <row r="195" spans="1:71" ht="19.5" customHeight="1" x14ac:dyDescent="0.15">
      <c r="A195" s="56" t="s">
        <v>985</v>
      </c>
      <c r="B195" s="57" t="s">
        <v>986</v>
      </c>
      <c r="C195" s="58" t="s">
        <v>985</v>
      </c>
      <c r="D195" s="59" t="s">
        <v>985</v>
      </c>
      <c r="E195" s="61"/>
      <c r="F195" s="60" t="s">
        <v>95</v>
      </c>
      <c r="G195" s="61"/>
      <c r="H195" s="62"/>
      <c r="I195" s="75"/>
      <c r="J195" s="60" t="s">
        <v>95</v>
      </c>
      <c r="K195" s="64"/>
      <c r="L195" s="64"/>
      <c r="M195" s="64" t="s">
        <v>96</v>
      </c>
      <c r="N195" s="64" t="s">
        <v>97</v>
      </c>
      <c r="O195" s="65" t="s">
        <v>986</v>
      </c>
      <c r="P195" s="70" t="s">
        <v>96</v>
      </c>
      <c r="Q195" s="60" t="s">
        <v>95</v>
      </c>
      <c r="R195" s="60" t="s">
        <v>96</v>
      </c>
      <c r="S195" s="66" t="s">
        <v>96</v>
      </c>
      <c r="T195" s="67" t="s">
        <v>96</v>
      </c>
      <c r="U195" s="60" t="s">
        <v>96</v>
      </c>
      <c r="V195" s="60" t="s">
        <v>96</v>
      </c>
      <c r="W195" s="60" t="str" cm="1">
        <f t="array" ref="W195">_xlfn.LET(_xlpm.resultados,_xlfn.UNIQUE(_xlfn._xlws.FILTER(Tabla1[Proceso],(Tabla1[Metal Base]=Q195)*(Tabla1[Etiquetas]=_xlfn.TEXTJOIN(" + ",TRUE,IF((TRIM(Upload!R195:V195)="")+(LOWER(TRIM(Upload!R195:V195))="(seleccione)"),"",PROPER(TRIM(Upload!R195:V195)))))*(Tabla1[Línea2]=IFERROR(VLOOKUP(Upload!P195&amp;"*",CAT_Procesos!D:D,1,FALSE),"")))),_xlpm.cantidad,ROWS(_xlpm.resultados),IF(ISERROR(_xlpm.cantidad),"Combinación no existente",IF(_xlpm.cantidad=1,INDEX(_xlpm.resultados,1),"(seleccione)")))</f>
        <v>Combinación no existente</v>
      </c>
      <c r="X195" s="67" t="s">
        <v>96</v>
      </c>
      <c r="Y195" s="64"/>
      <c r="Z195" s="64"/>
      <c r="AA195" s="64"/>
      <c r="AB195" s="133" t="s">
        <v>96</v>
      </c>
      <c r="AC195" s="64"/>
      <c r="AD195" s="64"/>
      <c r="AE195" s="64"/>
      <c r="AF195" s="60" t="s">
        <v>96</v>
      </c>
      <c r="AG195" s="64"/>
      <c r="AH195" s="64"/>
      <c r="AI195" s="64"/>
      <c r="AJ195" s="68" t="s">
        <v>96</v>
      </c>
      <c r="AK195" s="69" t="str">
        <f t="shared" si="4"/>
        <v/>
      </c>
      <c r="AL195" s="70" t="s">
        <v>96</v>
      </c>
      <c r="AM195" s="69" t="str">
        <f t="shared" si="5"/>
        <v/>
      </c>
      <c r="AN195" s="71"/>
      <c r="AO195" s="71"/>
      <c r="AP195" s="71"/>
      <c r="AQ195" s="71"/>
      <c r="AR195" s="71" t="s">
        <v>96</v>
      </c>
      <c r="AS195" s="71"/>
      <c r="AT195" s="71" t="s">
        <v>96</v>
      </c>
      <c r="AU195" s="71"/>
      <c r="AV195" s="71" t="s">
        <v>95</v>
      </c>
      <c r="AW195" s="71"/>
      <c r="AX195" s="71"/>
      <c r="AY195" s="71"/>
      <c r="AZ195" s="71"/>
      <c r="BA195" s="71"/>
      <c r="BB195" s="70" t="s">
        <v>218</v>
      </c>
      <c r="BC195" s="70" t="s">
        <v>98</v>
      </c>
      <c r="BD195" s="72" t="str">
        <f>IF('Cálculo MP'!K205="","",'Cálculo MP'!K205)</f>
        <v/>
      </c>
      <c r="BE195" s="72" t="str">
        <f>IF('Cálculo MP'!L205="","",'Cálculo MP'!L205)</f>
        <v/>
      </c>
      <c r="BF195" s="72" t="str">
        <f>IF('Cálculo MP'!M205="","",'Cálculo MP'!M205)</f>
        <v/>
      </c>
      <c r="BG195" s="72" t="str">
        <f>IF('Cálculo MP'!N205="","",'Cálculo MP'!N205)</f>
        <v/>
      </c>
      <c r="BH195" s="72" t="str">
        <f>IF('Cálculo MP'!O205="","",'Cálculo MP'!O205)</f>
        <v/>
      </c>
      <c r="BI195" s="72" t="str">
        <f>IF('Cálculo MP'!P205="","",'Cálculo MP'!P205)</f>
        <v/>
      </c>
      <c r="BJ195" s="72" t="str">
        <f>IF('Cálculo MP'!Q205="","",'Cálculo MP'!Q205)</f>
        <v/>
      </c>
      <c r="BK195" s="72" t="str">
        <f>IF('Cálculo MP'!R205="","",'Cálculo MP'!R205)</f>
        <v/>
      </c>
      <c r="BL195" s="72" t="str">
        <f>IF('Cálculo MP'!S205="","",'Cálculo MP'!S205)</f>
        <v/>
      </c>
      <c r="BM195" s="71"/>
      <c r="BN195" s="71"/>
      <c r="BO195" s="71"/>
      <c r="BP195" s="71"/>
      <c r="BQ195" s="71"/>
      <c r="BR195" s="71"/>
      <c r="BS195" s="71"/>
    </row>
    <row r="196" spans="1:71" ht="19.5" customHeight="1" x14ac:dyDescent="0.15">
      <c r="A196" s="56" t="s">
        <v>985</v>
      </c>
      <c r="B196" s="57" t="s">
        <v>986</v>
      </c>
      <c r="C196" s="58" t="s">
        <v>985</v>
      </c>
      <c r="D196" s="59" t="s">
        <v>985</v>
      </c>
      <c r="E196" s="61"/>
      <c r="F196" s="60" t="s">
        <v>95</v>
      </c>
      <c r="G196" s="61"/>
      <c r="H196" s="62"/>
      <c r="I196" s="75"/>
      <c r="J196" s="60" t="s">
        <v>95</v>
      </c>
      <c r="K196" s="64"/>
      <c r="L196" s="64"/>
      <c r="M196" s="64" t="s">
        <v>96</v>
      </c>
      <c r="N196" s="64" t="s">
        <v>97</v>
      </c>
      <c r="O196" s="65" t="s">
        <v>986</v>
      </c>
      <c r="P196" s="70" t="s">
        <v>96</v>
      </c>
      <c r="Q196" s="60" t="s">
        <v>95</v>
      </c>
      <c r="R196" s="60" t="s">
        <v>96</v>
      </c>
      <c r="S196" s="66" t="s">
        <v>96</v>
      </c>
      <c r="T196" s="67" t="s">
        <v>96</v>
      </c>
      <c r="U196" s="60" t="s">
        <v>96</v>
      </c>
      <c r="V196" s="60" t="s">
        <v>96</v>
      </c>
      <c r="W196" s="60" t="str" cm="1">
        <f t="array" ref="W196">_xlfn.LET(_xlpm.resultados,_xlfn.UNIQUE(_xlfn._xlws.FILTER(Tabla1[Proceso],(Tabla1[Metal Base]=Q196)*(Tabla1[Etiquetas]=_xlfn.TEXTJOIN(" + ",TRUE,IF((TRIM(Upload!R196:V196)="")+(LOWER(TRIM(Upload!R196:V196))="(seleccione)"),"",PROPER(TRIM(Upload!R196:V196)))))*(Tabla1[Línea2]=IFERROR(VLOOKUP(Upload!P196&amp;"*",CAT_Procesos!D:D,1,FALSE),"")))),_xlpm.cantidad,ROWS(_xlpm.resultados),IF(ISERROR(_xlpm.cantidad),"Combinación no existente",IF(_xlpm.cantidad=1,INDEX(_xlpm.resultados,1),"(seleccione)")))</f>
        <v>Combinación no existente</v>
      </c>
      <c r="X196" s="67" t="s">
        <v>96</v>
      </c>
      <c r="Y196" s="64"/>
      <c r="Z196" s="64"/>
      <c r="AA196" s="64"/>
      <c r="AB196" s="133" t="s">
        <v>96</v>
      </c>
      <c r="AC196" s="64"/>
      <c r="AD196" s="64"/>
      <c r="AE196" s="64"/>
      <c r="AF196" s="60" t="s">
        <v>96</v>
      </c>
      <c r="AG196" s="64"/>
      <c r="AH196" s="64"/>
      <c r="AI196" s="64"/>
      <c r="AJ196" s="68" t="s">
        <v>96</v>
      </c>
      <c r="AK196" s="69" t="str">
        <f t="shared" si="4"/>
        <v/>
      </c>
      <c r="AL196" s="70" t="s">
        <v>96</v>
      </c>
      <c r="AM196" s="69" t="str">
        <f t="shared" si="5"/>
        <v/>
      </c>
      <c r="AN196" s="71"/>
      <c r="AO196" s="71"/>
      <c r="AP196" s="71"/>
      <c r="AQ196" s="71"/>
      <c r="AR196" s="71" t="s">
        <v>96</v>
      </c>
      <c r="AS196" s="71"/>
      <c r="AT196" s="71" t="s">
        <v>96</v>
      </c>
      <c r="AU196" s="71"/>
      <c r="AV196" s="71" t="s">
        <v>95</v>
      </c>
      <c r="AW196" s="71"/>
      <c r="AX196" s="71"/>
      <c r="AY196" s="71"/>
      <c r="AZ196" s="71"/>
      <c r="BA196" s="71"/>
      <c r="BB196" s="70" t="s">
        <v>218</v>
      </c>
      <c r="BC196" s="70" t="s">
        <v>98</v>
      </c>
      <c r="BD196" s="72" t="str">
        <f>IF('Cálculo MP'!K206="","",'Cálculo MP'!K206)</f>
        <v/>
      </c>
      <c r="BE196" s="72" t="str">
        <f>IF('Cálculo MP'!L206="","",'Cálculo MP'!L206)</f>
        <v/>
      </c>
      <c r="BF196" s="72" t="str">
        <f>IF('Cálculo MP'!M206="","",'Cálculo MP'!M206)</f>
        <v/>
      </c>
      <c r="BG196" s="72" t="str">
        <f>IF('Cálculo MP'!N206="","",'Cálculo MP'!N206)</f>
        <v/>
      </c>
      <c r="BH196" s="72" t="str">
        <f>IF('Cálculo MP'!O206="","",'Cálculo MP'!O206)</f>
        <v/>
      </c>
      <c r="BI196" s="72" t="str">
        <f>IF('Cálculo MP'!P206="","",'Cálculo MP'!P206)</f>
        <v/>
      </c>
      <c r="BJ196" s="72" t="str">
        <f>IF('Cálculo MP'!Q206="","",'Cálculo MP'!Q206)</f>
        <v/>
      </c>
      <c r="BK196" s="72" t="str">
        <f>IF('Cálculo MP'!R206="","",'Cálculo MP'!R206)</f>
        <v/>
      </c>
      <c r="BL196" s="72" t="str">
        <f>IF('Cálculo MP'!S206="","",'Cálculo MP'!S206)</f>
        <v/>
      </c>
      <c r="BM196" s="71"/>
      <c r="BN196" s="71"/>
      <c r="BO196" s="71"/>
      <c r="BP196" s="71"/>
      <c r="BQ196" s="71"/>
      <c r="BR196" s="71"/>
      <c r="BS196" s="71"/>
    </row>
    <row r="197" spans="1:71" ht="19.5" customHeight="1" x14ac:dyDescent="0.15">
      <c r="A197" s="56" t="s">
        <v>985</v>
      </c>
      <c r="B197" s="57" t="s">
        <v>986</v>
      </c>
      <c r="C197" s="58" t="s">
        <v>985</v>
      </c>
      <c r="D197" s="59" t="s">
        <v>985</v>
      </c>
      <c r="E197" s="61"/>
      <c r="F197" s="60" t="s">
        <v>95</v>
      </c>
      <c r="G197" s="61"/>
      <c r="H197" s="62"/>
      <c r="I197" s="75"/>
      <c r="J197" s="60" t="s">
        <v>95</v>
      </c>
      <c r="K197" s="64"/>
      <c r="L197" s="64"/>
      <c r="M197" s="64" t="s">
        <v>96</v>
      </c>
      <c r="N197" s="64" t="s">
        <v>97</v>
      </c>
      <c r="O197" s="65" t="s">
        <v>986</v>
      </c>
      <c r="P197" s="70" t="s">
        <v>96</v>
      </c>
      <c r="Q197" s="60" t="s">
        <v>95</v>
      </c>
      <c r="R197" s="60" t="s">
        <v>96</v>
      </c>
      <c r="S197" s="66" t="s">
        <v>96</v>
      </c>
      <c r="T197" s="67" t="s">
        <v>96</v>
      </c>
      <c r="U197" s="60" t="s">
        <v>96</v>
      </c>
      <c r="V197" s="60" t="s">
        <v>96</v>
      </c>
      <c r="W197" s="60" t="str" cm="1">
        <f t="array" ref="W197">_xlfn.LET(_xlpm.resultados,_xlfn.UNIQUE(_xlfn._xlws.FILTER(Tabla1[Proceso],(Tabla1[Metal Base]=Q197)*(Tabla1[Etiquetas]=_xlfn.TEXTJOIN(" + ",TRUE,IF((TRIM(Upload!R197:V197)="")+(LOWER(TRIM(Upload!R197:V197))="(seleccione)"),"",PROPER(TRIM(Upload!R197:V197)))))*(Tabla1[Línea2]=IFERROR(VLOOKUP(Upload!P197&amp;"*",CAT_Procesos!D:D,1,FALSE),"")))),_xlpm.cantidad,ROWS(_xlpm.resultados),IF(ISERROR(_xlpm.cantidad),"Combinación no existente",IF(_xlpm.cantidad=1,INDEX(_xlpm.resultados,1),"(seleccione)")))</f>
        <v>Combinación no existente</v>
      </c>
      <c r="X197" s="67" t="s">
        <v>96</v>
      </c>
      <c r="Y197" s="64"/>
      <c r="Z197" s="64"/>
      <c r="AA197" s="64"/>
      <c r="AB197" s="133" t="s">
        <v>96</v>
      </c>
      <c r="AC197" s="64"/>
      <c r="AD197" s="64"/>
      <c r="AE197" s="64"/>
      <c r="AF197" s="60" t="s">
        <v>96</v>
      </c>
      <c r="AG197" s="64"/>
      <c r="AH197" s="64"/>
      <c r="AI197" s="64"/>
      <c r="AJ197" s="68" t="s">
        <v>96</v>
      </c>
      <c r="AK197" s="69" t="str">
        <f t="shared" si="4"/>
        <v/>
      </c>
      <c r="AL197" s="70" t="s">
        <v>96</v>
      </c>
      <c r="AM197" s="69" t="str">
        <f t="shared" si="5"/>
        <v/>
      </c>
      <c r="AN197" s="71"/>
      <c r="AO197" s="71"/>
      <c r="AP197" s="71"/>
      <c r="AQ197" s="71"/>
      <c r="AR197" s="71" t="s">
        <v>96</v>
      </c>
      <c r="AS197" s="71"/>
      <c r="AT197" s="71" t="s">
        <v>96</v>
      </c>
      <c r="AU197" s="71"/>
      <c r="AV197" s="71" t="s">
        <v>95</v>
      </c>
      <c r="AW197" s="71"/>
      <c r="AX197" s="71"/>
      <c r="AY197" s="71"/>
      <c r="AZ197" s="71"/>
      <c r="BA197" s="71"/>
      <c r="BB197" s="70" t="s">
        <v>218</v>
      </c>
      <c r="BC197" s="70" t="s">
        <v>98</v>
      </c>
      <c r="BD197" s="72" t="str">
        <f>IF('Cálculo MP'!K207="","",'Cálculo MP'!K207)</f>
        <v/>
      </c>
      <c r="BE197" s="72" t="str">
        <f>IF('Cálculo MP'!L207="","",'Cálculo MP'!L207)</f>
        <v/>
      </c>
      <c r="BF197" s="72" t="str">
        <f>IF('Cálculo MP'!M207="","",'Cálculo MP'!M207)</f>
        <v/>
      </c>
      <c r="BG197" s="72" t="str">
        <f>IF('Cálculo MP'!N207="","",'Cálculo MP'!N207)</f>
        <v/>
      </c>
      <c r="BH197" s="72" t="str">
        <f>IF('Cálculo MP'!O207="","",'Cálculo MP'!O207)</f>
        <v/>
      </c>
      <c r="BI197" s="72" t="str">
        <f>IF('Cálculo MP'!P207="","",'Cálculo MP'!P207)</f>
        <v/>
      </c>
      <c r="BJ197" s="72" t="str">
        <f>IF('Cálculo MP'!Q207="","",'Cálculo MP'!Q207)</f>
        <v/>
      </c>
      <c r="BK197" s="72" t="str">
        <f>IF('Cálculo MP'!R207="","",'Cálculo MP'!R207)</f>
        <v/>
      </c>
      <c r="BL197" s="72" t="str">
        <f>IF('Cálculo MP'!S207="","",'Cálculo MP'!S207)</f>
        <v/>
      </c>
      <c r="BM197" s="71"/>
      <c r="BN197" s="71"/>
      <c r="BO197" s="71"/>
      <c r="BP197" s="71"/>
      <c r="BQ197" s="71"/>
      <c r="BR197" s="71"/>
      <c r="BS197" s="71"/>
    </row>
    <row r="198" spans="1:71" ht="19.5" customHeight="1" x14ac:dyDescent="0.15">
      <c r="A198" s="56" t="s">
        <v>985</v>
      </c>
      <c r="B198" s="57" t="s">
        <v>986</v>
      </c>
      <c r="C198" s="58" t="s">
        <v>985</v>
      </c>
      <c r="D198" s="59" t="s">
        <v>985</v>
      </c>
      <c r="E198" s="61"/>
      <c r="F198" s="60" t="s">
        <v>95</v>
      </c>
      <c r="G198" s="61"/>
      <c r="H198" s="62"/>
      <c r="I198" s="75"/>
      <c r="J198" s="60" t="s">
        <v>95</v>
      </c>
      <c r="K198" s="64"/>
      <c r="L198" s="64"/>
      <c r="M198" s="64" t="s">
        <v>96</v>
      </c>
      <c r="N198" s="64" t="s">
        <v>97</v>
      </c>
      <c r="O198" s="65" t="s">
        <v>986</v>
      </c>
      <c r="P198" s="70" t="s">
        <v>96</v>
      </c>
      <c r="Q198" s="60" t="s">
        <v>95</v>
      </c>
      <c r="R198" s="60" t="s">
        <v>96</v>
      </c>
      <c r="S198" s="66" t="s">
        <v>96</v>
      </c>
      <c r="T198" s="67" t="s">
        <v>96</v>
      </c>
      <c r="U198" s="60" t="s">
        <v>96</v>
      </c>
      <c r="V198" s="60" t="s">
        <v>96</v>
      </c>
      <c r="W198" s="60" t="str" cm="1">
        <f t="array" ref="W198">_xlfn.LET(_xlpm.resultados,_xlfn.UNIQUE(_xlfn._xlws.FILTER(Tabla1[Proceso],(Tabla1[Metal Base]=Q198)*(Tabla1[Etiquetas]=_xlfn.TEXTJOIN(" + ",TRUE,IF((TRIM(Upload!R198:V198)="")+(LOWER(TRIM(Upload!R198:V198))="(seleccione)"),"",PROPER(TRIM(Upload!R198:V198)))))*(Tabla1[Línea2]=IFERROR(VLOOKUP(Upload!P198&amp;"*",CAT_Procesos!D:D,1,FALSE),"")))),_xlpm.cantidad,ROWS(_xlpm.resultados),IF(ISERROR(_xlpm.cantidad),"Combinación no existente",IF(_xlpm.cantidad=1,INDEX(_xlpm.resultados,1),"(seleccione)")))</f>
        <v>Combinación no existente</v>
      </c>
      <c r="X198" s="67" t="s">
        <v>96</v>
      </c>
      <c r="Y198" s="64"/>
      <c r="Z198" s="64"/>
      <c r="AA198" s="64"/>
      <c r="AB198" s="133" t="s">
        <v>96</v>
      </c>
      <c r="AC198" s="64"/>
      <c r="AD198" s="64"/>
      <c r="AE198" s="64"/>
      <c r="AF198" s="60" t="s">
        <v>96</v>
      </c>
      <c r="AG198" s="64"/>
      <c r="AH198" s="64"/>
      <c r="AI198" s="64"/>
      <c r="AJ198" s="68" t="s">
        <v>96</v>
      </c>
      <c r="AK198" s="69" t="str">
        <f t="shared" si="4"/>
        <v/>
      </c>
      <c r="AL198" s="70" t="s">
        <v>96</v>
      </c>
      <c r="AM198" s="69" t="str">
        <f t="shared" si="5"/>
        <v/>
      </c>
      <c r="AN198" s="71"/>
      <c r="AO198" s="71"/>
      <c r="AP198" s="71"/>
      <c r="AQ198" s="71"/>
      <c r="AR198" s="71" t="s">
        <v>96</v>
      </c>
      <c r="AS198" s="71"/>
      <c r="AT198" s="71" t="s">
        <v>96</v>
      </c>
      <c r="AU198" s="71"/>
      <c r="AV198" s="71" t="s">
        <v>95</v>
      </c>
      <c r="AW198" s="71"/>
      <c r="AX198" s="71"/>
      <c r="AY198" s="71"/>
      <c r="AZ198" s="71"/>
      <c r="BA198" s="71"/>
      <c r="BB198" s="70" t="s">
        <v>218</v>
      </c>
      <c r="BC198" s="70" t="s">
        <v>98</v>
      </c>
      <c r="BD198" s="72" t="str">
        <f>IF('Cálculo MP'!K208="","",'Cálculo MP'!K208)</f>
        <v/>
      </c>
      <c r="BE198" s="72" t="str">
        <f>IF('Cálculo MP'!L208="","",'Cálculo MP'!L208)</f>
        <v/>
      </c>
      <c r="BF198" s="72" t="str">
        <f>IF('Cálculo MP'!M208="","",'Cálculo MP'!M208)</f>
        <v/>
      </c>
      <c r="BG198" s="72" t="str">
        <f>IF('Cálculo MP'!N208="","",'Cálculo MP'!N208)</f>
        <v/>
      </c>
      <c r="BH198" s="72" t="str">
        <f>IF('Cálculo MP'!O208="","",'Cálculo MP'!O208)</f>
        <v/>
      </c>
      <c r="BI198" s="72" t="str">
        <f>IF('Cálculo MP'!P208="","",'Cálculo MP'!P208)</f>
        <v/>
      </c>
      <c r="BJ198" s="72" t="str">
        <f>IF('Cálculo MP'!Q208="","",'Cálculo MP'!Q208)</f>
        <v/>
      </c>
      <c r="BK198" s="72" t="str">
        <f>IF('Cálculo MP'!R208="","",'Cálculo MP'!R208)</f>
        <v/>
      </c>
      <c r="BL198" s="72" t="str">
        <f>IF('Cálculo MP'!S208="","",'Cálculo MP'!S208)</f>
        <v/>
      </c>
      <c r="BM198" s="71"/>
      <c r="BN198" s="71"/>
      <c r="BO198" s="71"/>
      <c r="BP198" s="71"/>
      <c r="BQ198" s="71"/>
      <c r="BR198" s="71"/>
      <c r="BS198" s="71"/>
    </row>
    <row r="199" spans="1:71" ht="19.5" customHeight="1" x14ac:dyDescent="0.15">
      <c r="A199" s="56" t="s">
        <v>985</v>
      </c>
      <c r="B199" s="57" t="s">
        <v>986</v>
      </c>
      <c r="C199" s="58" t="s">
        <v>985</v>
      </c>
      <c r="D199" s="59" t="s">
        <v>985</v>
      </c>
      <c r="E199" s="61"/>
      <c r="F199" s="60" t="s">
        <v>95</v>
      </c>
      <c r="G199" s="61"/>
      <c r="H199" s="62"/>
      <c r="I199" s="75"/>
      <c r="J199" s="60" t="s">
        <v>95</v>
      </c>
      <c r="K199" s="64"/>
      <c r="L199" s="64"/>
      <c r="M199" s="64" t="s">
        <v>96</v>
      </c>
      <c r="N199" s="64" t="s">
        <v>97</v>
      </c>
      <c r="O199" s="65" t="s">
        <v>986</v>
      </c>
      <c r="P199" s="70" t="s">
        <v>96</v>
      </c>
      <c r="Q199" s="60" t="s">
        <v>95</v>
      </c>
      <c r="R199" s="60" t="s">
        <v>96</v>
      </c>
      <c r="S199" s="66" t="s">
        <v>96</v>
      </c>
      <c r="T199" s="67" t="s">
        <v>96</v>
      </c>
      <c r="U199" s="60" t="s">
        <v>96</v>
      </c>
      <c r="V199" s="60" t="s">
        <v>96</v>
      </c>
      <c r="W199" s="60" t="str" cm="1">
        <f t="array" ref="W199">_xlfn.LET(_xlpm.resultados,_xlfn.UNIQUE(_xlfn._xlws.FILTER(Tabla1[Proceso],(Tabla1[Metal Base]=Q199)*(Tabla1[Etiquetas]=_xlfn.TEXTJOIN(" + ",TRUE,IF((TRIM(Upload!R199:V199)="")+(LOWER(TRIM(Upload!R199:V199))="(seleccione)"),"",PROPER(TRIM(Upload!R199:V199)))))*(Tabla1[Línea2]=IFERROR(VLOOKUP(Upload!P199&amp;"*",CAT_Procesos!D:D,1,FALSE),"")))),_xlpm.cantidad,ROWS(_xlpm.resultados),IF(ISERROR(_xlpm.cantidad),"Combinación no existente",IF(_xlpm.cantidad=1,INDEX(_xlpm.resultados,1),"(seleccione)")))</f>
        <v>Combinación no existente</v>
      </c>
      <c r="X199" s="67" t="s">
        <v>96</v>
      </c>
      <c r="Y199" s="64"/>
      <c r="Z199" s="64"/>
      <c r="AA199" s="64"/>
      <c r="AB199" s="133" t="s">
        <v>96</v>
      </c>
      <c r="AC199" s="64"/>
      <c r="AD199" s="64"/>
      <c r="AE199" s="64"/>
      <c r="AF199" s="60" t="s">
        <v>96</v>
      </c>
      <c r="AG199" s="64"/>
      <c r="AH199" s="64"/>
      <c r="AI199" s="64"/>
      <c r="AJ199" s="68" t="s">
        <v>96</v>
      </c>
      <c r="AK199" s="69" t="str">
        <f t="shared" si="4"/>
        <v/>
      </c>
      <c r="AL199" s="70" t="s">
        <v>96</v>
      </c>
      <c r="AM199" s="69" t="str">
        <f t="shared" si="5"/>
        <v/>
      </c>
      <c r="AN199" s="71"/>
      <c r="AO199" s="71"/>
      <c r="AP199" s="71"/>
      <c r="AQ199" s="71"/>
      <c r="AR199" s="71" t="s">
        <v>96</v>
      </c>
      <c r="AS199" s="71"/>
      <c r="AT199" s="71" t="s">
        <v>96</v>
      </c>
      <c r="AU199" s="71"/>
      <c r="AV199" s="71" t="s">
        <v>95</v>
      </c>
      <c r="AW199" s="71"/>
      <c r="AX199" s="71"/>
      <c r="AY199" s="71"/>
      <c r="AZ199" s="71"/>
      <c r="BA199" s="71"/>
      <c r="BB199" s="70" t="s">
        <v>218</v>
      </c>
      <c r="BC199" s="70" t="s">
        <v>98</v>
      </c>
      <c r="BD199" s="72" t="str">
        <f>IF('Cálculo MP'!K209="","",'Cálculo MP'!K209)</f>
        <v/>
      </c>
      <c r="BE199" s="72" t="str">
        <f>IF('Cálculo MP'!L209="","",'Cálculo MP'!L209)</f>
        <v/>
      </c>
      <c r="BF199" s="72" t="str">
        <f>IF('Cálculo MP'!M209="","",'Cálculo MP'!M209)</f>
        <v/>
      </c>
      <c r="BG199" s="72" t="str">
        <f>IF('Cálculo MP'!N209="","",'Cálculo MP'!N209)</f>
        <v/>
      </c>
      <c r="BH199" s="72" t="str">
        <f>IF('Cálculo MP'!O209="","",'Cálculo MP'!O209)</f>
        <v/>
      </c>
      <c r="BI199" s="72" t="str">
        <f>IF('Cálculo MP'!P209="","",'Cálculo MP'!P209)</f>
        <v/>
      </c>
      <c r="BJ199" s="72" t="str">
        <f>IF('Cálculo MP'!Q209="","",'Cálculo MP'!Q209)</f>
        <v/>
      </c>
      <c r="BK199" s="72" t="str">
        <f>IF('Cálculo MP'!R209="","",'Cálculo MP'!R209)</f>
        <v/>
      </c>
      <c r="BL199" s="72" t="str">
        <f>IF('Cálculo MP'!S209="","",'Cálculo MP'!S209)</f>
        <v/>
      </c>
      <c r="BM199" s="71"/>
      <c r="BN199" s="71"/>
      <c r="BO199" s="71"/>
      <c r="BP199" s="71"/>
      <c r="BQ199" s="71"/>
      <c r="BR199" s="71"/>
      <c r="BS199" s="71"/>
    </row>
    <row r="200" spans="1:71" ht="19.5" customHeight="1" x14ac:dyDescent="0.15">
      <c r="A200" s="56" t="s">
        <v>985</v>
      </c>
      <c r="B200" s="57" t="s">
        <v>986</v>
      </c>
      <c r="C200" s="58" t="s">
        <v>985</v>
      </c>
      <c r="D200" s="59" t="s">
        <v>985</v>
      </c>
      <c r="E200" s="61"/>
      <c r="F200" s="60" t="s">
        <v>95</v>
      </c>
      <c r="G200" s="61"/>
      <c r="H200" s="62"/>
      <c r="I200" s="75"/>
      <c r="J200" s="60" t="s">
        <v>95</v>
      </c>
      <c r="K200" s="64"/>
      <c r="L200" s="64"/>
      <c r="M200" s="64" t="s">
        <v>96</v>
      </c>
      <c r="N200" s="64" t="s">
        <v>97</v>
      </c>
      <c r="O200" s="65" t="s">
        <v>986</v>
      </c>
      <c r="P200" s="70" t="s">
        <v>96</v>
      </c>
      <c r="Q200" s="60" t="s">
        <v>95</v>
      </c>
      <c r="R200" s="60" t="s">
        <v>96</v>
      </c>
      <c r="S200" s="66" t="s">
        <v>96</v>
      </c>
      <c r="T200" s="67" t="s">
        <v>96</v>
      </c>
      <c r="U200" s="60" t="s">
        <v>96</v>
      </c>
      <c r="V200" s="60" t="s">
        <v>96</v>
      </c>
      <c r="W200" s="60" t="str" cm="1">
        <f t="array" ref="W200">_xlfn.LET(_xlpm.resultados,_xlfn.UNIQUE(_xlfn._xlws.FILTER(Tabla1[Proceso],(Tabla1[Metal Base]=Q200)*(Tabla1[Etiquetas]=_xlfn.TEXTJOIN(" + ",TRUE,IF((TRIM(Upload!R200:V200)="")+(LOWER(TRIM(Upload!R200:V200))="(seleccione)"),"",PROPER(TRIM(Upload!R200:V200)))))*(Tabla1[Línea2]=IFERROR(VLOOKUP(Upload!P200&amp;"*",CAT_Procesos!D:D,1,FALSE),"")))),_xlpm.cantidad,ROWS(_xlpm.resultados),IF(ISERROR(_xlpm.cantidad),"Combinación no existente",IF(_xlpm.cantidad=1,INDEX(_xlpm.resultados,1),"(seleccione)")))</f>
        <v>Combinación no existente</v>
      </c>
      <c r="X200" s="67" t="s">
        <v>96</v>
      </c>
      <c r="Y200" s="64"/>
      <c r="Z200" s="64"/>
      <c r="AA200" s="64"/>
      <c r="AB200" s="133" t="s">
        <v>96</v>
      </c>
      <c r="AC200" s="64"/>
      <c r="AD200" s="64"/>
      <c r="AE200" s="64"/>
      <c r="AF200" s="60" t="s">
        <v>96</v>
      </c>
      <c r="AG200" s="64"/>
      <c r="AH200" s="64"/>
      <c r="AI200" s="64"/>
      <c r="AJ200" s="68" t="s">
        <v>96</v>
      </c>
      <c r="AK200" s="69" t="str">
        <f t="shared" si="4"/>
        <v/>
      </c>
      <c r="AL200" s="70" t="s">
        <v>96</v>
      </c>
      <c r="AM200" s="69" t="str">
        <f t="shared" si="5"/>
        <v/>
      </c>
      <c r="AN200" s="71"/>
      <c r="AO200" s="71"/>
      <c r="AP200" s="71"/>
      <c r="AQ200" s="71"/>
      <c r="AR200" s="71" t="s">
        <v>96</v>
      </c>
      <c r="AS200" s="71"/>
      <c r="AT200" s="71" t="s">
        <v>96</v>
      </c>
      <c r="AU200" s="71"/>
      <c r="AV200" s="71" t="s">
        <v>95</v>
      </c>
      <c r="AW200" s="71"/>
      <c r="AX200" s="71"/>
      <c r="AY200" s="71"/>
      <c r="AZ200" s="71"/>
      <c r="BA200" s="71"/>
      <c r="BB200" s="70" t="s">
        <v>218</v>
      </c>
      <c r="BC200" s="70" t="s">
        <v>98</v>
      </c>
      <c r="BD200" s="72" t="str">
        <f>IF('Cálculo MP'!K210="","",'Cálculo MP'!K210)</f>
        <v/>
      </c>
      <c r="BE200" s="72" t="str">
        <f>IF('Cálculo MP'!L210="","",'Cálculo MP'!L210)</f>
        <v/>
      </c>
      <c r="BF200" s="72" t="str">
        <f>IF('Cálculo MP'!M210="","",'Cálculo MP'!M210)</f>
        <v/>
      </c>
      <c r="BG200" s="72" t="str">
        <f>IF('Cálculo MP'!N210="","",'Cálculo MP'!N210)</f>
        <v/>
      </c>
      <c r="BH200" s="72" t="str">
        <f>IF('Cálculo MP'!O210="","",'Cálculo MP'!O210)</f>
        <v/>
      </c>
      <c r="BI200" s="72" t="str">
        <f>IF('Cálculo MP'!P210="","",'Cálculo MP'!P210)</f>
        <v/>
      </c>
      <c r="BJ200" s="72" t="str">
        <f>IF('Cálculo MP'!Q210="","",'Cálculo MP'!Q210)</f>
        <v/>
      </c>
      <c r="BK200" s="72" t="str">
        <f>IF('Cálculo MP'!R210="","",'Cálculo MP'!R210)</f>
        <v/>
      </c>
      <c r="BL200" s="72" t="str">
        <f>IF('Cálculo MP'!S210="","",'Cálculo MP'!S210)</f>
        <v/>
      </c>
      <c r="BM200" s="71"/>
      <c r="BN200" s="71"/>
      <c r="BO200" s="71"/>
      <c r="BP200" s="71"/>
      <c r="BQ200" s="71"/>
      <c r="BR200" s="71"/>
      <c r="BS200" s="71"/>
    </row>
    <row r="201" spans="1:71" ht="19.5" customHeight="1" x14ac:dyDescent="0.15">
      <c r="A201" s="56" t="s">
        <v>985</v>
      </c>
      <c r="B201" s="57" t="s">
        <v>986</v>
      </c>
      <c r="C201" s="58" t="s">
        <v>985</v>
      </c>
      <c r="D201" s="59" t="s">
        <v>985</v>
      </c>
      <c r="E201" s="61"/>
      <c r="F201" s="60" t="s">
        <v>95</v>
      </c>
      <c r="G201" s="61"/>
      <c r="H201" s="62"/>
      <c r="I201" s="75"/>
      <c r="J201" s="60" t="s">
        <v>95</v>
      </c>
      <c r="K201" s="64"/>
      <c r="L201" s="64"/>
      <c r="M201" s="64" t="s">
        <v>96</v>
      </c>
      <c r="N201" s="64" t="s">
        <v>97</v>
      </c>
      <c r="O201" s="65" t="s">
        <v>986</v>
      </c>
      <c r="P201" s="70" t="s">
        <v>96</v>
      </c>
      <c r="Q201" s="60" t="s">
        <v>95</v>
      </c>
      <c r="R201" s="60" t="s">
        <v>96</v>
      </c>
      <c r="S201" s="66" t="s">
        <v>96</v>
      </c>
      <c r="T201" s="67" t="s">
        <v>96</v>
      </c>
      <c r="U201" s="60" t="s">
        <v>96</v>
      </c>
      <c r="V201" s="60" t="s">
        <v>96</v>
      </c>
      <c r="W201" s="60" t="str" cm="1">
        <f t="array" ref="W201">_xlfn.LET(_xlpm.resultados,_xlfn.UNIQUE(_xlfn._xlws.FILTER(Tabla1[Proceso],(Tabla1[Metal Base]=Q201)*(Tabla1[Etiquetas]=_xlfn.TEXTJOIN(" + ",TRUE,IF((TRIM(Upload!R201:V201)="")+(LOWER(TRIM(Upload!R201:V201))="(seleccione)"),"",PROPER(TRIM(Upload!R201:V201)))))*(Tabla1[Línea2]=IFERROR(VLOOKUP(Upload!P201&amp;"*",CAT_Procesos!D:D,1,FALSE),"")))),_xlpm.cantidad,ROWS(_xlpm.resultados),IF(ISERROR(_xlpm.cantidad),"Combinación no existente",IF(_xlpm.cantidad=1,INDEX(_xlpm.resultados,1),"(seleccione)")))</f>
        <v>Combinación no existente</v>
      </c>
      <c r="X201" s="67" t="s">
        <v>96</v>
      </c>
      <c r="Y201" s="64"/>
      <c r="Z201" s="64"/>
      <c r="AA201" s="64"/>
      <c r="AB201" s="133" t="s">
        <v>96</v>
      </c>
      <c r="AC201" s="64"/>
      <c r="AD201" s="64"/>
      <c r="AE201" s="64"/>
      <c r="AF201" s="60" t="s">
        <v>96</v>
      </c>
      <c r="AG201" s="64"/>
      <c r="AH201" s="64"/>
      <c r="AI201" s="64"/>
      <c r="AJ201" s="68" t="s">
        <v>96</v>
      </c>
      <c r="AK201" s="69" t="str">
        <f t="shared" si="4"/>
        <v/>
      </c>
      <c r="AL201" s="70" t="s">
        <v>96</v>
      </c>
      <c r="AM201" s="69" t="str">
        <f t="shared" si="5"/>
        <v/>
      </c>
      <c r="AN201" s="71"/>
      <c r="AO201" s="71"/>
      <c r="AP201" s="71"/>
      <c r="AQ201" s="71"/>
      <c r="AR201" s="71" t="s">
        <v>96</v>
      </c>
      <c r="AS201" s="71"/>
      <c r="AT201" s="71" t="s">
        <v>96</v>
      </c>
      <c r="AU201" s="71"/>
      <c r="AV201" s="71" t="s">
        <v>95</v>
      </c>
      <c r="AW201" s="71"/>
      <c r="AX201" s="71"/>
      <c r="AY201" s="71"/>
      <c r="AZ201" s="71"/>
      <c r="BA201" s="71"/>
      <c r="BB201" s="70" t="s">
        <v>218</v>
      </c>
      <c r="BC201" s="70" t="s">
        <v>98</v>
      </c>
      <c r="BD201" s="72" t="str">
        <f>IF('Cálculo MP'!K211="","",'Cálculo MP'!K211)</f>
        <v/>
      </c>
      <c r="BE201" s="72" t="str">
        <f>IF('Cálculo MP'!L211="","",'Cálculo MP'!L211)</f>
        <v/>
      </c>
      <c r="BF201" s="72" t="str">
        <f>IF('Cálculo MP'!M211="","",'Cálculo MP'!M211)</f>
        <v/>
      </c>
      <c r="BG201" s="72" t="str">
        <f>IF('Cálculo MP'!N211="","",'Cálculo MP'!N211)</f>
        <v/>
      </c>
      <c r="BH201" s="72" t="str">
        <f>IF('Cálculo MP'!O211="","",'Cálculo MP'!O211)</f>
        <v/>
      </c>
      <c r="BI201" s="72" t="str">
        <f>IF('Cálculo MP'!P211="","",'Cálculo MP'!P211)</f>
        <v/>
      </c>
      <c r="BJ201" s="72" t="str">
        <f>IF('Cálculo MP'!Q211="","",'Cálculo MP'!Q211)</f>
        <v/>
      </c>
      <c r="BK201" s="72" t="str">
        <f>IF('Cálculo MP'!R211="","",'Cálculo MP'!R211)</f>
        <v/>
      </c>
      <c r="BL201" s="72" t="str">
        <f>IF('Cálculo MP'!S211="","",'Cálculo MP'!S211)</f>
        <v/>
      </c>
      <c r="BM201" s="71"/>
      <c r="BN201" s="71"/>
      <c r="BO201" s="71"/>
      <c r="BP201" s="71"/>
      <c r="BQ201" s="71"/>
      <c r="BR201" s="71"/>
      <c r="BS201" s="71"/>
    </row>
    <row r="202" spans="1:71" ht="19.5" customHeight="1" x14ac:dyDescent="0.15">
      <c r="A202" s="56" t="s">
        <v>985</v>
      </c>
      <c r="B202" s="57" t="s">
        <v>986</v>
      </c>
      <c r="C202" s="58" t="s">
        <v>985</v>
      </c>
      <c r="D202" s="59" t="s">
        <v>985</v>
      </c>
      <c r="E202" s="61"/>
      <c r="F202" s="60" t="s">
        <v>95</v>
      </c>
      <c r="G202" s="61"/>
      <c r="H202" s="62"/>
      <c r="I202" s="75"/>
      <c r="J202" s="60" t="s">
        <v>95</v>
      </c>
      <c r="K202" s="64"/>
      <c r="L202" s="64"/>
      <c r="M202" s="64" t="s">
        <v>96</v>
      </c>
      <c r="N202" s="64" t="s">
        <v>97</v>
      </c>
      <c r="O202" s="65" t="s">
        <v>986</v>
      </c>
      <c r="P202" s="70" t="s">
        <v>96</v>
      </c>
      <c r="Q202" s="60" t="s">
        <v>95</v>
      </c>
      <c r="R202" s="60" t="s">
        <v>96</v>
      </c>
      <c r="S202" s="66" t="s">
        <v>96</v>
      </c>
      <c r="T202" s="67" t="s">
        <v>96</v>
      </c>
      <c r="U202" s="60" t="s">
        <v>96</v>
      </c>
      <c r="V202" s="60" t="s">
        <v>96</v>
      </c>
      <c r="W202" s="60" t="str" cm="1">
        <f t="array" ref="W202">_xlfn.LET(_xlpm.resultados,_xlfn.UNIQUE(_xlfn._xlws.FILTER(Tabla1[Proceso],(Tabla1[Metal Base]=Q202)*(Tabla1[Etiquetas]=_xlfn.TEXTJOIN(" + ",TRUE,IF((TRIM(Upload!R202:V202)="")+(LOWER(TRIM(Upload!R202:V202))="(seleccione)"),"",PROPER(TRIM(Upload!R202:V202)))))*(Tabla1[Línea2]=IFERROR(VLOOKUP(Upload!P202&amp;"*",CAT_Procesos!D:D,1,FALSE),"")))),_xlpm.cantidad,ROWS(_xlpm.resultados),IF(ISERROR(_xlpm.cantidad),"Combinación no existente",IF(_xlpm.cantidad=1,INDEX(_xlpm.resultados,1),"(seleccione)")))</f>
        <v>Combinación no existente</v>
      </c>
      <c r="X202" s="67" t="s">
        <v>96</v>
      </c>
      <c r="Y202" s="64"/>
      <c r="Z202" s="64"/>
      <c r="AA202" s="64"/>
      <c r="AB202" s="133" t="s">
        <v>96</v>
      </c>
      <c r="AC202" s="64"/>
      <c r="AD202" s="64"/>
      <c r="AE202" s="64"/>
      <c r="AF202" s="60" t="s">
        <v>96</v>
      </c>
      <c r="AG202" s="64"/>
      <c r="AH202" s="64"/>
      <c r="AI202" s="64"/>
      <c r="AJ202" s="68" t="s">
        <v>96</v>
      </c>
      <c r="AK202" s="69" t="str">
        <f t="shared" ref="AK202:AK265" si="6">IFERROR(((VALUE(TRIM(LEFT(MID(AJ202,FIND("|",AJ202)+1,99),FIND("-",MID(AJ202,FIND("|",AJ202)+1,99))-1)))+VALUE(TRIM(SUBSTITUTE(SUBSTITUTE(SUBSTITUTE(SUBSTITUTE(SUBSTITUTE(MID(MID(AJ202,FIND("|",AJ202)+1,99),FIND("-",MID(AJ202,FIND("|",AJ202)+1,99))+1,20),"µm",""),"μm",""),"mils",""),"mil",""),"",""))))/2)*IF(ISNUMBER(SEARCH("mil",MID(AJ202,FIND("|",AJ202)+1,99))),25.4,1),"")</f>
        <v/>
      </c>
      <c r="AL202" s="70" t="s">
        <v>96</v>
      </c>
      <c r="AM202" s="69" t="str">
        <f t="shared" ref="AM202:AM265" si="7">IFERROR(((VALUE(TRIM(LEFT(MID(AL202,FIND("|",AL202)+1,99),FIND("-",MID(AL202,FIND("|",AL202)+1,99))-1)))+VALUE(TRIM(SUBSTITUTE(SUBSTITUTE(SUBSTITUTE(SUBSTITUTE(SUBSTITUTE(MID(MID(AL202,FIND("|",AL202)+1,99),FIND("-",MID(AL202,FIND("|",AL202)+1,99))+1,20),"µm",""),"μm",""),"mils",""),"mil",""),"",""))))/2)*IF(ISNUMBER(SEARCH("mil",MID(AL202,FIND("|",AL202)+1,99))),25.4,1),"")</f>
        <v/>
      </c>
      <c r="AN202" s="71"/>
      <c r="AO202" s="71"/>
      <c r="AP202" s="71"/>
      <c r="AQ202" s="71"/>
      <c r="AR202" s="71" t="s">
        <v>96</v>
      </c>
      <c r="AS202" s="71"/>
      <c r="AT202" s="71" t="s">
        <v>96</v>
      </c>
      <c r="AU202" s="71"/>
      <c r="AV202" s="71" t="s">
        <v>95</v>
      </c>
      <c r="AW202" s="71"/>
      <c r="AX202" s="71"/>
      <c r="AY202" s="71"/>
      <c r="AZ202" s="71"/>
      <c r="BA202" s="71"/>
      <c r="BB202" s="70" t="s">
        <v>218</v>
      </c>
      <c r="BC202" s="70" t="s">
        <v>98</v>
      </c>
      <c r="BD202" s="72" t="str">
        <f>IF('Cálculo MP'!K212="","",'Cálculo MP'!K212)</f>
        <v/>
      </c>
      <c r="BE202" s="72" t="str">
        <f>IF('Cálculo MP'!L212="","",'Cálculo MP'!L212)</f>
        <v/>
      </c>
      <c r="BF202" s="72" t="str">
        <f>IF('Cálculo MP'!M212="","",'Cálculo MP'!M212)</f>
        <v/>
      </c>
      <c r="BG202" s="72" t="str">
        <f>IF('Cálculo MP'!N212="","",'Cálculo MP'!N212)</f>
        <v/>
      </c>
      <c r="BH202" s="72" t="str">
        <f>IF('Cálculo MP'!O212="","",'Cálculo MP'!O212)</f>
        <v/>
      </c>
      <c r="BI202" s="72" t="str">
        <f>IF('Cálculo MP'!P212="","",'Cálculo MP'!P212)</f>
        <v/>
      </c>
      <c r="BJ202" s="72" t="str">
        <f>IF('Cálculo MP'!Q212="","",'Cálculo MP'!Q212)</f>
        <v/>
      </c>
      <c r="BK202" s="72" t="str">
        <f>IF('Cálculo MP'!R212="","",'Cálculo MP'!R212)</f>
        <v/>
      </c>
      <c r="BL202" s="72" t="str">
        <f>IF('Cálculo MP'!S212="","",'Cálculo MP'!S212)</f>
        <v/>
      </c>
      <c r="BM202" s="71"/>
      <c r="BN202" s="71"/>
      <c r="BO202" s="71"/>
      <c r="BP202" s="71"/>
      <c r="BQ202" s="71"/>
      <c r="BR202" s="71"/>
      <c r="BS202" s="71"/>
    </row>
    <row r="203" spans="1:71" ht="19.5" customHeight="1" x14ac:dyDescent="0.15">
      <c r="A203" s="56" t="s">
        <v>985</v>
      </c>
      <c r="B203" s="57" t="s">
        <v>986</v>
      </c>
      <c r="C203" s="58" t="s">
        <v>985</v>
      </c>
      <c r="D203" s="59" t="s">
        <v>985</v>
      </c>
      <c r="E203" s="61"/>
      <c r="F203" s="60" t="s">
        <v>95</v>
      </c>
      <c r="G203" s="61"/>
      <c r="H203" s="62"/>
      <c r="I203" s="75"/>
      <c r="J203" s="60" t="s">
        <v>95</v>
      </c>
      <c r="K203" s="64"/>
      <c r="L203" s="64"/>
      <c r="M203" s="64" t="s">
        <v>96</v>
      </c>
      <c r="N203" s="64" t="s">
        <v>97</v>
      </c>
      <c r="O203" s="65" t="s">
        <v>986</v>
      </c>
      <c r="P203" s="70" t="s">
        <v>96</v>
      </c>
      <c r="Q203" s="60" t="s">
        <v>95</v>
      </c>
      <c r="R203" s="60" t="s">
        <v>96</v>
      </c>
      <c r="S203" s="66" t="s">
        <v>96</v>
      </c>
      <c r="T203" s="67" t="s">
        <v>96</v>
      </c>
      <c r="U203" s="60" t="s">
        <v>96</v>
      </c>
      <c r="V203" s="60" t="s">
        <v>96</v>
      </c>
      <c r="W203" s="60" t="str" cm="1">
        <f t="array" ref="W203">_xlfn.LET(_xlpm.resultados,_xlfn.UNIQUE(_xlfn._xlws.FILTER(Tabla1[Proceso],(Tabla1[Metal Base]=Q203)*(Tabla1[Etiquetas]=_xlfn.TEXTJOIN(" + ",TRUE,IF((TRIM(Upload!R203:V203)="")+(LOWER(TRIM(Upload!R203:V203))="(seleccione)"),"",PROPER(TRIM(Upload!R203:V203)))))*(Tabla1[Línea2]=IFERROR(VLOOKUP(Upload!P203&amp;"*",CAT_Procesos!D:D,1,FALSE),"")))),_xlpm.cantidad,ROWS(_xlpm.resultados),IF(ISERROR(_xlpm.cantidad),"Combinación no existente",IF(_xlpm.cantidad=1,INDEX(_xlpm.resultados,1),"(seleccione)")))</f>
        <v>Combinación no existente</v>
      </c>
      <c r="X203" s="67" t="s">
        <v>96</v>
      </c>
      <c r="Y203" s="64"/>
      <c r="Z203" s="64"/>
      <c r="AA203" s="64"/>
      <c r="AB203" s="133" t="s">
        <v>96</v>
      </c>
      <c r="AC203" s="64"/>
      <c r="AD203" s="64"/>
      <c r="AE203" s="64"/>
      <c r="AF203" s="60" t="s">
        <v>96</v>
      </c>
      <c r="AG203" s="64"/>
      <c r="AH203" s="64"/>
      <c r="AI203" s="64"/>
      <c r="AJ203" s="68" t="s">
        <v>96</v>
      </c>
      <c r="AK203" s="69" t="str">
        <f t="shared" si="6"/>
        <v/>
      </c>
      <c r="AL203" s="70" t="s">
        <v>96</v>
      </c>
      <c r="AM203" s="69" t="str">
        <f t="shared" si="7"/>
        <v/>
      </c>
      <c r="AN203" s="71"/>
      <c r="AO203" s="71"/>
      <c r="AP203" s="71"/>
      <c r="AQ203" s="71"/>
      <c r="AR203" s="71" t="s">
        <v>96</v>
      </c>
      <c r="AS203" s="71"/>
      <c r="AT203" s="71" t="s">
        <v>96</v>
      </c>
      <c r="AU203" s="71"/>
      <c r="AV203" s="71" t="s">
        <v>95</v>
      </c>
      <c r="AW203" s="71"/>
      <c r="AX203" s="71"/>
      <c r="AY203" s="71"/>
      <c r="AZ203" s="71"/>
      <c r="BA203" s="71"/>
      <c r="BB203" s="70" t="s">
        <v>218</v>
      </c>
      <c r="BC203" s="70" t="s">
        <v>98</v>
      </c>
      <c r="BD203" s="72" t="str">
        <f>IF('Cálculo MP'!K213="","",'Cálculo MP'!K213)</f>
        <v/>
      </c>
      <c r="BE203" s="72" t="str">
        <f>IF('Cálculo MP'!L213="","",'Cálculo MP'!L213)</f>
        <v/>
      </c>
      <c r="BF203" s="72" t="str">
        <f>IF('Cálculo MP'!M213="","",'Cálculo MP'!M213)</f>
        <v/>
      </c>
      <c r="BG203" s="72" t="str">
        <f>IF('Cálculo MP'!N213="","",'Cálculo MP'!N213)</f>
        <v/>
      </c>
      <c r="BH203" s="72" t="str">
        <f>IF('Cálculo MP'!O213="","",'Cálculo MP'!O213)</f>
        <v/>
      </c>
      <c r="BI203" s="72" t="str">
        <f>IF('Cálculo MP'!P213="","",'Cálculo MP'!P213)</f>
        <v/>
      </c>
      <c r="BJ203" s="72" t="str">
        <f>IF('Cálculo MP'!Q213="","",'Cálculo MP'!Q213)</f>
        <v/>
      </c>
      <c r="BK203" s="72" t="str">
        <f>IF('Cálculo MP'!R213="","",'Cálculo MP'!R213)</f>
        <v/>
      </c>
      <c r="BL203" s="72" t="str">
        <f>IF('Cálculo MP'!S213="","",'Cálculo MP'!S213)</f>
        <v/>
      </c>
      <c r="BM203" s="71"/>
      <c r="BN203" s="71"/>
      <c r="BO203" s="71"/>
      <c r="BP203" s="71"/>
      <c r="BQ203" s="71"/>
      <c r="BR203" s="71"/>
      <c r="BS203" s="71"/>
    </row>
    <row r="204" spans="1:71" ht="19.5" customHeight="1" x14ac:dyDescent="0.15">
      <c r="A204" s="56" t="s">
        <v>985</v>
      </c>
      <c r="B204" s="57" t="s">
        <v>986</v>
      </c>
      <c r="C204" s="58" t="s">
        <v>985</v>
      </c>
      <c r="D204" s="59" t="s">
        <v>985</v>
      </c>
      <c r="E204" s="61"/>
      <c r="F204" s="60" t="s">
        <v>95</v>
      </c>
      <c r="G204" s="61"/>
      <c r="H204" s="62"/>
      <c r="I204" s="75"/>
      <c r="J204" s="60" t="s">
        <v>95</v>
      </c>
      <c r="K204" s="64"/>
      <c r="L204" s="64"/>
      <c r="M204" s="64" t="s">
        <v>96</v>
      </c>
      <c r="N204" s="64" t="s">
        <v>97</v>
      </c>
      <c r="O204" s="65" t="s">
        <v>986</v>
      </c>
      <c r="P204" s="70" t="s">
        <v>96</v>
      </c>
      <c r="Q204" s="60" t="s">
        <v>95</v>
      </c>
      <c r="R204" s="60" t="s">
        <v>96</v>
      </c>
      <c r="S204" s="66" t="s">
        <v>96</v>
      </c>
      <c r="T204" s="67" t="s">
        <v>96</v>
      </c>
      <c r="U204" s="60" t="s">
        <v>96</v>
      </c>
      <c r="V204" s="60" t="s">
        <v>96</v>
      </c>
      <c r="W204" s="60" t="str" cm="1">
        <f t="array" ref="W204">_xlfn.LET(_xlpm.resultados,_xlfn.UNIQUE(_xlfn._xlws.FILTER(Tabla1[Proceso],(Tabla1[Metal Base]=Q204)*(Tabla1[Etiquetas]=_xlfn.TEXTJOIN(" + ",TRUE,IF((TRIM(Upload!R204:V204)="")+(LOWER(TRIM(Upload!R204:V204))="(seleccione)"),"",PROPER(TRIM(Upload!R204:V204)))))*(Tabla1[Línea2]=IFERROR(VLOOKUP(Upload!P204&amp;"*",CAT_Procesos!D:D,1,FALSE),"")))),_xlpm.cantidad,ROWS(_xlpm.resultados),IF(ISERROR(_xlpm.cantidad),"Combinación no existente",IF(_xlpm.cantidad=1,INDEX(_xlpm.resultados,1),"(seleccione)")))</f>
        <v>Combinación no existente</v>
      </c>
      <c r="X204" s="67" t="s">
        <v>96</v>
      </c>
      <c r="Y204" s="64"/>
      <c r="Z204" s="64"/>
      <c r="AA204" s="64"/>
      <c r="AB204" s="133" t="s">
        <v>96</v>
      </c>
      <c r="AC204" s="64"/>
      <c r="AD204" s="64"/>
      <c r="AE204" s="64"/>
      <c r="AF204" s="60" t="s">
        <v>96</v>
      </c>
      <c r="AG204" s="64"/>
      <c r="AH204" s="64"/>
      <c r="AI204" s="64"/>
      <c r="AJ204" s="68" t="s">
        <v>96</v>
      </c>
      <c r="AK204" s="69" t="str">
        <f t="shared" si="6"/>
        <v/>
      </c>
      <c r="AL204" s="70" t="s">
        <v>96</v>
      </c>
      <c r="AM204" s="69" t="str">
        <f t="shared" si="7"/>
        <v/>
      </c>
      <c r="AN204" s="71"/>
      <c r="AO204" s="71"/>
      <c r="AP204" s="71"/>
      <c r="AQ204" s="71"/>
      <c r="AR204" s="71" t="s">
        <v>96</v>
      </c>
      <c r="AS204" s="71"/>
      <c r="AT204" s="71" t="s">
        <v>96</v>
      </c>
      <c r="AU204" s="71"/>
      <c r="AV204" s="71" t="s">
        <v>95</v>
      </c>
      <c r="AW204" s="71"/>
      <c r="AX204" s="71"/>
      <c r="AY204" s="71"/>
      <c r="AZ204" s="71"/>
      <c r="BA204" s="71"/>
      <c r="BB204" s="70" t="s">
        <v>218</v>
      </c>
      <c r="BC204" s="70" t="s">
        <v>98</v>
      </c>
      <c r="BD204" s="72" t="str">
        <f>IF('Cálculo MP'!K214="","",'Cálculo MP'!K214)</f>
        <v/>
      </c>
      <c r="BE204" s="72" t="str">
        <f>IF('Cálculo MP'!L214="","",'Cálculo MP'!L214)</f>
        <v/>
      </c>
      <c r="BF204" s="72" t="str">
        <f>IF('Cálculo MP'!M214="","",'Cálculo MP'!M214)</f>
        <v/>
      </c>
      <c r="BG204" s="72" t="str">
        <f>IF('Cálculo MP'!N214="","",'Cálculo MP'!N214)</f>
        <v/>
      </c>
      <c r="BH204" s="72" t="str">
        <f>IF('Cálculo MP'!O214="","",'Cálculo MP'!O214)</f>
        <v/>
      </c>
      <c r="BI204" s="72" t="str">
        <f>IF('Cálculo MP'!P214="","",'Cálculo MP'!P214)</f>
        <v/>
      </c>
      <c r="BJ204" s="72" t="str">
        <f>IF('Cálculo MP'!Q214="","",'Cálculo MP'!Q214)</f>
        <v/>
      </c>
      <c r="BK204" s="72" t="str">
        <f>IF('Cálculo MP'!R214="","",'Cálculo MP'!R214)</f>
        <v/>
      </c>
      <c r="BL204" s="72" t="str">
        <f>IF('Cálculo MP'!S214="","",'Cálculo MP'!S214)</f>
        <v/>
      </c>
      <c r="BM204" s="71"/>
      <c r="BN204" s="71"/>
      <c r="BO204" s="71"/>
      <c r="BP204" s="71"/>
      <c r="BQ204" s="71"/>
      <c r="BR204" s="71"/>
      <c r="BS204" s="71"/>
    </row>
    <row r="205" spans="1:71" ht="19.5" customHeight="1" x14ac:dyDescent="0.15">
      <c r="A205" s="56" t="s">
        <v>985</v>
      </c>
      <c r="B205" s="57" t="s">
        <v>986</v>
      </c>
      <c r="C205" s="58" t="s">
        <v>985</v>
      </c>
      <c r="D205" s="59" t="s">
        <v>985</v>
      </c>
      <c r="E205" s="61"/>
      <c r="F205" s="60" t="s">
        <v>95</v>
      </c>
      <c r="G205" s="61"/>
      <c r="H205" s="62"/>
      <c r="I205" s="75"/>
      <c r="J205" s="60" t="s">
        <v>95</v>
      </c>
      <c r="K205" s="64"/>
      <c r="L205" s="64"/>
      <c r="M205" s="64" t="s">
        <v>96</v>
      </c>
      <c r="N205" s="64" t="s">
        <v>97</v>
      </c>
      <c r="O205" s="65" t="s">
        <v>986</v>
      </c>
      <c r="P205" s="70" t="s">
        <v>96</v>
      </c>
      <c r="Q205" s="60" t="s">
        <v>95</v>
      </c>
      <c r="R205" s="60" t="s">
        <v>96</v>
      </c>
      <c r="S205" s="66" t="s">
        <v>96</v>
      </c>
      <c r="T205" s="67" t="s">
        <v>96</v>
      </c>
      <c r="U205" s="60" t="s">
        <v>96</v>
      </c>
      <c r="V205" s="60" t="s">
        <v>96</v>
      </c>
      <c r="W205" s="60" t="str" cm="1">
        <f t="array" ref="W205">_xlfn.LET(_xlpm.resultados,_xlfn.UNIQUE(_xlfn._xlws.FILTER(Tabla1[Proceso],(Tabla1[Metal Base]=Q205)*(Tabla1[Etiquetas]=_xlfn.TEXTJOIN(" + ",TRUE,IF((TRIM(Upload!R205:V205)="")+(LOWER(TRIM(Upload!R205:V205))="(seleccione)"),"",PROPER(TRIM(Upload!R205:V205)))))*(Tabla1[Línea2]=IFERROR(VLOOKUP(Upload!P205&amp;"*",CAT_Procesos!D:D,1,FALSE),"")))),_xlpm.cantidad,ROWS(_xlpm.resultados),IF(ISERROR(_xlpm.cantidad),"Combinación no existente",IF(_xlpm.cantidad=1,INDEX(_xlpm.resultados,1),"(seleccione)")))</f>
        <v>Combinación no existente</v>
      </c>
      <c r="X205" s="67" t="s">
        <v>96</v>
      </c>
      <c r="Y205" s="64"/>
      <c r="Z205" s="64"/>
      <c r="AA205" s="64"/>
      <c r="AB205" s="133" t="s">
        <v>96</v>
      </c>
      <c r="AC205" s="64"/>
      <c r="AD205" s="64"/>
      <c r="AE205" s="64"/>
      <c r="AF205" s="60" t="s">
        <v>96</v>
      </c>
      <c r="AG205" s="64"/>
      <c r="AH205" s="64"/>
      <c r="AI205" s="64"/>
      <c r="AJ205" s="68" t="s">
        <v>96</v>
      </c>
      <c r="AK205" s="69" t="str">
        <f t="shared" si="6"/>
        <v/>
      </c>
      <c r="AL205" s="70" t="s">
        <v>96</v>
      </c>
      <c r="AM205" s="69" t="str">
        <f t="shared" si="7"/>
        <v/>
      </c>
      <c r="AN205" s="71"/>
      <c r="AO205" s="71"/>
      <c r="AP205" s="71"/>
      <c r="AQ205" s="71"/>
      <c r="AR205" s="71" t="s">
        <v>96</v>
      </c>
      <c r="AS205" s="71"/>
      <c r="AT205" s="71" t="s">
        <v>96</v>
      </c>
      <c r="AU205" s="71"/>
      <c r="AV205" s="71" t="s">
        <v>95</v>
      </c>
      <c r="AW205" s="71"/>
      <c r="AX205" s="71"/>
      <c r="AY205" s="71"/>
      <c r="AZ205" s="71"/>
      <c r="BA205" s="71"/>
      <c r="BB205" s="70" t="s">
        <v>218</v>
      </c>
      <c r="BC205" s="70" t="s">
        <v>98</v>
      </c>
      <c r="BD205" s="72" t="str">
        <f>IF('Cálculo MP'!K215="","",'Cálculo MP'!K215)</f>
        <v/>
      </c>
      <c r="BE205" s="72" t="str">
        <f>IF('Cálculo MP'!L215="","",'Cálculo MP'!L215)</f>
        <v/>
      </c>
      <c r="BF205" s="72" t="str">
        <f>IF('Cálculo MP'!M215="","",'Cálculo MP'!M215)</f>
        <v/>
      </c>
      <c r="BG205" s="72" t="str">
        <f>IF('Cálculo MP'!N215="","",'Cálculo MP'!N215)</f>
        <v/>
      </c>
      <c r="BH205" s="72" t="str">
        <f>IF('Cálculo MP'!O215="","",'Cálculo MP'!O215)</f>
        <v/>
      </c>
      <c r="BI205" s="72" t="str">
        <f>IF('Cálculo MP'!P215="","",'Cálculo MP'!P215)</f>
        <v/>
      </c>
      <c r="BJ205" s="72" t="str">
        <f>IF('Cálculo MP'!Q215="","",'Cálculo MP'!Q215)</f>
        <v/>
      </c>
      <c r="BK205" s="72" t="str">
        <f>IF('Cálculo MP'!R215="","",'Cálculo MP'!R215)</f>
        <v/>
      </c>
      <c r="BL205" s="72" t="str">
        <f>IF('Cálculo MP'!S215="","",'Cálculo MP'!S215)</f>
        <v/>
      </c>
      <c r="BM205" s="71"/>
      <c r="BN205" s="71"/>
      <c r="BO205" s="71"/>
      <c r="BP205" s="71"/>
      <c r="BQ205" s="71"/>
      <c r="BR205" s="71"/>
      <c r="BS205" s="71"/>
    </row>
    <row r="206" spans="1:71" ht="19.5" customHeight="1" x14ac:dyDescent="0.15">
      <c r="A206" s="56" t="s">
        <v>985</v>
      </c>
      <c r="B206" s="57" t="s">
        <v>986</v>
      </c>
      <c r="C206" s="58" t="s">
        <v>985</v>
      </c>
      <c r="D206" s="59" t="s">
        <v>985</v>
      </c>
      <c r="E206" s="61"/>
      <c r="F206" s="60" t="s">
        <v>95</v>
      </c>
      <c r="G206" s="61"/>
      <c r="H206" s="62"/>
      <c r="I206" s="75"/>
      <c r="J206" s="60" t="s">
        <v>95</v>
      </c>
      <c r="K206" s="64"/>
      <c r="L206" s="64"/>
      <c r="M206" s="64" t="s">
        <v>96</v>
      </c>
      <c r="N206" s="64" t="s">
        <v>97</v>
      </c>
      <c r="O206" s="65" t="s">
        <v>986</v>
      </c>
      <c r="P206" s="70" t="s">
        <v>96</v>
      </c>
      <c r="Q206" s="60" t="s">
        <v>95</v>
      </c>
      <c r="R206" s="60" t="s">
        <v>96</v>
      </c>
      <c r="S206" s="66" t="s">
        <v>96</v>
      </c>
      <c r="T206" s="67" t="s">
        <v>96</v>
      </c>
      <c r="U206" s="60" t="s">
        <v>96</v>
      </c>
      <c r="V206" s="60" t="s">
        <v>96</v>
      </c>
      <c r="W206" s="60" t="str" cm="1">
        <f t="array" ref="W206">_xlfn.LET(_xlpm.resultados,_xlfn.UNIQUE(_xlfn._xlws.FILTER(Tabla1[Proceso],(Tabla1[Metal Base]=Q206)*(Tabla1[Etiquetas]=_xlfn.TEXTJOIN(" + ",TRUE,IF((TRIM(Upload!R206:V206)="")+(LOWER(TRIM(Upload!R206:V206))="(seleccione)"),"",PROPER(TRIM(Upload!R206:V206)))))*(Tabla1[Línea2]=IFERROR(VLOOKUP(Upload!P206&amp;"*",CAT_Procesos!D:D,1,FALSE),"")))),_xlpm.cantidad,ROWS(_xlpm.resultados),IF(ISERROR(_xlpm.cantidad),"Combinación no existente",IF(_xlpm.cantidad=1,INDEX(_xlpm.resultados,1),"(seleccione)")))</f>
        <v>Combinación no existente</v>
      </c>
      <c r="X206" s="67" t="s">
        <v>96</v>
      </c>
      <c r="Y206" s="64"/>
      <c r="Z206" s="64"/>
      <c r="AA206" s="64"/>
      <c r="AB206" s="133" t="s">
        <v>96</v>
      </c>
      <c r="AC206" s="64"/>
      <c r="AD206" s="64"/>
      <c r="AE206" s="64"/>
      <c r="AF206" s="60" t="s">
        <v>96</v>
      </c>
      <c r="AG206" s="64"/>
      <c r="AH206" s="64"/>
      <c r="AI206" s="64"/>
      <c r="AJ206" s="68" t="s">
        <v>96</v>
      </c>
      <c r="AK206" s="69" t="str">
        <f t="shared" si="6"/>
        <v/>
      </c>
      <c r="AL206" s="70" t="s">
        <v>96</v>
      </c>
      <c r="AM206" s="69" t="str">
        <f t="shared" si="7"/>
        <v/>
      </c>
      <c r="AN206" s="71"/>
      <c r="AO206" s="71"/>
      <c r="AP206" s="71"/>
      <c r="AQ206" s="71"/>
      <c r="AR206" s="71" t="s">
        <v>96</v>
      </c>
      <c r="AS206" s="71"/>
      <c r="AT206" s="71" t="s">
        <v>96</v>
      </c>
      <c r="AU206" s="71"/>
      <c r="AV206" s="71" t="s">
        <v>95</v>
      </c>
      <c r="AW206" s="71"/>
      <c r="AX206" s="71"/>
      <c r="AY206" s="71"/>
      <c r="AZ206" s="71"/>
      <c r="BA206" s="71"/>
      <c r="BB206" s="70" t="s">
        <v>218</v>
      </c>
      <c r="BC206" s="70" t="s">
        <v>98</v>
      </c>
      <c r="BD206" s="72" t="str">
        <f>IF('Cálculo MP'!K216="","",'Cálculo MP'!K216)</f>
        <v/>
      </c>
      <c r="BE206" s="72" t="str">
        <f>IF('Cálculo MP'!L216="","",'Cálculo MP'!L216)</f>
        <v/>
      </c>
      <c r="BF206" s="72" t="str">
        <f>IF('Cálculo MP'!M216="","",'Cálculo MP'!M216)</f>
        <v/>
      </c>
      <c r="BG206" s="72" t="str">
        <f>IF('Cálculo MP'!N216="","",'Cálculo MP'!N216)</f>
        <v/>
      </c>
      <c r="BH206" s="72" t="str">
        <f>IF('Cálculo MP'!O216="","",'Cálculo MP'!O216)</f>
        <v/>
      </c>
      <c r="BI206" s="72" t="str">
        <f>IF('Cálculo MP'!P216="","",'Cálculo MP'!P216)</f>
        <v/>
      </c>
      <c r="BJ206" s="72" t="str">
        <f>IF('Cálculo MP'!Q216="","",'Cálculo MP'!Q216)</f>
        <v/>
      </c>
      <c r="BK206" s="72" t="str">
        <f>IF('Cálculo MP'!R216="","",'Cálculo MP'!R216)</f>
        <v/>
      </c>
      <c r="BL206" s="72" t="str">
        <f>IF('Cálculo MP'!S216="","",'Cálculo MP'!S216)</f>
        <v/>
      </c>
      <c r="BM206" s="71"/>
      <c r="BN206" s="71"/>
      <c r="BO206" s="71"/>
      <c r="BP206" s="71"/>
      <c r="BQ206" s="71"/>
      <c r="BR206" s="71"/>
      <c r="BS206" s="71"/>
    </row>
    <row r="207" spans="1:71" ht="19.5" customHeight="1" x14ac:dyDescent="0.15">
      <c r="A207" s="56" t="s">
        <v>985</v>
      </c>
      <c r="B207" s="57" t="s">
        <v>986</v>
      </c>
      <c r="C207" s="58" t="s">
        <v>985</v>
      </c>
      <c r="D207" s="59" t="s">
        <v>985</v>
      </c>
      <c r="E207" s="61"/>
      <c r="F207" s="60" t="s">
        <v>95</v>
      </c>
      <c r="G207" s="61"/>
      <c r="H207" s="62"/>
      <c r="I207" s="75"/>
      <c r="J207" s="60" t="s">
        <v>95</v>
      </c>
      <c r="K207" s="64"/>
      <c r="L207" s="64"/>
      <c r="M207" s="64" t="s">
        <v>96</v>
      </c>
      <c r="N207" s="64" t="s">
        <v>97</v>
      </c>
      <c r="O207" s="65" t="s">
        <v>986</v>
      </c>
      <c r="P207" s="70" t="s">
        <v>96</v>
      </c>
      <c r="Q207" s="60" t="s">
        <v>95</v>
      </c>
      <c r="R207" s="60" t="s">
        <v>96</v>
      </c>
      <c r="S207" s="66" t="s">
        <v>96</v>
      </c>
      <c r="T207" s="67" t="s">
        <v>96</v>
      </c>
      <c r="U207" s="60" t="s">
        <v>96</v>
      </c>
      <c r="V207" s="60" t="s">
        <v>96</v>
      </c>
      <c r="W207" s="60" t="str" cm="1">
        <f t="array" ref="W207">_xlfn.LET(_xlpm.resultados,_xlfn.UNIQUE(_xlfn._xlws.FILTER(Tabla1[Proceso],(Tabla1[Metal Base]=Q207)*(Tabla1[Etiquetas]=_xlfn.TEXTJOIN(" + ",TRUE,IF((TRIM(Upload!R207:V207)="")+(LOWER(TRIM(Upload!R207:V207))="(seleccione)"),"",PROPER(TRIM(Upload!R207:V207)))))*(Tabla1[Línea2]=IFERROR(VLOOKUP(Upload!P207&amp;"*",CAT_Procesos!D:D,1,FALSE),"")))),_xlpm.cantidad,ROWS(_xlpm.resultados),IF(ISERROR(_xlpm.cantidad),"Combinación no existente",IF(_xlpm.cantidad=1,INDEX(_xlpm.resultados,1),"(seleccione)")))</f>
        <v>Combinación no existente</v>
      </c>
      <c r="X207" s="67" t="s">
        <v>96</v>
      </c>
      <c r="Y207" s="64"/>
      <c r="Z207" s="64"/>
      <c r="AA207" s="64"/>
      <c r="AB207" s="133" t="s">
        <v>96</v>
      </c>
      <c r="AC207" s="64"/>
      <c r="AD207" s="64"/>
      <c r="AE207" s="64"/>
      <c r="AF207" s="60" t="s">
        <v>96</v>
      </c>
      <c r="AG207" s="64"/>
      <c r="AH207" s="64"/>
      <c r="AI207" s="64"/>
      <c r="AJ207" s="68" t="s">
        <v>96</v>
      </c>
      <c r="AK207" s="69" t="str">
        <f t="shared" si="6"/>
        <v/>
      </c>
      <c r="AL207" s="70" t="s">
        <v>96</v>
      </c>
      <c r="AM207" s="69" t="str">
        <f t="shared" si="7"/>
        <v/>
      </c>
      <c r="AN207" s="71"/>
      <c r="AO207" s="71"/>
      <c r="AP207" s="71"/>
      <c r="AQ207" s="71"/>
      <c r="AR207" s="71" t="s">
        <v>96</v>
      </c>
      <c r="AS207" s="71"/>
      <c r="AT207" s="71" t="s">
        <v>96</v>
      </c>
      <c r="AU207" s="71"/>
      <c r="AV207" s="71" t="s">
        <v>95</v>
      </c>
      <c r="AW207" s="71"/>
      <c r="AX207" s="71"/>
      <c r="AY207" s="71"/>
      <c r="AZ207" s="71"/>
      <c r="BA207" s="71"/>
      <c r="BB207" s="70" t="s">
        <v>218</v>
      </c>
      <c r="BC207" s="70" t="s">
        <v>98</v>
      </c>
      <c r="BD207" s="72" t="str">
        <f>IF('Cálculo MP'!K217="","",'Cálculo MP'!K217)</f>
        <v/>
      </c>
      <c r="BE207" s="72" t="str">
        <f>IF('Cálculo MP'!L217="","",'Cálculo MP'!L217)</f>
        <v/>
      </c>
      <c r="BF207" s="72" t="str">
        <f>IF('Cálculo MP'!M217="","",'Cálculo MP'!M217)</f>
        <v/>
      </c>
      <c r="BG207" s="72" t="str">
        <f>IF('Cálculo MP'!N217="","",'Cálculo MP'!N217)</f>
        <v/>
      </c>
      <c r="BH207" s="72" t="str">
        <f>IF('Cálculo MP'!O217="","",'Cálculo MP'!O217)</f>
        <v/>
      </c>
      <c r="BI207" s="72" t="str">
        <f>IF('Cálculo MP'!P217="","",'Cálculo MP'!P217)</f>
        <v/>
      </c>
      <c r="BJ207" s="72" t="str">
        <f>IF('Cálculo MP'!Q217="","",'Cálculo MP'!Q217)</f>
        <v/>
      </c>
      <c r="BK207" s="72" t="str">
        <f>IF('Cálculo MP'!R217="","",'Cálculo MP'!R217)</f>
        <v/>
      </c>
      <c r="BL207" s="72" t="str">
        <f>IF('Cálculo MP'!S217="","",'Cálculo MP'!S217)</f>
        <v/>
      </c>
      <c r="BM207" s="71"/>
      <c r="BN207" s="71"/>
      <c r="BO207" s="71"/>
      <c r="BP207" s="71"/>
      <c r="BQ207" s="71"/>
      <c r="BR207" s="71"/>
      <c r="BS207" s="71"/>
    </row>
    <row r="208" spans="1:71" ht="19.5" customHeight="1" x14ac:dyDescent="0.15">
      <c r="A208" s="56" t="s">
        <v>985</v>
      </c>
      <c r="B208" s="57" t="s">
        <v>986</v>
      </c>
      <c r="C208" s="58" t="s">
        <v>985</v>
      </c>
      <c r="D208" s="59" t="s">
        <v>985</v>
      </c>
      <c r="E208" s="61"/>
      <c r="F208" s="60" t="s">
        <v>95</v>
      </c>
      <c r="G208" s="61"/>
      <c r="H208" s="62"/>
      <c r="I208" s="75"/>
      <c r="J208" s="60" t="s">
        <v>95</v>
      </c>
      <c r="K208" s="64"/>
      <c r="L208" s="64"/>
      <c r="M208" s="64" t="s">
        <v>96</v>
      </c>
      <c r="N208" s="64" t="s">
        <v>97</v>
      </c>
      <c r="O208" s="65" t="s">
        <v>986</v>
      </c>
      <c r="P208" s="70" t="s">
        <v>96</v>
      </c>
      <c r="Q208" s="60" t="s">
        <v>95</v>
      </c>
      <c r="R208" s="60" t="s">
        <v>96</v>
      </c>
      <c r="S208" s="66" t="s">
        <v>96</v>
      </c>
      <c r="T208" s="67" t="s">
        <v>96</v>
      </c>
      <c r="U208" s="60" t="s">
        <v>96</v>
      </c>
      <c r="V208" s="60" t="s">
        <v>96</v>
      </c>
      <c r="W208" s="60" t="str" cm="1">
        <f t="array" ref="W208">_xlfn.LET(_xlpm.resultados,_xlfn.UNIQUE(_xlfn._xlws.FILTER(Tabla1[Proceso],(Tabla1[Metal Base]=Q208)*(Tabla1[Etiquetas]=_xlfn.TEXTJOIN(" + ",TRUE,IF((TRIM(Upload!R208:V208)="")+(LOWER(TRIM(Upload!R208:V208))="(seleccione)"),"",PROPER(TRIM(Upload!R208:V208)))))*(Tabla1[Línea2]=IFERROR(VLOOKUP(Upload!P208&amp;"*",CAT_Procesos!D:D,1,FALSE),"")))),_xlpm.cantidad,ROWS(_xlpm.resultados),IF(ISERROR(_xlpm.cantidad),"Combinación no existente",IF(_xlpm.cantidad=1,INDEX(_xlpm.resultados,1),"(seleccione)")))</f>
        <v>Combinación no existente</v>
      </c>
      <c r="X208" s="67" t="s">
        <v>96</v>
      </c>
      <c r="Y208" s="64"/>
      <c r="Z208" s="64"/>
      <c r="AA208" s="64"/>
      <c r="AB208" s="133" t="s">
        <v>96</v>
      </c>
      <c r="AC208" s="64"/>
      <c r="AD208" s="64"/>
      <c r="AE208" s="64"/>
      <c r="AF208" s="60" t="s">
        <v>96</v>
      </c>
      <c r="AG208" s="64"/>
      <c r="AH208" s="64"/>
      <c r="AI208" s="64"/>
      <c r="AJ208" s="68" t="s">
        <v>96</v>
      </c>
      <c r="AK208" s="69" t="str">
        <f t="shared" si="6"/>
        <v/>
      </c>
      <c r="AL208" s="70" t="s">
        <v>96</v>
      </c>
      <c r="AM208" s="69" t="str">
        <f t="shared" si="7"/>
        <v/>
      </c>
      <c r="AN208" s="71"/>
      <c r="AO208" s="71"/>
      <c r="AP208" s="71"/>
      <c r="AQ208" s="71"/>
      <c r="AR208" s="71" t="s">
        <v>96</v>
      </c>
      <c r="AS208" s="71"/>
      <c r="AT208" s="71" t="s">
        <v>96</v>
      </c>
      <c r="AU208" s="71"/>
      <c r="AV208" s="71" t="s">
        <v>95</v>
      </c>
      <c r="AW208" s="71"/>
      <c r="AX208" s="71"/>
      <c r="AY208" s="71"/>
      <c r="AZ208" s="71"/>
      <c r="BA208" s="71"/>
      <c r="BB208" s="70" t="s">
        <v>218</v>
      </c>
      <c r="BC208" s="70" t="s">
        <v>98</v>
      </c>
      <c r="BD208" s="72" t="str">
        <f>IF('Cálculo MP'!K218="","",'Cálculo MP'!K218)</f>
        <v/>
      </c>
      <c r="BE208" s="72" t="str">
        <f>IF('Cálculo MP'!L218="","",'Cálculo MP'!L218)</f>
        <v/>
      </c>
      <c r="BF208" s="72" t="str">
        <f>IF('Cálculo MP'!M218="","",'Cálculo MP'!M218)</f>
        <v/>
      </c>
      <c r="BG208" s="72" t="str">
        <f>IF('Cálculo MP'!N218="","",'Cálculo MP'!N218)</f>
        <v/>
      </c>
      <c r="BH208" s="72" t="str">
        <f>IF('Cálculo MP'!O218="","",'Cálculo MP'!O218)</f>
        <v/>
      </c>
      <c r="BI208" s="72" t="str">
        <f>IF('Cálculo MP'!P218="","",'Cálculo MP'!P218)</f>
        <v/>
      </c>
      <c r="BJ208" s="72" t="str">
        <f>IF('Cálculo MP'!Q218="","",'Cálculo MP'!Q218)</f>
        <v/>
      </c>
      <c r="BK208" s="72" t="str">
        <f>IF('Cálculo MP'!R218="","",'Cálculo MP'!R218)</f>
        <v/>
      </c>
      <c r="BL208" s="72" t="str">
        <f>IF('Cálculo MP'!S218="","",'Cálculo MP'!S218)</f>
        <v/>
      </c>
      <c r="BM208" s="71"/>
      <c r="BN208" s="71"/>
      <c r="BO208" s="71"/>
      <c r="BP208" s="71"/>
      <c r="BQ208" s="71"/>
      <c r="BR208" s="71"/>
      <c r="BS208" s="71"/>
    </row>
    <row r="209" spans="1:71" ht="19.5" customHeight="1" x14ac:dyDescent="0.15">
      <c r="A209" s="56" t="s">
        <v>985</v>
      </c>
      <c r="B209" s="57" t="s">
        <v>986</v>
      </c>
      <c r="C209" s="58" t="s">
        <v>985</v>
      </c>
      <c r="D209" s="59" t="s">
        <v>985</v>
      </c>
      <c r="E209" s="61"/>
      <c r="F209" s="60" t="s">
        <v>95</v>
      </c>
      <c r="G209" s="61"/>
      <c r="H209" s="62"/>
      <c r="I209" s="75"/>
      <c r="J209" s="60" t="s">
        <v>95</v>
      </c>
      <c r="K209" s="64"/>
      <c r="L209" s="64"/>
      <c r="M209" s="64" t="s">
        <v>96</v>
      </c>
      <c r="N209" s="64" t="s">
        <v>97</v>
      </c>
      <c r="O209" s="65" t="s">
        <v>986</v>
      </c>
      <c r="P209" s="70" t="s">
        <v>96</v>
      </c>
      <c r="Q209" s="60" t="s">
        <v>95</v>
      </c>
      <c r="R209" s="60" t="s">
        <v>96</v>
      </c>
      <c r="S209" s="66" t="s">
        <v>96</v>
      </c>
      <c r="T209" s="67" t="s">
        <v>96</v>
      </c>
      <c r="U209" s="60" t="s">
        <v>96</v>
      </c>
      <c r="V209" s="60" t="s">
        <v>96</v>
      </c>
      <c r="W209" s="60" t="str" cm="1">
        <f t="array" ref="W209">_xlfn.LET(_xlpm.resultados,_xlfn.UNIQUE(_xlfn._xlws.FILTER(Tabla1[Proceso],(Tabla1[Metal Base]=Q209)*(Tabla1[Etiquetas]=_xlfn.TEXTJOIN(" + ",TRUE,IF((TRIM(Upload!R209:V209)="")+(LOWER(TRIM(Upload!R209:V209))="(seleccione)"),"",PROPER(TRIM(Upload!R209:V209)))))*(Tabla1[Línea2]=IFERROR(VLOOKUP(Upload!P209&amp;"*",CAT_Procesos!D:D,1,FALSE),"")))),_xlpm.cantidad,ROWS(_xlpm.resultados),IF(ISERROR(_xlpm.cantidad),"Combinación no existente",IF(_xlpm.cantidad=1,INDEX(_xlpm.resultados,1),"(seleccione)")))</f>
        <v>Combinación no existente</v>
      </c>
      <c r="X209" s="67" t="s">
        <v>96</v>
      </c>
      <c r="Y209" s="64"/>
      <c r="Z209" s="64"/>
      <c r="AA209" s="64"/>
      <c r="AB209" s="133" t="s">
        <v>96</v>
      </c>
      <c r="AC209" s="64"/>
      <c r="AD209" s="64"/>
      <c r="AE209" s="64"/>
      <c r="AF209" s="60" t="s">
        <v>96</v>
      </c>
      <c r="AG209" s="64"/>
      <c r="AH209" s="64"/>
      <c r="AI209" s="64"/>
      <c r="AJ209" s="68" t="s">
        <v>96</v>
      </c>
      <c r="AK209" s="69" t="str">
        <f t="shared" si="6"/>
        <v/>
      </c>
      <c r="AL209" s="70" t="s">
        <v>96</v>
      </c>
      <c r="AM209" s="69" t="str">
        <f t="shared" si="7"/>
        <v/>
      </c>
      <c r="AN209" s="71"/>
      <c r="AO209" s="71"/>
      <c r="AP209" s="71"/>
      <c r="AQ209" s="71"/>
      <c r="AR209" s="71" t="s">
        <v>96</v>
      </c>
      <c r="AS209" s="71"/>
      <c r="AT209" s="71" t="s">
        <v>96</v>
      </c>
      <c r="AU209" s="71"/>
      <c r="AV209" s="71" t="s">
        <v>95</v>
      </c>
      <c r="AW209" s="71"/>
      <c r="AX209" s="71"/>
      <c r="AY209" s="71"/>
      <c r="AZ209" s="71"/>
      <c r="BA209" s="71"/>
      <c r="BB209" s="70" t="s">
        <v>218</v>
      </c>
      <c r="BC209" s="70" t="s">
        <v>98</v>
      </c>
      <c r="BD209" s="72" t="str">
        <f>IF('Cálculo MP'!K219="","",'Cálculo MP'!K219)</f>
        <v/>
      </c>
      <c r="BE209" s="72" t="str">
        <f>IF('Cálculo MP'!L219="","",'Cálculo MP'!L219)</f>
        <v/>
      </c>
      <c r="BF209" s="72" t="str">
        <f>IF('Cálculo MP'!M219="","",'Cálculo MP'!M219)</f>
        <v/>
      </c>
      <c r="BG209" s="72" t="str">
        <f>IF('Cálculo MP'!N219="","",'Cálculo MP'!N219)</f>
        <v/>
      </c>
      <c r="BH209" s="72" t="str">
        <f>IF('Cálculo MP'!O219="","",'Cálculo MP'!O219)</f>
        <v/>
      </c>
      <c r="BI209" s="72" t="str">
        <f>IF('Cálculo MP'!P219="","",'Cálculo MP'!P219)</f>
        <v/>
      </c>
      <c r="BJ209" s="72" t="str">
        <f>IF('Cálculo MP'!Q219="","",'Cálculo MP'!Q219)</f>
        <v/>
      </c>
      <c r="BK209" s="72" t="str">
        <f>IF('Cálculo MP'!R219="","",'Cálculo MP'!R219)</f>
        <v/>
      </c>
      <c r="BL209" s="72" t="str">
        <f>IF('Cálculo MP'!S219="","",'Cálculo MP'!S219)</f>
        <v/>
      </c>
      <c r="BM209" s="71"/>
      <c r="BN209" s="71"/>
      <c r="BO209" s="71"/>
      <c r="BP209" s="71"/>
      <c r="BQ209" s="71"/>
      <c r="BR209" s="71"/>
      <c r="BS209" s="71"/>
    </row>
    <row r="210" spans="1:71" ht="19.5" customHeight="1" x14ac:dyDescent="0.15">
      <c r="A210" s="56" t="s">
        <v>985</v>
      </c>
      <c r="B210" s="57" t="s">
        <v>986</v>
      </c>
      <c r="C210" s="58" t="s">
        <v>985</v>
      </c>
      <c r="D210" s="59" t="s">
        <v>985</v>
      </c>
      <c r="E210" s="61"/>
      <c r="F210" s="60" t="s">
        <v>95</v>
      </c>
      <c r="G210" s="61"/>
      <c r="H210" s="62"/>
      <c r="I210" s="75"/>
      <c r="J210" s="60" t="s">
        <v>95</v>
      </c>
      <c r="K210" s="64"/>
      <c r="L210" s="64"/>
      <c r="M210" s="64" t="s">
        <v>96</v>
      </c>
      <c r="N210" s="64" t="s">
        <v>97</v>
      </c>
      <c r="O210" s="65" t="s">
        <v>986</v>
      </c>
      <c r="P210" s="70" t="s">
        <v>96</v>
      </c>
      <c r="Q210" s="60" t="s">
        <v>95</v>
      </c>
      <c r="R210" s="60" t="s">
        <v>96</v>
      </c>
      <c r="S210" s="66" t="s">
        <v>96</v>
      </c>
      <c r="T210" s="67" t="s">
        <v>96</v>
      </c>
      <c r="U210" s="60" t="s">
        <v>96</v>
      </c>
      <c r="V210" s="60" t="s">
        <v>96</v>
      </c>
      <c r="W210" s="60" t="str" cm="1">
        <f t="array" ref="W210">_xlfn.LET(_xlpm.resultados,_xlfn.UNIQUE(_xlfn._xlws.FILTER(Tabla1[Proceso],(Tabla1[Metal Base]=Q210)*(Tabla1[Etiquetas]=_xlfn.TEXTJOIN(" + ",TRUE,IF((TRIM(Upload!R210:V210)="")+(LOWER(TRIM(Upload!R210:V210))="(seleccione)"),"",PROPER(TRIM(Upload!R210:V210)))))*(Tabla1[Línea2]=IFERROR(VLOOKUP(Upload!P210&amp;"*",CAT_Procesos!D:D,1,FALSE),"")))),_xlpm.cantidad,ROWS(_xlpm.resultados),IF(ISERROR(_xlpm.cantidad),"Combinación no existente",IF(_xlpm.cantidad=1,INDEX(_xlpm.resultados,1),"(seleccione)")))</f>
        <v>Combinación no existente</v>
      </c>
      <c r="X210" s="67" t="s">
        <v>96</v>
      </c>
      <c r="Y210" s="64"/>
      <c r="Z210" s="64"/>
      <c r="AA210" s="64"/>
      <c r="AB210" s="133" t="s">
        <v>96</v>
      </c>
      <c r="AC210" s="64"/>
      <c r="AD210" s="64"/>
      <c r="AE210" s="64"/>
      <c r="AF210" s="60" t="s">
        <v>96</v>
      </c>
      <c r="AG210" s="64"/>
      <c r="AH210" s="64"/>
      <c r="AI210" s="64"/>
      <c r="AJ210" s="68" t="s">
        <v>96</v>
      </c>
      <c r="AK210" s="69" t="str">
        <f t="shared" si="6"/>
        <v/>
      </c>
      <c r="AL210" s="70" t="s">
        <v>96</v>
      </c>
      <c r="AM210" s="69" t="str">
        <f t="shared" si="7"/>
        <v/>
      </c>
      <c r="AN210" s="71"/>
      <c r="AO210" s="71"/>
      <c r="AP210" s="71"/>
      <c r="AQ210" s="71"/>
      <c r="AR210" s="71" t="s">
        <v>96</v>
      </c>
      <c r="AS210" s="71"/>
      <c r="AT210" s="71" t="s">
        <v>96</v>
      </c>
      <c r="AU210" s="71"/>
      <c r="AV210" s="71" t="s">
        <v>95</v>
      </c>
      <c r="AW210" s="71"/>
      <c r="AX210" s="71"/>
      <c r="AY210" s="71"/>
      <c r="AZ210" s="71"/>
      <c r="BA210" s="71"/>
      <c r="BB210" s="70" t="s">
        <v>218</v>
      </c>
      <c r="BC210" s="70" t="s">
        <v>98</v>
      </c>
      <c r="BD210" s="72" t="str">
        <f>IF('Cálculo MP'!K220="","",'Cálculo MP'!K220)</f>
        <v/>
      </c>
      <c r="BE210" s="72" t="str">
        <f>IF('Cálculo MP'!L220="","",'Cálculo MP'!L220)</f>
        <v/>
      </c>
      <c r="BF210" s="72" t="str">
        <f>IF('Cálculo MP'!M220="","",'Cálculo MP'!M220)</f>
        <v/>
      </c>
      <c r="BG210" s="72" t="str">
        <f>IF('Cálculo MP'!N220="","",'Cálculo MP'!N220)</f>
        <v/>
      </c>
      <c r="BH210" s="72" t="str">
        <f>IF('Cálculo MP'!O220="","",'Cálculo MP'!O220)</f>
        <v/>
      </c>
      <c r="BI210" s="72" t="str">
        <f>IF('Cálculo MP'!P220="","",'Cálculo MP'!P220)</f>
        <v/>
      </c>
      <c r="BJ210" s="72" t="str">
        <f>IF('Cálculo MP'!Q220="","",'Cálculo MP'!Q220)</f>
        <v/>
      </c>
      <c r="BK210" s="72" t="str">
        <f>IF('Cálculo MP'!R220="","",'Cálculo MP'!R220)</f>
        <v/>
      </c>
      <c r="BL210" s="72" t="str">
        <f>IF('Cálculo MP'!S220="","",'Cálculo MP'!S220)</f>
        <v/>
      </c>
      <c r="BM210" s="71"/>
      <c r="BN210" s="71"/>
      <c r="BO210" s="71"/>
      <c r="BP210" s="71"/>
      <c r="BQ210" s="71"/>
      <c r="BR210" s="71"/>
      <c r="BS210" s="71"/>
    </row>
    <row r="211" spans="1:71" ht="19.5" customHeight="1" x14ac:dyDescent="0.15">
      <c r="A211" s="56" t="s">
        <v>985</v>
      </c>
      <c r="B211" s="57" t="s">
        <v>986</v>
      </c>
      <c r="C211" s="58" t="s">
        <v>985</v>
      </c>
      <c r="D211" s="59" t="s">
        <v>985</v>
      </c>
      <c r="E211" s="61"/>
      <c r="F211" s="60" t="s">
        <v>95</v>
      </c>
      <c r="G211" s="61"/>
      <c r="H211" s="62"/>
      <c r="I211" s="75"/>
      <c r="J211" s="60" t="s">
        <v>95</v>
      </c>
      <c r="K211" s="64"/>
      <c r="L211" s="64"/>
      <c r="M211" s="64" t="s">
        <v>96</v>
      </c>
      <c r="N211" s="64" t="s">
        <v>97</v>
      </c>
      <c r="O211" s="65" t="s">
        <v>986</v>
      </c>
      <c r="P211" s="70" t="s">
        <v>96</v>
      </c>
      <c r="Q211" s="60" t="s">
        <v>95</v>
      </c>
      <c r="R211" s="60" t="s">
        <v>96</v>
      </c>
      <c r="S211" s="66" t="s">
        <v>96</v>
      </c>
      <c r="T211" s="67" t="s">
        <v>96</v>
      </c>
      <c r="U211" s="60" t="s">
        <v>96</v>
      </c>
      <c r="V211" s="60" t="s">
        <v>96</v>
      </c>
      <c r="W211" s="60" t="str" cm="1">
        <f t="array" ref="W211">_xlfn.LET(_xlpm.resultados,_xlfn.UNIQUE(_xlfn._xlws.FILTER(Tabla1[Proceso],(Tabla1[Metal Base]=Q211)*(Tabla1[Etiquetas]=_xlfn.TEXTJOIN(" + ",TRUE,IF((TRIM(Upload!R211:V211)="")+(LOWER(TRIM(Upload!R211:V211))="(seleccione)"),"",PROPER(TRIM(Upload!R211:V211)))))*(Tabla1[Línea2]=IFERROR(VLOOKUP(Upload!P211&amp;"*",CAT_Procesos!D:D,1,FALSE),"")))),_xlpm.cantidad,ROWS(_xlpm.resultados),IF(ISERROR(_xlpm.cantidad),"Combinación no existente",IF(_xlpm.cantidad=1,INDEX(_xlpm.resultados,1),"(seleccione)")))</f>
        <v>Combinación no existente</v>
      </c>
      <c r="X211" s="67" t="s">
        <v>96</v>
      </c>
      <c r="Y211" s="64"/>
      <c r="Z211" s="64"/>
      <c r="AA211" s="64"/>
      <c r="AB211" s="133" t="s">
        <v>96</v>
      </c>
      <c r="AC211" s="64"/>
      <c r="AD211" s="64"/>
      <c r="AE211" s="64"/>
      <c r="AF211" s="60" t="s">
        <v>96</v>
      </c>
      <c r="AG211" s="64"/>
      <c r="AH211" s="64"/>
      <c r="AI211" s="64"/>
      <c r="AJ211" s="68" t="s">
        <v>96</v>
      </c>
      <c r="AK211" s="69" t="str">
        <f t="shared" si="6"/>
        <v/>
      </c>
      <c r="AL211" s="70" t="s">
        <v>96</v>
      </c>
      <c r="AM211" s="69" t="str">
        <f t="shared" si="7"/>
        <v/>
      </c>
      <c r="AN211" s="71"/>
      <c r="AO211" s="71"/>
      <c r="AP211" s="71"/>
      <c r="AQ211" s="71"/>
      <c r="AR211" s="71" t="s">
        <v>96</v>
      </c>
      <c r="AS211" s="71"/>
      <c r="AT211" s="71" t="s">
        <v>96</v>
      </c>
      <c r="AU211" s="71"/>
      <c r="AV211" s="71" t="s">
        <v>95</v>
      </c>
      <c r="AW211" s="71"/>
      <c r="AX211" s="71"/>
      <c r="AY211" s="71"/>
      <c r="AZ211" s="71"/>
      <c r="BA211" s="71"/>
      <c r="BB211" s="70" t="s">
        <v>218</v>
      </c>
      <c r="BC211" s="70" t="s">
        <v>98</v>
      </c>
      <c r="BD211" s="72" t="str">
        <f>IF('Cálculo MP'!K221="","",'Cálculo MP'!K221)</f>
        <v/>
      </c>
      <c r="BE211" s="72" t="str">
        <f>IF('Cálculo MP'!L221="","",'Cálculo MP'!L221)</f>
        <v/>
      </c>
      <c r="BF211" s="72" t="str">
        <f>IF('Cálculo MP'!M221="","",'Cálculo MP'!M221)</f>
        <v/>
      </c>
      <c r="BG211" s="72" t="str">
        <f>IF('Cálculo MP'!N221="","",'Cálculo MP'!N221)</f>
        <v/>
      </c>
      <c r="BH211" s="72" t="str">
        <f>IF('Cálculo MP'!O221="","",'Cálculo MP'!O221)</f>
        <v/>
      </c>
      <c r="BI211" s="72" t="str">
        <f>IF('Cálculo MP'!P221="","",'Cálculo MP'!P221)</f>
        <v/>
      </c>
      <c r="BJ211" s="72" t="str">
        <f>IF('Cálculo MP'!Q221="","",'Cálculo MP'!Q221)</f>
        <v/>
      </c>
      <c r="BK211" s="72" t="str">
        <f>IF('Cálculo MP'!R221="","",'Cálculo MP'!R221)</f>
        <v/>
      </c>
      <c r="BL211" s="72" t="str">
        <f>IF('Cálculo MP'!S221="","",'Cálculo MP'!S221)</f>
        <v/>
      </c>
      <c r="BM211" s="71"/>
      <c r="BN211" s="71"/>
      <c r="BO211" s="71"/>
      <c r="BP211" s="71"/>
      <c r="BQ211" s="71"/>
      <c r="BR211" s="71"/>
      <c r="BS211" s="71"/>
    </row>
    <row r="212" spans="1:71" ht="19.5" customHeight="1" x14ac:dyDescent="0.15">
      <c r="A212" s="56" t="s">
        <v>985</v>
      </c>
      <c r="B212" s="57" t="s">
        <v>986</v>
      </c>
      <c r="C212" s="58" t="s">
        <v>985</v>
      </c>
      <c r="D212" s="59" t="s">
        <v>985</v>
      </c>
      <c r="E212" s="61"/>
      <c r="F212" s="60" t="s">
        <v>95</v>
      </c>
      <c r="G212" s="61"/>
      <c r="H212" s="62"/>
      <c r="I212" s="75"/>
      <c r="J212" s="60" t="s">
        <v>95</v>
      </c>
      <c r="K212" s="64"/>
      <c r="L212" s="64"/>
      <c r="M212" s="64" t="s">
        <v>96</v>
      </c>
      <c r="N212" s="64" t="s">
        <v>97</v>
      </c>
      <c r="O212" s="65" t="s">
        <v>986</v>
      </c>
      <c r="P212" s="70" t="s">
        <v>96</v>
      </c>
      <c r="Q212" s="60" t="s">
        <v>95</v>
      </c>
      <c r="R212" s="60" t="s">
        <v>96</v>
      </c>
      <c r="S212" s="66" t="s">
        <v>96</v>
      </c>
      <c r="T212" s="67" t="s">
        <v>96</v>
      </c>
      <c r="U212" s="60" t="s">
        <v>96</v>
      </c>
      <c r="V212" s="60" t="s">
        <v>96</v>
      </c>
      <c r="W212" s="60" t="str" cm="1">
        <f t="array" ref="W212">_xlfn.LET(_xlpm.resultados,_xlfn.UNIQUE(_xlfn._xlws.FILTER(Tabla1[Proceso],(Tabla1[Metal Base]=Q212)*(Tabla1[Etiquetas]=_xlfn.TEXTJOIN(" + ",TRUE,IF((TRIM(Upload!R212:V212)="")+(LOWER(TRIM(Upload!R212:V212))="(seleccione)"),"",PROPER(TRIM(Upload!R212:V212)))))*(Tabla1[Línea2]=IFERROR(VLOOKUP(Upload!P212&amp;"*",CAT_Procesos!D:D,1,FALSE),"")))),_xlpm.cantidad,ROWS(_xlpm.resultados),IF(ISERROR(_xlpm.cantidad),"Combinación no existente",IF(_xlpm.cantidad=1,INDEX(_xlpm.resultados,1),"(seleccione)")))</f>
        <v>Combinación no existente</v>
      </c>
      <c r="X212" s="67" t="s">
        <v>96</v>
      </c>
      <c r="Y212" s="64"/>
      <c r="Z212" s="64"/>
      <c r="AA212" s="64"/>
      <c r="AB212" s="133" t="s">
        <v>96</v>
      </c>
      <c r="AC212" s="64"/>
      <c r="AD212" s="64"/>
      <c r="AE212" s="64"/>
      <c r="AF212" s="60" t="s">
        <v>96</v>
      </c>
      <c r="AG212" s="64"/>
      <c r="AH212" s="64"/>
      <c r="AI212" s="64"/>
      <c r="AJ212" s="68" t="s">
        <v>96</v>
      </c>
      <c r="AK212" s="69" t="str">
        <f t="shared" si="6"/>
        <v/>
      </c>
      <c r="AL212" s="70" t="s">
        <v>96</v>
      </c>
      <c r="AM212" s="69" t="str">
        <f t="shared" si="7"/>
        <v/>
      </c>
      <c r="AN212" s="71"/>
      <c r="AO212" s="71"/>
      <c r="AP212" s="71"/>
      <c r="AQ212" s="71"/>
      <c r="AR212" s="71" t="s">
        <v>96</v>
      </c>
      <c r="AS212" s="71"/>
      <c r="AT212" s="71" t="s">
        <v>96</v>
      </c>
      <c r="AU212" s="71"/>
      <c r="AV212" s="71" t="s">
        <v>95</v>
      </c>
      <c r="AW212" s="71"/>
      <c r="AX212" s="71"/>
      <c r="AY212" s="71"/>
      <c r="AZ212" s="71"/>
      <c r="BA212" s="71"/>
      <c r="BB212" s="70" t="s">
        <v>218</v>
      </c>
      <c r="BC212" s="70" t="s">
        <v>98</v>
      </c>
      <c r="BD212" s="72" t="str">
        <f>IF('Cálculo MP'!K222="","",'Cálculo MP'!K222)</f>
        <v/>
      </c>
      <c r="BE212" s="72" t="str">
        <f>IF('Cálculo MP'!L222="","",'Cálculo MP'!L222)</f>
        <v/>
      </c>
      <c r="BF212" s="72" t="str">
        <f>IF('Cálculo MP'!M222="","",'Cálculo MP'!M222)</f>
        <v/>
      </c>
      <c r="BG212" s="72" t="str">
        <f>IF('Cálculo MP'!N222="","",'Cálculo MP'!N222)</f>
        <v/>
      </c>
      <c r="BH212" s="72" t="str">
        <f>IF('Cálculo MP'!O222="","",'Cálculo MP'!O222)</f>
        <v/>
      </c>
      <c r="BI212" s="72" t="str">
        <f>IF('Cálculo MP'!P222="","",'Cálculo MP'!P222)</f>
        <v/>
      </c>
      <c r="BJ212" s="72" t="str">
        <f>IF('Cálculo MP'!Q222="","",'Cálculo MP'!Q222)</f>
        <v/>
      </c>
      <c r="BK212" s="72" t="str">
        <f>IF('Cálculo MP'!R222="","",'Cálculo MP'!R222)</f>
        <v/>
      </c>
      <c r="BL212" s="72" t="str">
        <f>IF('Cálculo MP'!S222="","",'Cálculo MP'!S222)</f>
        <v/>
      </c>
      <c r="BM212" s="71"/>
      <c r="BN212" s="71"/>
      <c r="BO212" s="71"/>
      <c r="BP212" s="71"/>
      <c r="BQ212" s="71"/>
      <c r="BR212" s="71"/>
      <c r="BS212" s="71"/>
    </row>
    <row r="213" spans="1:71" ht="19.5" customHeight="1" x14ac:dyDescent="0.15">
      <c r="A213" s="56" t="s">
        <v>985</v>
      </c>
      <c r="B213" s="57" t="s">
        <v>986</v>
      </c>
      <c r="C213" s="58" t="s">
        <v>985</v>
      </c>
      <c r="D213" s="59" t="s">
        <v>985</v>
      </c>
      <c r="E213" s="61"/>
      <c r="F213" s="60" t="s">
        <v>95</v>
      </c>
      <c r="G213" s="61"/>
      <c r="H213" s="62"/>
      <c r="I213" s="75"/>
      <c r="J213" s="60" t="s">
        <v>95</v>
      </c>
      <c r="K213" s="64"/>
      <c r="L213" s="64"/>
      <c r="M213" s="64" t="s">
        <v>96</v>
      </c>
      <c r="N213" s="64" t="s">
        <v>97</v>
      </c>
      <c r="O213" s="65" t="s">
        <v>986</v>
      </c>
      <c r="P213" s="70" t="s">
        <v>96</v>
      </c>
      <c r="Q213" s="60" t="s">
        <v>95</v>
      </c>
      <c r="R213" s="60" t="s">
        <v>96</v>
      </c>
      <c r="S213" s="66" t="s">
        <v>96</v>
      </c>
      <c r="T213" s="67" t="s">
        <v>96</v>
      </c>
      <c r="U213" s="60" t="s">
        <v>96</v>
      </c>
      <c r="V213" s="60" t="s">
        <v>96</v>
      </c>
      <c r="W213" s="60" t="str" cm="1">
        <f t="array" ref="W213">_xlfn.LET(_xlpm.resultados,_xlfn.UNIQUE(_xlfn._xlws.FILTER(Tabla1[Proceso],(Tabla1[Metal Base]=Q213)*(Tabla1[Etiquetas]=_xlfn.TEXTJOIN(" + ",TRUE,IF((TRIM(Upload!R213:V213)="")+(LOWER(TRIM(Upload!R213:V213))="(seleccione)"),"",PROPER(TRIM(Upload!R213:V213)))))*(Tabla1[Línea2]=IFERROR(VLOOKUP(Upload!P213&amp;"*",CAT_Procesos!D:D,1,FALSE),"")))),_xlpm.cantidad,ROWS(_xlpm.resultados),IF(ISERROR(_xlpm.cantidad),"Combinación no existente",IF(_xlpm.cantidad=1,INDEX(_xlpm.resultados,1),"(seleccione)")))</f>
        <v>Combinación no existente</v>
      </c>
      <c r="X213" s="67" t="s">
        <v>96</v>
      </c>
      <c r="Y213" s="64"/>
      <c r="Z213" s="64"/>
      <c r="AA213" s="64"/>
      <c r="AB213" s="133" t="s">
        <v>96</v>
      </c>
      <c r="AC213" s="64"/>
      <c r="AD213" s="64"/>
      <c r="AE213" s="64"/>
      <c r="AF213" s="60" t="s">
        <v>96</v>
      </c>
      <c r="AG213" s="64"/>
      <c r="AH213" s="64"/>
      <c r="AI213" s="64"/>
      <c r="AJ213" s="68" t="s">
        <v>96</v>
      </c>
      <c r="AK213" s="69" t="str">
        <f t="shared" si="6"/>
        <v/>
      </c>
      <c r="AL213" s="70" t="s">
        <v>96</v>
      </c>
      <c r="AM213" s="69" t="str">
        <f t="shared" si="7"/>
        <v/>
      </c>
      <c r="AN213" s="71"/>
      <c r="AO213" s="71"/>
      <c r="AP213" s="71"/>
      <c r="AQ213" s="71"/>
      <c r="AR213" s="71" t="s">
        <v>96</v>
      </c>
      <c r="AS213" s="71"/>
      <c r="AT213" s="71" t="s">
        <v>96</v>
      </c>
      <c r="AU213" s="71"/>
      <c r="AV213" s="71" t="s">
        <v>95</v>
      </c>
      <c r="AW213" s="71"/>
      <c r="AX213" s="71"/>
      <c r="AY213" s="71"/>
      <c r="AZ213" s="71"/>
      <c r="BA213" s="71"/>
      <c r="BB213" s="70" t="s">
        <v>218</v>
      </c>
      <c r="BC213" s="70" t="s">
        <v>98</v>
      </c>
      <c r="BD213" s="72" t="str">
        <f>IF('Cálculo MP'!K223="","",'Cálculo MP'!K223)</f>
        <v/>
      </c>
      <c r="BE213" s="72" t="str">
        <f>IF('Cálculo MP'!L223="","",'Cálculo MP'!L223)</f>
        <v/>
      </c>
      <c r="BF213" s="72" t="str">
        <f>IF('Cálculo MP'!M223="","",'Cálculo MP'!M223)</f>
        <v/>
      </c>
      <c r="BG213" s="72" t="str">
        <f>IF('Cálculo MP'!N223="","",'Cálculo MP'!N223)</f>
        <v/>
      </c>
      <c r="BH213" s="72" t="str">
        <f>IF('Cálculo MP'!O223="","",'Cálculo MP'!O223)</f>
        <v/>
      </c>
      <c r="BI213" s="72" t="str">
        <f>IF('Cálculo MP'!P223="","",'Cálculo MP'!P223)</f>
        <v/>
      </c>
      <c r="BJ213" s="72" t="str">
        <f>IF('Cálculo MP'!Q223="","",'Cálculo MP'!Q223)</f>
        <v/>
      </c>
      <c r="BK213" s="72" t="str">
        <f>IF('Cálculo MP'!R223="","",'Cálculo MP'!R223)</f>
        <v/>
      </c>
      <c r="BL213" s="72" t="str">
        <f>IF('Cálculo MP'!S223="","",'Cálculo MP'!S223)</f>
        <v/>
      </c>
      <c r="BM213" s="71"/>
      <c r="BN213" s="71"/>
      <c r="BO213" s="71"/>
      <c r="BP213" s="71"/>
      <c r="BQ213" s="71"/>
      <c r="BR213" s="71"/>
      <c r="BS213" s="71"/>
    </row>
    <row r="214" spans="1:71" ht="19.5" customHeight="1" x14ac:dyDescent="0.15">
      <c r="A214" s="56" t="s">
        <v>985</v>
      </c>
      <c r="B214" s="57" t="s">
        <v>986</v>
      </c>
      <c r="C214" s="58" t="s">
        <v>985</v>
      </c>
      <c r="D214" s="59" t="s">
        <v>985</v>
      </c>
      <c r="E214" s="61"/>
      <c r="F214" s="60" t="s">
        <v>95</v>
      </c>
      <c r="G214" s="61"/>
      <c r="H214" s="62"/>
      <c r="I214" s="75"/>
      <c r="J214" s="60" t="s">
        <v>95</v>
      </c>
      <c r="K214" s="64"/>
      <c r="L214" s="64"/>
      <c r="M214" s="64" t="s">
        <v>96</v>
      </c>
      <c r="N214" s="64" t="s">
        <v>97</v>
      </c>
      <c r="O214" s="65" t="s">
        <v>986</v>
      </c>
      <c r="P214" s="70" t="s">
        <v>96</v>
      </c>
      <c r="Q214" s="60" t="s">
        <v>95</v>
      </c>
      <c r="R214" s="60" t="s">
        <v>96</v>
      </c>
      <c r="S214" s="66" t="s">
        <v>96</v>
      </c>
      <c r="T214" s="67" t="s">
        <v>96</v>
      </c>
      <c r="U214" s="60" t="s">
        <v>96</v>
      </c>
      <c r="V214" s="60" t="s">
        <v>96</v>
      </c>
      <c r="W214" s="60" t="str" cm="1">
        <f t="array" ref="W214">_xlfn.LET(_xlpm.resultados,_xlfn.UNIQUE(_xlfn._xlws.FILTER(Tabla1[Proceso],(Tabla1[Metal Base]=Q214)*(Tabla1[Etiquetas]=_xlfn.TEXTJOIN(" + ",TRUE,IF((TRIM(Upload!R214:V214)="")+(LOWER(TRIM(Upload!R214:V214))="(seleccione)"),"",PROPER(TRIM(Upload!R214:V214)))))*(Tabla1[Línea2]=IFERROR(VLOOKUP(Upload!P214&amp;"*",CAT_Procesos!D:D,1,FALSE),"")))),_xlpm.cantidad,ROWS(_xlpm.resultados),IF(ISERROR(_xlpm.cantidad),"Combinación no existente",IF(_xlpm.cantidad=1,INDEX(_xlpm.resultados,1),"(seleccione)")))</f>
        <v>Combinación no existente</v>
      </c>
      <c r="X214" s="67" t="s">
        <v>96</v>
      </c>
      <c r="Y214" s="64"/>
      <c r="Z214" s="64"/>
      <c r="AA214" s="64"/>
      <c r="AB214" s="133" t="s">
        <v>96</v>
      </c>
      <c r="AC214" s="64"/>
      <c r="AD214" s="64"/>
      <c r="AE214" s="64"/>
      <c r="AF214" s="60" t="s">
        <v>96</v>
      </c>
      <c r="AG214" s="64"/>
      <c r="AH214" s="64"/>
      <c r="AI214" s="64"/>
      <c r="AJ214" s="68" t="s">
        <v>96</v>
      </c>
      <c r="AK214" s="69" t="str">
        <f t="shared" si="6"/>
        <v/>
      </c>
      <c r="AL214" s="70" t="s">
        <v>96</v>
      </c>
      <c r="AM214" s="69" t="str">
        <f t="shared" si="7"/>
        <v/>
      </c>
      <c r="AN214" s="71"/>
      <c r="AO214" s="71"/>
      <c r="AP214" s="71"/>
      <c r="AQ214" s="71"/>
      <c r="AR214" s="71" t="s">
        <v>96</v>
      </c>
      <c r="AS214" s="71"/>
      <c r="AT214" s="71" t="s">
        <v>96</v>
      </c>
      <c r="AU214" s="71"/>
      <c r="AV214" s="71" t="s">
        <v>95</v>
      </c>
      <c r="AW214" s="71"/>
      <c r="AX214" s="71"/>
      <c r="AY214" s="71"/>
      <c r="AZ214" s="71"/>
      <c r="BA214" s="71"/>
      <c r="BB214" s="70" t="s">
        <v>218</v>
      </c>
      <c r="BC214" s="70" t="s">
        <v>98</v>
      </c>
      <c r="BD214" s="72" t="str">
        <f>IF('Cálculo MP'!K224="","",'Cálculo MP'!K224)</f>
        <v/>
      </c>
      <c r="BE214" s="72" t="str">
        <f>IF('Cálculo MP'!L224="","",'Cálculo MP'!L224)</f>
        <v/>
      </c>
      <c r="BF214" s="72" t="str">
        <f>IF('Cálculo MP'!M224="","",'Cálculo MP'!M224)</f>
        <v/>
      </c>
      <c r="BG214" s="72" t="str">
        <f>IF('Cálculo MP'!N224="","",'Cálculo MP'!N224)</f>
        <v/>
      </c>
      <c r="BH214" s="72" t="str">
        <f>IF('Cálculo MP'!O224="","",'Cálculo MP'!O224)</f>
        <v/>
      </c>
      <c r="BI214" s="72" t="str">
        <f>IF('Cálculo MP'!P224="","",'Cálculo MP'!P224)</f>
        <v/>
      </c>
      <c r="BJ214" s="72" t="str">
        <f>IF('Cálculo MP'!Q224="","",'Cálculo MP'!Q224)</f>
        <v/>
      </c>
      <c r="BK214" s="72" t="str">
        <f>IF('Cálculo MP'!R224="","",'Cálculo MP'!R224)</f>
        <v/>
      </c>
      <c r="BL214" s="72" t="str">
        <f>IF('Cálculo MP'!S224="","",'Cálculo MP'!S224)</f>
        <v/>
      </c>
      <c r="BM214" s="71"/>
      <c r="BN214" s="71"/>
      <c r="BO214" s="71"/>
      <c r="BP214" s="71"/>
      <c r="BQ214" s="71"/>
      <c r="BR214" s="71"/>
      <c r="BS214" s="71"/>
    </row>
    <row r="215" spans="1:71" ht="19.5" customHeight="1" x14ac:dyDescent="0.15">
      <c r="A215" s="56" t="s">
        <v>985</v>
      </c>
      <c r="B215" s="57" t="s">
        <v>986</v>
      </c>
      <c r="C215" s="58" t="s">
        <v>985</v>
      </c>
      <c r="D215" s="59" t="s">
        <v>985</v>
      </c>
      <c r="E215" s="61"/>
      <c r="F215" s="60" t="s">
        <v>95</v>
      </c>
      <c r="G215" s="61"/>
      <c r="H215" s="62"/>
      <c r="I215" s="75"/>
      <c r="J215" s="60" t="s">
        <v>95</v>
      </c>
      <c r="K215" s="64"/>
      <c r="L215" s="64"/>
      <c r="M215" s="64" t="s">
        <v>96</v>
      </c>
      <c r="N215" s="64" t="s">
        <v>97</v>
      </c>
      <c r="O215" s="65" t="s">
        <v>986</v>
      </c>
      <c r="P215" s="70" t="s">
        <v>96</v>
      </c>
      <c r="Q215" s="60" t="s">
        <v>95</v>
      </c>
      <c r="R215" s="60" t="s">
        <v>96</v>
      </c>
      <c r="S215" s="66" t="s">
        <v>96</v>
      </c>
      <c r="T215" s="67" t="s">
        <v>96</v>
      </c>
      <c r="U215" s="60" t="s">
        <v>96</v>
      </c>
      <c r="V215" s="60" t="s">
        <v>96</v>
      </c>
      <c r="W215" s="60" t="str" cm="1">
        <f t="array" ref="W215">_xlfn.LET(_xlpm.resultados,_xlfn.UNIQUE(_xlfn._xlws.FILTER(Tabla1[Proceso],(Tabla1[Metal Base]=Q215)*(Tabla1[Etiquetas]=_xlfn.TEXTJOIN(" + ",TRUE,IF((TRIM(Upload!R215:V215)="")+(LOWER(TRIM(Upload!R215:V215))="(seleccione)"),"",PROPER(TRIM(Upload!R215:V215)))))*(Tabla1[Línea2]=IFERROR(VLOOKUP(Upload!P215&amp;"*",CAT_Procesos!D:D,1,FALSE),"")))),_xlpm.cantidad,ROWS(_xlpm.resultados),IF(ISERROR(_xlpm.cantidad),"Combinación no existente",IF(_xlpm.cantidad=1,INDEX(_xlpm.resultados,1),"(seleccione)")))</f>
        <v>Combinación no existente</v>
      </c>
      <c r="X215" s="67" t="s">
        <v>96</v>
      </c>
      <c r="Y215" s="64"/>
      <c r="Z215" s="64"/>
      <c r="AA215" s="64"/>
      <c r="AB215" s="133" t="s">
        <v>96</v>
      </c>
      <c r="AC215" s="64"/>
      <c r="AD215" s="64"/>
      <c r="AE215" s="64"/>
      <c r="AF215" s="60" t="s">
        <v>96</v>
      </c>
      <c r="AG215" s="64"/>
      <c r="AH215" s="64"/>
      <c r="AI215" s="64"/>
      <c r="AJ215" s="68" t="s">
        <v>96</v>
      </c>
      <c r="AK215" s="69" t="str">
        <f t="shared" si="6"/>
        <v/>
      </c>
      <c r="AL215" s="70" t="s">
        <v>96</v>
      </c>
      <c r="AM215" s="69" t="str">
        <f t="shared" si="7"/>
        <v/>
      </c>
      <c r="AN215" s="71"/>
      <c r="AO215" s="71"/>
      <c r="AP215" s="71"/>
      <c r="AQ215" s="71"/>
      <c r="AR215" s="71" t="s">
        <v>96</v>
      </c>
      <c r="AS215" s="71"/>
      <c r="AT215" s="71" t="s">
        <v>96</v>
      </c>
      <c r="AU215" s="71"/>
      <c r="AV215" s="71" t="s">
        <v>95</v>
      </c>
      <c r="AW215" s="71"/>
      <c r="AX215" s="71"/>
      <c r="AY215" s="71"/>
      <c r="AZ215" s="71"/>
      <c r="BA215" s="71"/>
      <c r="BB215" s="70" t="s">
        <v>218</v>
      </c>
      <c r="BC215" s="70" t="s">
        <v>98</v>
      </c>
      <c r="BD215" s="72" t="str">
        <f>IF('Cálculo MP'!K225="","",'Cálculo MP'!K225)</f>
        <v/>
      </c>
      <c r="BE215" s="72" t="str">
        <f>IF('Cálculo MP'!L225="","",'Cálculo MP'!L225)</f>
        <v/>
      </c>
      <c r="BF215" s="72" t="str">
        <f>IF('Cálculo MP'!M225="","",'Cálculo MP'!M225)</f>
        <v/>
      </c>
      <c r="BG215" s="72" t="str">
        <f>IF('Cálculo MP'!N225="","",'Cálculo MP'!N225)</f>
        <v/>
      </c>
      <c r="BH215" s="72" t="str">
        <f>IF('Cálculo MP'!O225="","",'Cálculo MP'!O225)</f>
        <v/>
      </c>
      <c r="BI215" s="72" t="str">
        <f>IF('Cálculo MP'!P225="","",'Cálculo MP'!P225)</f>
        <v/>
      </c>
      <c r="BJ215" s="72" t="str">
        <f>IF('Cálculo MP'!Q225="","",'Cálculo MP'!Q225)</f>
        <v/>
      </c>
      <c r="BK215" s="72" t="str">
        <f>IF('Cálculo MP'!R225="","",'Cálculo MP'!R225)</f>
        <v/>
      </c>
      <c r="BL215" s="72" t="str">
        <f>IF('Cálculo MP'!S225="","",'Cálculo MP'!S225)</f>
        <v/>
      </c>
      <c r="BM215" s="71"/>
      <c r="BN215" s="71"/>
      <c r="BO215" s="71"/>
      <c r="BP215" s="71"/>
      <c r="BQ215" s="71"/>
      <c r="BR215" s="71"/>
      <c r="BS215" s="71"/>
    </row>
    <row r="216" spans="1:71" ht="19.5" customHeight="1" x14ac:dyDescent="0.15">
      <c r="A216" s="56" t="s">
        <v>985</v>
      </c>
      <c r="B216" s="57" t="s">
        <v>986</v>
      </c>
      <c r="C216" s="58" t="s">
        <v>985</v>
      </c>
      <c r="D216" s="59" t="s">
        <v>985</v>
      </c>
      <c r="E216" s="61"/>
      <c r="F216" s="60" t="s">
        <v>95</v>
      </c>
      <c r="G216" s="61"/>
      <c r="H216" s="62"/>
      <c r="I216" s="75"/>
      <c r="J216" s="60" t="s">
        <v>95</v>
      </c>
      <c r="K216" s="64"/>
      <c r="L216" s="64"/>
      <c r="M216" s="64" t="s">
        <v>96</v>
      </c>
      <c r="N216" s="64" t="s">
        <v>97</v>
      </c>
      <c r="O216" s="65" t="s">
        <v>986</v>
      </c>
      <c r="P216" s="70" t="s">
        <v>96</v>
      </c>
      <c r="Q216" s="60" t="s">
        <v>95</v>
      </c>
      <c r="R216" s="60" t="s">
        <v>96</v>
      </c>
      <c r="S216" s="66" t="s">
        <v>96</v>
      </c>
      <c r="T216" s="67" t="s">
        <v>96</v>
      </c>
      <c r="U216" s="60" t="s">
        <v>96</v>
      </c>
      <c r="V216" s="60" t="s">
        <v>96</v>
      </c>
      <c r="W216" s="60" t="str" cm="1">
        <f t="array" ref="W216">_xlfn.LET(_xlpm.resultados,_xlfn.UNIQUE(_xlfn._xlws.FILTER(Tabla1[Proceso],(Tabla1[Metal Base]=Q216)*(Tabla1[Etiquetas]=_xlfn.TEXTJOIN(" + ",TRUE,IF((TRIM(Upload!R216:V216)="")+(LOWER(TRIM(Upload!R216:V216))="(seleccione)"),"",PROPER(TRIM(Upload!R216:V216)))))*(Tabla1[Línea2]=IFERROR(VLOOKUP(Upload!P216&amp;"*",CAT_Procesos!D:D,1,FALSE),"")))),_xlpm.cantidad,ROWS(_xlpm.resultados),IF(ISERROR(_xlpm.cantidad),"Combinación no existente",IF(_xlpm.cantidad=1,INDEX(_xlpm.resultados,1),"(seleccione)")))</f>
        <v>Combinación no existente</v>
      </c>
      <c r="X216" s="67" t="s">
        <v>96</v>
      </c>
      <c r="Y216" s="64"/>
      <c r="Z216" s="64"/>
      <c r="AA216" s="64"/>
      <c r="AB216" s="133" t="s">
        <v>96</v>
      </c>
      <c r="AC216" s="64"/>
      <c r="AD216" s="64"/>
      <c r="AE216" s="64"/>
      <c r="AF216" s="60" t="s">
        <v>96</v>
      </c>
      <c r="AG216" s="64"/>
      <c r="AH216" s="64"/>
      <c r="AI216" s="64"/>
      <c r="AJ216" s="68" t="s">
        <v>96</v>
      </c>
      <c r="AK216" s="69" t="str">
        <f t="shared" si="6"/>
        <v/>
      </c>
      <c r="AL216" s="70" t="s">
        <v>96</v>
      </c>
      <c r="AM216" s="69" t="str">
        <f t="shared" si="7"/>
        <v/>
      </c>
      <c r="AN216" s="71"/>
      <c r="AO216" s="71"/>
      <c r="AP216" s="71"/>
      <c r="AQ216" s="71"/>
      <c r="AR216" s="71" t="s">
        <v>96</v>
      </c>
      <c r="AS216" s="71"/>
      <c r="AT216" s="71" t="s">
        <v>96</v>
      </c>
      <c r="AU216" s="71"/>
      <c r="AV216" s="71" t="s">
        <v>95</v>
      </c>
      <c r="AW216" s="71"/>
      <c r="AX216" s="71"/>
      <c r="AY216" s="71"/>
      <c r="AZ216" s="71"/>
      <c r="BA216" s="71"/>
      <c r="BB216" s="70" t="s">
        <v>218</v>
      </c>
      <c r="BC216" s="70" t="s">
        <v>98</v>
      </c>
      <c r="BD216" s="72" t="str">
        <f>IF('Cálculo MP'!K226="","",'Cálculo MP'!K226)</f>
        <v/>
      </c>
      <c r="BE216" s="72" t="str">
        <f>IF('Cálculo MP'!L226="","",'Cálculo MP'!L226)</f>
        <v/>
      </c>
      <c r="BF216" s="72" t="str">
        <f>IF('Cálculo MP'!M226="","",'Cálculo MP'!M226)</f>
        <v/>
      </c>
      <c r="BG216" s="72" t="str">
        <f>IF('Cálculo MP'!N226="","",'Cálculo MP'!N226)</f>
        <v/>
      </c>
      <c r="BH216" s="72" t="str">
        <f>IF('Cálculo MP'!O226="","",'Cálculo MP'!O226)</f>
        <v/>
      </c>
      <c r="BI216" s="72" t="str">
        <f>IF('Cálculo MP'!P226="","",'Cálculo MP'!P226)</f>
        <v/>
      </c>
      <c r="BJ216" s="72" t="str">
        <f>IF('Cálculo MP'!Q226="","",'Cálculo MP'!Q226)</f>
        <v/>
      </c>
      <c r="BK216" s="72" t="str">
        <f>IF('Cálculo MP'!R226="","",'Cálculo MP'!R226)</f>
        <v/>
      </c>
      <c r="BL216" s="72" t="str">
        <f>IF('Cálculo MP'!S226="","",'Cálculo MP'!S226)</f>
        <v/>
      </c>
      <c r="BM216" s="71"/>
      <c r="BN216" s="71"/>
      <c r="BO216" s="71"/>
      <c r="BP216" s="71"/>
      <c r="BQ216" s="71"/>
      <c r="BR216" s="71"/>
      <c r="BS216" s="71"/>
    </row>
    <row r="217" spans="1:71" ht="19.5" customHeight="1" x14ac:dyDescent="0.15">
      <c r="A217" s="56" t="s">
        <v>985</v>
      </c>
      <c r="B217" s="57" t="s">
        <v>986</v>
      </c>
      <c r="C217" s="58" t="s">
        <v>985</v>
      </c>
      <c r="D217" s="59" t="s">
        <v>985</v>
      </c>
      <c r="E217" s="61"/>
      <c r="F217" s="60" t="s">
        <v>95</v>
      </c>
      <c r="G217" s="61"/>
      <c r="H217" s="62"/>
      <c r="I217" s="75"/>
      <c r="J217" s="60" t="s">
        <v>95</v>
      </c>
      <c r="K217" s="64"/>
      <c r="L217" s="64"/>
      <c r="M217" s="64" t="s">
        <v>96</v>
      </c>
      <c r="N217" s="64" t="s">
        <v>97</v>
      </c>
      <c r="O217" s="65" t="s">
        <v>986</v>
      </c>
      <c r="P217" s="70" t="s">
        <v>96</v>
      </c>
      <c r="Q217" s="60" t="s">
        <v>95</v>
      </c>
      <c r="R217" s="60" t="s">
        <v>96</v>
      </c>
      <c r="S217" s="66" t="s">
        <v>96</v>
      </c>
      <c r="T217" s="67" t="s">
        <v>96</v>
      </c>
      <c r="U217" s="60" t="s">
        <v>96</v>
      </c>
      <c r="V217" s="60" t="s">
        <v>96</v>
      </c>
      <c r="W217" s="60" t="str" cm="1">
        <f t="array" ref="W217">_xlfn.LET(_xlpm.resultados,_xlfn.UNIQUE(_xlfn._xlws.FILTER(Tabla1[Proceso],(Tabla1[Metal Base]=Q217)*(Tabla1[Etiquetas]=_xlfn.TEXTJOIN(" + ",TRUE,IF((TRIM(Upload!R217:V217)="")+(LOWER(TRIM(Upload!R217:V217))="(seleccione)"),"",PROPER(TRIM(Upload!R217:V217)))))*(Tabla1[Línea2]=IFERROR(VLOOKUP(Upload!P217&amp;"*",CAT_Procesos!D:D,1,FALSE),"")))),_xlpm.cantidad,ROWS(_xlpm.resultados),IF(ISERROR(_xlpm.cantidad),"Combinación no existente",IF(_xlpm.cantidad=1,INDEX(_xlpm.resultados,1),"(seleccione)")))</f>
        <v>Combinación no existente</v>
      </c>
      <c r="X217" s="67" t="s">
        <v>96</v>
      </c>
      <c r="Y217" s="64"/>
      <c r="Z217" s="64"/>
      <c r="AA217" s="64"/>
      <c r="AB217" s="133" t="s">
        <v>96</v>
      </c>
      <c r="AC217" s="64"/>
      <c r="AD217" s="64"/>
      <c r="AE217" s="64"/>
      <c r="AF217" s="60" t="s">
        <v>96</v>
      </c>
      <c r="AG217" s="64"/>
      <c r="AH217" s="64"/>
      <c r="AI217" s="64"/>
      <c r="AJ217" s="68" t="s">
        <v>96</v>
      </c>
      <c r="AK217" s="69" t="str">
        <f t="shared" si="6"/>
        <v/>
      </c>
      <c r="AL217" s="70" t="s">
        <v>96</v>
      </c>
      <c r="AM217" s="69" t="str">
        <f t="shared" si="7"/>
        <v/>
      </c>
      <c r="AN217" s="71"/>
      <c r="AO217" s="71"/>
      <c r="AP217" s="71"/>
      <c r="AQ217" s="71"/>
      <c r="AR217" s="71" t="s">
        <v>96</v>
      </c>
      <c r="AS217" s="71"/>
      <c r="AT217" s="71" t="s">
        <v>96</v>
      </c>
      <c r="AU217" s="71"/>
      <c r="AV217" s="71" t="s">
        <v>95</v>
      </c>
      <c r="AW217" s="71"/>
      <c r="AX217" s="71"/>
      <c r="AY217" s="71"/>
      <c r="AZ217" s="71"/>
      <c r="BA217" s="71"/>
      <c r="BB217" s="70" t="s">
        <v>218</v>
      </c>
      <c r="BC217" s="70" t="s">
        <v>98</v>
      </c>
      <c r="BD217" s="72" t="str">
        <f>IF('Cálculo MP'!K227="","",'Cálculo MP'!K227)</f>
        <v/>
      </c>
      <c r="BE217" s="72" t="str">
        <f>IF('Cálculo MP'!L227="","",'Cálculo MP'!L227)</f>
        <v/>
      </c>
      <c r="BF217" s="72" t="str">
        <f>IF('Cálculo MP'!M227="","",'Cálculo MP'!M227)</f>
        <v/>
      </c>
      <c r="BG217" s="72" t="str">
        <f>IF('Cálculo MP'!N227="","",'Cálculo MP'!N227)</f>
        <v/>
      </c>
      <c r="BH217" s="72" t="str">
        <f>IF('Cálculo MP'!O227="","",'Cálculo MP'!O227)</f>
        <v/>
      </c>
      <c r="BI217" s="72" t="str">
        <f>IF('Cálculo MP'!P227="","",'Cálculo MP'!P227)</f>
        <v/>
      </c>
      <c r="BJ217" s="72" t="str">
        <f>IF('Cálculo MP'!Q227="","",'Cálculo MP'!Q227)</f>
        <v/>
      </c>
      <c r="BK217" s="72" t="str">
        <f>IF('Cálculo MP'!R227="","",'Cálculo MP'!R227)</f>
        <v/>
      </c>
      <c r="BL217" s="72" t="str">
        <f>IF('Cálculo MP'!S227="","",'Cálculo MP'!S227)</f>
        <v/>
      </c>
      <c r="BM217" s="71"/>
      <c r="BN217" s="71"/>
      <c r="BO217" s="71"/>
      <c r="BP217" s="71"/>
      <c r="BQ217" s="71"/>
      <c r="BR217" s="71"/>
      <c r="BS217" s="71"/>
    </row>
    <row r="218" spans="1:71" ht="19.5" customHeight="1" x14ac:dyDescent="0.15">
      <c r="A218" s="56" t="s">
        <v>985</v>
      </c>
      <c r="B218" s="57" t="s">
        <v>986</v>
      </c>
      <c r="C218" s="58" t="s">
        <v>985</v>
      </c>
      <c r="D218" s="59" t="s">
        <v>985</v>
      </c>
      <c r="E218" s="61"/>
      <c r="F218" s="60" t="s">
        <v>95</v>
      </c>
      <c r="G218" s="61"/>
      <c r="H218" s="62"/>
      <c r="I218" s="75"/>
      <c r="J218" s="60" t="s">
        <v>95</v>
      </c>
      <c r="K218" s="64"/>
      <c r="L218" s="64"/>
      <c r="M218" s="64" t="s">
        <v>96</v>
      </c>
      <c r="N218" s="64" t="s">
        <v>97</v>
      </c>
      <c r="O218" s="65" t="s">
        <v>986</v>
      </c>
      <c r="P218" s="70" t="s">
        <v>96</v>
      </c>
      <c r="Q218" s="60" t="s">
        <v>95</v>
      </c>
      <c r="R218" s="60" t="s">
        <v>96</v>
      </c>
      <c r="S218" s="66" t="s">
        <v>96</v>
      </c>
      <c r="T218" s="67" t="s">
        <v>96</v>
      </c>
      <c r="U218" s="60" t="s">
        <v>96</v>
      </c>
      <c r="V218" s="60" t="s">
        <v>96</v>
      </c>
      <c r="W218" s="60" t="str" cm="1">
        <f t="array" ref="W218">_xlfn.LET(_xlpm.resultados,_xlfn.UNIQUE(_xlfn._xlws.FILTER(Tabla1[Proceso],(Tabla1[Metal Base]=Q218)*(Tabla1[Etiquetas]=_xlfn.TEXTJOIN(" + ",TRUE,IF((TRIM(Upload!R218:V218)="")+(LOWER(TRIM(Upload!R218:V218))="(seleccione)"),"",PROPER(TRIM(Upload!R218:V218)))))*(Tabla1[Línea2]=IFERROR(VLOOKUP(Upload!P218&amp;"*",CAT_Procesos!D:D,1,FALSE),"")))),_xlpm.cantidad,ROWS(_xlpm.resultados),IF(ISERROR(_xlpm.cantidad),"Combinación no existente",IF(_xlpm.cantidad=1,INDEX(_xlpm.resultados,1),"(seleccione)")))</f>
        <v>Combinación no existente</v>
      </c>
      <c r="X218" s="67" t="s">
        <v>96</v>
      </c>
      <c r="Y218" s="64"/>
      <c r="Z218" s="64"/>
      <c r="AA218" s="64"/>
      <c r="AB218" s="133" t="s">
        <v>96</v>
      </c>
      <c r="AC218" s="64"/>
      <c r="AD218" s="64"/>
      <c r="AE218" s="64"/>
      <c r="AF218" s="60" t="s">
        <v>96</v>
      </c>
      <c r="AG218" s="64"/>
      <c r="AH218" s="64"/>
      <c r="AI218" s="64"/>
      <c r="AJ218" s="68" t="s">
        <v>96</v>
      </c>
      <c r="AK218" s="69" t="str">
        <f t="shared" si="6"/>
        <v/>
      </c>
      <c r="AL218" s="70" t="s">
        <v>96</v>
      </c>
      <c r="AM218" s="69" t="str">
        <f t="shared" si="7"/>
        <v/>
      </c>
      <c r="AN218" s="71"/>
      <c r="AO218" s="71"/>
      <c r="AP218" s="71"/>
      <c r="AQ218" s="71"/>
      <c r="AR218" s="71" t="s">
        <v>96</v>
      </c>
      <c r="AS218" s="71"/>
      <c r="AT218" s="71" t="s">
        <v>96</v>
      </c>
      <c r="AU218" s="71"/>
      <c r="AV218" s="71" t="s">
        <v>95</v>
      </c>
      <c r="AW218" s="71"/>
      <c r="AX218" s="71"/>
      <c r="AY218" s="71"/>
      <c r="AZ218" s="71"/>
      <c r="BA218" s="71"/>
      <c r="BB218" s="70" t="s">
        <v>218</v>
      </c>
      <c r="BC218" s="70" t="s">
        <v>98</v>
      </c>
      <c r="BD218" s="72" t="str">
        <f>IF('Cálculo MP'!K228="","",'Cálculo MP'!K228)</f>
        <v/>
      </c>
      <c r="BE218" s="72" t="str">
        <f>IF('Cálculo MP'!L228="","",'Cálculo MP'!L228)</f>
        <v/>
      </c>
      <c r="BF218" s="72" t="str">
        <f>IF('Cálculo MP'!M228="","",'Cálculo MP'!M228)</f>
        <v/>
      </c>
      <c r="BG218" s="72" t="str">
        <f>IF('Cálculo MP'!N228="","",'Cálculo MP'!N228)</f>
        <v/>
      </c>
      <c r="BH218" s="72" t="str">
        <f>IF('Cálculo MP'!O228="","",'Cálculo MP'!O228)</f>
        <v/>
      </c>
      <c r="BI218" s="72" t="str">
        <f>IF('Cálculo MP'!P228="","",'Cálculo MP'!P228)</f>
        <v/>
      </c>
      <c r="BJ218" s="72" t="str">
        <f>IF('Cálculo MP'!Q228="","",'Cálculo MP'!Q228)</f>
        <v/>
      </c>
      <c r="BK218" s="72" t="str">
        <f>IF('Cálculo MP'!R228="","",'Cálculo MP'!R228)</f>
        <v/>
      </c>
      <c r="BL218" s="72" t="str">
        <f>IF('Cálculo MP'!S228="","",'Cálculo MP'!S228)</f>
        <v/>
      </c>
      <c r="BM218" s="71"/>
      <c r="BN218" s="71"/>
      <c r="BO218" s="71"/>
      <c r="BP218" s="71"/>
      <c r="BQ218" s="71"/>
      <c r="BR218" s="71"/>
      <c r="BS218" s="71"/>
    </row>
    <row r="219" spans="1:71" ht="19.5" customHeight="1" x14ac:dyDescent="0.15">
      <c r="A219" s="56" t="s">
        <v>985</v>
      </c>
      <c r="B219" s="57" t="s">
        <v>986</v>
      </c>
      <c r="C219" s="58" t="s">
        <v>985</v>
      </c>
      <c r="D219" s="59" t="s">
        <v>985</v>
      </c>
      <c r="E219" s="61"/>
      <c r="F219" s="60" t="s">
        <v>95</v>
      </c>
      <c r="G219" s="61"/>
      <c r="H219" s="62"/>
      <c r="I219" s="75"/>
      <c r="J219" s="60" t="s">
        <v>95</v>
      </c>
      <c r="K219" s="64"/>
      <c r="L219" s="64"/>
      <c r="M219" s="64" t="s">
        <v>96</v>
      </c>
      <c r="N219" s="64" t="s">
        <v>97</v>
      </c>
      <c r="O219" s="65" t="s">
        <v>986</v>
      </c>
      <c r="P219" s="70" t="s">
        <v>96</v>
      </c>
      <c r="Q219" s="60" t="s">
        <v>95</v>
      </c>
      <c r="R219" s="60" t="s">
        <v>96</v>
      </c>
      <c r="S219" s="66" t="s">
        <v>96</v>
      </c>
      <c r="T219" s="67" t="s">
        <v>96</v>
      </c>
      <c r="U219" s="60" t="s">
        <v>96</v>
      </c>
      <c r="V219" s="60" t="s">
        <v>96</v>
      </c>
      <c r="W219" s="60" t="str" cm="1">
        <f t="array" ref="W219">_xlfn.LET(_xlpm.resultados,_xlfn.UNIQUE(_xlfn._xlws.FILTER(Tabla1[Proceso],(Tabla1[Metal Base]=Q219)*(Tabla1[Etiquetas]=_xlfn.TEXTJOIN(" + ",TRUE,IF((TRIM(Upload!R219:V219)="")+(LOWER(TRIM(Upload!R219:V219))="(seleccione)"),"",PROPER(TRIM(Upload!R219:V219)))))*(Tabla1[Línea2]=IFERROR(VLOOKUP(Upload!P219&amp;"*",CAT_Procesos!D:D,1,FALSE),"")))),_xlpm.cantidad,ROWS(_xlpm.resultados),IF(ISERROR(_xlpm.cantidad),"Combinación no existente",IF(_xlpm.cantidad=1,INDEX(_xlpm.resultados,1),"(seleccione)")))</f>
        <v>Combinación no existente</v>
      </c>
      <c r="X219" s="67" t="s">
        <v>96</v>
      </c>
      <c r="Y219" s="64"/>
      <c r="Z219" s="64"/>
      <c r="AA219" s="64"/>
      <c r="AB219" s="133" t="s">
        <v>96</v>
      </c>
      <c r="AC219" s="64"/>
      <c r="AD219" s="64"/>
      <c r="AE219" s="64"/>
      <c r="AF219" s="60" t="s">
        <v>96</v>
      </c>
      <c r="AG219" s="64"/>
      <c r="AH219" s="64"/>
      <c r="AI219" s="64"/>
      <c r="AJ219" s="68" t="s">
        <v>96</v>
      </c>
      <c r="AK219" s="69" t="str">
        <f t="shared" si="6"/>
        <v/>
      </c>
      <c r="AL219" s="70" t="s">
        <v>96</v>
      </c>
      <c r="AM219" s="69" t="str">
        <f t="shared" si="7"/>
        <v/>
      </c>
      <c r="AN219" s="71"/>
      <c r="AO219" s="71"/>
      <c r="AP219" s="71"/>
      <c r="AQ219" s="71"/>
      <c r="AR219" s="71" t="s">
        <v>96</v>
      </c>
      <c r="AS219" s="71"/>
      <c r="AT219" s="71" t="s">
        <v>96</v>
      </c>
      <c r="AU219" s="71"/>
      <c r="AV219" s="71" t="s">
        <v>95</v>
      </c>
      <c r="AW219" s="71"/>
      <c r="AX219" s="71"/>
      <c r="AY219" s="71"/>
      <c r="AZ219" s="71"/>
      <c r="BA219" s="71"/>
      <c r="BB219" s="70" t="s">
        <v>218</v>
      </c>
      <c r="BC219" s="70" t="s">
        <v>98</v>
      </c>
      <c r="BD219" s="72" t="str">
        <f>IF('Cálculo MP'!K229="","",'Cálculo MP'!K229)</f>
        <v/>
      </c>
      <c r="BE219" s="72" t="str">
        <f>IF('Cálculo MP'!L229="","",'Cálculo MP'!L229)</f>
        <v/>
      </c>
      <c r="BF219" s="72" t="str">
        <f>IF('Cálculo MP'!M229="","",'Cálculo MP'!M229)</f>
        <v/>
      </c>
      <c r="BG219" s="72" t="str">
        <f>IF('Cálculo MP'!N229="","",'Cálculo MP'!N229)</f>
        <v/>
      </c>
      <c r="BH219" s="72" t="str">
        <f>IF('Cálculo MP'!O229="","",'Cálculo MP'!O229)</f>
        <v/>
      </c>
      <c r="BI219" s="72" t="str">
        <f>IF('Cálculo MP'!P229="","",'Cálculo MP'!P229)</f>
        <v/>
      </c>
      <c r="BJ219" s="72" t="str">
        <f>IF('Cálculo MP'!Q229="","",'Cálculo MP'!Q229)</f>
        <v/>
      </c>
      <c r="BK219" s="72" t="str">
        <f>IF('Cálculo MP'!R229="","",'Cálculo MP'!R229)</f>
        <v/>
      </c>
      <c r="BL219" s="72" t="str">
        <f>IF('Cálculo MP'!S229="","",'Cálculo MP'!S229)</f>
        <v/>
      </c>
      <c r="BM219" s="71"/>
      <c r="BN219" s="71"/>
      <c r="BO219" s="71"/>
      <c r="BP219" s="71"/>
      <c r="BQ219" s="71"/>
      <c r="BR219" s="71"/>
      <c r="BS219" s="71"/>
    </row>
    <row r="220" spans="1:71" ht="19.5" customHeight="1" x14ac:dyDescent="0.15">
      <c r="A220" s="56" t="s">
        <v>985</v>
      </c>
      <c r="B220" s="57" t="s">
        <v>986</v>
      </c>
      <c r="C220" s="58" t="s">
        <v>985</v>
      </c>
      <c r="D220" s="59" t="s">
        <v>985</v>
      </c>
      <c r="E220" s="61"/>
      <c r="F220" s="60" t="s">
        <v>95</v>
      </c>
      <c r="G220" s="61"/>
      <c r="H220" s="62"/>
      <c r="I220" s="75"/>
      <c r="J220" s="60" t="s">
        <v>95</v>
      </c>
      <c r="K220" s="64"/>
      <c r="L220" s="64"/>
      <c r="M220" s="64" t="s">
        <v>96</v>
      </c>
      <c r="N220" s="64" t="s">
        <v>97</v>
      </c>
      <c r="O220" s="65" t="s">
        <v>986</v>
      </c>
      <c r="P220" s="70" t="s">
        <v>96</v>
      </c>
      <c r="Q220" s="60" t="s">
        <v>95</v>
      </c>
      <c r="R220" s="60" t="s">
        <v>96</v>
      </c>
      <c r="S220" s="66" t="s">
        <v>96</v>
      </c>
      <c r="T220" s="67" t="s">
        <v>96</v>
      </c>
      <c r="U220" s="60" t="s">
        <v>96</v>
      </c>
      <c r="V220" s="60" t="s">
        <v>96</v>
      </c>
      <c r="W220" s="60" t="str" cm="1">
        <f t="array" ref="W220">_xlfn.LET(_xlpm.resultados,_xlfn.UNIQUE(_xlfn._xlws.FILTER(Tabla1[Proceso],(Tabla1[Metal Base]=Q220)*(Tabla1[Etiquetas]=_xlfn.TEXTJOIN(" + ",TRUE,IF((TRIM(Upload!R220:V220)="")+(LOWER(TRIM(Upload!R220:V220))="(seleccione)"),"",PROPER(TRIM(Upload!R220:V220)))))*(Tabla1[Línea2]=IFERROR(VLOOKUP(Upload!P220&amp;"*",CAT_Procesos!D:D,1,FALSE),"")))),_xlpm.cantidad,ROWS(_xlpm.resultados),IF(ISERROR(_xlpm.cantidad),"Combinación no existente",IF(_xlpm.cantidad=1,INDEX(_xlpm.resultados,1),"(seleccione)")))</f>
        <v>Combinación no existente</v>
      </c>
      <c r="X220" s="67" t="s">
        <v>96</v>
      </c>
      <c r="Y220" s="64"/>
      <c r="Z220" s="64"/>
      <c r="AA220" s="64"/>
      <c r="AB220" s="133" t="s">
        <v>96</v>
      </c>
      <c r="AC220" s="64"/>
      <c r="AD220" s="64"/>
      <c r="AE220" s="64"/>
      <c r="AF220" s="60" t="s">
        <v>96</v>
      </c>
      <c r="AG220" s="64"/>
      <c r="AH220" s="64"/>
      <c r="AI220" s="64"/>
      <c r="AJ220" s="68" t="s">
        <v>96</v>
      </c>
      <c r="AK220" s="69" t="str">
        <f t="shared" si="6"/>
        <v/>
      </c>
      <c r="AL220" s="70" t="s">
        <v>96</v>
      </c>
      <c r="AM220" s="69" t="str">
        <f t="shared" si="7"/>
        <v/>
      </c>
      <c r="AN220" s="71"/>
      <c r="AO220" s="71"/>
      <c r="AP220" s="71"/>
      <c r="AQ220" s="71"/>
      <c r="AR220" s="71" t="s">
        <v>96</v>
      </c>
      <c r="AS220" s="71"/>
      <c r="AT220" s="71" t="s">
        <v>96</v>
      </c>
      <c r="AU220" s="71"/>
      <c r="AV220" s="71" t="s">
        <v>95</v>
      </c>
      <c r="AW220" s="71"/>
      <c r="AX220" s="71"/>
      <c r="AY220" s="71"/>
      <c r="AZ220" s="71"/>
      <c r="BA220" s="71"/>
      <c r="BB220" s="70" t="s">
        <v>218</v>
      </c>
      <c r="BC220" s="70" t="s">
        <v>98</v>
      </c>
      <c r="BD220" s="72" t="str">
        <f>IF('Cálculo MP'!K230="","",'Cálculo MP'!K230)</f>
        <v/>
      </c>
      <c r="BE220" s="72" t="str">
        <f>IF('Cálculo MP'!L230="","",'Cálculo MP'!L230)</f>
        <v/>
      </c>
      <c r="BF220" s="72" t="str">
        <f>IF('Cálculo MP'!M230="","",'Cálculo MP'!M230)</f>
        <v/>
      </c>
      <c r="BG220" s="72" t="str">
        <f>IF('Cálculo MP'!N230="","",'Cálculo MP'!N230)</f>
        <v/>
      </c>
      <c r="BH220" s="72" t="str">
        <f>IF('Cálculo MP'!O230="","",'Cálculo MP'!O230)</f>
        <v/>
      </c>
      <c r="BI220" s="72" t="str">
        <f>IF('Cálculo MP'!P230="","",'Cálculo MP'!P230)</f>
        <v/>
      </c>
      <c r="BJ220" s="72" t="str">
        <f>IF('Cálculo MP'!Q230="","",'Cálculo MP'!Q230)</f>
        <v/>
      </c>
      <c r="BK220" s="72" t="str">
        <f>IF('Cálculo MP'!R230="","",'Cálculo MP'!R230)</f>
        <v/>
      </c>
      <c r="BL220" s="72" t="str">
        <f>IF('Cálculo MP'!S230="","",'Cálculo MP'!S230)</f>
        <v/>
      </c>
      <c r="BM220" s="71"/>
      <c r="BN220" s="71"/>
      <c r="BO220" s="71"/>
      <c r="BP220" s="71"/>
      <c r="BQ220" s="71"/>
      <c r="BR220" s="71"/>
      <c r="BS220" s="71"/>
    </row>
    <row r="221" spans="1:71" ht="19.5" customHeight="1" x14ac:dyDescent="0.15">
      <c r="A221" s="56" t="s">
        <v>985</v>
      </c>
      <c r="B221" s="57" t="s">
        <v>986</v>
      </c>
      <c r="C221" s="58" t="s">
        <v>985</v>
      </c>
      <c r="D221" s="59" t="s">
        <v>985</v>
      </c>
      <c r="E221" s="61"/>
      <c r="F221" s="60" t="s">
        <v>95</v>
      </c>
      <c r="G221" s="61"/>
      <c r="H221" s="62"/>
      <c r="I221" s="75"/>
      <c r="J221" s="60" t="s">
        <v>95</v>
      </c>
      <c r="K221" s="64"/>
      <c r="L221" s="64"/>
      <c r="M221" s="64" t="s">
        <v>96</v>
      </c>
      <c r="N221" s="64" t="s">
        <v>97</v>
      </c>
      <c r="O221" s="65" t="s">
        <v>986</v>
      </c>
      <c r="P221" s="70" t="s">
        <v>96</v>
      </c>
      <c r="Q221" s="60" t="s">
        <v>95</v>
      </c>
      <c r="R221" s="60" t="s">
        <v>96</v>
      </c>
      <c r="S221" s="66" t="s">
        <v>96</v>
      </c>
      <c r="T221" s="67" t="s">
        <v>96</v>
      </c>
      <c r="U221" s="60" t="s">
        <v>96</v>
      </c>
      <c r="V221" s="60" t="s">
        <v>96</v>
      </c>
      <c r="W221" s="60" t="str" cm="1">
        <f t="array" ref="W221">_xlfn.LET(_xlpm.resultados,_xlfn.UNIQUE(_xlfn._xlws.FILTER(Tabla1[Proceso],(Tabla1[Metal Base]=Q221)*(Tabla1[Etiquetas]=_xlfn.TEXTJOIN(" + ",TRUE,IF((TRIM(Upload!R221:V221)="")+(LOWER(TRIM(Upload!R221:V221))="(seleccione)"),"",PROPER(TRIM(Upload!R221:V221)))))*(Tabla1[Línea2]=IFERROR(VLOOKUP(Upload!P221&amp;"*",CAT_Procesos!D:D,1,FALSE),"")))),_xlpm.cantidad,ROWS(_xlpm.resultados),IF(ISERROR(_xlpm.cantidad),"Combinación no existente",IF(_xlpm.cantidad=1,INDEX(_xlpm.resultados,1),"(seleccione)")))</f>
        <v>Combinación no existente</v>
      </c>
      <c r="X221" s="67" t="s">
        <v>96</v>
      </c>
      <c r="Y221" s="64"/>
      <c r="Z221" s="64"/>
      <c r="AA221" s="64"/>
      <c r="AB221" s="133" t="s">
        <v>96</v>
      </c>
      <c r="AC221" s="64"/>
      <c r="AD221" s="64"/>
      <c r="AE221" s="64"/>
      <c r="AF221" s="60" t="s">
        <v>96</v>
      </c>
      <c r="AG221" s="64"/>
      <c r="AH221" s="64"/>
      <c r="AI221" s="64"/>
      <c r="AJ221" s="68" t="s">
        <v>96</v>
      </c>
      <c r="AK221" s="69" t="str">
        <f t="shared" si="6"/>
        <v/>
      </c>
      <c r="AL221" s="70" t="s">
        <v>96</v>
      </c>
      <c r="AM221" s="69" t="str">
        <f t="shared" si="7"/>
        <v/>
      </c>
      <c r="AN221" s="71"/>
      <c r="AO221" s="71"/>
      <c r="AP221" s="71"/>
      <c r="AQ221" s="71"/>
      <c r="AR221" s="71" t="s">
        <v>96</v>
      </c>
      <c r="AS221" s="71"/>
      <c r="AT221" s="71" t="s">
        <v>96</v>
      </c>
      <c r="AU221" s="71"/>
      <c r="AV221" s="71" t="s">
        <v>95</v>
      </c>
      <c r="AW221" s="71"/>
      <c r="AX221" s="71"/>
      <c r="AY221" s="71"/>
      <c r="AZ221" s="71"/>
      <c r="BA221" s="71"/>
      <c r="BB221" s="70" t="s">
        <v>218</v>
      </c>
      <c r="BC221" s="70" t="s">
        <v>98</v>
      </c>
      <c r="BD221" s="72" t="str">
        <f>IF('Cálculo MP'!K231="","",'Cálculo MP'!K231)</f>
        <v/>
      </c>
      <c r="BE221" s="72" t="str">
        <f>IF('Cálculo MP'!L231="","",'Cálculo MP'!L231)</f>
        <v/>
      </c>
      <c r="BF221" s="72" t="str">
        <f>IF('Cálculo MP'!M231="","",'Cálculo MP'!M231)</f>
        <v/>
      </c>
      <c r="BG221" s="72" t="str">
        <f>IF('Cálculo MP'!N231="","",'Cálculo MP'!N231)</f>
        <v/>
      </c>
      <c r="BH221" s="72" t="str">
        <f>IF('Cálculo MP'!O231="","",'Cálculo MP'!O231)</f>
        <v/>
      </c>
      <c r="BI221" s="72" t="str">
        <f>IF('Cálculo MP'!P231="","",'Cálculo MP'!P231)</f>
        <v/>
      </c>
      <c r="BJ221" s="72" t="str">
        <f>IF('Cálculo MP'!Q231="","",'Cálculo MP'!Q231)</f>
        <v/>
      </c>
      <c r="BK221" s="72" t="str">
        <f>IF('Cálculo MP'!R231="","",'Cálculo MP'!R231)</f>
        <v/>
      </c>
      <c r="BL221" s="72" t="str">
        <f>IF('Cálculo MP'!S231="","",'Cálculo MP'!S231)</f>
        <v/>
      </c>
      <c r="BM221" s="71"/>
      <c r="BN221" s="71"/>
      <c r="BO221" s="71"/>
      <c r="BP221" s="71"/>
      <c r="BQ221" s="71"/>
      <c r="BR221" s="71"/>
      <c r="BS221" s="71"/>
    </row>
    <row r="222" spans="1:71" ht="19.5" customHeight="1" x14ac:dyDescent="0.15">
      <c r="A222" s="56" t="s">
        <v>985</v>
      </c>
      <c r="B222" s="57" t="s">
        <v>986</v>
      </c>
      <c r="C222" s="58" t="s">
        <v>985</v>
      </c>
      <c r="D222" s="59" t="s">
        <v>985</v>
      </c>
      <c r="E222" s="61"/>
      <c r="F222" s="60" t="s">
        <v>95</v>
      </c>
      <c r="G222" s="61"/>
      <c r="H222" s="62"/>
      <c r="I222" s="75"/>
      <c r="J222" s="60" t="s">
        <v>95</v>
      </c>
      <c r="K222" s="64"/>
      <c r="L222" s="64"/>
      <c r="M222" s="64" t="s">
        <v>96</v>
      </c>
      <c r="N222" s="64" t="s">
        <v>97</v>
      </c>
      <c r="O222" s="65" t="s">
        <v>986</v>
      </c>
      <c r="P222" s="70" t="s">
        <v>96</v>
      </c>
      <c r="Q222" s="60" t="s">
        <v>95</v>
      </c>
      <c r="R222" s="60" t="s">
        <v>96</v>
      </c>
      <c r="S222" s="66" t="s">
        <v>96</v>
      </c>
      <c r="T222" s="67" t="s">
        <v>96</v>
      </c>
      <c r="U222" s="60" t="s">
        <v>96</v>
      </c>
      <c r="V222" s="60" t="s">
        <v>96</v>
      </c>
      <c r="W222" s="60" t="str" cm="1">
        <f t="array" ref="W222">_xlfn.LET(_xlpm.resultados,_xlfn.UNIQUE(_xlfn._xlws.FILTER(Tabla1[Proceso],(Tabla1[Metal Base]=Q222)*(Tabla1[Etiquetas]=_xlfn.TEXTJOIN(" + ",TRUE,IF((TRIM(Upload!R222:V222)="")+(LOWER(TRIM(Upload!R222:V222))="(seleccione)"),"",PROPER(TRIM(Upload!R222:V222)))))*(Tabla1[Línea2]=IFERROR(VLOOKUP(Upload!P222&amp;"*",CAT_Procesos!D:D,1,FALSE),"")))),_xlpm.cantidad,ROWS(_xlpm.resultados),IF(ISERROR(_xlpm.cantidad),"Combinación no existente",IF(_xlpm.cantidad=1,INDEX(_xlpm.resultados,1),"(seleccione)")))</f>
        <v>Combinación no existente</v>
      </c>
      <c r="X222" s="67" t="s">
        <v>96</v>
      </c>
      <c r="Y222" s="64"/>
      <c r="Z222" s="64"/>
      <c r="AA222" s="64"/>
      <c r="AB222" s="133" t="s">
        <v>96</v>
      </c>
      <c r="AC222" s="64"/>
      <c r="AD222" s="64"/>
      <c r="AE222" s="64"/>
      <c r="AF222" s="60" t="s">
        <v>96</v>
      </c>
      <c r="AG222" s="64"/>
      <c r="AH222" s="64"/>
      <c r="AI222" s="64"/>
      <c r="AJ222" s="68" t="s">
        <v>96</v>
      </c>
      <c r="AK222" s="69" t="str">
        <f t="shared" si="6"/>
        <v/>
      </c>
      <c r="AL222" s="70" t="s">
        <v>96</v>
      </c>
      <c r="AM222" s="69" t="str">
        <f t="shared" si="7"/>
        <v/>
      </c>
      <c r="AN222" s="71"/>
      <c r="AO222" s="71"/>
      <c r="AP222" s="71"/>
      <c r="AQ222" s="71"/>
      <c r="AR222" s="71" t="s">
        <v>96</v>
      </c>
      <c r="AS222" s="71"/>
      <c r="AT222" s="71" t="s">
        <v>96</v>
      </c>
      <c r="AU222" s="71"/>
      <c r="AV222" s="71" t="s">
        <v>95</v>
      </c>
      <c r="AW222" s="71"/>
      <c r="AX222" s="71"/>
      <c r="AY222" s="71"/>
      <c r="AZ222" s="71"/>
      <c r="BA222" s="71"/>
      <c r="BB222" s="70" t="s">
        <v>218</v>
      </c>
      <c r="BC222" s="70" t="s">
        <v>98</v>
      </c>
      <c r="BD222" s="72" t="str">
        <f>IF('Cálculo MP'!K232="","",'Cálculo MP'!K232)</f>
        <v/>
      </c>
      <c r="BE222" s="72" t="str">
        <f>IF('Cálculo MP'!L232="","",'Cálculo MP'!L232)</f>
        <v/>
      </c>
      <c r="BF222" s="72" t="str">
        <f>IF('Cálculo MP'!M232="","",'Cálculo MP'!M232)</f>
        <v/>
      </c>
      <c r="BG222" s="72" t="str">
        <f>IF('Cálculo MP'!N232="","",'Cálculo MP'!N232)</f>
        <v/>
      </c>
      <c r="BH222" s="72" t="str">
        <f>IF('Cálculo MP'!O232="","",'Cálculo MP'!O232)</f>
        <v/>
      </c>
      <c r="BI222" s="72" t="str">
        <f>IF('Cálculo MP'!P232="","",'Cálculo MP'!P232)</f>
        <v/>
      </c>
      <c r="BJ222" s="72" t="str">
        <f>IF('Cálculo MP'!Q232="","",'Cálculo MP'!Q232)</f>
        <v/>
      </c>
      <c r="BK222" s="72" t="str">
        <f>IF('Cálculo MP'!R232="","",'Cálculo MP'!R232)</f>
        <v/>
      </c>
      <c r="BL222" s="72" t="str">
        <f>IF('Cálculo MP'!S232="","",'Cálculo MP'!S232)</f>
        <v/>
      </c>
      <c r="BM222" s="71"/>
      <c r="BN222" s="71"/>
      <c r="BO222" s="71"/>
      <c r="BP222" s="71"/>
      <c r="BQ222" s="71"/>
      <c r="BR222" s="71"/>
      <c r="BS222" s="71"/>
    </row>
    <row r="223" spans="1:71" ht="19.5" customHeight="1" x14ac:dyDescent="0.15">
      <c r="A223" s="56" t="s">
        <v>985</v>
      </c>
      <c r="B223" s="57" t="s">
        <v>986</v>
      </c>
      <c r="C223" s="58" t="s">
        <v>985</v>
      </c>
      <c r="D223" s="59" t="s">
        <v>985</v>
      </c>
      <c r="E223" s="61"/>
      <c r="F223" s="60" t="s">
        <v>95</v>
      </c>
      <c r="G223" s="61"/>
      <c r="H223" s="62"/>
      <c r="I223" s="75"/>
      <c r="J223" s="60" t="s">
        <v>95</v>
      </c>
      <c r="K223" s="64"/>
      <c r="L223" s="64"/>
      <c r="M223" s="64" t="s">
        <v>96</v>
      </c>
      <c r="N223" s="64" t="s">
        <v>97</v>
      </c>
      <c r="O223" s="65" t="s">
        <v>986</v>
      </c>
      <c r="P223" s="70" t="s">
        <v>96</v>
      </c>
      <c r="Q223" s="60" t="s">
        <v>95</v>
      </c>
      <c r="R223" s="60" t="s">
        <v>96</v>
      </c>
      <c r="S223" s="66" t="s">
        <v>96</v>
      </c>
      <c r="T223" s="67" t="s">
        <v>96</v>
      </c>
      <c r="U223" s="60" t="s">
        <v>96</v>
      </c>
      <c r="V223" s="60" t="s">
        <v>96</v>
      </c>
      <c r="W223" s="60" t="str" cm="1">
        <f t="array" ref="W223">_xlfn.LET(_xlpm.resultados,_xlfn.UNIQUE(_xlfn._xlws.FILTER(Tabla1[Proceso],(Tabla1[Metal Base]=Q223)*(Tabla1[Etiquetas]=_xlfn.TEXTJOIN(" + ",TRUE,IF((TRIM(Upload!R223:V223)="")+(LOWER(TRIM(Upload!R223:V223))="(seleccione)"),"",PROPER(TRIM(Upload!R223:V223)))))*(Tabla1[Línea2]=IFERROR(VLOOKUP(Upload!P223&amp;"*",CAT_Procesos!D:D,1,FALSE),"")))),_xlpm.cantidad,ROWS(_xlpm.resultados),IF(ISERROR(_xlpm.cantidad),"Combinación no existente",IF(_xlpm.cantidad=1,INDEX(_xlpm.resultados,1),"(seleccione)")))</f>
        <v>Combinación no existente</v>
      </c>
      <c r="X223" s="67" t="s">
        <v>96</v>
      </c>
      <c r="Y223" s="64"/>
      <c r="Z223" s="64"/>
      <c r="AA223" s="64"/>
      <c r="AB223" s="133" t="s">
        <v>96</v>
      </c>
      <c r="AC223" s="64"/>
      <c r="AD223" s="64"/>
      <c r="AE223" s="64"/>
      <c r="AF223" s="60" t="s">
        <v>96</v>
      </c>
      <c r="AG223" s="64"/>
      <c r="AH223" s="64"/>
      <c r="AI223" s="64"/>
      <c r="AJ223" s="68" t="s">
        <v>96</v>
      </c>
      <c r="AK223" s="69" t="str">
        <f t="shared" si="6"/>
        <v/>
      </c>
      <c r="AL223" s="70" t="s">
        <v>96</v>
      </c>
      <c r="AM223" s="69" t="str">
        <f t="shared" si="7"/>
        <v/>
      </c>
      <c r="AN223" s="71"/>
      <c r="AO223" s="71"/>
      <c r="AP223" s="71"/>
      <c r="AQ223" s="71"/>
      <c r="AR223" s="71" t="s">
        <v>96</v>
      </c>
      <c r="AS223" s="71"/>
      <c r="AT223" s="71" t="s">
        <v>96</v>
      </c>
      <c r="AU223" s="71"/>
      <c r="AV223" s="71" t="s">
        <v>95</v>
      </c>
      <c r="AW223" s="71"/>
      <c r="AX223" s="71"/>
      <c r="AY223" s="71"/>
      <c r="AZ223" s="71"/>
      <c r="BA223" s="71"/>
      <c r="BB223" s="70" t="s">
        <v>218</v>
      </c>
      <c r="BC223" s="70" t="s">
        <v>98</v>
      </c>
      <c r="BD223" s="72" t="str">
        <f>IF('Cálculo MP'!K233="","",'Cálculo MP'!K233)</f>
        <v/>
      </c>
      <c r="BE223" s="72" t="str">
        <f>IF('Cálculo MP'!L233="","",'Cálculo MP'!L233)</f>
        <v/>
      </c>
      <c r="BF223" s="72" t="str">
        <f>IF('Cálculo MP'!M233="","",'Cálculo MP'!M233)</f>
        <v/>
      </c>
      <c r="BG223" s="72" t="str">
        <f>IF('Cálculo MP'!N233="","",'Cálculo MP'!N233)</f>
        <v/>
      </c>
      <c r="BH223" s="72" t="str">
        <f>IF('Cálculo MP'!O233="","",'Cálculo MP'!O233)</f>
        <v/>
      </c>
      <c r="BI223" s="72" t="str">
        <f>IF('Cálculo MP'!P233="","",'Cálculo MP'!P233)</f>
        <v/>
      </c>
      <c r="BJ223" s="72" t="str">
        <f>IF('Cálculo MP'!Q233="","",'Cálculo MP'!Q233)</f>
        <v/>
      </c>
      <c r="BK223" s="72" t="str">
        <f>IF('Cálculo MP'!R233="","",'Cálculo MP'!R233)</f>
        <v/>
      </c>
      <c r="BL223" s="72" t="str">
        <f>IF('Cálculo MP'!S233="","",'Cálculo MP'!S233)</f>
        <v/>
      </c>
      <c r="BM223" s="71"/>
      <c r="BN223" s="71"/>
      <c r="BO223" s="71"/>
      <c r="BP223" s="71"/>
      <c r="BQ223" s="71"/>
      <c r="BR223" s="71"/>
      <c r="BS223" s="71"/>
    </row>
    <row r="224" spans="1:71" ht="19.5" customHeight="1" x14ac:dyDescent="0.15">
      <c r="A224" s="56" t="s">
        <v>985</v>
      </c>
      <c r="B224" s="57" t="s">
        <v>986</v>
      </c>
      <c r="C224" s="58" t="s">
        <v>985</v>
      </c>
      <c r="D224" s="59" t="s">
        <v>985</v>
      </c>
      <c r="E224" s="61"/>
      <c r="F224" s="60" t="s">
        <v>95</v>
      </c>
      <c r="G224" s="61"/>
      <c r="H224" s="62"/>
      <c r="I224" s="75"/>
      <c r="J224" s="60" t="s">
        <v>95</v>
      </c>
      <c r="K224" s="64"/>
      <c r="L224" s="64"/>
      <c r="M224" s="64" t="s">
        <v>96</v>
      </c>
      <c r="N224" s="64" t="s">
        <v>97</v>
      </c>
      <c r="O224" s="65" t="s">
        <v>986</v>
      </c>
      <c r="P224" s="70" t="s">
        <v>96</v>
      </c>
      <c r="Q224" s="60" t="s">
        <v>95</v>
      </c>
      <c r="R224" s="60" t="s">
        <v>96</v>
      </c>
      <c r="S224" s="66" t="s">
        <v>96</v>
      </c>
      <c r="T224" s="67" t="s">
        <v>96</v>
      </c>
      <c r="U224" s="60" t="s">
        <v>96</v>
      </c>
      <c r="V224" s="60" t="s">
        <v>96</v>
      </c>
      <c r="W224" s="60" t="str" cm="1">
        <f t="array" ref="W224">_xlfn.LET(_xlpm.resultados,_xlfn.UNIQUE(_xlfn._xlws.FILTER(Tabla1[Proceso],(Tabla1[Metal Base]=Q224)*(Tabla1[Etiquetas]=_xlfn.TEXTJOIN(" + ",TRUE,IF((TRIM(Upload!R224:V224)="")+(LOWER(TRIM(Upload!R224:V224))="(seleccione)"),"",PROPER(TRIM(Upload!R224:V224)))))*(Tabla1[Línea2]=IFERROR(VLOOKUP(Upload!P224&amp;"*",CAT_Procesos!D:D,1,FALSE),"")))),_xlpm.cantidad,ROWS(_xlpm.resultados),IF(ISERROR(_xlpm.cantidad),"Combinación no existente",IF(_xlpm.cantidad=1,INDEX(_xlpm.resultados,1),"(seleccione)")))</f>
        <v>Combinación no existente</v>
      </c>
      <c r="X224" s="67" t="s">
        <v>96</v>
      </c>
      <c r="Y224" s="64"/>
      <c r="Z224" s="64"/>
      <c r="AA224" s="64"/>
      <c r="AB224" s="133" t="s">
        <v>96</v>
      </c>
      <c r="AC224" s="64"/>
      <c r="AD224" s="64"/>
      <c r="AE224" s="64"/>
      <c r="AF224" s="60" t="s">
        <v>96</v>
      </c>
      <c r="AG224" s="64"/>
      <c r="AH224" s="64"/>
      <c r="AI224" s="64"/>
      <c r="AJ224" s="68" t="s">
        <v>96</v>
      </c>
      <c r="AK224" s="69" t="str">
        <f t="shared" si="6"/>
        <v/>
      </c>
      <c r="AL224" s="70" t="s">
        <v>96</v>
      </c>
      <c r="AM224" s="69" t="str">
        <f t="shared" si="7"/>
        <v/>
      </c>
      <c r="AN224" s="71"/>
      <c r="AO224" s="71"/>
      <c r="AP224" s="71"/>
      <c r="AQ224" s="71"/>
      <c r="AR224" s="71" t="s">
        <v>96</v>
      </c>
      <c r="AS224" s="71"/>
      <c r="AT224" s="71" t="s">
        <v>96</v>
      </c>
      <c r="AU224" s="71"/>
      <c r="AV224" s="71" t="s">
        <v>95</v>
      </c>
      <c r="AW224" s="71"/>
      <c r="AX224" s="71"/>
      <c r="AY224" s="71"/>
      <c r="AZ224" s="71"/>
      <c r="BA224" s="71"/>
      <c r="BB224" s="70" t="s">
        <v>218</v>
      </c>
      <c r="BC224" s="70" t="s">
        <v>98</v>
      </c>
      <c r="BD224" s="72" t="str">
        <f>IF('Cálculo MP'!K234="","",'Cálculo MP'!K234)</f>
        <v/>
      </c>
      <c r="BE224" s="72" t="str">
        <f>IF('Cálculo MP'!L234="","",'Cálculo MP'!L234)</f>
        <v/>
      </c>
      <c r="BF224" s="72" t="str">
        <f>IF('Cálculo MP'!M234="","",'Cálculo MP'!M234)</f>
        <v/>
      </c>
      <c r="BG224" s="72" t="str">
        <f>IF('Cálculo MP'!N234="","",'Cálculo MP'!N234)</f>
        <v/>
      </c>
      <c r="BH224" s="72" t="str">
        <f>IF('Cálculo MP'!O234="","",'Cálculo MP'!O234)</f>
        <v/>
      </c>
      <c r="BI224" s="72" t="str">
        <f>IF('Cálculo MP'!P234="","",'Cálculo MP'!P234)</f>
        <v/>
      </c>
      <c r="BJ224" s="72" t="str">
        <f>IF('Cálculo MP'!Q234="","",'Cálculo MP'!Q234)</f>
        <v/>
      </c>
      <c r="BK224" s="72" t="str">
        <f>IF('Cálculo MP'!R234="","",'Cálculo MP'!R234)</f>
        <v/>
      </c>
      <c r="BL224" s="72" t="str">
        <f>IF('Cálculo MP'!S234="","",'Cálculo MP'!S234)</f>
        <v/>
      </c>
      <c r="BM224" s="71"/>
      <c r="BN224" s="71"/>
      <c r="BO224" s="71"/>
      <c r="BP224" s="71"/>
      <c r="BQ224" s="71"/>
      <c r="BR224" s="71"/>
      <c r="BS224" s="71"/>
    </row>
    <row r="225" spans="1:71" ht="19.5" customHeight="1" x14ac:dyDescent="0.15">
      <c r="A225" s="56" t="s">
        <v>985</v>
      </c>
      <c r="B225" s="57" t="s">
        <v>986</v>
      </c>
      <c r="C225" s="58" t="s">
        <v>985</v>
      </c>
      <c r="D225" s="59" t="s">
        <v>985</v>
      </c>
      <c r="E225" s="61"/>
      <c r="F225" s="60" t="s">
        <v>95</v>
      </c>
      <c r="G225" s="61"/>
      <c r="H225" s="62"/>
      <c r="I225" s="75"/>
      <c r="J225" s="60" t="s">
        <v>95</v>
      </c>
      <c r="K225" s="64"/>
      <c r="L225" s="64"/>
      <c r="M225" s="64" t="s">
        <v>96</v>
      </c>
      <c r="N225" s="64" t="s">
        <v>97</v>
      </c>
      <c r="O225" s="65" t="s">
        <v>986</v>
      </c>
      <c r="P225" s="70" t="s">
        <v>96</v>
      </c>
      <c r="Q225" s="60" t="s">
        <v>95</v>
      </c>
      <c r="R225" s="60" t="s">
        <v>96</v>
      </c>
      <c r="S225" s="66" t="s">
        <v>96</v>
      </c>
      <c r="T225" s="67" t="s">
        <v>96</v>
      </c>
      <c r="U225" s="60" t="s">
        <v>96</v>
      </c>
      <c r="V225" s="60" t="s">
        <v>96</v>
      </c>
      <c r="W225" s="60" t="str" cm="1">
        <f t="array" ref="W225">_xlfn.LET(_xlpm.resultados,_xlfn.UNIQUE(_xlfn._xlws.FILTER(Tabla1[Proceso],(Tabla1[Metal Base]=Q225)*(Tabla1[Etiquetas]=_xlfn.TEXTJOIN(" + ",TRUE,IF((TRIM(Upload!R225:V225)="")+(LOWER(TRIM(Upload!R225:V225))="(seleccione)"),"",PROPER(TRIM(Upload!R225:V225)))))*(Tabla1[Línea2]=IFERROR(VLOOKUP(Upload!P225&amp;"*",CAT_Procesos!D:D,1,FALSE),"")))),_xlpm.cantidad,ROWS(_xlpm.resultados),IF(ISERROR(_xlpm.cantidad),"Combinación no existente",IF(_xlpm.cantidad=1,INDEX(_xlpm.resultados,1),"(seleccione)")))</f>
        <v>Combinación no existente</v>
      </c>
      <c r="X225" s="67" t="s">
        <v>96</v>
      </c>
      <c r="Y225" s="64"/>
      <c r="Z225" s="64"/>
      <c r="AA225" s="64"/>
      <c r="AB225" s="133" t="s">
        <v>96</v>
      </c>
      <c r="AC225" s="64"/>
      <c r="AD225" s="64"/>
      <c r="AE225" s="64"/>
      <c r="AF225" s="60" t="s">
        <v>96</v>
      </c>
      <c r="AG225" s="64"/>
      <c r="AH225" s="64"/>
      <c r="AI225" s="64"/>
      <c r="AJ225" s="68" t="s">
        <v>96</v>
      </c>
      <c r="AK225" s="69" t="str">
        <f t="shared" si="6"/>
        <v/>
      </c>
      <c r="AL225" s="70" t="s">
        <v>96</v>
      </c>
      <c r="AM225" s="69" t="str">
        <f t="shared" si="7"/>
        <v/>
      </c>
      <c r="AN225" s="71"/>
      <c r="AO225" s="71"/>
      <c r="AP225" s="71"/>
      <c r="AQ225" s="71"/>
      <c r="AR225" s="71" t="s">
        <v>96</v>
      </c>
      <c r="AS225" s="71"/>
      <c r="AT225" s="71" t="s">
        <v>96</v>
      </c>
      <c r="AU225" s="71"/>
      <c r="AV225" s="71" t="s">
        <v>95</v>
      </c>
      <c r="AW225" s="71"/>
      <c r="AX225" s="71"/>
      <c r="AY225" s="71"/>
      <c r="AZ225" s="71"/>
      <c r="BA225" s="71"/>
      <c r="BB225" s="70" t="s">
        <v>218</v>
      </c>
      <c r="BC225" s="70" t="s">
        <v>98</v>
      </c>
      <c r="BD225" s="72" t="str">
        <f>IF('Cálculo MP'!K235="","",'Cálculo MP'!K235)</f>
        <v/>
      </c>
      <c r="BE225" s="72" t="str">
        <f>IF('Cálculo MP'!L235="","",'Cálculo MP'!L235)</f>
        <v/>
      </c>
      <c r="BF225" s="72" t="str">
        <f>IF('Cálculo MP'!M235="","",'Cálculo MP'!M235)</f>
        <v/>
      </c>
      <c r="BG225" s="72" t="str">
        <f>IF('Cálculo MP'!N235="","",'Cálculo MP'!N235)</f>
        <v/>
      </c>
      <c r="BH225" s="72" t="str">
        <f>IF('Cálculo MP'!O235="","",'Cálculo MP'!O235)</f>
        <v/>
      </c>
      <c r="BI225" s="72" t="str">
        <f>IF('Cálculo MP'!P235="","",'Cálculo MP'!P235)</f>
        <v/>
      </c>
      <c r="BJ225" s="72" t="str">
        <f>IF('Cálculo MP'!Q235="","",'Cálculo MP'!Q235)</f>
        <v/>
      </c>
      <c r="BK225" s="72" t="str">
        <f>IF('Cálculo MP'!R235="","",'Cálculo MP'!R235)</f>
        <v/>
      </c>
      <c r="BL225" s="72" t="str">
        <f>IF('Cálculo MP'!S235="","",'Cálculo MP'!S235)</f>
        <v/>
      </c>
      <c r="BM225" s="71"/>
      <c r="BN225" s="71"/>
      <c r="BO225" s="71"/>
      <c r="BP225" s="71"/>
      <c r="BQ225" s="71"/>
      <c r="BR225" s="71"/>
      <c r="BS225" s="71"/>
    </row>
    <row r="226" spans="1:71" ht="19.5" customHeight="1" x14ac:dyDescent="0.15">
      <c r="A226" s="56" t="s">
        <v>985</v>
      </c>
      <c r="B226" s="57" t="s">
        <v>986</v>
      </c>
      <c r="C226" s="58" t="s">
        <v>985</v>
      </c>
      <c r="D226" s="59" t="s">
        <v>985</v>
      </c>
      <c r="E226" s="61"/>
      <c r="F226" s="60" t="s">
        <v>95</v>
      </c>
      <c r="G226" s="61"/>
      <c r="H226" s="62"/>
      <c r="I226" s="75"/>
      <c r="J226" s="60" t="s">
        <v>95</v>
      </c>
      <c r="K226" s="64"/>
      <c r="L226" s="64"/>
      <c r="M226" s="64" t="s">
        <v>96</v>
      </c>
      <c r="N226" s="64" t="s">
        <v>97</v>
      </c>
      <c r="O226" s="65" t="s">
        <v>986</v>
      </c>
      <c r="P226" s="70" t="s">
        <v>96</v>
      </c>
      <c r="Q226" s="60" t="s">
        <v>95</v>
      </c>
      <c r="R226" s="60" t="s">
        <v>96</v>
      </c>
      <c r="S226" s="66" t="s">
        <v>96</v>
      </c>
      <c r="T226" s="67" t="s">
        <v>96</v>
      </c>
      <c r="U226" s="60" t="s">
        <v>96</v>
      </c>
      <c r="V226" s="60" t="s">
        <v>96</v>
      </c>
      <c r="W226" s="60" t="str" cm="1">
        <f t="array" ref="W226">_xlfn.LET(_xlpm.resultados,_xlfn.UNIQUE(_xlfn._xlws.FILTER(Tabla1[Proceso],(Tabla1[Metal Base]=Q226)*(Tabla1[Etiquetas]=_xlfn.TEXTJOIN(" + ",TRUE,IF((TRIM(Upload!R226:V226)="")+(LOWER(TRIM(Upload!R226:V226))="(seleccione)"),"",PROPER(TRIM(Upload!R226:V226)))))*(Tabla1[Línea2]=IFERROR(VLOOKUP(Upload!P226&amp;"*",CAT_Procesos!D:D,1,FALSE),"")))),_xlpm.cantidad,ROWS(_xlpm.resultados),IF(ISERROR(_xlpm.cantidad),"Combinación no existente",IF(_xlpm.cantidad=1,INDEX(_xlpm.resultados,1),"(seleccione)")))</f>
        <v>Combinación no existente</v>
      </c>
      <c r="X226" s="67" t="s">
        <v>96</v>
      </c>
      <c r="Y226" s="64"/>
      <c r="Z226" s="64"/>
      <c r="AA226" s="64"/>
      <c r="AB226" s="133" t="s">
        <v>96</v>
      </c>
      <c r="AC226" s="64"/>
      <c r="AD226" s="64"/>
      <c r="AE226" s="64"/>
      <c r="AF226" s="60" t="s">
        <v>96</v>
      </c>
      <c r="AG226" s="64"/>
      <c r="AH226" s="64"/>
      <c r="AI226" s="64"/>
      <c r="AJ226" s="68" t="s">
        <v>96</v>
      </c>
      <c r="AK226" s="69" t="str">
        <f t="shared" si="6"/>
        <v/>
      </c>
      <c r="AL226" s="70" t="s">
        <v>96</v>
      </c>
      <c r="AM226" s="69" t="str">
        <f t="shared" si="7"/>
        <v/>
      </c>
      <c r="AN226" s="71"/>
      <c r="AO226" s="71"/>
      <c r="AP226" s="71"/>
      <c r="AQ226" s="71"/>
      <c r="AR226" s="71" t="s">
        <v>96</v>
      </c>
      <c r="AS226" s="71"/>
      <c r="AT226" s="71" t="s">
        <v>96</v>
      </c>
      <c r="AU226" s="71"/>
      <c r="AV226" s="71" t="s">
        <v>95</v>
      </c>
      <c r="AW226" s="71"/>
      <c r="AX226" s="71"/>
      <c r="AY226" s="71"/>
      <c r="AZ226" s="71"/>
      <c r="BA226" s="71"/>
      <c r="BB226" s="70" t="s">
        <v>218</v>
      </c>
      <c r="BC226" s="70" t="s">
        <v>98</v>
      </c>
      <c r="BD226" s="72" t="str">
        <f>IF('Cálculo MP'!K236="","",'Cálculo MP'!K236)</f>
        <v/>
      </c>
      <c r="BE226" s="72" t="str">
        <f>IF('Cálculo MP'!L236="","",'Cálculo MP'!L236)</f>
        <v/>
      </c>
      <c r="BF226" s="72" t="str">
        <f>IF('Cálculo MP'!M236="","",'Cálculo MP'!M236)</f>
        <v/>
      </c>
      <c r="BG226" s="72" t="str">
        <f>IF('Cálculo MP'!N236="","",'Cálculo MP'!N236)</f>
        <v/>
      </c>
      <c r="BH226" s="72" t="str">
        <f>IF('Cálculo MP'!O236="","",'Cálculo MP'!O236)</f>
        <v/>
      </c>
      <c r="BI226" s="72" t="str">
        <f>IF('Cálculo MP'!P236="","",'Cálculo MP'!P236)</f>
        <v/>
      </c>
      <c r="BJ226" s="72" t="str">
        <f>IF('Cálculo MP'!Q236="","",'Cálculo MP'!Q236)</f>
        <v/>
      </c>
      <c r="BK226" s="72" t="str">
        <f>IF('Cálculo MP'!R236="","",'Cálculo MP'!R236)</f>
        <v/>
      </c>
      <c r="BL226" s="72" t="str">
        <f>IF('Cálculo MP'!S236="","",'Cálculo MP'!S236)</f>
        <v/>
      </c>
      <c r="BM226" s="71"/>
      <c r="BN226" s="71"/>
      <c r="BO226" s="71"/>
      <c r="BP226" s="71"/>
      <c r="BQ226" s="71"/>
      <c r="BR226" s="71"/>
      <c r="BS226" s="71"/>
    </row>
    <row r="227" spans="1:71" ht="19.5" customHeight="1" x14ac:dyDescent="0.15">
      <c r="A227" s="56" t="s">
        <v>985</v>
      </c>
      <c r="B227" s="57" t="s">
        <v>986</v>
      </c>
      <c r="C227" s="58" t="s">
        <v>985</v>
      </c>
      <c r="D227" s="59" t="s">
        <v>985</v>
      </c>
      <c r="E227" s="61"/>
      <c r="F227" s="60" t="s">
        <v>95</v>
      </c>
      <c r="G227" s="61"/>
      <c r="H227" s="62"/>
      <c r="I227" s="75"/>
      <c r="J227" s="60" t="s">
        <v>95</v>
      </c>
      <c r="K227" s="64"/>
      <c r="L227" s="64"/>
      <c r="M227" s="64" t="s">
        <v>96</v>
      </c>
      <c r="N227" s="64" t="s">
        <v>97</v>
      </c>
      <c r="O227" s="65" t="s">
        <v>986</v>
      </c>
      <c r="P227" s="70" t="s">
        <v>96</v>
      </c>
      <c r="Q227" s="60" t="s">
        <v>95</v>
      </c>
      <c r="R227" s="60" t="s">
        <v>96</v>
      </c>
      <c r="S227" s="66" t="s">
        <v>96</v>
      </c>
      <c r="T227" s="67" t="s">
        <v>96</v>
      </c>
      <c r="U227" s="60" t="s">
        <v>96</v>
      </c>
      <c r="V227" s="60" t="s">
        <v>96</v>
      </c>
      <c r="W227" s="60" t="str" cm="1">
        <f t="array" ref="W227">_xlfn.LET(_xlpm.resultados,_xlfn.UNIQUE(_xlfn._xlws.FILTER(Tabla1[Proceso],(Tabla1[Metal Base]=Q227)*(Tabla1[Etiquetas]=_xlfn.TEXTJOIN(" + ",TRUE,IF((TRIM(Upload!R227:V227)="")+(LOWER(TRIM(Upload!R227:V227))="(seleccione)"),"",PROPER(TRIM(Upload!R227:V227)))))*(Tabla1[Línea2]=IFERROR(VLOOKUP(Upload!P227&amp;"*",CAT_Procesos!D:D,1,FALSE),"")))),_xlpm.cantidad,ROWS(_xlpm.resultados),IF(ISERROR(_xlpm.cantidad),"Combinación no existente",IF(_xlpm.cantidad=1,INDEX(_xlpm.resultados,1),"(seleccione)")))</f>
        <v>Combinación no existente</v>
      </c>
      <c r="X227" s="67" t="s">
        <v>96</v>
      </c>
      <c r="Y227" s="64"/>
      <c r="Z227" s="64"/>
      <c r="AA227" s="64"/>
      <c r="AB227" s="133" t="s">
        <v>96</v>
      </c>
      <c r="AC227" s="64"/>
      <c r="AD227" s="64"/>
      <c r="AE227" s="64"/>
      <c r="AF227" s="60" t="s">
        <v>96</v>
      </c>
      <c r="AG227" s="64"/>
      <c r="AH227" s="64"/>
      <c r="AI227" s="64"/>
      <c r="AJ227" s="68" t="s">
        <v>96</v>
      </c>
      <c r="AK227" s="69" t="str">
        <f t="shared" si="6"/>
        <v/>
      </c>
      <c r="AL227" s="70" t="s">
        <v>96</v>
      </c>
      <c r="AM227" s="69" t="str">
        <f t="shared" si="7"/>
        <v/>
      </c>
      <c r="AN227" s="71"/>
      <c r="AO227" s="71"/>
      <c r="AP227" s="71"/>
      <c r="AQ227" s="71"/>
      <c r="AR227" s="71" t="s">
        <v>96</v>
      </c>
      <c r="AS227" s="71"/>
      <c r="AT227" s="71" t="s">
        <v>96</v>
      </c>
      <c r="AU227" s="71"/>
      <c r="AV227" s="71" t="s">
        <v>95</v>
      </c>
      <c r="AW227" s="71"/>
      <c r="AX227" s="71"/>
      <c r="AY227" s="71"/>
      <c r="AZ227" s="71"/>
      <c r="BA227" s="71"/>
      <c r="BB227" s="70" t="s">
        <v>218</v>
      </c>
      <c r="BC227" s="70" t="s">
        <v>98</v>
      </c>
      <c r="BD227" s="72" t="str">
        <f>IF('Cálculo MP'!K237="","",'Cálculo MP'!K237)</f>
        <v/>
      </c>
      <c r="BE227" s="72" t="str">
        <f>IF('Cálculo MP'!L237="","",'Cálculo MP'!L237)</f>
        <v/>
      </c>
      <c r="BF227" s="72" t="str">
        <f>IF('Cálculo MP'!M237="","",'Cálculo MP'!M237)</f>
        <v/>
      </c>
      <c r="BG227" s="72" t="str">
        <f>IF('Cálculo MP'!N237="","",'Cálculo MP'!N237)</f>
        <v/>
      </c>
      <c r="BH227" s="72" t="str">
        <f>IF('Cálculo MP'!O237="","",'Cálculo MP'!O237)</f>
        <v/>
      </c>
      <c r="BI227" s="72" t="str">
        <f>IF('Cálculo MP'!P237="","",'Cálculo MP'!P237)</f>
        <v/>
      </c>
      <c r="BJ227" s="72" t="str">
        <f>IF('Cálculo MP'!Q237="","",'Cálculo MP'!Q237)</f>
        <v/>
      </c>
      <c r="BK227" s="72" t="str">
        <f>IF('Cálculo MP'!R237="","",'Cálculo MP'!R237)</f>
        <v/>
      </c>
      <c r="BL227" s="72" t="str">
        <f>IF('Cálculo MP'!S237="","",'Cálculo MP'!S237)</f>
        <v/>
      </c>
      <c r="BM227" s="71"/>
      <c r="BN227" s="71"/>
      <c r="BO227" s="71"/>
      <c r="BP227" s="71"/>
      <c r="BQ227" s="71"/>
      <c r="BR227" s="71"/>
      <c r="BS227" s="71"/>
    </row>
    <row r="228" spans="1:71" ht="19.5" customHeight="1" x14ac:dyDescent="0.15">
      <c r="A228" s="56" t="s">
        <v>985</v>
      </c>
      <c r="B228" s="57" t="s">
        <v>986</v>
      </c>
      <c r="C228" s="58" t="s">
        <v>985</v>
      </c>
      <c r="D228" s="59" t="s">
        <v>985</v>
      </c>
      <c r="E228" s="61"/>
      <c r="F228" s="60" t="s">
        <v>95</v>
      </c>
      <c r="G228" s="61"/>
      <c r="H228" s="62"/>
      <c r="I228" s="75"/>
      <c r="J228" s="60" t="s">
        <v>95</v>
      </c>
      <c r="K228" s="64"/>
      <c r="L228" s="64"/>
      <c r="M228" s="64" t="s">
        <v>96</v>
      </c>
      <c r="N228" s="64" t="s">
        <v>97</v>
      </c>
      <c r="O228" s="65" t="s">
        <v>986</v>
      </c>
      <c r="P228" s="70" t="s">
        <v>96</v>
      </c>
      <c r="Q228" s="60" t="s">
        <v>95</v>
      </c>
      <c r="R228" s="60" t="s">
        <v>96</v>
      </c>
      <c r="S228" s="66" t="s">
        <v>96</v>
      </c>
      <c r="T228" s="67" t="s">
        <v>96</v>
      </c>
      <c r="U228" s="60" t="s">
        <v>96</v>
      </c>
      <c r="V228" s="60" t="s">
        <v>96</v>
      </c>
      <c r="W228" s="60" t="str" cm="1">
        <f t="array" ref="W228">_xlfn.LET(_xlpm.resultados,_xlfn.UNIQUE(_xlfn._xlws.FILTER(Tabla1[Proceso],(Tabla1[Metal Base]=Q228)*(Tabla1[Etiquetas]=_xlfn.TEXTJOIN(" + ",TRUE,IF((TRIM(Upload!R228:V228)="")+(LOWER(TRIM(Upload!R228:V228))="(seleccione)"),"",PROPER(TRIM(Upload!R228:V228)))))*(Tabla1[Línea2]=IFERROR(VLOOKUP(Upload!P228&amp;"*",CAT_Procesos!D:D,1,FALSE),"")))),_xlpm.cantidad,ROWS(_xlpm.resultados),IF(ISERROR(_xlpm.cantidad),"Combinación no existente",IF(_xlpm.cantidad=1,INDEX(_xlpm.resultados,1),"(seleccione)")))</f>
        <v>Combinación no existente</v>
      </c>
      <c r="X228" s="67" t="s">
        <v>96</v>
      </c>
      <c r="Y228" s="64"/>
      <c r="Z228" s="64"/>
      <c r="AA228" s="64"/>
      <c r="AB228" s="133" t="s">
        <v>96</v>
      </c>
      <c r="AC228" s="64"/>
      <c r="AD228" s="64"/>
      <c r="AE228" s="64"/>
      <c r="AF228" s="60" t="s">
        <v>96</v>
      </c>
      <c r="AG228" s="64"/>
      <c r="AH228" s="64"/>
      <c r="AI228" s="64"/>
      <c r="AJ228" s="68" t="s">
        <v>96</v>
      </c>
      <c r="AK228" s="69" t="str">
        <f t="shared" si="6"/>
        <v/>
      </c>
      <c r="AL228" s="70" t="s">
        <v>96</v>
      </c>
      <c r="AM228" s="69" t="str">
        <f t="shared" si="7"/>
        <v/>
      </c>
      <c r="AN228" s="71"/>
      <c r="AO228" s="71"/>
      <c r="AP228" s="71"/>
      <c r="AQ228" s="71"/>
      <c r="AR228" s="71" t="s">
        <v>96</v>
      </c>
      <c r="AS228" s="71"/>
      <c r="AT228" s="71" t="s">
        <v>96</v>
      </c>
      <c r="AU228" s="71"/>
      <c r="AV228" s="71" t="s">
        <v>95</v>
      </c>
      <c r="AW228" s="71"/>
      <c r="AX228" s="71"/>
      <c r="AY228" s="71"/>
      <c r="AZ228" s="71"/>
      <c r="BA228" s="71"/>
      <c r="BB228" s="70" t="s">
        <v>218</v>
      </c>
      <c r="BC228" s="70" t="s">
        <v>98</v>
      </c>
      <c r="BD228" s="72" t="str">
        <f>IF('Cálculo MP'!K238="","",'Cálculo MP'!K238)</f>
        <v/>
      </c>
      <c r="BE228" s="72" t="str">
        <f>IF('Cálculo MP'!L238="","",'Cálculo MP'!L238)</f>
        <v/>
      </c>
      <c r="BF228" s="72" t="str">
        <f>IF('Cálculo MP'!M238="","",'Cálculo MP'!M238)</f>
        <v/>
      </c>
      <c r="BG228" s="72" t="str">
        <f>IF('Cálculo MP'!N238="","",'Cálculo MP'!N238)</f>
        <v/>
      </c>
      <c r="BH228" s="72" t="str">
        <f>IF('Cálculo MP'!O238="","",'Cálculo MP'!O238)</f>
        <v/>
      </c>
      <c r="BI228" s="72" t="str">
        <f>IF('Cálculo MP'!P238="","",'Cálculo MP'!P238)</f>
        <v/>
      </c>
      <c r="BJ228" s="72" t="str">
        <f>IF('Cálculo MP'!Q238="","",'Cálculo MP'!Q238)</f>
        <v/>
      </c>
      <c r="BK228" s="72" t="str">
        <f>IF('Cálculo MP'!R238="","",'Cálculo MP'!R238)</f>
        <v/>
      </c>
      <c r="BL228" s="72" t="str">
        <f>IF('Cálculo MP'!S238="","",'Cálculo MP'!S238)</f>
        <v/>
      </c>
      <c r="BM228" s="71"/>
      <c r="BN228" s="71"/>
      <c r="BO228" s="71"/>
      <c r="BP228" s="71"/>
      <c r="BQ228" s="71"/>
      <c r="BR228" s="71"/>
      <c r="BS228" s="71"/>
    </row>
    <row r="229" spans="1:71" ht="19.5" customHeight="1" x14ac:dyDescent="0.15">
      <c r="A229" s="56" t="s">
        <v>985</v>
      </c>
      <c r="B229" s="57" t="s">
        <v>986</v>
      </c>
      <c r="C229" s="58" t="s">
        <v>985</v>
      </c>
      <c r="D229" s="59" t="s">
        <v>985</v>
      </c>
      <c r="E229" s="61"/>
      <c r="F229" s="60" t="s">
        <v>95</v>
      </c>
      <c r="G229" s="61"/>
      <c r="H229" s="62"/>
      <c r="I229" s="75"/>
      <c r="J229" s="60" t="s">
        <v>95</v>
      </c>
      <c r="K229" s="64"/>
      <c r="L229" s="64"/>
      <c r="M229" s="64" t="s">
        <v>96</v>
      </c>
      <c r="N229" s="64" t="s">
        <v>97</v>
      </c>
      <c r="O229" s="65" t="s">
        <v>986</v>
      </c>
      <c r="P229" s="70" t="s">
        <v>96</v>
      </c>
      <c r="Q229" s="60" t="s">
        <v>95</v>
      </c>
      <c r="R229" s="60" t="s">
        <v>96</v>
      </c>
      <c r="S229" s="66" t="s">
        <v>96</v>
      </c>
      <c r="T229" s="67" t="s">
        <v>96</v>
      </c>
      <c r="U229" s="60" t="s">
        <v>96</v>
      </c>
      <c r="V229" s="60" t="s">
        <v>96</v>
      </c>
      <c r="W229" s="60" t="str" cm="1">
        <f t="array" ref="W229">_xlfn.LET(_xlpm.resultados,_xlfn.UNIQUE(_xlfn._xlws.FILTER(Tabla1[Proceso],(Tabla1[Metal Base]=Q229)*(Tabla1[Etiquetas]=_xlfn.TEXTJOIN(" + ",TRUE,IF((TRIM(Upload!R229:V229)="")+(LOWER(TRIM(Upload!R229:V229))="(seleccione)"),"",PROPER(TRIM(Upload!R229:V229)))))*(Tabla1[Línea2]=IFERROR(VLOOKUP(Upload!P229&amp;"*",CAT_Procesos!D:D,1,FALSE),"")))),_xlpm.cantidad,ROWS(_xlpm.resultados),IF(ISERROR(_xlpm.cantidad),"Combinación no existente",IF(_xlpm.cantidad=1,INDEX(_xlpm.resultados,1),"(seleccione)")))</f>
        <v>Combinación no existente</v>
      </c>
      <c r="X229" s="67" t="s">
        <v>96</v>
      </c>
      <c r="Y229" s="64"/>
      <c r="Z229" s="64"/>
      <c r="AA229" s="64"/>
      <c r="AB229" s="133" t="s">
        <v>96</v>
      </c>
      <c r="AC229" s="64"/>
      <c r="AD229" s="64"/>
      <c r="AE229" s="64"/>
      <c r="AF229" s="60" t="s">
        <v>96</v>
      </c>
      <c r="AG229" s="64"/>
      <c r="AH229" s="64"/>
      <c r="AI229" s="64"/>
      <c r="AJ229" s="68" t="s">
        <v>96</v>
      </c>
      <c r="AK229" s="69" t="str">
        <f t="shared" si="6"/>
        <v/>
      </c>
      <c r="AL229" s="70" t="s">
        <v>96</v>
      </c>
      <c r="AM229" s="69" t="str">
        <f t="shared" si="7"/>
        <v/>
      </c>
      <c r="AN229" s="71"/>
      <c r="AO229" s="71"/>
      <c r="AP229" s="71"/>
      <c r="AQ229" s="71"/>
      <c r="AR229" s="71" t="s">
        <v>96</v>
      </c>
      <c r="AS229" s="71"/>
      <c r="AT229" s="71" t="s">
        <v>96</v>
      </c>
      <c r="AU229" s="71"/>
      <c r="AV229" s="71" t="s">
        <v>95</v>
      </c>
      <c r="AW229" s="71"/>
      <c r="AX229" s="71"/>
      <c r="AY229" s="71"/>
      <c r="AZ229" s="71"/>
      <c r="BA229" s="71"/>
      <c r="BB229" s="70" t="s">
        <v>218</v>
      </c>
      <c r="BC229" s="70" t="s">
        <v>98</v>
      </c>
      <c r="BD229" s="72" t="str">
        <f>IF('Cálculo MP'!K239="","",'Cálculo MP'!K239)</f>
        <v/>
      </c>
      <c r="BE229" s="72" t="str">
        <f>IF('Cálculo MP'!L239="","",'Cálculo MP'!L239)</f>
        <v/>
      </c>
      <c r="BF229" s="72" t="str">
        <f>IF('Cálculo MP'!M239="","",'Cálculo MP'!M239)</f>
        <v/>
      </c>
      <c r="BG229" s="72" t="str">
        <f>IF('Cálculo MP'!N239="","",'Cálculo MP'!N239)</f>
        <v/>
      </c>
      <c r="BH229" s="72" t="str">
        <f>IF('Cálculo MP'!O239="","",'Cálculo MP'!O239)</f>
        <v/>
      </c>
      <c r="BI229" s="72" t="str">
        <f>IF('Cálculo MP'!P239="","",'Cálculo MP'!P239)</f>
        <v/>
      </c>
      <c r="BJ229" s="72" t="str">
        <f>IF('Cálculo MP'!Q239="","",'Cálculo MP'!Q239)</f>
        <v/>
      </c>
      <c r="BK229" s="72" t="str">
        <f>IF('Cálculo MP'!R239="","",'Cálculo MP'!R239)</f>
        <v/>
      </c>
      <c r="BL229" s="72" t="str">
        <f>IF('Cálculo MP'!S239="","",'Cálculo MP'!S239)</f>
        <v/>
      </c>
      <c r="BM229" s="71"/>
      <c r="BN229" s="71"/>
      <c r="BO229" s="71"/>
      <c r="BP229" s="71"/>
      <c r="BQ229" s="71"/>
      <c r="BR229" s="71"/>
      <c r="BS229" s="71"/>
    </row>
    <row r="230" spans="1:71" ht="19.5" customHeight="1" x14ac:dyDescent="0.15">
      <c r="A230" s="56" t="s">
        <v>985</v>
      </c>
      <c r="B230" s="57" t="s">
        <v>986</v>
      </c>
      <c r="C230" s="58" t="s">
        <v>985</v>
      </c>
      <c r="D230" s="59" t="s">
        <v>985</v>
      </c>
      <c r="E230" s="61"/>
      <c r="F230" s="60" t="s">
        <v>95</v>
      </c>
      <c r="G230" s="61"/>
      <c r="H230" s="62"/>
      <c r="I230" s="75"/>
      <c r="J230" s="60" t="s">
        <v>95</v>
      </c>
      <c r="K230" s="64"/>
      <c r="L230" s="64"/>
      <c r="M230" s="64" t="s">
        <v>96</v>
      </c>
      <c r="N230" s="64" t="s">
        <v>97</v>
      </c>
      <c r="O230" s="65" t="s">
        <v>986</v>
      </c>
      <c r="P230" s="70" t="s">
        <v>96</v>
      </c>
      <c r="Q230" s="60" t="s">
        <v>95</v>
      </c>
      <c r="R230" s="60" t="s">
        <v>96</v>
      </c>
      <c r="S230" s="66" t="s">
        <v>96</v>
      </c>
      <c r="T230" s="67" t="s">
        <v>96</v>
      </c>
      <c r="U230" s="60" t="s">
        <v>96</v>
      </c>
      <c r="V230" s="60" t="s">
        <v>96</v>
      </c>
      <c r="W230" s="60" t="str" cm="1">
        <f t="array" ref="W230">_xlfn.LET(_xlpm.resultados,_xlfn.UNIQUE(_xlfn._xlws.FILTER(Tabla1[Proceso],(Tabla1[Metal Base]=Q230)*(Tabla1[Etiquetas]=_xlfn.TEXTJOIN(" + ",TRUE,IF((TRIM(Upload!R230:V230)="")+(LOWER(TRIM(Upload!R230:V230))="(seleccione)"),"",PROPER(TRIM(Upload!R230:V230)))))*(Tabla1[Línea2]=IFERROR(VLOOKUP(Upload!P230&amp;"*",CAT_Procesos!D:D,1,FALSE),"")))),_xlpm.cantidad,ROWS(_xlpm.resultados),IF(ISERROR(_xlpm.cantidad),"Combinación no existente",IF(_xlpm.cantidad=1,INDEX(_xlpm.resultados,1),"(seleccione)")))</f>
        <v>Combinación no existente</v>
      </c>
      <c r="X230" s="67" t="s">
        <v>96</v>
      </c>
      <c r="Y230" s="64"/>
      <c r="Z230" s="64"/>
      <c r="AA230" s="64"/>
      <c r="AB230" s="133" t="s">
        <v>96</v>
      </c>
      <c r="AC230" s="64"/>
      <c r="AD230" s="64"/>
      <c r="AE230" s="64"/>
      <c r="AF230" s="60" t="s">
        <v>96</v>
      </c>
      <c r="AG230" s="64"/>
      <c r="AH230" s="64"/>
      <c r="AI230" s="64"/>
      <c r="AJ230" s="68" t="s">
        <v>96</v>
      </c>
      <c r="AK230" s="69" t="str">
        <f t="shared" si="6"/>
        <v/>
      </c>
      <c r="AL230" s="70" t="s">
        <v>96</v>
      </c>
      <c r="AM230" s="69" t="str">
        <f t="shared" si="7"/>
        <v/>
      </c>
      <c r="AN230" s="71"/>
      <c r="AO230" s="71"/>
      <c r="AP230" s="71"/>
      <c r="AQ230" s="71"/>
      <c r="AR230" s="71" t="s">
        <v>96</v>
      </c>
      <c r="AS230" s="71"/>
      <c r="AT230" s="71" t="s">
        <v>96</v>
      </c>
      <c r="AU230" s="71"/>
      <c r="AV230" s="71" t="s">
        <v>95</v>
      </c>
      <c r="AW230" s="71"/>
      <c r="AX230" s="71"/>
      <c r="AY230" s="71"/>
      <c r="AZ230" s="71"/>
      <c r="BA230" s="71"/>
      <c r="BB230" s="70" t="s">
        <v>218</v>
      </c>
      <c r="BC230" s="70" t="s">
        <v>98</v>
      </c>
      <c r="BD230" s="72" t="str">
        <f>IF('Cálculo MP'!K240="","",'Cálculo MP'!K240)</f>
        <v/>
      </c>
      <c r="BE230" s="72" t="str">
        <f>IF('Cálculo MP'!L240="","",'Cálculo MP'!L240)</f>
        <v/>
      </c>
      <c r="BF230" s="72" t="str">
        <f>IF('Cálculo MP'!M240="","",'Cálculo MP'!M240)</f>
        <v/>
      </c>
      <c r="BG230" s="72" t="str">
        <f>IF('Cálculo MP'!N240="","",'Cálculo MP'!N240)</f>
        <v/>
      </c>
      <c r="BH230" s="72" t="str">
        <f>IF('Cálculo MP'!O240="","",'Cálculo MP'!O240)</f>
        <v/>
      </c>
      <c r="BI230" s="72" t="str">
        <f>IF('Cálculo MP'!P240="","",'Cálculo MP'!P240)</f>
        <v/>
      </c>
      <c r="BJ230" s="72" t="str">
        <f>IF('Cálculo MP'!Q240="","",'Cálculo MP'!Q240)</f>
        <v/>
      </c>
      <c r="BK230" s="72" t="str">
        <f>IF('Cálculo MP'!R240="","",'Cálculo MP'!R240)</f>
        <v/>
      </c>
      <c r="BL230" s="72" t="str">
        <f>IF('Cálculo MP'!S240="","",'Cálculo MP'!S240)</f>
        <v/>
      </c>
      <c r="BM230" s="71"/>
      <c r="BN230" s="71"/>
      <c r="BO230" s="71"/>
      <c r="BP230" s="71"/>
      <c r="BQ230" s="71"/>
      <c r="BR230" s="71"/>
      <c r="BS230" s="71"/>
    </row>
    <row r="231" spans="1:71" ht="19.5" customHeight="1" x14ac:dyDescent="0.15">
      <c r="A231" s="56" t="s">
        <v>985</v>
      </c>
      <c r="B231" s="57" t="s">
        <v>986</v>
      </c>
      <c r="C231" s="58" t="s">
        <v>985</v>
      </c>
      <c r="D231" s="59" t="s">
        <v>985</v>
      </c>
      <c r="E231" s="61"/>
      <c r="F231" s="60" t="s">
        <v>95</v>
      </c>
      <c r="G231" s="61"/>
      <c r="H231" s="62"/>
      <c r="I231" s="75"/>
      <c r="J231" s="60" t="s">
        <v>95</v>
      </c>
      <c r="K231" s="64"/>
      <c r="L231" s="64"/>
      <c r="M231" s="64" t="s">
        <v>96</v>
      </c>
      <c r="N231" s="64" t="s">
        <v>97</v>
      </c>
      <c r="O231" s="65" t="s">
        <v>986</v>
      </c>
      <c r="P231" s="70" t="s">
        <v>96</v>
      </c>
      <c r="Q231" s="60" t="s">
        <v>95</v>
      </c>
      <c r="R231" s="60" t="s">
        <v>96</v>
      </c>
      <c r="S231" s="66" t="s">
        <v>96</v>
      </c>
      <c r="T231" s="67" t="s">
        <v>96</v>
      </c>
      <c r="U231" s="60" t="s">
        <v>96</v>
      </c>
      <c r="V231" s="60" t="s">
        <v>96</v>
      </c>
      <c r="W231" s="60" t="str" cm="1">
        <f t="array" ref="W231">_xlfn.LET(_xlpm.resultados,_xlfn.UNIQUE(_xlfn._xlws.FILTER(Tabla1[Proceso],(Tabla1[Metal Base]=Q231)*(Tabla1[Etiquetas]=_xlfn.TEXTJOIN(" + ",TRUE,IF((TRIM(Upload!R231:V231)="")+(LOWER(TRIM(Upload!R231:V231))="(seleccione)"),"",PROPER(TRIM(Upload!R231:V231)))))*(Tabla1[Línea2]=IFERROR(VLOOKUP(Upload!P231&amp;"*",CAT_Procesos!D:D,1,FALSE),"")))),_xlpm.cantidad,ROWS(_xlpm.resultados),IF(ISERROR(_xlpm.cantidad),"Combinación no existente",IF(_xlpm.cantidad=1,INDEX(_xlpm.resultados,1),"(seleccione)")))</f>
        <v>Combinación no existente</v>
      </c>
      <c r="X231" s="67" t="s">
        <v>96</v>
      </c>
      <c r="Y231" s="64"/>
      <c r="Z231" s="64"/>
      <c r="AA231" s="64"/>
      <c r="AB231" s="133" t="s">
        <v>96</v>
      </c>
      <c r="AC231" s="64"/>
      <c r="AD231" s="64"/>
      <c r="AE231" s="64"/>
      <c r="AF231" s="60" t="s">
        <v>96</v>
      </c>
      <c r="AG231" s="64"/>
      <c r="AH231" s="64"/>
      <c r="AI231" s="64"/>
      <c r="AJ231" s="68" t="s">
        <v>96</v>
      </c>
      <c r="AK231" s="69" t="str">
        <f t="shared" si="6"/>
        <v/>
      </c>
      <c r="AL231" s="70" t="s">
        <v>96</v>
      </c>
      <c r="AM231" s="69" t="str">
        <f t="shared" si="7"/>
        <v/>
      </c>
      <c r="AN231" s="71"/>
      <c r="AO231" s="71"/>
      <c r="AP231" s="71"/>
      <c r="AQ231" s="71"/>
      <c r="AR231" s="71" t="s">
        <v>96</v>
      </c>
      <c r="AS231" s="71"/>
      <c r="AT231" s="71" t="s">
        <v>96</v>
      </c>
      <c r="AU231" s="71"/>
      <c r="AV231" s="71" t="s">
        <v>95</v>
      </c>
      <c r="AW231" s="71"/>
      <c r="AX231" s="71"/>
      <c r="AY231" s="71"/>
      <c r="AZ231" s="71"/>
      <c r="BA231" s="71"/>
      <c r="BB231" s="70" t="s">
        <v>218</v>
      </c>
      <c r="BC231" s="70" t="s">
        <v>98</v>
      </c>
      <c r="BD231" s="72" t="str">
        <f>IF('Cálculo MP'!K241="","",'Cálculo MP'!K241)</f>
        <v/>
      </c>
      <c r="BE231" s="72" t="str">
        <f>IF('Cálculo MP'!L241="","",'Cálculo MP'!L241)</f>
        <v/>
      </c>
      <c r="BF231" s="72" t="str">
        <f>IF('Cálculo MP'!M241="","",'Cálculo MP'!M241)</f>
        <v/>
      </c>
      <c r="BG231" s="72" t="str">
        <f>IF('Cálculo MP'!N241="","",'Cálculo MP'!N241)</f>
        <v/>
      </c>
      <c r="BH231" s="72" t="str">
        <f>IF('Cálculo MP'!O241="","",'Cálculo MP'!O241)</f>
        <v/>
      </c>
      <c r="BI231" s="72" t="str">
        <f>IF('Cálculo MP'!P241="","",'Cálculo MP'!P241)</f>
        <v/>
      </c>
      <c r="BJ231" s="72" t="str">
        <f>IF('Cálculo MP'!Q241="","",'Cálculo MP'!Q241)</f>
        <v/>
      </c>
      <c r="BK231" s="72" t="str">
        <f>IF('Cálculo MP'!R241="","",'Cálculo MP'!R241)</f>
        <v/>
      </c>
      <c r="BL231" s="72" t="str">
        <f>IF('Cálculo MP'!S241="","",'Cálculo MP'!S241)</f>
        <v/>
      </c>
      <c r="BM231" s="71"/>
      <c r="BN231" s="71"/>
      <c r="BO231" s="71"/>
      <c r="BP231" s="71"/>
      <c r="BQ231" s="71"/>
      <c r="BR231" s="71"/>
      <c r="BS231" s="71"/>
    </row>
    <row r="232" spans="1:71" ht="19.5" customHeight="1" x14ac:dyDescent="0.15">
      <c r="A232" s="56" t="s">
        <v>985</v>
      </c>
      <c r="B232" s="57" t="s">
        <v>986</v>
      </c>
      <c r="C232" s="58" t="s">
        <v>985</v>
      </c>
      <c r="D232" s="59" t="s">
        <v>985</v>
      </c>
      <c r="E232" s="61"/>
      <c r="F232" s="60" t="s">
        <v>95</v>
      </c>
      <c r="G232" s="61"/>
      <c r="H232" s="62"/>
      <c r="I232" s="75"/>
      <c r="J232" s="60" t="s">
        <v>95</v>
      </c>
      <c r="K232" s="64"/>
      <c r="L232" s="64"/>
      <c r="M232" s="64" t="s">
        <v>96</v>
      </c>
      <c r="N232" s="64" t="s">
        <v>97</v>
      </c>
      <c r="O232" s="65" t="s">
        <v>986</v>
      </c>
      <c r="P232" s="70" t="s">
        <v>96</v>
      </c>
      <c r="Q232" s="60" t="s">
        <v>95</v>
      </c>
      <c r="R232" s="60" t="s">
        <v>96</v>
      </c>
      <c r="S232" s="66" t="s">
        <v>96</v>
      </c>
      <c r="T232" s="67" t="s">
        <v>96</v>
      </c>
      <c r="U232" s="60" t="s">
        <v>96</v>
      </c>
      <c r="V232" s="60" t="s">
        <v>96</v>
      </c>
      <c r="W232" s="60" t="str" cm="1">
        <f t="array" ref="W232">_xlfn.LET(_xlpm.resultados,_xlfn.UNIQUE(_xlfn._xlws.FILTER(Tabla1[Proceso],(Tabla1[Metal Base]=Q232)*(Tabla1[Etiquetas]=_xlfn.TEXTJOIN(" + ",TRUE,IF((TRIM(Upload!R232:V232)="")+(LOWER(TRIM(Upload!R232:V232))="(seleccione)"),"",PROPER(TRIM(Upload!R232:V232)))))*(Tabla1[Línea2]=IFERROR(VLOOKUP(Upload!P232&amp;"*",CAT_Procesos!D:D,1,FALSE),"")))),_xlpm.cantidad,ROWS(_xlpm.resultados),IF(ISERROR(_xlpm.cantidad),"Combinación no existente",IF(_xlpm.cantidad=1,INDEX(_xlpm.resultados,1),"(seleccione)")))</f>
        <v>Combinación no existente</v>
      </c>
      <c r="X232" s="67" t="s">
        <v>96</v>
      </c>
      <c r="Y232" s="64"/>
      <c r="Z232" s="64"/>
      <c r="AA232" s="64"/>
      <c r="AB232" s="133" t="s">
        <v>96</v>
      </c>
      <c r="AC232" s="64"/>
      <c r="AD232" s="64"/>
      <c r="AE232" s="64"/>
      <c r="AF232" s="60" t="s">
        <v>96</v>
      </c>
      <c r="AG232" s="64"/>
      <c r="AH232" s="64"/>
      <c r="AI232" s="64"/>
      <c r="AJ232" s="68" t="s">
        <v>96</v>
      </c>
      <c r="AK232" s="69" t="str">
        <f t="shared" si="6"/>
        <v/>
      </c>
      <c r="AL232" s="70" t="s">
        <v>96</v>
      </c>
      <c r="AM232" s="69" t="str">
        <f t="shared" si="7"/>
        <v/>
      </c>
      <c r="AN232" s="71"/>
      <c r="AO232" s="71"/>
      <c r="AP232" s="71"/>
      <c r="AQ232" s="71"/>
      <c r="AR232" s="71" t="s">
        <v>96</v>
      </c>
      <c r="AS232" s="71"/>
      <c r="AT232" s="71" t="s">
        <v>96</v>
      </c>
      <c r="AU232" s="71"/>
      <c r="AV232" s="71" t="s">
        <v>95</v>
      </c>
      <c r="AW232" s="71"/>
      <c r="AX232" s="71"/>
      <c r="AY232" s="71"/>
      <c r="AZ232" s="71"/>
      <c r="BA232" s="71"/>
      <c r="BB232" s="70" t="s">
        <v>218</v>
      </c>
      <c r="BC232" s="70" t="s">
        <v>98</v>
      </c>
      <c r="BD232" s="72" t="str">
        <f>IF('Cálculo MP'!K242="","",'Cálculo MP'!K242)</f>
        <v/>
      </c>
      <c r="BE232" s="72" t="str">
        <f>IF('Cálculo MP'!L242="","",'Cálculo MP'!L242)</f>
        <v/>
      </c>
      <c r="BF232" s="72" t="str">
        <f>IF('Cálculo MP'!M242="","",'Cálculo MP'!M242)</f>
        <v/>
      </c>
      <c r="BG232" s="72" t="str">
        <f>IF('Cálculo MP'!N242="","",'Cálculo MP'!N242)</f>
        <v/>
      </c>
      <c r="BH232" s="72" t="str">
        <f>IF('Cálculo MP'!O242="","",'Cálculo MP'!O242)</f>
        <v/>
      </c>
      <c r="BI232" s="72" t="str">
        <f>IF('Cálculo MP'!P242="","",'Cálculo MP'!P242)</f>
        <v/>
      </c>
      <c r="BJ232" s="72" t="str">
        <f>IF('Cálculo MP'!Q242="","",'Cálculo MP'!Q242)</f>
        <v/>
      </c>
      <c r="BK232" s="72" t="str">
        <f>IF('Cálculo MP'!R242="","",'Cálculo MP'!R242)</f>
        <v/>
      </c>
      <c r="BL232" s="72" t="str">
        <f>IF('Cálculo MP'!S242="","",'Cálculo MP'!S242)</f>
        <v/>
      </c>
      <c r="BM232" s="71"/>
      <c r="BN232" s="71"/>
      <c r="BO232" s="71"/>
      <c r="BP232" s="71"/>
      <c r="BQ232" s="71"/>
      <c r="BR232" s="71"/>
      <c r="BS232" s="71"/>
    </row>
    <row r="233" spans="1:71" ht="19.5" customHeight="1" x14ac:dyDescent="0.15">
      <c r="A233" s="56" t="s">
        <v>985</v>
      </c>
      <c r="B233" s="57" t="s">
        <v>986</v>
      </c>
      <c r="C233" s="58" t="s">
        <v>985</v>
      </c>
      <c r="D233" s="59" t="s">
        <v>985</v>
      </c>
      <c r="E233" s="61"/>
      <c r="F233" s="60" t="s">
        <v>95</v>
      </c>
      <c r="G233" s="61"/>
      <c r="H233" s="62"/>
      <c r="I233" s="75"/>
      <c r="J233" s="60" t="s">
        <v>95</v>
      </c>
      <c r="K233" s="64"/>
      <c r="L233" s="64"/>
      <c r="M233" s="64" t="s">
        <v>96</v>
      </c>
      <c r="N233" s="64" t="s">
        <v>97</v>
      </c>
      <c r="O233" s="65" t="s">
        <v>986</v>
      </c>
      <c r="P233" s="70" t="s">
        <v>96</v>
      </c>
      <c r="Q233" s="60" t="s">
        <v>95</v>
      </c>
      <c r="R233" s="60" t="s">
        <v>96</v>
      </c>
      <c r="S233" s="66" t="s">
        <v>96</v>
      </c>
      <c r="T233" s="67" t="s">
        <v>96</v>
      </c>
      <c r="U233" s="60" t="s">
        <v>96</v>
      </c>
      <c r="V233" s="60" t="s">
        <v>96</v>
      </c>
      <c r="W233" s="60" t="str" cm="1">
        <f t="array" ref="W233">_xlfn.LET(_xlpm.resultados,_xlfn.UNIQUE(_xlfn._xlws.FILTER(Tabla1[Proceso],(Tabla1[Metal Base]=Q233)*(Tabla1[Etiquetas]=_xlfn.TEXTJOIN(" + ",TRUE,IF((TRIM(Upload!R233:V233)="")+(LOWER(TRIM(Upload!R233:V233))="(seleccione)"),"",PROPER(TRIM(Upload!R233:V233)))))*(Tabla1[Línea2]=IFERROR(VLOOKUP(Upload!P233&amp;"*",CAT_Procesos!D:D,1,FALSE),"")))),_xlpm.cantidad,ROWS(_xlpm.resultados),IF(ISERROR(_xlpm.cantidad),"Combinación no existente",IF(_xlpm.cantidad=1,INDEX(_xlpm.resultados,1),"(seleccione)")))</f>
        <v>Combinación no existente</v>
      </c>
      <c r="X233" s="67" t="s">
        <v>96</v>
      </c>
      <c r="Y233" s="64"/>
      <c r="Z233" s="64"/>
      <c r="AA233" s="64"/>
      <c r="AB233" s="133" t="s">
        <v>96</v>
      </c>
      <c r="AC233" s="64"/>
      <c r="AD233" s="64"/>
      <c r="AE233" s="64"/>
      <c r="AF233" s="60" t="s">
        <v>96</v>
      </c>
      <c r="AG233" s="64"/>
      <c r="AH233" s="64"/>
      <c r="AI233" s="64"/>
      <c r="AJ233" s="68" t="s">
        <v>96</v>
      </c>
      <c r="AK233" s="69" t="str">
        <f t="shared" si="6"/>
        <v/>
      </c>
      <c r="AL233" s="70" t="s">
        <v>96</v>
      </c>
      <c r="AM233" s="69" t="str">
        <f t="shared" si="7"/>
        <v/>
      </c>
      <c r="AN233" s="71"/>
      <c r="AO233" s="71"/>
      <c r="AP233" s="71"/>
      <c r="AQ233" s="71"/>
      <c r="AR233" s="71" t="s">
        <v>96</v>
      </c>
      <c r="AS233" s="71"/>
      <c r="AT233" s="71" t="s">
        <v>96</v>
      </c>
      <c r="AU233" s="71"/>
      <c r="AV233" s="71" t="s">
        <v>95</v>
      </c>
      <c r="AW233" s="71"/>
      <c r="AX233" s="71"/>
      <c r="AY233" s="71"/>
      <c r="AZ233" s="71"/>
      <c r="BA233" s="71"/>
      <c r="BB233" s="70" t="s">
        <v>218</v>
      </c>
      <c r="BC233" s="70" t="s">
        <v>98</v>
      </c>
      <c r="BD233" s="72" t="str">
        <f>IF('Cálculo MP'!K243="","",'Cálculo MP'!K243)</f>
        <v/>
      </c>
      <c r="BE233" s="72" t="str">
        <f>IF('Cálculo MP'!L243="","",'Cálculo MP'!L243)</f>
        <v/>
      </c>
      <c r="BF233" s="72" t="str">
        <f>IF('Cálculo MP'!M243="","",'Cálculo MP'!M243)</f>
        <v/>
      </c>
      <c r="BG233" s="72" t="str">
        <f>IF('Cálculo MP'!N243="","",'Cálculo MP'!N243)</f>
        <v/>
      </c>
      <c r="BH233" s="72" t="str">
        <f>IF('Cálculo MP'!O243="","",'Cálculo MP'!O243)</f>
        <v/>
      </c>
      <c r="BI233" s="72" t="str">
        <f>IF('Cálculo MP'!P243="","",'Cálculo MP'!P243)</f>
        <v/>
      </c>
      <c r="BJ233" s="72" t="str">
        <f>IF('Cálculo MP'!Q243="","",'Cálculo MP'!Q243)</f>
        <v/>
      </c>
      <c r="BK233" s="72" t="str">
        <f>IF('Cálculo MP'!R243="","",'Cálculo MP'!R243)</f>
        <v/>
      </c>
      <c r="BL233" s="72" t="str">
        <f>IF('Cálculo MP'!S243="","",'Cálculo MP'!S243)</f>
        <v/>
      </c>
      <c r="BM233" s="71"/>
      <c r="BN233" s="71"/>
      <c r="BO233" s="71"/>
      <c r="BP233" s="71"/>
      <c r="BQ233" s="71"/>
      <c r="BR233" s="71"/>
      <c r="BS233" s="71"/>
    </row>
    <row r="234" spans="1:71" ht="19.5" customHeight="1" x14ac:dyDescent="0.15">
      <c r="A234" s="56" t="s">
        <v>985</v>
      </c>
      <c r="B234" s="57" t="s">
        <v>986</v>
      </c>
      <c r="C234" s="58" t="s">
        <v>985</v>
      </c>
      <c r="D234" s="59" t="s">
        <v>985</v>
      </c>
      <c r="E234" s="61"/>
      <c r="F234" s="60" t="s">
        <v>95</v>
      </c>
      <c r="G234" s="61"/>
      <c r="H234" s="62"/>
      <c r="I234" s="75"/>
      <c r="J234" s="60" t="s">
        <v>95</v>
      </c>
      <c r="K234" s="64"/>
      <c r="L234" s="64"/>
      <c r="M234" s="64" t="s">
        <v>96</v>
      </c>
      <c r="N234" s="64" t="s">
        <v>97</v>
      </c>
      <c r="O234" s="65" t="s">
        <v>986</v>
      </c>
      <c r="P234" s="70" t="s">
        <v>96</v>
      </c>
      <c r="Q234" s="60" t="s">
        <v>95</v>
      </c>
      <c r="R234" s="60" t="s">
        <v>96</v>
      </c>
      <c r="S234" s="66" t="s">
        <v>96</v>
      </c>
      <c r="T234" s="67" t="s">
        <v>96</v>
      </c>
      <c r="U234" s="60" t="s">
        <v>96</v>
      </c>
      <c r="V234" s="60" t="s">
        <v>96</v>
      </c>
      <c r="W234" s="60" t="str" cm="1">
        <f t="array" ref="W234">_xlfn.LET(_xlpm.resultados,_xlfn.UNIQUE(_xlfn._xlws.FILTER(Tabla1[Proceso],(Tabla1[Metal Base]=Q234)*(Tabla1[Etiquetas]=_xlfn.TEXTJOIN(" + ",TRUE,IF((TRIM(Upload!R234:V234)="")+(LOWER(TRIM(Upload!R234:V234))="(seleccione)"),"",PROPER(TRIM(Upload!R234:V234)))))*(Tabla1[Línea2]=IFERROR(VLOOKUP(Upload!P234&amp;"*",CAT_Procesos!D:D,1,FALSE),"")))),_xlpm.cantidad,ROWS(_xlpm.resultados),IF(ISERROR(_xlpm.cantidad),"Combinación no existente",IF(_xlpm.cantidad=1,INDEX(_xlpm.resultados,1),"(seleccione)")))</f>
        <v>Combinación no existente</v>
      </c>
      <c r="X234" s="67" t="s">
        <v>96</v>
      </c>
      <c r="Y234" s="64"/>
      <c r="Z234" s="64"/>
      <c r="AA234" s="64"/>
      <c r="AB234" s="133" t="s">
        <v>96</v>
      </c>
      <c r="AC234" s="64"/>
      <c r="AD234" s="64"/>
      <c r="AE234" s="64"/>
      <c r="AF234" s="60" t="s">
        <v>96</v>
      </c>
      <c r="AG234" s="64"/>
      <c r="AH234" s="64"/>
      <c r="AI234" s="64"/>
      <c r="AJ234" s="68" t="s">
        <v>96</v>
      </c>
      <c r="AK234" s="69" t="str">
        <f t="shared" si="6"/>
        <v/>
      </c>
      <c r="AL234" s="70" t="s">
        <v>96</v>
      </c>
      <c r="AM234" s="69" t="str">
        <f t="shared" si="7"/>
        <v/>
      </c>
      <c r="AN234" s="71"/>
      <c r="AO234" s="71"/>
      <c r="AP234" s="71"/>
      <c r="AQ234" s="71"/>
      <c r="AR234" s="71" t="s">
        <v>96</v>
      </c>
      <c r="AS234" s="71"/>
      <c r="AT234" s="71" t="s">
        <v>96</v>
      </c>
      <c r="AU234" s="71"/>
      <c r="AV234" s="71" t="s">
        <v>95</v>
      </c>
      <c r="AW234" s="71"/>
      <c r="AX234" s="71"/>
      <c r="AY234" s="71"/>
      <c r="AZ234" s="71"/>
      <c r="BA234" s="71"/>
      <c r="BB234" s="70" t="s">
        <v>218</v>
      </c>
      <c r="BC234" s="70" t="s">
        <v>98</v>
      </c>
      <c r="BD234" s="72" t="str">
        <f>IF('Cálculo MP'!K244="","",'Cálculo MP'!K244)</f>
        <v/>
      </c>
      <c r="BE234" s="72" t="str">
        <f>IF('Cálculo MP'!L244="","",'Cálculo MP'!L244)</f>
        <v/>
      </c>
      <c r="BF234" s="72" t="str">
        <f>IF('Cálculo MP'!M244="","",'Cálculo MP'!M244)</f>
        <v/>
      </c>
      <c r="BG234" s="72" t="str">
        <f>IF('Cálculo MP'!N244="","",'Cálculo MP'!N244)</f>
        <v/>
      </c>
      <c r="BH234" s="72" t="str">
        <f>IF('Cálculo MP'!O244="","",'Cálculo MP'!O244)</f>
        <v/>
      </c>
      <c r="BI234" s="72" t="str">
        <f>IF('Cálculo MP'!P244="","",'Cálculo MP'!P244)</f>
        <v/>
      </c>
      <c r="BJ234" s="72" t="str">
        <f>IF('Cálculo MP'!Q244="","",'Cálculo MP'!Q244)</f>
        <v/>
      </c>
      <c r="BK234" s="72" t="str">
        <f>IF('Cálculo MP'!R244="","",'Cálculo MP'!R244)</f>
        <v/>
      </c>
      <c r="BL234" s="72" t="str">
        <f>IF('Cálculo MP'!S244="","",'Cálculo MP'!S244)</f>
        <v/>
      </c>
      <c r="BM234" s="71"/>
      <c r="BN234" s="71"/>
      <c r="BO234" s="71"/>
      <c r="BP234" s="71"/>
      <c r="BQ234" s="71"/>
      <c r="BR234" s="71"/>
      <c r="BS234" s="71"/>
    </row>
    <row r="235" spans="1:71" ht="19.5" customHeight="1" x14ac:dyDescent="0.15">
      <c r="A235" s="56" t="s">
        <v>985</v>
      </c>
      <c r="B235" s="57" t="s">
        <v>986</v>
      </c>
      <c r="C235" s="58" t="s">
        <v>985</v>
      </c>
      <c r="D235" s="59" t="s">
        <v>985</v>
      </c>
      <c r="E235" s="61"/>
      <c r="F235" s="60" t="s">
        <v>95</v>
      </c>
      <c r="G235" s="61"/>
      <c r="H235" s="62"/>
      <c r="I235" s="75"/>
      <c r="J235" s="60" t="s">
        <v>95</v>
      </c>
      <c r="K235" s="64"/>
      <c r="L235" s="64"/>
      <c r="M235" s="64" t="s">
        <v>96</v>
      </c>
      <c r="N235" s="64" t="s">
        <v>97</v>
      </c>
      <c r="O235" s="65" t="s">
        <v>986</v>
      </c>
      <c r="P235" s="70" t="s">
        <v>96</v>
      </c>
      <c r="Q235" s="60" t="s">
        <v>95</v>
      </c>
      <c r="R235" s="60" t="s">
        <v>96</v>
      </c>
      <c r="S235" s="66" t="s">
        <v>96</v>
      </c>
      <c r="T235" s="67" t="s">
        <v>96</v>
      </c>
      <c r="U235" s="60" t="s">
        <v>96</v>
      </c>
      <c r="V235" s="60" t="s">
        <v>96</v>
      </c>
      <c r="W235" s="60" t="str" cm="1">
        <f t="array" ref="W235">_xlfn.LET(_xlpm.resultados,_xlfn.UNIQUE(_xlfn._xlws.FILTER(Tabla1[Proceso],(Tabla1[Metal Base]=Q235)*(Tabla1[Etiquetas]=_xlfn.TEXTJOIN(" + ",TRUE,IF((TRIM(Upload!R235:V235)="")+(LOWER(TRIM(Upload!R235:V235))="(seleccione)"),"",PROPER(TRIM(Upload!R235:V235)))))*(Tabla1[Línea2]=IFERROR(VLOOKUP(Upload!P235&amp;"*",CAT_Procesos!D:D,1,FALSE),"")))),_xlpm.cantidad,ROWS(_xlpm.resultados),IF(ISERROR(_xlpm.cantidad),"Combinación no existente",IF(_xlpm.cantidad=1,INDEX(_xlpm.resultados,1),"(seleccione)")))</f>
        <v>Combinación no existente</v>
      </c>
      <c r="X235" s="67" t="s">
        <v>96</v>
      </c>
      <c r="Y235" s="64"/>
      <c r="Z235" s="64"/>
      <c r="AA235" s="64"/>
      <c r="AB235" s="133" t="s">
        <v>96</v>
      </c>
      <c r="AC235" s="64"/>
      <c r="AD235" s="64"/>
      <c r="AE235" s="64"/>
      <c r="AF235" s="60" t="s">
        <v>96</v>
      </c>
      <c r="AG235" s="64"/>
      <c r="AH235" s="64"/>
      <c r="AI235" s="64"/>
      <c r="AJ235" s="68" t="s">
        <v>96</v>
      </c>
      <c r="AK235" s="69" t="str">
        <f t="shared" si="6"/>
        <v/>
      </c>
      <c r="AL235" s="70" t="s">
        <v>96</v>
      </c>
      <c r="AM235" s="69" t="str">
        <f t="shared" si="7"/>
        <v/>
      </c>
      <c r="AN235" s="71"/>
      <c r="AO235" s="71"/>
      <c r="AP235" s="71"/>
      <c r="AQ235" s="71"/>
      <c r="AR235" s="71" t="s">
        <v>96</v>
      </c>
      <c r="AS235" s="71"/>
      <c r="AT235" s="71" t="s">
        <v>96</v>
      </c>
      <c r="AU235" s="71"/>
      <c r="AV235" s="71" t="s">
        <v>95</v>
      </c>
      <c r="AW235" s="71"/>
      <c r="AX235" s="71"/>
      <c r="AY235" s="71"/>
      <c r="AZ235" s="71"/>
      <c r="BA235" s="71"/>
      <c r="BB235" s="70" t="s">
        <v>218</v>
      </c>
      <c r="BC235" s="70" t="s">
        <v>98</v>
      </c>
      <c r="BD235" s="72" t="str">
        <f>IF('Cálculo MP'!K245="","",'Cálculo MP'!K245)</f>
        <v/>
      </c>
      <c r="BE235" s="72" t="str">
        <f>IF('Cálculo MP'!L245="","",'Cálculo MP'!L245)</f>
        <v/>
      </c>
      <c r="BF235" s="72" t="str">
        <f>IF('Cálculo MP'!M245="","",'Cálculo MP'!M245)</f>
        <v/>
      </c>
      <c r="BG235" s="72" t="str">
        <f>IF('Cálculo MP'!N245="","",'Cálculo MP'!N245)</f>
        <v/>
      </c>
      <c r="BH235" s="72" t="str">
        <f>IF('Cálculo MP'!O245="","",'Cálculo MP'!O245)</f>
        <v/>
      </c>
      <c r="BI235" s="72" t="str">
        <f>IF('Cálculo MP'!P245="","",'Cálculo MP'!P245)</f>
        <v/>
      </c>
      <c r="BJ235" s="72" t="str">
        <f>IF('Cálculo MP'!Q245="","",'Cálculo MP'!Q245)</f>
        <v/>
      </c>
      <c r="BK235" s="72" t="str">
        <f>IF('Cálculo MP'!R245="","",'Cálculo MP'!R245)</f>
        <v/>
      </c>
      <c r="BL235" s="72" t="str">
        <f>IF('Cálculo MP'!S245="","",'Cálculo MP'!S245)</f>
        <v/>
      </c>
      <c r="BM235" s="71"/>
      <c r="BN235" s="71"/>
      <c r="BO235" s="71"/>
      <c r="BP235" s="71"/>
      <c r="BQ235" s="71"/>
      <c r="BR235" s="71"/>
      <c r="BS235" s="71"/>
    </row>
    <row r="236" spans="1:71" ht="19.5" customHeight="1" x14ac:dyDescent="0.15">
      <c r="A236" s="56" t="s">
        <v>985</v>
      </c>
      <c r="B236" s="57" t="s">
        <v>986</v>
      </c>
      <c r="C236" s="58" t="s">
        <v>985</v>
      </c>
      <c r="D236" s="59" t="s">
        <v>985</v>
      </c>
      <c r="E236" s="61"/>
      <c r="F236" s="60" t="s">
        <v>95</v>
      </c>
      <c r="G236" s="61"/>
      <c r="H236" s="62"/>
      <c r="I236" s="75"/>
      <c r="J236" s="60" t="s">
        <v>95</v>
      </c>
      <c r="K236" s="64"/>
      <c r="L236" s="64"/>
      <c r="M236" s="64" t="s">
        <v>96</v>
      </c>
      <c r="N236" s="64" t="s">
        <v>97</v>
      </c>
      <c r="O236" s="65" t="s">
        <v>986</v>
      </c>
      <c r="P236" s="70" t="s">
        <v>96</v>
      </c>
      <c r="Q236" s="60" t="s">
        <v>95</v>
      </c>
      <c r="R236" s="60" t="s">
        <v>96</v>
      </c>
      <c r="S236" s="66" t="s">
        <v>96</v>
      </c>
      <c r="T236" s="67" t="s">
        <v>96</v>
      </c>
      <c r="U236" s="60" t="s">
        <v>96</v>
      </c>
      <c r="V236" s="60" t="s">
        <v>96</v>
      </c>
      <c r="W236" s="60" t="str" cm="1">
        <f t="array" ref="W236">_xlfn.LET(_xlpm.resultados,_xlfn.UNIQUE(_xlfn._xlws.FILTER(Tabla1[Proceso],(Tabla1[Metal Base]=Q236)*(Tabla1[Etiquetas]=_xlfn.TEXTJOIN(" + ",TRUE,IF((TRIM(Upload!R236:V236)="")+(LOWER(TRIM(Upload!R236:V236))="(seleccione)"),"",PROPER(TRIM(Upload!R236:V236)))))*(Tabla1[Línea2]=IFERROR(VLOOKUP(Upload!P236&amp;"*",CAT_Procesos!D:D,1,FALSE),"")))),_xlpm.cantidad,ROWS(_xlpm.resultados),IF(ISERROR(_xlpm.cantidad),"Combinación no existente",IF(_xlpm.cantidad=1,INDEX(_xlpm.resultados,1),"(seleccione)")))</f>
        <v>Combinación no existente</v>
      </c>
      <c r="X236" s="67" t="s">
        <v>96</v>
      </c>
      <c r="Y236" s="64"/>
      <c r="Z236" s="64"/>
      <c r="AA236" s="64"/>
      <c r="AB236" s="133" t="s">
        <v>96</v>
      </c>
      <c r="AC236" s="64"/>
      <c r="AD236" s="64"/>
      <c r="AE236" s="64"/>
      <c r="AF236" s="60" t="s">
        <v>96</v>
      </c>
      <c r="AG236" s="64"/>
      <c r="AH236" s="64"/>
      <c r="AI236" s="64"/>
      <c r="AJ236" s="68" t="s">
        <v>96</v>
      </c>
      <c r="AK236" s="69" t="str">
        <f t="shared" si="6"/>
        <v/>
      </c>
      <c r="AL236" s="70" t="s">
        <v>96</v>
      </c>
      <c r="AM236" s="69" t="str">
        <f t="shared" si="7"/>
        <v/>
      </c>
      <c r="AN236" s="71"/>
      <c r="AO236" s="71"/>
      <c r="AP236" s="71"/>
      <c r="AQ236" s="71"/>
      <c r="AR236" s="71" t="s">
        <v>96</v>
      </c>
      <c r="AS236" s="71"/>
      <c r="AT236" s="71" t="s">
        <v>96</v>
      </c>
      <c r="AU236" s="71"/>
      <c r="AV236" s="71" t="s">
        <v>95</v>
      </c>
      <c r="AW236" s="71"/>
      <c r="AX236" s="71"/>
      <c r="AY236" s="71"/>
      <c r="AZ236" s="71"/>
      <c r="BA236" s="71"/>
      <c r="BB236" s="70" t="s">
        <v>218</v>
      </c>
      <c r="BC236" s="70" t="s">
        <v>98</v>
      </c>
      <c r="BD236" s="72" t="str">
        <f>IF('Cálculo MP'!K246="","",'Cálculo MP'!K246)</f>
        <v/>
      </c>
      <c r="BE236" s="72" t="str">
        <f>IF('Cálculo MP'!L246="","",'Cálculo MP'!L246)</f>
        <v/>
      </c>
      <c r="BF236" s="72" t="str">
        <f>IF('Cálculo MP'!M246="","",'Cálculo MP'!M246)</f>
        <v/>
      </c>
      <c r="BG236" s="72" t="str">
        <f>IF('Cálculo MP'!N246="","",'Cálculo MP'!N246)</f>
        <v/>
      </c>
      <c r="BH236" s="72" t="str">
        <f>IF('Cálculo MP'!O246="","",'Cálculo MP'!O246)</f>
        <v/>
      </c>
      <c r="BI236" s="72" t="str">
        <f>IF('Cálculo MP'!P246="","",'Cálculo MP'!P246)</f>
        <v/>
      </c>
      <c r="BJ236" s="72" t="str">
        <f>IF('Cálculo MP'!Q246="","",'Cálculo MP'!Q246)</f>
        <v/>
      </c>
      <c r="BK236" s="72" t="str">
        <f>IF('Cálculo MP'!R246="","",'Cálculo MP'!R246)</f>
        <v/>
      </c>
      <c r="BL236" s="72" t="str">
        <f>IF('Cálculo MP'!S246="","",'Cálculo MP'!S246)</f>
        <v/>
      </c>
      <c r="BM236" s="71"/>
      <c r="BN236" s="71"/>
      <c r="BO236" s="71"/>
      <c r="BP236" s="71"/>
      <c r="BQ236" s="71"/>
      <c r="BR236" s="71"/>
      <c r="BS236" s="71"/>
    </row>
    <row r="237" spans="1:71" ht="19.5" customHeight="1" x14ac:dyDescent="0.15">
      <c r="A237" s="56" t="s">
        <v>985</v>
      </c>
      <c r="B237" s="57" t="s">
        <v>986</v>
      </c>
      <c r="C237" s="58" t="s">
        <v>985</v>
      </c>
      <c r="D237" s="59" t="s">
        <v>985</v>
      </c>
      <c r="E237" s="61"/>
      <c r="F237" s="60" t="s">
        <v>95</v>
      </c>
      <c r="G237" s="61"/>
      <c r="H237" s="62"/>
      <c r="I237" s="75"/>
      <c r="J237" s="60" t="s">
        <v>95</v>
      </c>
      <c r="K237" s="64"/>
      <c r="L237" s="64"/>
      <c r="M237" s="64" t="s">
        <v>96</v>
      </c>
      <c r="N237" s="64" t="s">
        <v>97</v>
      </c>
      <c r="O237" s="65" t="s">
        <v>986</v>
      </c>
      <c r="P237" s="70" t="s">
        <v>96</v>
      </c>
      <c r="Q237" s="60" t="s">
        <v>95</v>
      </c>
      <c r="R237" s="60" t="s">
        <v>96</v>
      </c>
      <c r="S237" s="66" t="s">
        <v>96</v>
      </c>
      <c r="T237" s="67" t="s">
        <v>96</v>
      </c>
      <c r="U237" s="60" t="s">
        <v>96</v>
      </c>
      <c r="V237" s="60" t="s">
        <v>96</v>
      </c>
      <c r="W237" s="60" t="str" cm="1">
        <f t="array" ref="W237">_xlfn.LET(_xlpm.resultados,_xlfn.UNIQUE(_xlfn._xlws.FILTER(Tabla1[Proceso],(Tabla1[Metal Base]=Q237)*(Tabla1[Etiquetas]=_xlfn.TEXTJOIN(" + ",TRUE,IF((TRIM(Upload!R237:V237)="")+(LOWER(TRIM(Upload!R237:V237))="(seleccione)"),"",PROPER(TRIM(Upload!R237:V237)))))*(Tabla1[Línea2]=IFERROR(VLOOKUP(Upload!P237&amp;"*",CAT_Procesos!D:D,1,FALSE),"")))),_xlpm.cantidad,ROWS(_xlpm.resultados),IF(ISERROR(_xlpm.cantidad),"Combinación no existente",IF(_xlpm.cantidad=1,INDEX(_xlpm.resultados,1),"(seleccione)")))</f>
        <v>Combinación no existente</v>
      </c>
      <c r="X237" s="67" t="s">
        <v>96</v>
      </c>
      <c r="Y237" s="64"/>
      <c r="Z237" s="64"/>
      <c r="AA237" s="64"/>
      <c r="AB237" s="133" t="s">
        <v>96</v>
      </c>
      <c r="AC237" s="64"/>
      <c r="AD237" s="64"/>
      <c r="AE237" s="64"/>
      <c r="AF237" s="60" t="s">
        <v>96</v>
      </c>
      <c r="AG237" s="64"/>
      <c r="AH237" s="64"/>
      <c r="AI237" s="64"/>
      <c r="AJ237" s="68" t="s">
        <v>96</v>
      </c>
      <c r="AK237" s="69" t="str">
        <f t="shared" si="6"/>
        <v/>
      </c>
      <c r="AL237" s="70" t="s">
        <v>96</v>
      </c>
      <c r="AM237" s="69" t="str">
        <f t="shared" si="7"/>
        <v/>
      </c>
      <c r="AN237" s="71"/>
      <c r="AO237" s="71"/>
      <c r="AP237" s="71"/>
      <c r="AQ237" s="71"/>
      <c r="AR237" s="71" t="s">
        <v>96</v>
      </c>
      <c r="AS237" s="71"/>
      <c r="AT237" s="71" t="s">
        <v>96</v>
      </c>
      <c r="AU237" s="71"/>
      <c r="AV237" s="71" t="s">
        <v>95</v>
      </c>
      <c r="AW237" s="71"/>
      <c r="AX237" s="71"/>
      <c r="AY237" s="71"/>
      <c r="AZ237" s="71"/>
      <c r="BA237" s="71"/>
      <c r="BB237" s="70" t="s">
        <v>218</v>
      </c>
      <c r="BC237" s="70" t="s">
        <v>98</v>
      </c>
      <c r="BD237" s="72" t="str">
        <f>IF('Cálculo MP'!K247="","",'Cálculo MP'!K247)</f>
        <v/>
      </c>
      <c r="BE237" s="72" t="str">
        <f>IF('Cálculo MP'!L247="","",'Cálculo MP'!L247)</f>
        <v/>
      </c>
      <c r="BF237" s="72" t="str">
        <f>IF('Cálculo MP'!M247="","",'Cálculo MP'!M247)</f>
        <v/>
      </c>
      <c r="BG237" s="72" t="str">
        <f>IF('Cálculo MP'!N247="","",'Cálculo MP'!N247)</f>
        <v/>
      </c>
      <c r="BH237" s="72" t="str">
        <f>IF('Cálculo MP'!O247="","",'Cálculo MP'!O247)</f>
        <v/>
      </c>
      <c r="BI237" s="72" t="str">
        <f>IF('Cálculo MP'!P247="","",'Cálculo MP'!P247)</f>
        <v/>
      </c>
      <c r="BJ237" s="72" t="str">
        <f>IF('Cálculo MP'!Q247="","",'Cálculo MP'!Q247)</f>
        <v/>
      </c>
      <c r="BK237" s="72" t="str">
        <f>IF('Cálculo MP'!R247="","",'Cálculo MP'!R247)</f>
        <v/>
      </c>
      <c r="BL237" s="72" t="str">
        <f>IF('Cálculo MP'!S247="","",'Cálculo MP'!S247)</f>
        <v/>
      </c>
      <c r="BM237" s="71"/>
      <c r="BN237" s="71"/>
      <c r="BO237" s="71"/>
      <c r="BP237" s="71"/>
      <c r="BQ237" s="71"/>
      <c r="BR237" s="71"/>
      <c r="BS237" s="71"/>
    </row>
    <row r="238" spans="1:71" ht="19.5" customHeight="1" x14ac:dyDescent="0.15">
      <c r="A238" s="56" t="s">
        <v>985</v>
      </c>
      <c r="B238" s="57" t="s">
        <v>986</v>
      </c>
      <c r="C238" s="58" t="s">
        <v>985</v>
      </c>
      <c r="D238" s="59" t="s">
        <v>985</v>
      </c>
      <c r="E238" s="61"/>
      <c r="F238" s="60" t="s">
        <v>95</v>
      </c>
      <c r="G238" s="61"/>
      <c r="H238" s="62"/>
      <c r="I238" s="75"/>
      <c r="J238" s="60" t="s">
        <v>95</v>
      </c>
      <c r="K238" s="64"/>
      <c r="L238" s="64"/>
      <c r="M238" s="64" t="s">
        <v>96</v>
      </c>
      <c r="N238" s="64" t="s">
        <v>97</v>
      </c>
      <c r="O238" s="65" t="s">
        <v>986</v>
      </c>
      <c r="P238" s="70" t="s">
        <v>96</v>
      </c>
      <c r="Q238" s="60" t="s">
        <v>95</v>
      </c>
      <c r="R238" s="60" t="s">
        <v>96</v>
      </c>
      <c r="S238" s="66" t="s">
        <v>96</v>
      </c>
      <c r="T238" s="67" t="s">
        <v>96</v>
      </c>
      <c r="U238" s="60" t="s">
        <v>96</v>
      </c>
      <c r="V238" s="60" t="s">
        <v>96</v>
      </c>
      <c r="W238" s="60" t="str" cm="1">
        <f t="array" ref="W238">_xlfn.LET(_xlpm.resultados,_xlfn.UNIQUE(_xlfn._xlws.FILTER(Tabla1[Proceso],(Tabla1[Metal Base]=Q238)*(Tabla1[Etiquetas]=_xlfn.TEXTJOIN(" + ",TRUE,IF((TRIM(Upload!R238:V238)="")+(LOWER(TRIM(Upload!R238:V238))="(seleccione)"),"",PROPER(TRIM(Upload!R238:V238)))))*(Tabla1[Línea2]=IFERROR(VLOOKUP(Upload!P238&amp;"*",CAT_Procesos!D:D,1,FALSE),"")))),_xlpm.cantidad,ROWS(_xlpm.resultados),IF(ISERROR(_xlpm.cantidad),"Combinación no existente",IF(_xlpm.cantidad=1,INDEX(_xlpm.resultados,1),"(seleccione)")))</f>
        <v>Combinación no existente</v>
      </c>
      <c r="X238" s="67" t="s">
        <v>96</v>
      </c>
      <c r="Y238" s="64"/>
      <c r="Z238" s="64"/>
      <c r="AA238" s="64"/>
      <c r="AB238" s="133" t="s">
        <v>96</v>
      </c>
      <c r="AC238" s="64"/>
      <c r="AD238" s="64"/>
      <c r="AE238" s="64"/>
      <c r="AF238" s="60" t="s">
        <v>96</v>
      </c>
      <c r="AG238" s="64"/>
      <c r="AH238" s="64"/>
      <c r="AI238" s="64"/>
      <c r="AJ238" s="68" t="s">
        <v>96</v>
      </c>
      <c r="AK238" s="69" t="str">
        <f t="shared" si="6"/>
        <v/>
      </c>
      <c r="AL238" s="70" t="s">
        <v>96</v>
      </c>
      <c r="AM238" s="69" t="str">
        <f t="shared" si="7"/>
        <v/>
      </c>
      <c r="AN238" s="71"/>
      <c r="AO238" s="71"/>
      <c r="AP238" s="71"/>
      <c r="AQ238" s="71"/>
      <c r="AR238" s="71" t="s">
        <v>96</v>
      </c>
      <c r="AS238" s="71"/>
      <c r="AT238" s="71" t="s">
        <v>96</v>
      </c>
      <c r="AU238" s="71"/>
      <c r="AV238" s="71" t="s">
        <v>95</v>
      </c>
      <c r="AW238" s="71"/>
      <c r="AX238" s="71"/>
      <c r="AY238" s="71"/>
      <c r="AZ238" s="71"/>
      <c r="BA238" s="71"/>
      <c r="BB238" s="70" t="s">
        <v>218</v>
      </c>
      <c r="BC238" s="70" t="s">
        <v>98</v>
      </c>
      <c r="BD238" s="72" t="str">
        <f>IF('Cálculo MP'!K248="","",'Cálculo MP'!K248)</f>
        <v/>
      </c>
      <c r="BE238" s="72" t="str">
        <f>IF('Cálculo MP'!L248="","",'Cálculo MP'!L248)</f>
        <v/>
      </c>
      <c r="BF238" s="72" t="str">
        <f>IF('Cálculo MP'!M248="","",'Cálculo MP'!M248)</f>
        <v/>
      </c>
      <c r="BG238" s="72" t="str">
        <f>IF('Cálculo MP'!N248="","",'Cálculo MP'!N248)</f>
        <v/>
      </c>
      <c r="BH238" s="72" t="str">
        <f>IF('Cálculo MP'!O248="","",'Cálculo MP'!O248)</f>
        <v/>
      </c>
      <c r="BI238" s="72" t="str">
        <f>IF('Cálculo MP'!P248="","",'Cálculo MP'!P248)</f>
        <v/>
      </c>
      <c r="BJ238" s="72" t="str">
        <f>IF('Cálculo MP'!Q248="","",'Cálculo MP'!Q248)</f>
        <v/>
      </c>
      <c r="BK238" s="72" t="str">
        <f>IF('Cálculo MP'!R248="","",'Cálculo MP'!R248)</f>
        <v/>
      </c>
      <c r="BL238" s="72" t="str">
        <f>IF('Cálculo MP'!S248="","",'Cálculo MP'!S248)</f>
        <v/>
      </c>
      <c r="BM238" s="71"/>
      <c r="BN238" s="71"/>
      <c r="BO238" s="71"/>
      <c r="BP238" s="71"/>
      <c r="BQ238" s="71"/>
      <c r="BR238" s="71"/>
      <c r="BS238" s="71"/>
    </row>
    <row r="239" spans="1:71" ht="19.5" customHeight="1" x14ac:dyDescent="0.15">
      <c r="A239" s="56" t="s">
        <v>985</v>
      </c>
      <c r="B239" s="57" t="s">
        <v>986</v>
      </c>
      <c r="C239" s="58" t="s">
        <v>985</v>
      </c>
      <c r="D239" s="59" t="s">
        <v>985</v>
      </c>
      <c r="E239" s="61"/>
      <c r="F239" s="60" t="s">
        <v>95</v>
      </c>
      <c r="G239" s="61"/>
      <c r="H239" s="62"/>
      <c r="I239" s="75"/>
      <c r="J239" s="60" t="s">
        <v>95</v>
      </c>
      <c r="K239" s="64"/>
      <c r="L239" s="64"/>
      <c r="M239" s="64" t="s">
        <v>96</v>
      </c>
      <c r="N239" s="64" t="s">
        <v>97</v>
      </c>
      <c r="O239" s="65" t="s">
        <v>986</v>
      </c>
      <c r="P239" s="70" t="s">
        <v>96</v>
      </c>
      <c r="Q239" s="60" t="s">
        <v>95</v>
      </c>
      <c r="R239" s="60" t="s">
        <v>96</v>
      </c>
      <c r="S239" s="66" t="s">
        <v>96</v>
      </c>
      <c r="T239" s="67" t="s">
        <v>96</v>
      </c>
      <c r="U239" s="60" t="s">
        <v>96</v>
      </c>
      <c r="V239" s="60" t="s">
        <v>96</v>
      </c>
      <c r="W239" s="60" t="str" cm="1">
        <f t="array" ref="W239">_xlfn.LET(_xlpm.resultados,_xlfn.UNIQUE(_xlfn._xlws.FILTER(Tabla1[Proceso],(Tabla1[Metal Base]=Q239)*(Tabla1[Etiquetas]=_xlfn.TEXTJOIN(" + ",TRUE,IF((TRIM(Upload!R239:V239)="")+(LOWER(TRIM(Upload!R239:V239))="(seleccione)"),"",PROPER(TRIM(Upload!R239:V239)))))*(Tabla1[Línea2]=IFERROR(VLOOKUP(Upload!P239&amp;"*",CAT_Procesos!D:D,1,FALSE),"")))),_xlpm.cantidad,ROWS(_xlpm.resultados),IF(ISERROR(_xlpm.cantidad),"Combinación no existente",IF(_xlpm.cantidad=1,INDEX(_xlpm.resultados,1),"(seleccione)")))</f>
        <v>Combinación no existente</v>
      </c>
      <c r="X239" s="67" t="s">
        <v>96</v>
      </c>
      <c r="Y239" s="64"/>
      <c r="Z239" s="64"/>
      <c r="AA239" s="64"/>
      <c r="AB239" s="133" t="s">
        <v>96</v>
      </c>
      <c r="AC239" s="64"/>
      <c r="AD239" s="64"/>
      <c r="AE239" s="64"/>
      <c r="AF239" s="60" t="s">
        <v>96</v>
      </c>
      <c r="AG239" s="64"/>
      <c r="AH239" s="64"/>
      <c r="AI239" s="64"/>
      <c r="AJ239" s="68" t="s">
        <v>96</v>
      </c>
      <c r="AK239" s="69" t="str">
        <f t="shared" si="6"/>
        <v/>
      </c>
      <c r="AL239" s="70" t="s">
        <v>96</v>
      </c>
      <c r="AM239" s="69" t="str">
        <f t="shared" si="7"/>
        <v/>
      </c>
      <c r="AN239" s="71"/>
      <c r="AO239" s="71"/>
      <c r="AP239" s="71"/>
      <c r="AQ239" s="71"/>
      <c r="AR239" s="71" t="s">
        <v>96</v>
      </c>
      <c r="AS239" s="71"/>
      <c r="AT239" s="71" t="s">
        <v>96</v>
      </c>
      <c r="AU239" s="71"/>
      <c r="AV239" s="71" t="s">
        <v>95</v>
      </c>
      <c r="AW239" s="71"/>
      <c r="AX239" s="71"/>
      <c r="AY239" s="71"/>
      <c r="AZ239" s="71"/>
      <c r="BA239" s="71"/>
      <c r="BB239" s="70" t="s">
        <v>218</v>
      </c>
      <c r="BC239" s="70" t="s">
        <v>98</v>
      </c>
      <c r="BD239" s="72" t="str">
        <f>IF('Cálculo MP'!K249="","",'Cálculo MP'!K249)</f>
        <v/>
      </c>
      <c r="BE239" s="72" t="str">
        <f>IF('Cálculo MP'!L249="","",'Cálculo MP'!L249)</f>
        <v/>
      </c>
      <c r="BF239" s="72" t="str">
        <f>IF('Cálculo MP'!M249="","",'Cálculo MP'!M249)</f>
        <v/>
      </c>
      <c r="BG239" s="72" t="str">
        <f>IF('Cálculo MP'!N249="","",'Cálculo MP'!N249)</f>
        <v/>
      </c>
      <c r="BH239" s="72" t="str">
        <f>IF('Cálculo MP'!O249="","",'Cálculo MP'!O249)</f>
        <v/>
      </c>
      <c r="BI239" s="72" t="str">
        <f>IF('Cálculo MP'!P249="","",'Cálculo MP'!P249)</f>
        <v/>
      </c>
      <c r="BJ239" s="72" t="str">
        <f>IF('Cálculo MP'!Q249="","",'Cálculo MP'!Q249)</f>
        <v/>
      </c>
      <c r="BK239" s="72" t="str">
        <f>IF('Cálculo MP'!R249="","",'Cálculo MP'!R249)</f>
        <v/>
      </c>
      <c r="BL239" s="72" t="str">
        <f>IF('Cálculo MP'!S249="","",'Cálculo MP'!S249)</f>
        <v/>
      </c>
      <c r="BM239" s="71"/>
      <c r="BN239" s="71"/>
      <c r="BO239" s="71"/>
      <c r="BP239" s="71"/>
      <c r="BQ239" s="71"/>
      <c r="BR239" s="71"/>
      <c r="BS239" s="71"/>
    </row>
    <row r="240" spans="1:71" ht="19.5" customHeight="1" x14ac:dyDescent="0.15">
      <c r="A240" s="56" t="s">
        <v>985</v>
      </c>
      <c r="B240" s="57" t="s">
        <v>986</v>
      </c>
      <c r="C240" s="58" t="s">
        <v>985</v>
      </c>
      <c r="D240" s="59" t="s">
        <v>985</v>
      </c>
      <c r="E240" s="61"/>
      <c r="F240" s="60" t="s">
        <v>95</v>
      </c>
      <c r="G240" s="61"/>
      <c r="H240" s="62"/>
      <c r="I240" s="75"/>
      <c r="J240" s="60" t="s">
        <v>95</v>
      </c>
      <c r="K240" s="64"/>
      <c r="L240" s="64"/>
      <c r="M240" s="64" t="s">
        <v>96</v>
      </c>
      <c r="N240" s="64" t="s">
        <v>97</v>
      </c>
      <c r="O240" s="65" t="s">
        <v>986</v>
      </c>
      <c r="P240" s="70" t="s">
        <v>96</v>
      </c>
      <c r="Q240" s="60" t="s">
        <v>95</v>
      </c>
      <c r="R240" s="60" t="s">
        <v>96</v>
      </c>
      <c r="S240" s="66" t="s">
        <v>96</v>
      </c>
      <c r="T240" s="67" t="s">
        <v>96</v>
      </c>
      <c r="U240" s="60" t="s">
        <v>96</v>
      </c>
      <c r="V240" s="60" t="s">
        <v>96</v>
      </c>
      <c r="W240" s="60" t="str" cm="1">
        <f t="array" ref="W240">_xlfn.LET(_xlpm.resultados,_xlfn.UNIQUE(_xlfn._xlws.FILTER(Tabla1[Proceso],(Tabla1[Metal Base]=Q240)*(Tabla1[Etiquetas]=_xlfn.TEXTJOIN(" + ",TRUE,IF((TRIM(Upload!R240:V240)="")+(LOWER(TRIM(Upload!R240:V240))="(seleccione)"),"",PROPER(TRIM(Upload!R240:V240)))))*(Tabla1[Línea2]=IFERROR(VLOOKUP(Upload!P240&amp;"*",CAT_Procesos!D:D,1,FALSE),"")))),_xlpm.cantidad,ROWS(_xlpm.resultados),IF(ISERROR(_xlpm.cantidad),"Combinación no existente",IF(_xlpm.cantidad=1,INDEX(_xlpm.resultados,1),"(seleccione)")))</f>
        <v>Combinación no existente</v>
      </c>
      <c r="X240" s="67" t="s">
        <v>96</v>
      </c>
      <c r="Y240" s="64"/>
      <c r="Z240" s="64"/>
      <c r="AA240" s="64"/>
      <c r="AB240" s="133" t="s">
        <v>96</v>
      </c>
      <c r="AC240" s="64"/>
      <c r="AD240" s="64"/>
      <c r="AE240" s="64"/>
      <c r="AF240" s="60" t="s">
        <v>96</v>
      </c>
      <c r="AG240" s="64"/>
      <c r="AH240" s="64"/>
      <c r="AI240" s="64"/>
      <c r="AJ240" s="68" t="s">
        <v>96</v>
      </c>
      <c r="AK240" s="69" t="str">
        <f t="shared" si="6"/>
        <v/>
      </c>
      <c r="AL240" s="70" t="s">
        <v>96</v>
      </c>
      <c r="AM240" s="69" t="str">
        <f t="shared" si="7"/>
        <v/>
      </c>
      <c r="AN240" s="71"/>
      <c r="AO240" s="71"/>
      <c r="AP240" s="71"/>
      <c r="AQ240" s="71"/>
      <c r="AR240" s="71" t="s">
        <v>96</v>
      </c>
      <c r="AS240" s="71"/>
      <c r="AT240" s="71" t="s">
        <v>96</v>
      </c>
      <c r="AU240" s="71"/>
      <c r="AV240" s="71" t="s">
        <v>95</v>
      </c>
      <c r="AW240" s="71"/>
      <c r="AX240" s="71"/>
      <c r="AY240" s="71"/>
      <c r="AZ240" s="71"/>
      <c r="BA240" s="71"/>
      <c r="BB240" s="70" t="s">
        <v>218</v>
      </c>
      <c r="BC240" s="70" t="s">
        <v>98</v>
      </c>
      <c r="BD240" s="72" t="str">
        <f>IF('Cálculo MP'!K250="","",'Cálculo MP'!K250)</f>
        <v/>
      </c>
      <c r="BE240" s="72" t="str">
        <f>IF('Cálculo MP'!L250="","",'Cálculo MP'!L250)</f>
        <v/>
      </c>
      <c r="BF240" s="72" t="str">
        <f>IF('Cálculo MP'!M250="","",'Cálculo MP'!M250)</f>
        <v/>
      </c>
      <c r="BG240" s="72" t="str">
        <f>IF('Cálculo MP'!N250="","",'Cálculo MP'!N250)</f>
        <v/>
      </c>
      <c r="BH240" s="72" t="str">
        <f>IF('Cálculo MP'!O250="","",'Cálculo MP'!O250)</f>
        <v/>
      </c>
      <c r="BI240" s="72" t="str">
        <f>IF('Cálculo MP'!P250="","",'Cálculo MP'!P250)</f>
        <v/>
      </c>
      <c r="BJ240" s="72" t="str">
        <f>IF('Cálculo MP'!Q250="","",'Cálculo MP'!Q250)</f>
        <v/>
      </c>
      <c r="BK240" s="72" t="str">
        <f>IF('Cálculo MP'!R250="","",'Cálculo MP'!R250)</f>
        <v/>
      </c>
      <c r="BL240" s="72" t="str">
        <f>IF('Cálculo MP'!S250="","",'Cálculo MP'!S250)</f>
        <v/>
      </c>
      <c r="BM240" s="71"/>
      <c r="BN240" s="71"/>
      <c r="BO240" s="71"/>
      <c r="BP240" s="71"/>
      <c r="BQ240" s="71"/>
      <c r="BR240" s="71"/>
      <c r="BS240" s="71"/>
    </row>
    <row r="241" spans="1:71" ht="19.5" customHeight="1" x14ac:dyDescent="0.15">
      <c r="A241" s="56" t="s">
        <v>985</v>
      </c>
      <c r="B241" s="57" t="s">
        <v>986</v>
      </c>
      <c r="C241" s="58" t="s">
        <v>985</v>
      </c>
      <c r="D241" s="59" t="s">
        <v>985</v>
      </c>
      <c r="E241" s="61"/>
      <c r="F241" s="60" t="s">
        <v>95</v>
      </c>
      <c r="G241" s="61"/>
      <c r="H241" s="62"/>
      <c r="I241" s="75"/>
      <c r="J241" s="60" t="s">
        <v>95</v>
      </c>
      <c r="K241" s="64"/>
      <c r="L241" s="64"/>
      <c r="M241" s="64" t="s">
        <v>96</v>
      </c>
      <c r="N241" s="64" t="s">
        <v>97</v>
      </c>
      <c r="O241" s="65" t="s">
        <v>986</v>
      </c>
      <c r="P241" s="70" t="s">
        <v>96</v>
      </c>
      <c r="Q241" s="60" t="s">
        <v>95</v>
      </c>
      <c r="R241" s="60" t="s">
        <v>96</v>
      </c>
      <c r="S241" s="66" t="s">
        <v>96</v>
      </c>
      <c r="T241" s="67" t="s">
        <v>96</v>
      </c>
      <c r="U241" s="60" t="s">
        <v>96</v>
      </c>
      <c r="V241" s="60" t="s">
        <v>96</v>
      </c>
      <c r="W241" s="60" t="str" cm="1">
        <f t="array" ref="W241">_xlfn.LET(_xlpm.resultados,_xlfn.UNIQUE(_xlfn._xlws.FILTER(Tabla1[Proceso],(Tabla1[Metal Base]=Q241)*(Tabla1[Etiquetas]=_xlfn.TEXTJOIN(" + ",TRUE,IF((TRIM(Upload!R241:V241)="")+(LOWER(TRIM(Upload!R241:V241))="(seleccione)"),"",PROPER(TRIM(Upload!R241:V241)))))*(Tabla1[Línea2]=IFERROR(VLOOKUP(Upload!P241&amp;"*",CAT_Procesos!D:D,1,FALSE),"")))),_xlpm.cantidad,ROWS(_xlpm.resultados),IF(ISERROR(_xlpm.cantidad),"Combinación no existente",IF(_xlpm.cantidad=1,INDEX(_xlpm.resultados,1),"(seleccione)")))</f>
        <v>Combinación no existente</v>
      </c>
      <c r="X241" s="67" t="s">
        <v>96</v>
      </c>
      <c r="Y241" s="64"/>
      <c r="Z241" s="64"/>
      <c r="AA241" s="64"/>
      <c r="AB241" s="133" t="s">
        <v>96</v>
      </c>
      <c r="AC241" s="64"/>
      <c r="AD241" s="64"/>
      <c r="AE241" s="64"/>
      <c r="AF241" s="60" t="s">
        <v>96</v>
      </c>
      <c r="AG241" s="64"/>
      <c r="AH241" s="64"/>
      <c r="AI241" s="64"/>
      <c r="AJ241" s="68" t="s">
        <v>96</v>
      </c>
      <c r="AK241" s="69" t="str">
        <f t="shared" si="6"/>
        <v/>
      </c>
      <c r="AL241" s="70" t="s">
        <v>96</v>
      </c>
      <c r="AM241" s="69" t="str">
        <f t="shared" si="7"/>
        <v/>
      </c>
      <c r="AN241" s="71"/>
      <c r="AO241" s="71"/>
      <c r="AP241" s="71"/>
      <c r="AQ241" s="71"/>
      <c r="AR241" s="71" t="s">
        <v>96</v>
      </c>
      <c r="AS241" s="71"/>
      <c r="AT241" s="71" t="s">
        <v>96</v>
      </c>
      <c r="AU241" s="71"/>
      <c r="AV241" s="71" t="s">
        <v>95</v>
      </c>
      <c r="AW241" s="71"/>
      <c r="AX241" s="71"/>
      <c r="AY241" s="71"/>
      <c r="AZ241" s="71"/>
      <c r="BA241" s="71"/>
      <c r="BB241" s="70" t="s">
        <v>218</v>
      </c>
      <c r="BC241" s="70" t="s">
        <v>98</v>
      </c>
      <c r="BD241" s="72" t="str">
        <f>IF('Cálculo MP'!K251="","",'Cálculo MP'!K251)</f>
        <v/>
      </c>
      <c r="BE241" s="72" t="str">
        <f>IF('Cálculo MP'!L251="","",'Cálculo MP'!L251)</f>
        <v/>
      </c>
      <c r="BF241" s="72" t="str">
        <f>IF('Cálculo MP'!M251="","",'Cálculo MP'!M251)</f>
        <v/>
      </c>
      <c r="BG241" s="72" t="str">
        <f>IF('Cálculo MP'!N251="","",'Cálculo MP'!N251)</f>
        <v/>
      </c>
      <c r="BH241" s="72" t="str">
        <f>IF('Cálculo MP'!O251="","",'Cálculo MP'!O251)</f>
        <v/>
      </c>
      <c r="BI241" s="72" t="str">
        <f>IF('Cálculo MP'!P251="","",'Cálculo MP'!P251)</f>
        <v/>
      </c>
      <c r="BJ241" s="72" t="str">
        <f>IF('Cálculo MP'!Q251="","",'Cálculo MP'!Q251)</f>
        <v/>
      </c>
      <c r="BK241" s="72" t="str">
        <f>IF('Cálculo MP'!R251="","",'Cálculo MP'!R251)</f>
        <v/>
      </c>
      <c r="BL241" s="72" t="str">
        <f>IF('Cálculo MP'!S251="","",'Cálculo MP'!S251)</f>
        <v/>
      </c>
      <c r="BM241" s="71"/>
      <c r="BN241" s="71"/>
      <c r="BO241" s="71"/>
      <c r="BP241" s="71"/>
      <c r="BQ241" s="71"/>
      <c r="BR241" s="71"/>
      <c r="BS241" s="71"/>
    </row>
    <row r="242" spans="1:71" ht="19.5" customHeight="1" x14ac:dyDescent="0.15">
      <c r="A242" s="56" t="s">
        <v>985</v>
      </c>
      <c r="B242" s="57" t="s">
        <v>986</v>
      </c>
      <c r="C242" s="58" t="s">
        <v>985</v>
      </c>
      <c r="D242" s="59" t="s">
        <v>985</v>
      </c>
      <c r="E242" s="61"/>
      <c r="F242" s="60" t="s">
        <v>95</v>
      </c>
      <c r="G242" s="61"/>
      <c r="H242" s="62"/>
      <c r="I242" s="75"/>
      <c r="J242" s="60" t="s">
        <v>95</v>
      </c>
      <c r="K242" s="64"/>
      <c r="L242" s="64"/>
      <c r="M242" s="64" t="s">
        <v>96</v>
      </c>
      <c r="N242" s="64" t="s">
        <v>97</v>
      </c>
      <c r="O242" s="65" t="s">
        <v>986</v>
      </c>
      <c r="P242" s="70" t="s">
        <v>96</v>
      </c>
      <c r="Q242" s="60" t="s">
        <v>95</v>
      </c>
      <c r="R242" s="60" t="s">
        <v>96</v>
      </c>
      <c r="S242" s="66" t="s">
        <v>96</v>
      </c>
      <c r="T242" s="67" t="s">
        <v>96</v>
      </c>
      <c r="U242" s="60" t="s">
        <v>96</v>
      </c>
      <c r="V242" s="60" t="s">
        <v>96</v>
      </c>
      <c r="W242" s="60" t="str" cm="1">
        <f t="array" ref="W242">_xlfn.LET(_xlpm.resultados,_xlfn.UNIQUE(_xlfn._xlws.FILTER(Tabla1[Proceso],(Tabla1[Metal Base]=Q242)*(Tabla1[Etiquetas]=_xlfn.TEXTJOIN(" + ",TRUE,IF((TRIM(Upload!R242:V242)="")+(LOWER(TRIM(Upload!R242:V242))="(seleccione)"),"",PROPER(TRIM(Upload!R242:V242)))))*(Tabla1[Línea2]=IFERROR(VLOOKUP(Upload!P242&amp;"*",CAT_Procesos!D:D,1,FALSE),"")))),_xlpm.cantidad,ROWS(_xlpm.resultados),IF(ISERROR(_xlpm.cantidad),"Combinación no existente",IF(_xlpm.cantidad=1,INDEX(_xlpm.resultados,1),"(seleccione)")))</f>
        <v>Combinación no existente</v>
      </c>
      <c r="X242" s="67" t="s">
        <v>96</v>
      </c>
      <c r="Y242" s="64"/>
      <c r="Z242" s="64"/>
      <c r="AA242" s="64"/>
      <c r="AB242" s="133" t="s">
        <v>96</v>
      </c>
      <c r="AC242" s="64"/>
      <c r="AD242" s="64"/>
      <c r="AE242" s="64"/>
      <c r="AF242" s="60" t="s">
        <v>96</v>
      </c>
      <c r="AG242" s="64"/>
      <c r="AH242" s="64"/>
      <c r="AI242" s="64"/>
      <c r="AJ242" s="68" t="s">
        <v>96</v>
      </c>
      <c r="AK242" s="69" t="str">
        <f t="shared" si="6"/>
        <v/>
      </c>
      <c r="AL242" s="70" t="s">
        <v>96</v>
      </c>
      <c r="AM242" s="69" t="str">
        <f t="shared" si="7"/>
        <v/>
      </c>
      <c r="AN242" s="71"/>
      <c r="AO242" s="71"/>
      <c r="AP242" s="71"/>
      <c r="AQ242" s="71"/>
      <c r="AR242" s="71" t="s">
        <v>96</v>
      </c>
      <c r="AS242" s="71"/>
      <c r="AT242" s="71" t="s">
        <v>96</v>
      </c>
      <c r="AU242" s="71"/>
      <c r="AV242" s="71" t="s">
        <v>95</v>
      </c>
      <c r="AW242" s="71"/>
      <c r="AX242" s="71"/>
      <c r="AY242" s="71"/>
      <c r="AZ242" s="71"/>
      <c r="BA242" s="71"/>
      <c r="BB242" s="70" t="s">
        <v>218</v>
      </c>
      <c r="BC242" s="70" t="s">
        <v>98</v>
      </c>
      <c r="BD242" s="72" t="str">
        <f>IF('Cálculo MP'!K252="","",'Cálculo MP'!K252)</f>
        <v/>
      </c>
      <c r="BE242" s="72" t="str">
        <f>IF('Cálculo MP'!L252="","",'Cálculo MP'!L252)</f>
        <v/>
      </c>
      <c r="BF242" s="72" t="str">
        <f>IF('Cálculo MP'!M252="","",'Cálculo MP'!M252)</f>
        <v/>
      </c>
      <c r="BG242" s="72" t="str">
        <f>IF('Cálculo MP'!N252="","",'Cálculo MP'!N252)</f>
        <v/>
      </c>
      <c r="BH242" s="72" t="str">
        <f>IF('Cálculo MP'!O252="","",'Cálculo MP'!O252)</f>
        <v/>
      </c>
      <c r="BI242" s="72" t="str">
        <f>IF('Cálculo MP'!P252="","",'Cálculo MP'!P252)</f>
        <v/>
      </c>
      <c r="BJ242" s="72" t="str">
        <f>IF('Cálculo MP'!Q252="","",'Cálculo MP'!Q252)</f>
        <v/>
      </c>
      <c r="BK242" s="72" t="str">
        <f>IF('Cálculo MP'!R252="","",'Cálculo MP'!R252)</f>
        <v/>
      </c>
      <c r="BL242" s="72" t="str">
        <f>IF('Cálculo MP'!S252="","",'Cálculo MP'!S252)</f>
        <v/>
      </c>
      <c r="BM242" s="71"/>
      <c r="BN242" s="71"/>
      <c r="BO242" s="71"/>
      <c r="BP242" s="71"/>
      <c r="BQ242" s="71"/>
      <c r="BR242" s="71"/>
      <c r="BS242" s="71"/>
    </row>
    <row r="243" spans="1:71" ht="19.5" customHeight="1" x14ac:dyDescent="0.15">
      <c r="A243" s="56" t="s">
        <v>985</v>
      </c>
      <c r="B243" s="57" t="s">
        <v>986</v>
      </c>
      <c r="C243" s="58" t="s">
        <v>985</v>
      </c>
      <c r="D243" s="59" t="s">
        <v>985</v>
      </c>
      <c r="E243" s="61"/>
      <c r="F243" s="60" t="s">
        <v>95</v>
      </c>
      <c r="G243" s="61"/>
      <c r="H243" s="62"/>
      <c r="I243" s="75"/>
      <c r="J243" s="60" t="s">
        <v>95</v>
      </c>
      <c r="K243" s="64"/>
      <c r="L243" s="64"/>
      <c r="M243" s="64" t="s">
        <v>96</v>
      </c>
      <c r="N243" s="64" t="s">
        <v>97</v>
      </c>
      <c r="O243" s="65" t="s">
        <v>986</v>
      </c>
      <c r="P243" s="70" t="s">
        <v>96</v>
      </c>
      <c r="Q243" s="60" t="s">
        <v>95</v>
      </c>
      <c r="R243" s="60" t="s">
        <v>96</v>
      </c>
      <c r="S243" s="66" t="s">
        <v>96</v>
      </c>
      <c r="T243" s="67" t="s">
        <v>96</v>
      </c>
      <c r="U243" s="60" t="s">
        <v>96</v>
      </c>
      <c r="V243" s="60" t="s">
        <v>96</v>
      </c>
      <c r="W243" s="60" t="str" cm="1">
        <f t="array" ref="W243">_xlfn.LET(_xlpm.resultados,_xlfn.UNIQUE(_xlfn._xlws.FILTER(Tabla1[Proceso],(Tabla1[Metal Base]=Q243)*(Tabla1[Etiquetas]=_xlfn.TEXTJOIN(" + ",TRUE,IF((TRIM(Upload!R243:V243)="")+(LOWER(TRIM(Upload!R243:V243))="(seleccione)"),"",PROPER(TRIM(Upload!R243:V243)))))*(Tabla1[Línea2]=IFERROR(VLOOKUP(Upload!P243&amp;"*",CAT_Procesos!D:D,1,FALSE),"")))),_xlpm.cantidad,ROWS(_xlpm.resultados),IF(ISERROR(_xlpm.cantidad),"Combinación no existente",IF(_xlpm.cantidad=1,INDEX(_xlpm.resultados,1),"(seleccione)")))</f>
        <v>Combinación no existente</v>
      </c>
      <c r="X243" s="67" t="s">
        <v>96</v>
      </c>
      <c r="Y243" s="64"/>
      <c r="Z243" s="64"/>
      <c r="AA243" s="64"/>
      <c r="AB243" s="133" t="s">
        <v>96</v>
      </c>
      <c r="AC243" s="64"/>
      <c r="AD243" s="64"/>
      <c r="AE243" s="64"/>
      <c r="AF243" s="60" t="s">
        <v>96</v>
      </c>
      <c r="AG243" s="64"/>
      <c r="AH243" s="64"/>
      <c r="AI243" s="64"/>
      <c r="AJ243" s="68" t="s">
        <v>96</v>
      </c>
      <c r="AK243" s="69" t="str">
        <f t="shared" si="6"/>
        <v/>
      </c>
      <c r="AL243" s="70" t="s">
        <v>96</v>
      </c>
      <c r="AM243" s="69" t="str">
        <f t="shared" si="7"/>
        <v/>
      </c>
      <c r="AN243" s="71"/>
      <c r="AO243" s="71"/>
      <c r="AP243" s="71"/>
      <c r="AQ243" s="71"/>
      <c r="AR243" s="71" t="s">
        <v>96</v>
      </c>
      <c r="AS243" s="71"/>
      <c r="AT243" s="71" t="s">
        <v>96</v>
      </c>
      <c r="AU243" s="71"/>
      <c r="AV243" s="71" t="s">
        <v>95</v>
      </c>
      <c r="AW243" s="71"/>
      <c r="AX243" s="71"/>
      <c r="AY243" s="71"/>
      <c r="AZ243" s="71"/>
      <c r="BA243" s="71"/>
      <c r="BB243" s="70" t="s">
        <v>218</v>
      </c>
      <c r="BC243" s="70" t="s">
        <v>98</v>
      </c>
      <c r="BD243" s="72" t="str">
        <f>IF('Cálculo MP'!K253="","",'Cálculo MP'!K253)</f>
        <v/>
      </c>
      <c r="BE243" s="72" t="str">
        <f>IF('Cálculo MP'!L253="","",'Cálculo MP'!L253)</f>
        <v/>
      </c>
      <c r="BF243" s="72" t="str">
        <f>IF('Cálculo MP'!M253="","",'Cálculo MP'!M253)</f>
        <v/>
      </c>
      <c r="BG243" s="72" t="str">
        <f>IF('Cálculo MP'!N253="","",'Cálculo MP'!N253)</f>
        <v/>
      </c>
      <c r="BH243" s="72" t="str">
        <f>IF('Cálculo MP'!O253="","",'Cálculo MP'!O253)</f>
        <v/>
      </c>
      <c r="BI243" s="72" t="str">
        <f>IF('Cálculo MP'!P253="","",'Cálculo MP'!P253)</f>
        <v/>
      </c>
      <c r="BJ243" s="72" t="str">
        <f>IF('Cálculo MP'!Q253="","",'Cálculo MP'!Q253)</f>
        <v/>
      </c>
      <c r="BK243" s="72" t="str">
        <f>IF('Cálculo MP'!R253="","",'Cálculo MP'!R253)</f>
        <v/>
      </c>
      <c r="BL243" s="72" t="str">
        <f>IF('Cálculo MP'!S253="","",'Cálculo MP'!S253)</f>
        <v/>
      </c>
      <c r="BM243" s="71"/>
      <c r="BN243" s="71"/>
      <c r="BO243" s="71"/>
      <c r="BP243" s="71"/>
      <c r="BQ243" s="71"/>
      <c r="BR243" s="71"/>
      <c r="BS243" s="71"/>
    </row>
    <row r="244" spans="1:71" ht="19.5" customHeight="1" x14ac:dyDescent="0.15">
      <c r="A244" s="56" t="s">
        <v>985</v>
      </c>
      <c r="B244" s="57" t="s">
        <v>986</v>
      </c>
      <c r="C244" s="58" t="s">
        <v>985</v>
      </c>
      <c r="D244" s="59" t="s">
        <v>985</v>
      </c>
      <c r="E244" s="61"/>
      <c r="F244" s="60" t="s">
        <v>95</v>
      </c>
      <c r="G244" s="61"/>
      <c r="H244" s="62"/>
      <c r="I244" s="75"/>
      <c r="J244" s="60" t="s">
        <v>95</v>
      </c>
      <c r="K244" s="64"/>
      <c r="L244" s="64"/>
      <c r="M244" s="64" t="s">
        <v>96</v>
      </c>
      <c r="N244" s="64" t="s">
        <v>97</v>
      </c>
      <c r="O244" s="65" t="s">
        <v>986</v>
      </c>
      <c r="P244" s="70" t="s">
        <v>96</v>
      </c>
      <c r="Q244" s="60" t="s">
        <v>95</v>
      </c>
      <c r="R244" s="60" t="s">
        <v>96</v>
      </c>
      <c r="S244" s="66" t="s">
        <v>96</v>
      </c>
      <c r="T244" s="67" t="s">
        <v>96</v>
      </c>
      <c r="U244" s="60" t="s">
        <v>96</v>
      </c>
      <c r="V244" s="60" t="s">
        <v>96</v>
      </c>
      <c r="W244" s="60" t="str" cm="1">
        <f t="array" ref="W244">_xlfn.LET(_xlpm.resultados,_xlfn.UNIQUE(_xlfn._xlws.FILTER(Tabla1[Proceso],(Tabla1[Metal Base]=Q244)*(Tabla1[Etiquetas]=_xlfn.TEXTJOIN(" + ",TRUE,IF((TRIM(Upload!R244:V244)="")+(LOWER(TRIM(Upload!R244:V244))="(seleccione)"),"",PROPER(TRIM(Upload!R244:V244)))))*(Tabla1[Línea2]=IFERROR(VLOOKUP(Upload!P244&amp;"*",CAT_Procesos!D:D,1,FALSE),"")))),_xlpm.cantidad,ROWS(_xlpm.resultados),IF(ISERROR(_xlpm.cantidad),"Combinación no existente",IF(_xlpm.cantidad=1,INDEX(_xlpm.resultados,1),"(seleccione)")))</f>
        <v>Combinación no existente</v>
      </c>
      <c r="X244" s="67" t="s">
        <v>96</v>
      </c>
      <c r="Y244" s="64"/>
      <c r="Z244" s="64"/>
      <c r="AA244" s="64"/>
      <c r="AB244" s="133" t="s">
        <v>96</v>
      </c>
      <c r="AC244" s="64"/>
      <c r="AD244" s="64"/>
      <c r="AE244" s="64"/>
      <c r="AF244" s="60" t="s">
        <v>96</v>
      </c>
      <c r="AG244" s="64"/>
      <c r="AH244" s="64"/>
      <c r="AI244" s="64"/>
      <c r="AJ244" s="68" t="s">
        <v>96</v>
      </c>
      <c r="AK244" s="69" t="str">
        <f t="shared" si="6"/>
        <v/>
      </c>
      <c r="AL244" s="70" t="s">
        <v>96</v>
      </c>
      <c r="AM244" s="69" t="str">
        <f t="shared" si="7"/>
        <v/>
      </c>
      <c r="AN244" s="71"/>
      <c r="AO244" s="71"/>
      <c r="AP244" s="71"/>
      <c r="AQ244" s="71"/>
      <c r="AR244" s="71" t="s">
        <v>96</v>
      </c>
      <c r="AS244" s="71"/>
      <c r="AT244" s="71" t="s">
        <v>96</v>
      </c>
      <c r="AU244" s="71"/>
      <c r="AV244" s="71" t="s">
        <v>95</v>
      </c>
      <c r="AW244" s="71"/>
      <c r="AX244" s="71"/>
      <c r="AY244" s="71"/>
      <c r="AZ244" s="71"/>
      <c r="BA244" s="71"/>
      <c r="BB244" s="70" t="s">
        <v>218</v>
      </c>
      <c r="BC244" s="70" t="s">
        <v>98</v>
      </c>
      <c r="BD244" s="72" t="str">
        <f>IF('Cálculo MP'!K254="","",'Cálculo MP'!K254)</f>
        <v/>
      </c>
      <c r="BE244" s="72" t="str">
        <f>IF('Cálculo MP'!L254="","",'Cálculo MP'!L254)</f>
        <v/>
      </c>
      <c r="BF244" s="72" t="str">
        <f>IF('Cálculo MP'!M254="","",'Cálculo MP'!M254)</f>
        <v/>
      </c>
      <c r="BG244" s="72" t="str">
        <f>IF('Cálculo MP'!N254="","",'Cálculo MP'!N254)</f>
        <v/>
      </c>
      <c r="BH244" s="72" t="str">
        <f>IF('Cálculo MP'!O254="","",'Cálculo MP'!O254)</f>
        <v/>
      </c>
      <c r="BI244" s="72" t="str">
        <f>IF('Cálculo MP'!P254="","",'Cálculo MP'!P254)</f>
        <v/>
      </c>
      <c r="BJ244" s="72" t="str">
        <f>IF('Cálculo MP'!Q254="","",'Cálculo MP'!Q254)</f>
        <v/>
      </c>
      <c r="BK244" s="72" t="str">
        <f>IF('Cálculo MP'!R254="","",'Cálculo MP'!R254)</f>
        <v/>
      </c>
      <c r="BL244" s="72" t="str">
        <f>IF('Cálculo MP'!S254="","",'Cálculo MP'!S254)</f>
        <v/>
      </c>
      <c r="BM244" s="71"/>
      <c r="BN244" s="71"/>
      <c r="BO244" s="71"/>
      <c r="BP244" s="71"/>
      <c r="BQ244" s="71"/>
      <c r="BR244" s="71"/>
      <c r="BS244" s="71"/>
    </row>
    <row r="245" spans="1:71" ht="19.5" customHeight="1" x14ac:dyDescent="0.15">
      <c r="A245" s="56" t="s">
        <v>985</v>
      </c>
      <c r="B245" s="57" t="s">
        <v>986</v>
      </c>
      <c r="C245" s="58" t="s">
        <v>985</v>
      </c>
      <c r="D245" s="59" t="s">
        <v>985</v>
      </c>
      <c r="E245" s="61"/>
      <c r="F245" s="60" t="s">
        <v>95</v>
      </c>
      <c r="G245" s="61"/>
      <c r="H245" s="62"/>
      <c r="I245" s="75"/>
      <c r="J245" s="60" t="s">
        <v>95</v>
      </c>
      <c r="K245" s="64"/>
      <c r="L245" s="64"/>
      <c r="M245" s="64" t="s">
        <v>96</v>
      </c>
      <c r="N245" s="64" t="s">
        <v>97</v>
      </c>
      <c r="O245" s="65" t="s">
        <v>986</v>
      </c>
      <c r="P245" s="70" t="s">
        <v>96</v>
      </c>
      <c r="Q245" s="60" t="s">
        <v>95</v>
      </c>
      <c r="R245" s="60" t="s">
        <v>96</v>
      </c>
      <c r="S245" s="66" t="s">
        <v>96</v>
      </c>
      <c r="T245" s="67" t="s">
        <v>96</v>
      </c>
      <c r="U245" s="60" t="s">
        <v>96</v>
      </c>
      <c r="V245" s="60" t="s">
        <v>96</v>
      </c>
      <c r="W245" s="60" t="str" cm="1">
        <f t="array" ref="W245">_xlfn.LET(_xlpm.resultados,_xlfn.UNIQUE(_xlfn._xlws.FILTER(Tabla1[Proceso],(Tabla1[Metal Base]=Q245)*(Tabla1[Etiquetas]=_xlfn.TEXTJOIN(" + ",TRUE,IF((TRIM(Upload!R245:V245)="")+(LOWER(TRIM(Upload!R245:V245))="(seleccione)"),"",PROPER(TRIM(Upload!R245:V245)))))*(Tabla1[Línea2]=IFERROR(VLOOKUP(Upload!P245&amp;"*",CAT_Procesos!D:D,1,FALSE),"")))),_xlpm.cantidad,ROWS(_xlpm.resultados),IF(ISERROR(_xlpm.cantidad),"Combinación no existente",IF(_xlpm.cantidad=1,INDEX(_xlpm.resultados,1),"(seleccione)")))</f>
        <v>Combinación no existente</v>
      </c>
      <c r="X245" s="67" t="s">
        <v>96</v>
      </c>
      <c r="Y245" s="64"/>
      <c r="Z245" s="64"/>
      <c r="AA245" s="64"/>
      <c r="AB245" s="133" t="s">
        <v>96</v>
      </c>
      <c r="AC245" s="64"/>
      <c r="AD245" s="64"/>
      <c r="AE245" s="64"/>
      <c r="AF245" s="60" t="s">
        <v>96</v>
      </c>
      <c r="AG245" s="64"/>
      <c r="AH245" s="64"/>
      <c r="AI245" s="64"/>
      <c r="AJ245" s="68" t="s">
        <v>96</v>
      </c>
      <c r="AK245" s="69" t="str">
        <f t="shared" si="6"/>
        <v/>
      </c>
      <c r="AL245" s="70" t="s">
        <v>96</v>
      </c>
      <c r="AM245" s="69" t="str">
        <f t="shared" si="7"/>
        <v/>
      </c>
      <c r="AN245" s="71"/>
      <c r="AO245" s="71"/>
      <c r="AP245" s="71"/>
      <c r="AQ245" s="71"/>
      <c r="AR245" s="71" t="s">
        <v>96</v>
      </c>
      <c r="AS245" s="71"/>
      <c r="AT245" s="71" t="s">
        <v>96</v>
      </c>
      <c r="AU245" s="71"/>
      <c r="AV245" s="71" t="s">
        <v>95</v>
      </c>
      <c r="AW245" s="71"/>
      <c r="AX245" s="71"/>
      <c r="AY245" s="71"/>
      <c r="AZ245" s="71"/>
      <c r="BA245" s="71"/>
      <c r="BB245" s="70" t="s">
        <v>218</v>
      </c>
      <c r="BC245" s="70" t="s">
        <v>98</v>
      </c>
      <c r="BD245" s="72" t="str">
        <f>IF('Cálculo MP'!K255="","",'Cálculo MP'!K255)</f>
        <v/>
      </c>
      <c r="BE245" s="72" t="str">
        <f>IF('Cálculo MP'!L255="","",'Cálculo MP'!L255)</f>
        <v/>
      </c>
      <c r="BF245" s="72" t="str">
        <f>IF('Cálculo MP'!M255="","",'Cálculo MP'!M255)</f>
        <v/>
      </c>
      <c r="BG245" s="72" t="str">
        <f>IF('Cálculo MP'!N255="","",'Cálculo MP'!N255)</f>
        <v/>
      </c>
      <c r="BH245" s="72" t="str">
        <f>IF('Cálculo MP'!O255="","",'Cálculo MP'!O255)</f>
        <v/>
      </c>
      <c r="BI245" s="72" t="str">
        <f>IF('Cálculo MP'!P255="","",'Cálculo MP'!P255)</f>
        <v/>
      </c>
      <c r="BJ245" s="72" t="str">
        <f>IF('Cálculo MP'!Q255="","",'Cálculo MP'!Q255)</f>
        <v/>
      </c>
      <c r="BK245" s="72" t="str">
        <f>IF('Cálculo MP'!R255="","",'Cálculo MP'!R255)</f>
        <v/>
      </c>
      <c r="BL245" s="72" t="str">
        <f>IF('Cálculo MP'!S255="","",'Cálculo MP'!S255)</f>
        <v/>
      </c>
      <c r="BM245" s="71"/>
      <c r="BN245" s="71"/>
      <c r="BO245" s="71"/>
      <c r="BP245" s="71"/>
      <c r="BQ245" s="71"/>
      <c r="BR245" s="71"/>
      <c r="BS245" s="71"/>
    </row>
    <row r="246" spans="1:71" ht="19.5" customHeight="1" x14ac:dyDescent="0.15">
      <c r="A246" s="56" t="s">
        <v>985</v>
      </c>
      <c r="B246" s="57" t="s">
        <v>986</v>
      </c>
      <c r="C246" s="58" t="s">
        <v>985</v>
      </c>
      <c r="D246" s="59" t="s">
        <v>985</v>
      </c>
      <c r="E246" s="61"/>
      <c r="F246" s="60" t="s">
        <v>95</v>
      </c>
      <c r="G246" s="61"/>
      <c r="H246" s="62"/>
      <c r="I246" s="75"/>
      <c r="J246" s="60" t="s">
        <v>95</v>
      </c>
      <c r="K246" s="64"/>
      <c r="L246" s="64"/>
      <c r="M246" s="64" t="s">
        <v>96</v>
      </c>
      <c r="N246" s="64" t="s">
        <v>97</v>
      </c>
      <c r="O246" s="65" t="s">
        <v>986</v>
      </c>
      <c r="P246" s="70" t="s">
        <v>96</v>
      </c>
      <c r="Q246" s="60" t="s">
        <v>95</v>
      </c>
      <c r="R246" s="60" t="s">
        <v>96</v>
      </c>
      <c r="S246" s="66" t="s">
        <v>96</v>
      </c>
      <c r="T246" s="67" t="s">
        <v>96</v>
      </c>
      <c r="U246" s="60" t="s">
        <v>96</v>
      </c>
      <c r="V246" s="60" t="s">
        <v>96</v>
      </c>
      <c r="W246" s="60" t="str" cm="1">
        <f t="array" ref="W246">_xlfn.LET(_xlpm.resultados,_xlfn.UNIQUE(_xlfn._xlws.FILTER(Tabla1[Proceso],(Tabla1[Metal Base]=Q246)*(Tabla1[Etiquetas]=_xlfn.TEXTJOIN(" + ",TRUE,IF((TRIM(Upload!R246:V246)="")+(LOWER(TRIM(Upload!R246:V246))="(seleccione)"),"",PROPER(TRIM(Upload!R246:V246)))))*(Tabla1[Línea2]=IFERROR(VLOOKUP(Upload!P246&amp;"*",CAT_Procesos!D:D,1,FALSE),"")))),_xlpm.cantidad,ROWS(_xlpm.resultados),IF(ISERROR(_xlpm.cantidad),"Combinación no existente",IF(_xlpm.cantidad=1,INDEX(_xlpm.resultados,1),"(seleccione)")))</f>
        <v>Combinación no existente</v>
      </c>
      <c r="X246" s="67" t="s">
        <v>96</v>
      </c>
      <c r="Y246" s="64"/>
      <c r="Z246" s="64"/>
      <c r="AA246" s="64"/>
      <c r="AB246" s="133" t="s">
        <v>96</v>
      </c>
      <c r="AC246" s="64"/>
      <c r="AD246" s="64"/>
      <c r="AE246" s="64"/>
      <c r="AF246" s="60" t="s">
        <v>96</v>
      </c>
      <c r="AG246" s="64"/>
      <c r="AH246" s="64"/>
      <c r="AI246" s="64"/>
      <c r="AJ246" s="68" t="s">
        <v>96</v>
      </c>
      <c r="AK246" s="69" t="str">
        <f t="shared" si="6"/>
        <v/>
      </c>
      <c r="AL246" s="70" t="s">
        <v>96</v>
      </c>
      <c r="AM246" s="69" t="str">
        <f t="shared" si="7"/>
        <v/>
      </c>
      <c r="AN246" s="71"/>
      <c r="AO246" s="71"/>
      <c r="AP246" s="71"/>
      <c r="AQ246" s="71"/>
      <c r="AR246" s="71" t="s">
        <v>96</v>
      </c>
      <c r="AS246" s="71"/>
      <c r="AT246" s="71" t="s">
        <v>96</v>
      </c>
      <c r="AU246" s="71"/>
      <c r="AV246" s="71" t="s">
        <v>95</v>
      </c>
      <c r="AW246" s="71"/>
      <c r="AX246" s="71"/>
      <c r="AY246" s="71"/>
      <c r="AZ246" s="71"/>
      <c r="BA246" s="71"/>
      <c r="BB246" s="70" t="s">
        <v>218</v>
      </c>
      <c r="BC246" s="70" t="s">
        <v>98</v>
      </c>
      <c r="BD246" s="72" t="str">
        <f>IF('Cálculo MP'!K256="","",'Cálculo MP'!K256)</f>
        <v/>
      </c>
      <c r="BE246" s="72" t="str">
        <f>IF('Cálculo MP'!L256="","",'Cálculo MP'!L256)</f>
        <v/>
      </c>
      <c r="BF246" s="72" t="str">
        <f>IF('Cálculo MP'!M256="","",'Cálculo MP'!M256)</f>
        <v/>
      </c>
      <c r="BG246" s="72" t="str">
        <f>IF('Cálculo MP'!N256="","",'Cálculo MP'!N256)</f>
        <v/>
      </c>
      <c r="BH246" s="72" t="str">
        <f>IF('Cálculo MP'!O256="","",'Cálculo MP'!O256)</f>
        <v/>
      </c>
      <c r="BI246" s="72" t="str">
        <f>IF('Cálculo MP'!P256="","",'Cálculo MP'!P256)</f>
        <v/>
      </c>
      <c r="BJ246" s="72" t="str">
        <f>IF('Cálculo MP'!Q256="","",'Cálculo MP'!Q256)</f>
        <v/>
      </c>
      <c r="BK246" s="72" t="str">
        <f>IF('Cálculo MP'!R256="","",'Cálculo MP'!R256)</f>
        <v/>
      </c>
      <c r="BL246" s="72" t="str">
        <f>IF('Cálculo MP'!S256="","",'Cálculo MP'!S256)</f>
        <v/>
      </c>
      <c r="BM246" s="71"/>
      <c r="BN246" s="71"/>
      <c r="BO246" s="71"/>
      <c r="BP246" s="71"/>
      <c r="BQ246" s="71"/>
      <c r="BR246" s="71"/>
      <c r="BS246" s="71"/>
    </row>
    <row r="247" spans="1:71" ht="19.5" customHeight="1" x14ac:dyDescent="0.15">
      <c r="A247" s="56" t="s">
        <v>985</v>
      </c>
      <c r="B247" s="57" t="s">
        <v>986</v>
      </c>
      <c r="C247" s="58" t="s">
        <v>985</v>
      </c>
      <c r="D247" s="59" t="s">
        <v>985</v>
      </c>
      <c r="E247" s="61"/>
      <c r="F247" s="60" t="s">
        <v>95</v>
      </c>
      <c r="G247" s="61"/>
      <c r="H247" s="62"/>
      <c r="I247" s="75"/>
      <c r="J247" s="60" t="s">
        <v>95</v>
      </c>
      <c r="K247" s="64"/>
      <c r="L247" s="64"/>
      <c r="M247" s="64" t="s">
        <v>96</v>
      </c>
      <c r="N247" s="64" t="s">
        <v>97</v>
      </c>
      <c r="O247" s="65" t="s">
        <v>986</v>
      </c>
      <c r="P247" s="70" t="s">
        <v>96</v>
      </c>
      <c r="Q247" s="60" t="s">
        <v>95</v>
      </c>
      <c r="R247" s="60" t="s">
        <v>96</v>
      </c>
      <c r="S247" s="66" t="s">
        <v>96</v>
      </c>
      <c r="T247" s="67" t="s">
        <v>96</v>
      </c>
      <c r="U247" s="60" t="s">
        <v>96</v>
      </c>
      <c r="V247" s="60" t="s">
        <v>96</v>
      </c>
      <c r="W247" s="60" t="str" cm="1">
        <f t="array" ref="W247">_xlfn.LET(_xlpm.resultados,_xlfn.UNIQUE(_xlfn._xlws.FILTER(Tabla1[Proceso],(Tabla1[Metal Base]=Q247)*(Tabla1[Etiquetas]=_xlfn.TEXTJOIN(" + ",TRUE,IF((TRIM(Upload!R247:V247)="")+(LOWER(TRIM(Upload!R247:V247))="(seleccione)"),"",PROPER(TRIM(Upload!R247:V247)))))*(Tabla1[Línea2]=IFERROR(VLOOKUP(Upload!P247&amp;"*",CAT_Procesos!D:D,1,FALSE),"")))),_xlpm.cantidad,ROWS(_xlpm.resultados),IF(ISERROR(_xlpm.cantidad),"Combinación no existente",IF(_xlpm.cantidad=1,INDEX(_xlpm.resultados,1),"(seleccione)")))</f>
        <v>Combinación no existente</v>
      </c>
      <c r="X247" s="67" t="s">
        <v>96</v>
      </c>
      <c r="Y247" s="64"/>
      <c r="Z247" s="64"/>
      <c r="AA247" s="64"/>
      <c r="AB247" s="133" t="s">
        <v>96</v>
      </c>
      <c r="AC247" s="64"/>
      <c r="AD247" s="64"/>
      <c r="AE247" s="64"/>
      <c r="AF247" s="60" t="s">
        <v>96</v>
      </c>
      <c r="AG247" s="64"/>
      <c r="AH247" s="64"/>
      <c r="AI247" s="64"/>
      <c r="AJ247" s="68" t="s">
        <v>96</v>
      </c>
      <c r="AK247" s="69" t="str">
        <f t="shared" si="6"/>
        <v/>
      </c>
      <c r="AL247" s="70" t="s">
        <v>96</v>
      </c>
      <c r="AM247" s="69" t="str">
        <f t="shared" si="7"/>
        <v/>
      </c>
      <c r="AN247" s="71"/>
      <c r="AO247" s="71"/>
      <c r="AP247" s="71"/>
      <c r="AQ247" s="71"/>
      <c r="AR247" s="71" t="s">
        <v>96</v>
      </c>
      <c r="AS247" s="71"/>
      <c r="AT247" s="71" t="s">
        <v>96</v>
      </c>
      <c r="AU247" s="71"/>
      <c r="AV247" s="71" t="s">
        <v>95</v>
      </c>
      <c r="AW247" s="71"/>
      <c r="AX247" s="71"/>
      <c r="AY247" s="71"/>
      <c r="AZ247" s="71"/>
      <c r="BA247" s="71"/>
      <c r="BB247" s="70" t="s">
        <v>218</v>
      </c>
      <c r="BC247" s="70" t="s">
        <v>98</v>
      </c>
      <c r="BD247" s="72" t="str">
        <f>IF('Cálculo MP'!K257="","",'Cálculo MP'!K257)</f>
        <v/>
      </c>
      <c r="BE247" s="72" t="str">
        <f>IF('Cálculo MP'!L257="","",'Cálculo MP'!L257)</f>
        <v/>
      </c>
      <c r="BF247" s="72" t="str">
        <f>IF('Cálculo MP'!M257="","",'Cálculo MP'!M257)</f>
        <v/>
      </c>
      <c r="BG247" s="72" t="str">
        <f>IF('Cálculo MP'!N257="","",'Cálculo MP'!N257)</f>
        <v/>
      </c>
      <c r="BH247" s="72" t="str">
        <f>IF('Cálculo MP'!O257="","",'Cálculo MP'!O257)</f>
        <v/>
      </c>
      <c r="BI247" s="72" t="str">
        <f>IF('Cálculo MP'!P257="","",'Cálculo MP'!P257)</f>
        <v/>
      </c>
      <c r="BJ247" s="72" t="str">
        <f>IF('Cálculo MP'!Q257="","",'Cálculo MP'!Q257)</f>
        <v/>
      </c>
      <c r="BK247" s="72" t="str">
        <f>IF('Cálculo MP'!R257="","",'Cálculo MP'!R257)</f>
        <v/>
      </c>
      <c r="BL247" s="72" t="str">
        <f>IF('Cálculo MP'!S257="","",'Cálculo MP'!S257)</f>
        <v/>
      </c>
      <c r="BM247" s="71"/>
      <c r="BN247" s="71"/>
      <c r="BO247" s="71"/>
      <c r="BP247" s="71"/>
      <c r="BQ247" s="71"/>
      <c r="BR247" s="71"/>
      <c r="BS247" s="71"/>
    </row>
    <row r="248" spans="1:71" ht="19.5" customHeight="1" x14ac:dyDescent="0.15">
      <c r="A248" s="56" t="s">
        <v>985</v>
      </c>
      <c r="B248" s="57" t="s">
        <v>986</v>
      </c>
      <c r="C248" s="58" t="s">
        <v>985</v>
      </c>
      <c r="D248" s="59" t="s">
        <v>985</v>
      </c>
      <c r="E248" s="61"/>
      <c r="F248" s="60" t="s">
        <v>95</v>
      </c>
      <c r="G248" s="61"/>
      <c r="H248" s="62"/>
      <c r="I248" s="75"/>
      <c r="J248" s="60" t="s">
        <v>95</v>
      </c>
      <c r="K248" s="64"/>
      <c r="L248" s="64"/>
      <c r="M248" s="64" t="s">
        <v>96</v>
      </c>
      <c r="N248" s="64" t="s">
        <v>97</v>
      </c>
      <c r="O248" s="65" t="s">
        <v>986</v>
      </c>
      <c r="P248" s="70" t="s">
        <v>96</v>
      </c>
      <c r="Q248" s="60" t="s">
        <v>95</v>
      </c>
      <c r="R248" s="60" t="s">
        <v>96</v>
      </c>
      <c r="S248" s="66" t="s">
        <v>96</v>
      </c>
      <c r="T248" s="67" t="s">
        <v>96</v>
      </c>
      <c r="U248" s="60" t="s">
        <v>96</v>
      </c>
      <c r="V248" s="60" t="s">
        <v>96</v>
      </c>
      <c r="W248" s="60" t="str" cm="1">
        <f t="array" ref="W248">_xlfn.LET(_xlpm.resultados,_xlfn.UNIQUE(_xlfn._xlws.FILTER(Tabla1[Proceso],(Tabla1[Metal Base]=Q248)*(Tabla1[Etiquetas]=_xlfn.TEXTJOIN(" + ",TRUE,IF((TRIM(Upload!R248:V248)="")+(LOWER(TRIM(Upload!R248:V248))="(seleccione)"),"",PROPER(TRIM(Upload!R248:V248)))))*(Tabla1[Línea2]=IFERROR(VLOOKUP(Upload!P248&amp;"*",CAT_Procesos!D:D,1,FALSE),"")))),_xlpm.cantidad,ROWS(_xlpm.resultados),IF(ISERROR(_xlpm.cantidad),"Combinación no existente",IF(_xlpm.cantidad=1,INDEX(_xlpm.resultados,1),"(seleccione)")))</f>
        <v>Combinación no existente</v>
      </c>
      <c r="X248" s="67" t="s">
        <v>96</v>
      </c>
      <c r="Y248" s="64"/>
      <c r="Z248" s="64"/>
      <c r="AA248" s="64"/>
      <c r="AB248" s="133" t="s">
        <v>96</v>
      </c>
      <c r="AC248" s="64"/>
      <c r="AD248" s="64"/>
      <c r="AE248" s="64"/>
      <c r="AF248" s="60" t="s">
        <v>96</v>
      </c>
      <c r="AG248" s="64"/>
      <c r="AH248" s="64"/>
      <c r="AI248" s="64"/>
      <c r="AJ248" s="68" t="s">
        <v>96</v>
      </c>
      <c r="AK248" s="69" t="str">
        <f t="shared" si="6"/>
        <v/>
      </c>
      <c r="AL248" s="70" t="s">
        <v>96</v>
      </c>
      <c r="AM248" s="69" t="str">
        <f t="shared" si="7"/>
        <v/>
      </c>
      <c r="AN248" s="71"/>
      <c r="AO248" s="71"/>
      <c r="AP248" s="71"/>
      <c r="AQ248" s="71"/>
      <c r="AR248" s="71" t="s">
        <v>96</v>
      </c>
      <c r="AS248" s="71"/>
      <c r="AT248" s="71" t="s">
        <v>96</v>
      </c>
      <c r="AU248" s="71"/>
      <c r="AV248" s="71" t="s">
        <v>95</v>
      </c>
      <c r="AW248" s="71"/>
      <c r="AX248" s="71"/>
      <c r="AY248" s="71"/>
      <c r="AZ248" s="71"/>
      <c r="BA248" s="71"/>
      <c r="BB248" s="70" t="s">
        <v>218</v>
      </c>
      <c r="BC248" s="70" t="s">
        <v>98</v>
      </c>
      <c r="BD248" s="72" t="str">
        <f>IF('Cálculo MP'!K258="","",'Cálculo MP'!K258)</f>
        <v/>
      </c>
      <c r="BE248" s="72" t="str">
        <f>IF('Cálculo MP'!L258="","",'Cálculo MP'!L258)</f>
        <v/>
      </c>
      <c r="BF248" s="72" t="str">
        <f>IF('Cálculo MP'!M258="","",'Cálculo MP'!M258)</f>
        <v/>
      </c>
      <c r="BG248" s="72" t="str">
        <f>IF('Cálculo MP'!N258="","",'Cálculo MP'!N258)</f>
        <v/>
      </c>
      <c r="BH248" s="72" t="str">
        <f>IF('Cálculo MP'!O258="","",'Cálculo MP'!O258)</f>
        <v/>
      </c>
      <c r="BI248" s="72" t="str">
        <f>IF('Cálculo MP'!P258="","",'Cálculo MP'!P258)</f>
        <v/>
      </c>
      <c r="BJ248" s="72" t="str">
        <f>IF('Cálculo MP'!Q258="","",'Cálculo MP'!Q258)</f>
        <v/>
      </c>
      <c r="BK248" s="72" t="str">
        <f>IF('Cálculo MP'!R258="","",'Cálculo MP'!R258)</f>
        <v/>
      </c>
      <c r="BL248" s="72" t="str">
        <f>IF('Cálculo MP'!S258="","",'Cálculo MP'!S258)</f>
        <v/>
      </c>
      <c r="BM248" s="71"/>
      <c r="BN248" s="71"/>
      <c r="BO248" s="71"/>
      <c r="BP248" s="71"/>
      <c r="BQ248" s="71"/>
      <c r="BR248" s="71"/>
      <c r="BS248" s="71"/>
    </row>
    <row r="249" spans="1:71" ht="19.5" customHeight="1" x14ac:dyDescent="0.15">
      <c r="A249" s="56" t="s">
        <v>985</v>
      </c>
      <c r="B249" s="57" t="s">
        <v>986</v>
      </c>
      <c r="C249" s="58" t="s">
        <v>985</v>
      </c>
      <c r="D249" s="59" t="s">
        <v>985</v>
      </c>
      <c r="E249" s="61"/>
      <c r="F249" s="60" t="s">
        <v>95</v>
      </c>
      <c r="G249" s="61"/>
      <c r="H249" s="62"/>
      <c r="I249" s="75"/>
      <c r="J249" s="60" t="s">
        <v>95</v>
      </c>
      <c r="K249" s="64"/>
      <c r="L249" s="64"/>
      <c r="M249" s="64" t="s">
        <v>96</v>
      </c>
      <c r="N249" s="64" t="s">
        <v>97</v>
      </c>
      <c r="O249" s="65" t="s">
        <v>986</v>
      </c>
      <c r="P249" s="70" t="s">
        <v>96</v>
      </c>
      <c r="Q249" s="60" t="s">
        <v>95</v>
      </c>
      <c r="R249" s="60" t="s">
        <v>96</v>
      </c>
      <c r="S249" s="66" t="s">
        <v>96</v>
      </c>
      <c r="T249" s="67" t="s">
        <v>96</v>
      </c>
      <c r="U249" s="60" t="s">
        <v>96</v>
      </c>
      <c r="V249" s="60" t="s">
        <v>96</v>
      </c>
      <c r="W249" s="60" t="str" cm="1">
        <f t="array" ref="W249">_xlfn.LET(_xlpm.resultados,_xlfn.UNIQUE(_xlfn._xlws.FILTER(Tabla1[Proceso],(Tabla1[Metal Base]=Q249)*(Tabla1[Etiquetas]=_xlfn.TEXTJOIN(" + ",TRUE,IF((TRIM(Upload!R249:V249)="")+(LOWER(TRIM(Upload!R249:V249))="(seleccione)"),"",PROPER(TRIM(Upload!R249:V249)))))*(Tabla1[Línea2]=IFERROR(VLOOKUP(Upload!P249&amp;"*",CAT_Procesos!D:D,1,FALSE),"")))),_xlpm.cantidad,ROWS(_xlpm.resultados),IF(ISERROR(_xlpm.cantidad),"Combinación no existente",IF(_xlpm.cantidad=1,INDEX(_xlpm.resultados,1),"(seleccione)")))</f>
        <v>Combinación no existente</v>
      </c>
      <c r="X249" s="67" t="s">
        <v>96</v>
      </c>
      <c r="Y249" s="64"/>
      <c r="Z249" s="64"/>
      <c r="AA249" s="64"/>
      <c r="AB249" s="133" t="s">
        <v>96</v>
      </c>
      <c r="AC249" s="64"/>
      <c r="AD249" s="64"/>
      <c r="AE249" s="64"/>
      <c r="AF249" s="60" t="s">
        <v>96</v>
      </c>
      <c r="AG249" s="64"/>
      <c r="AH249" s="64"/>
      <c r="AI249" s="64"/>
      <c r="AJ249" s="68" t="s">
        <v>96</v>
      </c>
      <c r="AK249" s="69" t="str">
        <f t="shared" si="6"/>
        <v/>
      </c>
      <c r="AL249" s="70" t="s">
        <v>96</v>
      </c>
      <c r="AM249" s="69" t="str">
        <f t="shared" si="7"/>
        <v/>
      </c>
      <c r="AN249" s="71"/>
      <c r="AO249" s="71"/>
      <c r="AP249" s="71"/>
      <c r="AQ249" s="71"/>
      <c r="AR249" s="71" t="s">
        <v>96</v>
      </c>
      <c r="AS249" s="71"/>
      <c r="AT249" s="71" t="s">
        <v>96</v>
      </c>
      <c r="AU249" s="71"/>
      <c r="AV249" s="71" t="s">
        <v>95</v>
      </c>
      <c r="AW249" s="71"/>
      <c r="AX249" s="71"/>
      <c r="AY249" s="71"/>
      <c r="AZ249" s="71"/>
      <c r="BA249" s="71"/>
      <c r="BB249" s="70" t="s">
        <v>218</v>
      </c>
      <c r="BC249" s="70" t="s">
        <v>98</v>
      </c>
      <c r="BD249" s="72" t="str">
        <f>IF('Cálculo MP'!K259="","",'Cálculo MP'!K259)</f>
        <v/>
      </c>
      <c r="BE249" s="72" t="str">
        <f>IF('Cálculo MP'!L259="","",'Cálculo MP'!L259)</f>
        <v/>
      </c>
      <c r="BF249" s="72" t="str">
        <f>IF('Cálculo MP'!M259="","",'Cálculo MP'!M259)</f>
        <v/>
      </c>
      <c r="BG249" s="72" t="str">
        <f>IF('Cálculo MP'!N259="","",'Cálculo MP'!N259)</f>
        <v/>
      </c>
      <c r="BH249" s="72" t="str">
        <f>IF('Cálculo MP'!O259="","",'Cálculo MP'!O259)</f>
        <v/>
      </c>
      <c r="BI249" s="72" t="str">
        <f>IF('Cálculo MP'!P259="","",'Cálculo MP'!P259)</f>
        <v/>
      </c>
      <c r="BJ249" s="72" t="str">
        <f>IF('Cálculo MP'!Q259="","",'Cálculo MP'!Q259)</f>
        <v/>
      </c>
      <c r="BK249" s="72" t="str">
        <f>IF('Cálculo MP'!R259="","",'Cálculo MP'!R259)</f>
        <v/>
      </c>
      <c r="BL249" s="72" t="str">
        <f>IF('Cálculo MP'!S259="","",'Cálculo MP'!S259)</f>
        <v/>
      </c>
      <c r="BM249" s="71"/>
      <c r="BN249" s="71"/>
      <c r="BO249" s="71"/>
      <c r="BP249" s="71"/>
      <c r="BQ249" s="71"/>
      <c r="BR249" s="71"/>
      <c r="BS249" s="71"/>
    </row>
    <row r="250" spans="1:71" ht="19.5" customHeight="1" x14ac:dyDescent="0.15">
      <c r="A250" s="56" t="s">
        <v>985</v>
      </c>
      <c r="B250" s="57" t="s">
        <v>986</v>
      </c>
      <c r="C250" s="58" t="s">
        <v>985</v>
      </c>
      <c r="D250" s="59" t="s">
        <v>985</v>
      </c>
      <c r="E250" s="61"/>
      <c r="F250" s="60" t="s">
        <v>95</v>
      </c>
      <c r="G250" s="61"/>
      <c r="H250" s="62"/>
      <c r="I250" s="75"/>
      <c r="J250" s="60" t="s">
        <v>95</v>
      </c>
      <c r="K250" s="64"/>
      <c r="L250" s="64"/>
      <c r="M250" s="64" t="s">
        <v>96</v>
      </c>
      <c r="N250" s="64" t="s">
        <v>97</v>
      </c>
      <c r="O250" s="65" t="s">
        <v>986</v>
      </c>
      <c r="P250" s="70" t="s">
        <v>96</v>
      </c>
      <c r="Q250" s="60" t="s">
        <v>95</v>
      </c>
      <c r="R250" s="60" t="s">
        <v>96</v>
      </c>
      <c r="S250" s="66" t="s">
        <v>96</v>
      </c>
      <c r="T250" s="67" t="s">
        <v>96</v>
      </c>
      <c r="U250" s="60" t="s">
        <v>96</v>
      </c>
      <c r="V250" s="60" t="s">
        <v>96</v>
      </c>
      <c r="W250" s="60" t="str" cm="1">
        <f t="array" ref="W250">_xlfn.LET(_xlpm.resultados,_xlfn.UNIQUE(_xlfn._xlws.FILTER(Tabla1[Proceso],(Tabla1[Metal Base]=Q250)*(Tabla1[Etiquetas]=_xlfn.TEXTJOIN(" + ",TRUE,IF((TRIM(Upload!R250:V250)="")+(LOWER(TRIM(Upload!R250:V250))="(seleccione)"),"",PROPER(TRIM(Upload!R250:V250)))))*(Tabla1[Línea2]=IFERROR(VLOOKUP(Upload!P250&amp;"*",CAT_Procesos!D:D,1,FALSE),"")))),_xlpm.cantidad,ROWS(_xlpm.resultados),IF(ISERROR(_xlpm.cantidad),"Combinación no existente",IF(_xlpm.cantidad=1,INDEX(_xlpm.resultados,1),"(seleccione)")))</f>
        <v>Combinación no existente</v>
      </c>
      <c r="X250" s="67" t="s">
        <v>96</v>
      </c>
      <c r="Y250" s="64"/>
      <c r="Z250" s="64"/>
      <c r="AA250" s="64"/>
      <c r="AB250" s="133" t="s">
        <v>96</v>
      </c>
      <c r="AC250" s="64"/>
      <c r="AD250" s="64"/>
      <c r="AE250" s="64"/>
      <c r="AF250" s="60" t="s">
        <v>96</v>
      </c>
      <c r="AG250" s="64"/>
      <c r="AH250" s="64"/>
      <c r="AI250" s="64"/>
      <c r="AJ250" s="68" t="s">
        <v>96</v>
      </c>
      <c r="AK250" s="69" t="str">
        <f t="shared" si="6"/>
        <v/>
      </c>
      <c r="AL250" s="70" t="s">
        <v>96</v>
      </c>
      <c r="AM250" s="69" t="str">
        <f t="shared" si="7"/>
        <v/>
      </c>
      <c r="AN250" s="71"/>
      <c r="AO250" s="71"/>
      <c r="AP250" s="71"/>
      <c r="AQ250" s="71"/>
      <c r="AR250" s="71" t="s">
        <v>96</v>
      </c>
      <c r="AS250" s="71"/>
      <c r="AT250" s="71" t="s">
        <v>96</v>
      </c>
      <c r="AU250" s="71"/>
      <c r="AV250" s="71" t="s">
        <v>95</v>
      </c>
      <c r="AW250" s="71"/>
      <c r="AX250" s="71"/>
      <c r="AY250" s="71"/>
      <c r="AZ250" s="71"/>
      <c r="BA250" s="71"/>
      <c r="BB250" s="70" t="s">
        <v>218</v>
      </c>
      <c r="BC250" s="70" t="s">
        <v>98</v>
      </c>
      <c r="BD250" s="72" t="str">
        <f>IF('Cálculo MP'!K260="","",'Cálculo MP'!K260)</f>
        <v/>
      </c>
      <c r="BE250" s="72" t="str">
        <f>IF('Cálculo MP'!L260="","",'Cálculo MP'!L260)</f>
        <v/>
      </c>
      <c r="BF250" s="72" t="str">
        <f>IF('Cálculo MP'!M260="","",'Cálculo MP'!M260)</f>
        <v/>
      </c>
      <c r="BG250" s="72" t="str">
        <f>IF('Cálculo MP'!N260="","",'Cálculo MP'!N260)</f>
        <v/>
      </c>
      <c r="BH250" s="72" t="str">
        <f>IF('Cálculo MP'!O260="","",'Cálculo MP'!O260)</f>
        <v/>
      </c>
      <c r="BI250" s="72" t="str">
        <f>IF('Cálculo MP'!P260="","",'Cálculo MP'!P260)</f>
        <v/>
      </c>
      <c r="BJ250" s="72" t="str">
        <f>IF('Cálculo MP'!Q260="","",'Cálculo MP'!Q260)</f>
        <v/>
      </c>
      <c r="BK250" s="72" t="str">
        <f>IF('Cálculo MP'!R260="","",'Cálculo MP'!R260)</f>
        <v/>
      </c>
      <c r="BL250" s="72" t="str">
        <f>IF('Cálculo MP'!S260="","",'Cálculo MP'!S260)</f>
        <v/>
      </c>
      <c r="BM250" s="71"/>
      <c r="BN250" s="71"/>
      <c r="BO250" s="71"/>
      <c r="BP250" s="71"/>
      <c r="BQ250" s="71"/>
      <c r="BR250" s="71"/>
      <c r="BS250" s="71"/>
    </row>
    <row r="251" spans="1:71" ht="19.5" customHeight="1" x14ac:dyDescent="0.15">
      <c r="A251" s="56" t="s">
        <v>985</v>
      </c>
      <c r="B251" s="57" t="s">
        <v>986</v>
      </c>
      <c r="C251" s="58" t="s">
        <v>985</v>
      </c>
      <c r="D251" s="59" t="s">
        <v>985</v>
      </c>
      <c r="E251" s="61"/>
      <c r="F251" s="60" t="s">
        <v>95</v>
      </c>
      <c r="G251" s="61"/>
      <c r="H251" s="62"/>
      <c r="I251" s="75"/>
      <c r="J251" s="60" t="s">
        <v>95</v>
      </c>
      <c r="K251" s="64"/>
      <c r="L251" s="64"/>
      <c r="M251" s="64" t="s">
        <v>96</v>
      </c>
      <c r="N251" s="64" t="s">
        <v>97</v>
      </c>
      <c r="O251" s="65" t="s">
        <v>986</v>
      </c>
      <c r="P251" s="70" t="s">
        <v>96</v>
      </c>
      <c r="Q251" s="60" t="s">
        <v>95</v>
      </c>
      <c r="R251" s="60" t="s">
        <v>96</v>
      </c>
      <c r="S251" s="66" t="s">
        <v>96</v>
      </c>
      <c r="T251" s="67" t="s">
        <v>96</v>
      </c>
      <c r="U251" s="60" t="s">
        <v>96</v>
      </c>
      <c r="V251" s="60" t="s">
        <v>96</v>
      </c>
      <c r="W251" s="60" t="str" cm="1">
        <f t="array" ref="W251">_xlfn.LET(_xlpm.resultados,_xlfn.UNIQUE(_xlfn._xlws.FILTER(Tabla1[Proceso],(Tabla1[Metal Base]=Q251)*(Tabla1[Etiquetas]=_xlfn.TEXTJOIN(" + ",TRUE,IF((TRIM(Upload!R251:V251)="")+(LOWER(TRIM(Upload!R251:V251))="(seleccione)"),"",PROPER(TRIM(Upload!R251:V251)))))*(Tabla1[Línea2]=IFERROR(VLOOKUP(Upload!P251&amp;"*",CAT_Procesos!D:D,1,FALSE),"")))),_xlpm.cantidad,ROWS(_xlpm.resultados),IF(ISERROR(_xlpm.cantidad),"Combinación no existente",IF(_xlpm.cantidad=1,INDEX(_xlpm.resultados,1),"(seleccione)")))</f>
        <v>Combinación no existente</v>
      </c>
      <c r="X251" s="67" t="s">
        <v>96</v>
      </c>
      <c r="Y251" s="64"/>
      <c r="Z251" s="64"/>
      <c r="AA251" s="64"/>
      <c r="AB251" s="133" t="s">
        <v>96</v>
      </c>
      <c r="AC251" s="64"/>
      <c r="AD251" s="64"/>
      <c r="AE251" s="64"/>
      <c r="AF251" s="60" t="s">
        <v>96</v>
      </c>
      <c r="AG251" s="64"/>
      <c r="AH251" s="64"/>
      <c r="AI251" s="64"/>
      <c r="AJ251" s="68" t="s">
        <v>96</v>
      </c>
      <c r="AK251" s="69" t="str">
        <f t="shared" si="6"/>
        <v/>
      </c>
      <c r="AL251" s="70" t="s">
        <v>96</v>
      </c>
      <c r="AM251" s="69" t="str">
        <f t="shared" si="7"/>
        <v/>
      </c>
      <c r="AN251" s="71"/>
      <c r="AO251" s="71"/>
      <c r="AP251" s="71"/>
      <c r="AQ251" s="71"/>
      <c r="AR251" s="71" t="s">
        <v>96</v>
      </c>
      <c r="AS251" s="71"/>
      <c r="AT251" s="71" t="s">
        <v>96</v>
      </c>
      <c r="AU251" s="71"/>
      <c r="AV251" s="71" t="s">
        <v>95</v>
      </c>
      <c r="AW251" s="71"/>
      <c r="AX251" s="71"/>
      <c r="AY251" s="71"/>
      <c r="AZ251" s="71"/>
      <c r="BA251" s="71"/>
      <c r="BB251" s="70" t="s">
        <v>218</v>
      </c>
      <c r="BC251" s="70" t="s">
        <v>98</v>
      </c>
      <c r="BD251" s="72" t="str">
        <f>IF('Cálculo MP'!K261="","",'Cálculo MP'!K261)</f>
        <v/>
      </c>
      <c r="BE251" s="72" t="str">
        <f>IF('Cálculo MP'!L261="","",'Cálculo MP'!L261)</f>
        <v/>
      </c>
      <c r="BF251" s="72" t="str">
        <f>IF('Cálculo MP'!M261="","",'Cálculo MP'!M261)</f>
        <v/>
      </c>
      <c r="BG251" s="72" t="str">
        <f>IF('Cálculo MP'!N261="","",'Cálculo MP'!N261)</f>
        <v/>
      </c>
      <c r="BH251" s="72" t="str">
        <f>IF('Cálculo MP'!O261="","",'Cálculo MP'!O261)</f>
        <v/>
      </c>
      <c r="BI251" s="72" t="str">
        <f>IF('Cálculo MP'!P261="","",'Cálculo MP'!P261)</f>
        <v/>
      </c>
      <c r="BJ251" s="72" t="str">
        <f>IF('Cálculo MP'!Q261="","",'Cálculo MP'!Q261)</f>
        <v/>
      </c>
      <c r="BK251" s="72" t="str">
        <f>IF('Cálculo MP'!R261="","",'Cálculo MP'!R261)</f>
        <v/>
      </c>
      <c r="BL251" s="72" t="str">
        <f>IF('Cálculo MP'!S261="","",'Cálculo MP'!S261)</f>
        <v/>
      </c>
      <c r="BM251" s="71"/>
      <c r="BN251" s="71"/>
      <c r="BO251" s="71"/>
      <c r="BP251" s="71"/>
      <c r="BQ251" s="71"/>
      <c r="BR251" s="71"/>
      <c r="BS251" s="71"/>
    </row>
    <row r="252" spans="1:71" ht="19.5" customHeight="1" x14ac:dyDescent="0.15">
      <c r="A252" s="56" t="s">
        <v>985</v>
      </c>
      <c r="B252" s="57" t="s">
        <v>986</v>
      </c>
      <c r="C252" s="58" t="s">
        <v>985</v>
      </c>
      <c r="D252" s="59" t="s">
        <v>985</v>
      </c>
      <c r="E252" s="61"/>
      <c r="F252" s="60" t="s">
        <v>95</v>
      </c>
      <c r="G252" s="61"/>
      <c r="H252" s="62"/>
      <c r="I252" s="75"/>
      <c r="J252" s="60" t="s">
        <v>95</v>
      </c>
      <c r="K252" s="64"/>
      <c r="L252" s="64"/>
      <c r="M252" s="64" t="s">
        <v>96</v>
      </c>
      <c r="N252" s="64" t="s">
        <v>97</v>
      </c>
      <c r="O252" s="65" t="s">
        <v>986</v>
      </c>
      <c r="P252" s="70" t="s">
        <v>96</v>
      </c>
      <c r="Q252" s="60" t="s">
        <v>95</v>
      </c>
      <c r="R252" s="60" t="s">
        <v>96</v>
      </c>
      <c r="S252" s="66" t="s">
        <v>96</v>
      </c>
      <c r="T252" s="67" t="s">
        <v>96</v>
      </c>
      <c r="U252" s="60" t="s">
        <v>96</v>
      </c>
      <c r="V252" s="60" t="s">
        <v>96</v>
      </c>
      <c r="W252" s="60" t="str" cm="1">
        <f t="array" ref="W252">_xlfn.LET(_xlpm.resultados,_xlfn.UNIQUE(_xlfn._xlws.FILTER(Tabla1[Proceso],(Tabla1[Metal Base]=Q252)*(Tabla1[Etiquetas]=_xlfn.TEXTJOIN(" + ",TRUE,IF((TRIM(Upload!R252:V252)="")+(LOWER(TRIM(Upload!R252:V252))="(seleccione)"),"",PROPER(TRIM(Upload!R252:V252)))))*(Tabla1[Línea2]=IFERROR(VLOOKUP(Upload!P252&amp;"*",CAT_Procesos!D:D,1,FALSE),"")))),_xlpm.cantidad,ROWS(_xlpm.resultados),IF(ISERROR(_xlpm.cantidad),"Combinación no existente",IF(_xlpm.cantidad=1,INDEX(_xlpm.resultados,1),"(seleccione)")))</f>
        <v>Combinación no existente</v>
      </c>
      <c r="X252" s="67" t="s">
        <v>96</v>
      </c>
      <c r="Y252" s="64"/>
      <c r="Z252" s="64"/>
      <c r="AA252" s="64"/>
      <c r="AB252" s="133" t="s">
        <v>96</v>
      </c>
      <c r="AC252" s="64"/>
      <c r="AD252" s="64"/>
      <c r="AE252" s="64"/>
      <c r="AF252" s="60" t="s">
        <v>96</v>
      </c>
      <c r="AG252" s="64"/>
      <c r="AH252" s="64"/>
      <c r="AI252" s="64"/>
      <c r="AJ252" s="68" t="s">
        <v>96</v>
      </c>
      <c r="AK252" s="69" t="str">
        <f t="shared" si="6"/>
        <v/>
      </c>
      <c r="AL252" s="70" t="s">
        <v>96</v>
      </c>
      <c r="AM252" s="69" t="str">
        <f t="shared" si="7"/>
        <v/>
      </c>
      <c r="AN252" s="71"/>
      <c r="AO252" s="71"/>
      <c r="AP252" s="71"/>
      <c r="AQ252" s="71"/>
      <c r="AR252" s="71" t="s">
        <v>96</v>
      </c>
      <c r="AS252" s="71"/>
      <c r="AT252" s="71" t="s">
        <v>96</v>
      </c>
      <c r="AU252" s="71"/>
      <c r="AV252" s="71" t="s">
        <v>95</v>
      </c>
      <c r="AW252" s="71"/>
      <c r="AX252" s="71"/>
      <c r="AY252" s="71"/>
      <c r="AZ252" s="71"/>
      <c r="BA252" s="71"/>
      <c r="BB252" s="70" t="s">
        <v>218</v>
      </c>
      <c r="BC252" s="70" t="s">
        <v>98</v>
      </c>
      <c r="BD252" s="72" t="str">
        <f>IF('Cálculo MP'!K262="","",'Cálculo MP'!K262)</f>
        <v/>
      </c>
      <c r="BE252" s="72" t="str">
        <f>IF('Cálculo MP'!L262="","",'Cálculo MP'!L262)</f>
        <v/>
      </c>
      <c r="BF252" s="72" t="str">
        <f>IF('Cálculo MP'!M262="","",'Cálculo MP'!M262)</f>
        <v/>
      </c>
      <c r="BG252" s="72" t="str">
        <f>IF('Cálculo MP'!N262="","",'Cálculo MP'!N262)</f>
        <v/>
      </c>
      <c r="BH252" s="72" t="str">
        <f>IF('Cálculo MP'!O262="","",'Cálculo MP'!O262)</f>
        <v/>
      </c>
      <c r="BI252" s="72" t="str">
        <f>IF('Cálculo MP'!P262="","",'Cálculo MP'!P262)</f>
        <v/>
      </c>
      <c r="BJ252" s="72" t="str">
        <f>IF('Cálculo MP'!Q262="","",'Cálculo MP'!Q262)</f>
        <v/>
      </c>
      <c r="BK252" s="72" t="str">
        <f>IF('Cálculo MP'!R262="","",'Cálculo MP'!R262)</f>
        <v/>
      </c>
      <c r="BL252" s="72" t="str">
        <f>IF('Cálculo MP'!S262="","",'Cálculo MP'!S262)</f>
        <v/>
      </c>
      <c r="BM252" s="71"/>
      <c r="BN252" s="71"/>
      <c r="BO252" s="71"/>
      <c r="BP252" s="71"/>
      <c r="BQ252" s="71"/>
      <c r="BR252" s="71"/>
      <c r="BS252" s="71"/>
    </row>
    <row r="253" spans="1:71" ht="19.5" customHeight="1" x14ac:dyDescent="0.15">
      <c r="A253" s="56" t="s">
        <v>985</v>
      </c>
      <c r="B253" s="57" t="s">
        <v>986</v>
      </c>
      <c r="C253" s="58" t="s">
        <v>985</v>
      </c>
      <c r="D253" s="59" t="s">
        <v>985</v>
      </c>
      <c r="E253" s="61"/>
      <c r="F253" s="60" t="s">
        <v>95</v>
      </c>
      <c r="G253" s="61"/>
      <c r="H253" s="62"/>
      <c r="I253" s="75"/>
      <c r="J253" s="60" t="s">
        <v>95</v>
      </c>
      <c r="K253" s="64"/>
      <c r="L253" s="64"/>
      <c r="M253" s="64" t="s">
        <v>96</v>
      </c>
      <c r="N253" s="64" t="s">
        <v>97</v>
      </c>
      <c r="O253" s="65" t="s">
        <v>986</v>
      </c>
      <c r="P253" s="70" t="s">
        <v>96</v>
      </c>
      <c r="Q253" s="60" t="s">
        <v>95</v>
      </c>
      <c r="R253" s="60" t="s">
        <v>96</v>
      </c>
      <c r="S253" s="66" t="s">
        <v>96</v>
      </c>
      <c r="T253" s="67" t="s">
        <v>96</v>
      </c>
      <c r="U253" s="60" t="s">
        <v>96</v>
      </c>
      <c r="V253" s="60" t="s">
        <v>96</v>
      </c>
      <c r="W253" s="60" t="str" cm="1">
        <f t="array" ref="W253">_xlfn.LET(_xlpm.resultados,_xlfn.UNIQUE(_xlfn._xlws.FILTER(Tabla1[Proceso],(Tabla1[Metal Base]=Q253)*(Tabla1[Etiquetas]=_xlfn.TEXTJOIN(" + ",TRUE,IF((TRIM(Upload!R253:V253)="")+(LOWER(TRIM(Upload!R253:V253))="(seleccione)"),"",PROPER(TRIM(Upload!R253:V253)))))*(Tabla1[Línea2]=IFERROR(VLOOKUP(Upload!P253&amp;"*",CAT_Procesos!D:D,1,FALSE),"")))),_xlpm.cantidad,ROWS(_xlpm.resultados),IF(ISERROR(_xlpm.cantidad),"Combinación no existente",IF(_xlpm.cantidad=1,INDEX(_xlpm.resultados,1),"(seleccione)")))</f>
        <v>Combinación no existente</v>
      </c>
      <c r="X253" s="67" t="s">
        <v>96</v>
      </c>
      <c r="Y253" s="64"/>
      <c r="Z253" s="64"/>
      <c r="AA253" s="64"/>
      <c r="AB253" s="133" t="s">
        <v>96</v>
      </c>
      <c r="AC253" s="64"/>
      <c r="AD253" s="64"/>
      <c r="AE253" s="64"/>
      <c r="AF253" s="60" t="s">
        <v>96</v>
      </c>
      <c r="AG253" s="64"/>
      <c r="AH253" s="64"/>
      <c r="AI253" s="64"/>
      <c r="AJ253" s="68" t="s">
        <v>96</v>
      </c>
      <c r="AK253" s="69" t="str">
        <f t="shared" si="6"/>
        <v/>
      </c>
      <c r="AL253" s="70" t="s">
        <v>96</v>
      </c>
      <c r="AM253" s="69" t="str">
        <f t="shared" si="7"/>
        <v/>
      </c>
      <c r="AN253" s="71"/>
      <c r="AO253" s="71"/>
      <c r="AP253" s="71"/>
      <c r="AQ253" s="71"/>
      <c r="AR253" s="71" t="s">
        <v>96</v>
      </c>
      <c r="AS253" s="71"/>
      <c r="AT253" s="71" t="s">
        <v>96</v>
      </c>
      <c r="AU253" s="71"/>
      <c r="AV253" s="71" t="s">
        <v>95</v>
      </c>
      <c r="AW253" s="71"/>
      <c r="AX253" s="71"/>
      <c r="AY253" s="71"/>
      <c r="AZ253" s="71"/>
      <c r="BA253" s="71"/>
      <c r="BB253" s="70" t="s">
        <v>218</v>
      </c>
      <c r="BC253" s="70" t="s">
        <v>98</v>
      </c>
      <c r="BD253" s="72" t="str">
        <f>IF('Cálculo MP'!K263="","",'Cálculo MP'!K263)</f>
        <v/>
      </c>
      <c r="BE253" s="72" t="str">
        <f>IF('Cálculo MP'!L263="","",'Cálculo MP'!L263)</f>
        <v/>
      </c>
      <c r="BF253" s="72" t="str">
        <f>IF('Cálculo MP'!M263="","",'Cálculo MP'!M263)</f>
        <v/>
      </c>
      <c r="BG253" s="72" t="str">
        <f>IF('Cálculo MP'!N263="","",'Cálculo MP'!N263)</f>
        <v/>
      </c>
      <c r="BH253" s="72" t="str">
        <f>IF('Cálculo MP'!O263="","",'Cálculo MP'!O263)</f>
        <v/>
      </c>
      <c r="BI253" s="72" t="str">
        <f>IF('Cálculo MP'!P263="","",'Cálculo MP'!P263)</f>
        <v/>
      </c>
      <c r="BJ253" s="72" t="str">
        <f>IF('Cálculo MP'!Q263="","",'Cálculo MP'!Q263)</f>
        <v/>
      </c>
      <c r="BK253" s="72" t="str">
        <f>IF('Cálculo MP'!R263="","",'Cálculo MP'!R263)</f>
        <v/>
      </c>
      <c r="BL253" s="72" t="str">
        <f>IF('Cálculo MP'!S263="","",'Cálculo MP'!S263)</f>
        <v/>
      </c>
      <c r="BM253" s="71"/>
      <c r="BN253" s="71"/>
      <c r="BO253" s="71"/>
      <c r="BP253" s="71"/>
      <c r="BQ253" s="71"/>
      <c r="BR253" s="71"/>
      <c r="BS253" s="71"/>
    </row>
    <row r="254" spans="1:71" ht="19.5" customHeight="1" x14ac:dyDescent="0.15">
      <c r="A254" s="56" t="s">
        <v>985</v>
      </c>
      <c r="B254" s="57" t="s">
        <v>986</v>
      </c>
      <c r="C254" s="58" t="s">
        <v>985</v>
      </c>
      <c r="D254" s="59" t="s">
        <v>985</v>
      </c>
      <c r="E254" s="61"/>
      <c r="F254" s="60" t="s">
        <v>95</v>
      </c>
      <c r="G254" s="61"/>
      <c r="H254" s="62"/>
      <c r="I254" s="75"/>
      <c r="J254" s="60" t="s">
        <v>95</v>
      </c>
      <c r="K254" s="64"/>
      <c r="L254" s="64"/>
      <c r="M254" s="64" t="s">
        <v>96</v>
      </c>
      <c r="N254" s="64" t="s">
        <v>97</v>
      </c>
      <c r="O254" s="65" t="s">
        <v>986</v>
      </c>
      <c r="P254" s="70" t="s">
        <v>96</v>
      </c>
      <c r="Q254" s="60" t="s">
        <v>95</v>
      </c>
      <c r="R254" s="60" t="s">
        <v>96</v>
      </c>
      <c r="S254" s="66" t="s">
        <v>96</v>
      </c>
      <c r="T254" s="67" t="s">
        <v>96</v>
      </c>
      <c r="U254" s="60" t="s">
        <v>96</v>
      </c>
      <c r="V254" s="60" t="s">
        <v>96</v>
      </c>
      <c r="W254" s="60" t="str" cm="1">
        <f t="array" ref="W254">_xlfn.LET(_xlpm.resultados,_xlfn.UNIQUE(_xlfn._xlws.FILTER(Tabla1[Proceso],(Tabla1[Metal Base]=Q254)*(Tabla1[Etiquetas]=_xlfn.TEXTJOIN(" + ",TRUE,IF((TRIM(Upload!R254:V254)="")+(LOWER(TRIM(Upload!R254:V254))="(seleccione)"),"",PROPER(TRIM(Upload!R254:V254)))))*(Tabla1[Línea2]=IFERROR(VLOOKUP(Upload!P254&amp;"*",CAT_Procesos!D:D,1,FALSE),"")))),_xlpm.cantidad,ROWS(_xlpm.resultados),IF(ISERROR(_xlpm.cantidad),"Combinación no existente",IF(_xlpm.cantidad=1,INDEX(_xlpm.resultados,1),"(seleccione)")))</f>
        <v>Combinación no existente</v>
      </c>
      <c r="X254" s="67" t="s">
        <v>96</v>
      </c>
      <c r="Y254" s="64"/>
      <c r="Z254" s="64"/>
      <c r="AA254" s="64"/>
      <c r="AB254" s="133" t="s">
        <v>96</v>
      </c>
      <c r="AC254" s="64"/>
      <c r="AD254" s="64"/>
      <c r="AE254" s="64"/>
      <c r="AF254" s="60" t="s">
        <v>96</v>
      </c>
      <c r="AG254" s="64"/>
      <c r="AH254" s="64"/>
      <c r="AI254" s="64"/>
      <c r="AJ254" s="68" t="s">
        <v>96</v>
      </c>
      <c r="AK254" s="69" t="str">
        <f t="shared" si="6"/>
        <v/>
      </c>
      <c r="AL254" s="70" t="s">
        <v>96</v>
      </c>
      <c r="AM254" s="69" t="str">
        <f t="shared" si="7"/>
        <v/>
      </c>
      <c r="AN254" s="71"/>
      <c r="AO254" s="71"/>
      <c r="AP254" s="71"/>
      <c r="AQ254" s="71"/>
      <c r="AR254" s="71" t="s">
        <v>96</v>
      </c>
      <c r="AS254" s="71"/>
      <c r="AT254" s="71" t="s">
        <v>96</v>
      </c>
      <c r="AU254" s="71"/>
      <c r="AV254" s="71" t="s">
        <v>95</v>
      </c>
      <c r="AW254" s="71"/>
      <c r="AX254" s="71"/>
      <c r="AY254" s="71"/>
      <c r="AZ254" s="71"/>
      <c r="BA254" s="71"/>
      <c r="BB254" s="70" t="s">
        <v>218</v>
      </c>
      <c r="BC254" s="70" t="s">
        <v>98</v>
      </c>
      <c r="BD254" s="72" t="str">
        <f>IF('Cálculo MP'!K264="","",'Cálculo MP'!K264)</f>
        <v/>
      </c>
      <c r="BE254" s="72" t="str">
        <f>IF('Cálculo MP'!L264="","",'Cálculo MP'!L264)</f>
        <v/>
      </c>
      <c r="BF254" s="72" t="str">
        <f>IF('Cálculo MP'!M264="","",'Cálculo MP'!M264)</f>
        <v/>
      </c>
      <c r="BG254" s="72" t="str">
        <f>IF('Cálculo MP'!N264="","",'Cálculo MP'!N264)</f>
        <v/>
      </c>
      <c r="BH254" s="72" t="str">
        <f>IF('Cálculo MP'!O264="","",'Cálculo MP'!O264)</f>
        <v/>
      </c>
      <c r="BI254" s="72" t="str">
        <f>IF('Cálculo MP'!P264="","",'Cálculo MP'!P264)</f>
        <v/>
      </c>
      <c r="BJ254" s="72" t="str">
        <f>IF('Cálculo MP'!Q264="","",'Cálculo MP'!Q264)</f>
        <v/>
      </c>
      <c r="BK254" s="72" t="str">
        <f>IF('Cálculo MP'!R264="","",'Cálculo MP'!R264)</f>
        <v/>
      </c>
      <c r="BL254" s="72" t="str">
        <f>IF('Cálculo MP'!S264="","",'Cálculo MP'!S264)</f>
        <v/>
      </c>
      <c r="BM254" s="71"/>
      <c r="BN254" s="71"/>
      <c r="BO254" s="71"/>
      <c r="BP254" s="71"/>
      <c r="BQ254" s="71"/>
      <c r="BR254" s="71"/>
      <c r="BS254" s="71"/>
    </row>
    <row r="255" spans="1:71" ht="19.5" customHeight="1" x14ac:dyDescent="0.15">
      <c r="A255" s="56" t="s">
        <v>985</v>
      </c>
      <c r="B255" s="57" t="s">
        <v>986</v>
      </c>
      <c r="C255" s="58" t="s">
        <v>985</v>
      </c>
      <c r="D255" s="59" t="s">
        <v>985</v>
      </c>
      <c r="E255" s="61"/>
      <c r="F255" s="60" t="s">
        <v>95</v>
      </c>
      <c r="G255" s="61"/>
      <c r="H255" s="62"/>
      <c r="I255" s="75"/>
      <c r="J255" s="60" t="s">
        <v>95</v>
      </c>
      <c r="K255" s="64"/>
      <c r="L255" s="64"/>
      <c r="M255" s="64" t="s">
        <v>96</v>
      </c>
      <c r="N255" s="64" t="s">
        <v>97</v>
      </c>
      <c r="O255" s="65" t="s">
        <v>986</v>
      </c>
      <c r="P255" s="70" t="s">
        <v>96</v>
      </c>
      <c r="Q255" s="60" t="s">
        <v>95</v>
      </c>
      <c r="R255" s="60" t="s">
        <v>96</v>
      </c>
      <c r="S255" s="66" t="s">
        <v>96</v>
      </c>
      <c r="T255" s="67" t="s">
        <v>96</v>
      </c>
      <c r="U255" s="60" t="s">
        <v>96</v>
      </c>
      <c r="V255" s="60" t="s">
        <v>96</v>
      </c>
      <c r="W255" s="60" t="str" cm="1">
        <f t="array" ref="W255">_xlfn.LET(_xlpm.resultados,_xlfn.UNIQUE(_xlfn._xlws.FILTER(Tabla1[Proceso],(Tabla1[Metal Base]=Q255)*(Tabla1[Etiquetas]=_xlfn.TEXTJOIN(" + ",TRUE,IF((TRIM(Upload!R255:V255)="")+(LOWER(TRIM(Upload!R255:V255))="(seleccione)"),"",PROPER(TRIM(Upload!R255:V255)))))*(Tabla1[Línea2]=IFERROR(VLOOKUP(Upload!P255&amp;"*",CAT_Procesos!D:D,1,FALSE),"")))),_xlpm.cantidad,ROWS(_xlpm.resultados),IF(ISERROR(_xlpm.cantidad),"Combinación no existente",IF(_xlpm.cantidad=1,INDEX(_xlpm.resultados,1),"(seleccione)")))</f>
        <v>Combinación no existente</v>
      </c>
      <c r="X255" s="67" t="s">
        <v>96</v>
      </c>
      <c r="Y255" s="64"/>
      <c r="Z255" s="64"/>
      <c r="AA255" s="64"/>
      <c r="AB255" s="133" t="s">
        <v>96</v>
      </c>
      <c r="AC255" s="64"/>
      <c r="AD255" s="64"/>
      <c r="AE255" s="64"/>
      <c r="AF255" s="60" t="s">
        <v>96</v>
      </c>
      <c r="AG255" s="64"/>
      <c r="AH255" s="64"/>
      <c r="AI255" s="64"/>
      <c r="AJ255" s="68" t="s">
        <v>96</v>
      </c>
      <c r="AK255" s="69" t="str">
        <f t="shared" si="6"/>
        <v/>
      </c>
      <c r="AL255" s="70" t="s">
        <v>96</v>
      </c>
      <c r="AM255" s="69" t="str">
        <f t="shared" si="7"/>
        <v/>
      </c>
      <c r="AN255" s="71"/>
      <c r="AO255" s="71"/>
      <c r="AP255" s="71"/>
      <c r="AQ255" s="71"/>
      <c r="AR255" s="71" t="s">
        <v>96</v>
      </c>
      <c r="AS255" s="71"/>
      <c r="AT255" s="71" t="s">
        <v>96</v>
      </c>
      <c r="AU255" s="71"/>
      <c r="AV255" s="71" t="s">
        <v>95</v>
      </c>
      <c r="AW255" s="71"/>
      <c r="AX255" s="71"/>
      <c r="AY255" s="71"/>
      <c r="AZ255" s="71"/>
      <c r="BA255" s="71"/>
      <c r="BB255" s="70" t="s">
        <v>218</v>
      </c>
      <c r="BC255" s="70" t="s">
        <v>98</v>
      </c>
      <c r="BD255" s="72" t="str">
        <f>IF('Cálculo MP'!K265="","",'Cálculo MP'!K265)</f>
        <v/>
      </c>
      <c r="BE255" s="72" t="str">
        <f>IF('Cálculo MP'!L265="","",'Cálculo MP'!L265)</f>
        <v/>
      </c>
      <c r="BF255" s="72" t="str">
        <f>IF('Cálculo MP'!M265="","",'Cálculo MP'!M265)</f>
        <v/>
      </c>
      <c r="BG255" s="72" t="str">
        <f>IF('Cálculo MP'!N265="","",'Cálculo MP'!N265)</f>
        <v/>
      </c>
      <c r="BH255" s="72" t="str">
        <f>IF('Cálculo MP'!O265="","",'Cálculo MP'!O265)</f>
        <v/>
      </c>
      <c r="BI255" s="72" t="str">
        <f>IF('Cálculo MP'!P265="","",'Cálculo MP'!P265)</f>
        <v/>
      </c>
      <c r="BJ255" s="72" t="str">
        <f>IF('Cálculo MP'!Q265="","",'Cálculo MP'!Q265)</f>
        <v/>
      </c>
      <c r="BK255" s="72" t="str">
        <f>IF('Cálculo MP'!R265="","",'Cálculo MP'!R265)</f>
        <v/>
      </c>
      <c r="BL255" s="72" t="str">
        <f>IF('Cálculo MP'!S265="","",'Cálculo MP'!S265)</f>
        <v/>
      </c>
      <c r="BM255" s="71"/>
      <c r="BN255" s="71"/>
      <c r="BO255" s="71"/>
      <c r="BP255" s="71"/>
      <c r="BQ255" s="71"/>
      <c r="BR255" s="71"/>
      <c r="BS255" s="71"/>
    </row>
    <row r="256" spans="1:71" ht="19.5" customHeight="1" x14ac:dyDescent="0.15">
      <c r="A256" s="56" t="s">
        <v>985</v>
      </c>
      <c r="B256" s="57" t="s">
        <v>986</v>
      </c>
      <c r="C256" s="58" t="s">
        <v>985</v>
      </c>
      <c r="D256" s="59" t="s">
        <v>985</v>
      </c>
      <c r="E256" s="61"/>
      <c r="F256" s="60" t="s">
        <v>95</v>
      </c>
      <c r="G256" s="61"/>
      <c r="H256" s="62"/>
      <c r="I256" s="75"/>
      <c r="J256" s="60" t="s">
        <v>95</v>
      </c>
      <c r="K256" s="64"/>
      <c r="L256" s="64"/>
      <c r="M256" s="64" t="s">
        <v>96</v>
      </c>
      <c r="N256" s="64" t="s">
        <v>97</v>
      </c>
      <c r="O256" s="65" t="s">
        <v>986</v>
      </c>
      <c r="P256" s="70" t="s">
        <v>96</v>
      </c>
      <c r="Q256" s="60" t="s">
        <v>95</v>
      </c>
      <c r="R256" s="60" t="s">
        <v>96</v>
      </c>
      <c r="S256" s="66" t="s">
        <v>96</v>
      </c>
      <c r="T256" s="67" t="s">
        <v>96</v>
      </c>
      <c r="U256" s="60" t="s">
        <v>96</v>
      </c>
      <c r="V256" s="60" t="s">
        <v>96</v>
      </c>
      <c r="W256" s="60" t="str" cm="1">
        <f t="array" ref="W256">_xlfn.LET(_xlpm.resultados,_xlfn.UNIQUE(_xlfn._xlws.FILTER(Tabla1[Proceso],(Tabla1[Metal Base]=Q256)*(Tabla1[Etiquetas]=_xlfn.TEXTJOIN(" + ",TRUE,IF((TRIM(Upload!R256:V256)="")+(LOWER(TRIM(Upload!R256:V256))="(seleccione)"),"",PROPER(TRIM(Upload!R256:V256)))))*(Tabla1[Línea2]=IFERROR(VLOOKUP(Upload!P256&amp;"*",CAT_Procesos!D:D,1,FALSE),"")))),_xlpm.cantidad,ROWS(_xlpm.resultados),IF(ISERROR(_xlpm.cantidad),"Combinación no existente",IF(_xlpm.cantidad=1,INDEX(_xlpm.resultados,1),"(seleccione)")))</f>
        <v>Combinación no existente</v>
      </c>
      <c r="X256" s="67" t="s">
        <v>96</v>
      </c>
      <c r="Y256" s="64"/>
      <c r="Z256" s="64"/>
      <c r="AA256" s="64"/>
      <c r="AB256" s="133" t="s">
        <v>96</v>
      </c>
      <c r="AC256" s="64"/>
      <c r="AD256" s="64"/>
      <c r="AE256" s="64"/>
      <c r="AF256" s="60" t="s">
        <v>96</v>
      </c>
      <c r="AG256" s="64"/>
      <c r="AH256" s="64"/>
      <c r="AI256" s="64"/>
      <c r="AJ256" s="68" t="s">
        <v>96</v>
      </c>
      <c r="AK256" s="69" t="str">
        <f t="shared" si="6"/>
        <v/>
      </c>
      <c r="AL256" s="70" t="s">
        <v>96</v>
      </c>
      <c r="AM256" s="69" t="str">
        <f t="shared" si="7"/>
        <v/>
      </c>
      <c r="AN256" s="71"/>
      <c r="AO256" s="71"/>
      <c r="AP256" s="71"/>
      <c r="AQ256" s="71"/>
      <c r="AR256" s="71" t="s">
        <v>96</v>
      </c>
      <c r="AS256" s="71"/>
      <c r="AT256" s="71" t="s">
        <v>96</v>
      </c>
      <c r="AU256" s="71"/>
      <c r="AV256" s="71" t="s">
        <v>95</v>
      </c>
      <c r="AW256" s="71"/>
      <c r="AX256" s="71"/>
      <c r="AY256" s="71"/>
      <c r="AZ256" s="71"/>
      <c r="BA256" s="71"/>
      <c r="BB256" s="70" t="s">
        <v>218</v>
      </c>
      <c r="BC256" s="70" t="s">
        <v>98</v>
      </c>
      <c r="BD256" s="72" t="str">
        <f>IF('Cálculo MP'!K266="","",'Cálculo MP'!K266)</f>
        <v/>
      </c>
      <c r="BE256" s="72" t="str">
        <f>IF('Cálculo MP'!L266="","",'Cálculo MP'!L266)</f>
        <v/>
      </c>
      <c r="BF256" s="72" t="str">
        <f>IF('Cálculo MP'!M266="","",'Cálculo MP'!M266)</f>
        <v/>
      </c>
      <c r="BG256" s="72" t="str">
        <f>IF('Cálculo MP'!N266="","",'Cálculo MP'!N266)</f>
        <v/>
      </c>
      <c r="BH256" s="72" t="str">
        <f>IF('Cálculo MP'!O266="","",'Cálculo MP'!O266)</f>
        <v/>
      </c>
      <c r="BI256" s="72" t="str">
        <f>IF('Cálculo MP'!P266="","",'Cálculo MP'!P266)</f>
        <v/>
      </c>
      <c r="BJ256" s="72" t="str">
        <f>IF('Cálculo MP'!Q266="","",'Cálculo MP'!Q266)</f>
        <v/>
      </c>
      <c r="BK256" s="72" t="str">
        <f>IF('Cálculo MP'!R266="","",'Cálculo MP'!R266)</f>
        <v/>
      </c>
      <c r="BL256" s="72" t="str">
        <f>IF('Cálculo MP'!S266="","",'Cálculo MP'!S266)</f>
        <v/>
      </c>
      <c r="BM256" s="71"/>
      <c r="BN256" s="71"/>
      <c r="BO256" s="71"/>
      <c r="BP256" s="71"/>
      <c r="BQ256" s="71"/>
      <c r="BR256" s="71"/>
      <c r="BS256" s="71"/>
    </row>
    <row r="257" spans="1:71" ht="19.5" customHeight="1" x14ac:dyDescent="0.15">
      <c r="A257" s="56" t="s">
        <v>985</v>
      </c>
      <c r="B257" s="57" t="s">
        <v>986</v>
      </c>
      <c r="C257" s="58" t="s">
        <v>985</v>
      </c>
      <c r="D257" s="59" t="s">
        <v>985</v>
      </c>
      <c r="E257" s="61"/>
      <c r="F257" s="60" t="s">
        <v>95</v>
      </c>
      <c r="G257" s="61"/>
      <c r="H257" s="62"/>
      <c r="I257" s="75"/>
      <c r="J257" s="60" t="s">
        <v>95</v>
      </c>
      <c r="K257" s="64"/>
      <c r="L257" s="64"/>
      <c r="M257" s="64" t="s">
        <v>96</v>
      </c>
      <c r="N257" s="64" t="s">
        <v>97</v>
      </c>
      <c r="O257" s="65" t="s">
        <v>986</v>
      </c>
      <c r="P257" s="70" t="s">
        <v>96</v>
      </c>
      <c r="Q257" s="60" t="s">
        <v>95</v>
      </c>
      <c r="R257" s="60" t="s">
        <v>96</v>
      </c>
      <c r="S257" s="66" t="s">
        <v>96</v>
      </c>
      <c r="T257" s="67" t="s">
        <v>96</v>
      </c>
      <c r="U257" s="60" t="s">
        <v>96</v>
      </c>
      <c r="V257" s="60" t="s">
        <v>96</v>
      </c>
      <c r="W257" s="60" t="str" cm="1">
        <f t="array" ref="W257">_xlfn.LET(_xlpm.resultados,_xlfn.UNIQUE(_xlfn._xlws.FILTER(Tabla1[Proceso],(Tabla1[Metal Base]=Q257)*(Tabla1[Etiquetas]=_xlfn.TEXTJOIN(" + ",TRUE,IF((TRIM(Upload!R257:V257)="")+(LOWER(TRIM(Upload!R257:V257))="(seleccione)"),"",PROPER(TRIM(Upload!R257:V257)))))*(Tabla1[Línea2]=IFERROR(VLOOKUP(Upload!P257&amp;"*",CAT_Procesos!D:D,1,FALSE),"")))),_xlpm.cantidad,ROWS(_xlpm.resultados),IF(ISERROR(_xlpm.cantidad),"Combinación no existente",IF(_xlpm.cantidad=1,INDEX(_xlpm.resultados,1),"(seleccione)")))</f>
        <v>Combinación no existente</v>
      </c>
      <c r="X257" s="67" t="s">
        <v>96</v>
      </c>
      <c r="Y257" s="64"/>
      <c r="Z257" s="64"/>
      <c r="AA257" s="64"/>
      <c r="AB257" s="133" t="s">
        <v>96</v>
      </c>
      <c r="AC257" s="64"/>
      <c r="AD257" s="64"/>
      <c r="AE257" s="64"/>
      <c r="AF257" s="60" t="s">
        <v>96</v>
      </c>
      <c r="AG257" s="64"/>
      <c r="AH257" s="64"/>
      <c r="AI257" s="64"/>
      <c r="AJ257" s="68" t="s">
        <v>96</v>
      </c>
      <c r="AK257" s="69" t="str">
        <f t="shared" si="6"/>
        <v/>
      </c>
      <c r="AL257" s="70" t="s">
        <v>96</v>
      </c>
      <c r="AM257" s="69" t="str">
        <f t="shared" si="7"/>
        <v/>
      </c>
      <c r="AN257" s="71"/>
      <c r="AO257" s="71"/>
      <c r="AP257" s="71"/>
      <c r="AQ257" s="71"/>
      <c r="AR257" s="71" t="s">
        <v>96</v>
      </c>
      <c r="AS257" s="71"/>
      <c r="AT257" s="71" t="s">
        <v>96</v>
      </c>
      <c r="AU257" s="71"/>
      <c r="AV257" s="71" t="s">
        <v>95</v>
      </c>
      <c r="AW257" s="71"/>
      <c r="AX257" s="71"/>
      <c r="AY257" s="71"/>
      <c r="AZ257" s="71"/>
      <c r="BA257" s="71"/>
      <c r="BB257" s="70" t="s">
        <v>218</v>
      </c>
      <c r="BC257" s="70" t="s">
        <v>98</v>
      </c>
      <c r="BD257" s="72" t="str">
        <f>IF('Cálculo MP'!K267="","",'Cálculo MP'!K267)</f>
        <v/>
      </c>
      <c r="BE257" s="72" t="str">
        <f>IF('Cálculo MP'!L267="","",'Cálculo MP'!L267)</f>
        <v/>
      </c>
      <c r="BF257" s="72" t="str">
        <f>IF('Cálculo MP'!M267="","",'Cálculo MP'!M267)</f>
        <v/>
      </c>
      <c r="BG257" s="72" t="str">
        <f>IF('Cálculo MP'!N267="","",'Cálculo MP'!N267)</f>
        <v/>
      </c>
      <c r="BH257" s="72" t="str">
        <f>IF('Cálculo MP'!O267="","",'Cálculo MP'!O267)</f>
        <v/>
      </c>
      <c r="BI257" s="72" t="str">
        <f>IF('Cálculo MP'!P267="","",'Cálculo MP'!P267)</f>
        <v/>
      </c>
      <c r="BJ257" s="72" t="str">
        <f>IF('Cálculo MP'!Q267="","",'Cálculo MP'!Q267)</f>
        <v/>
      </c>
      <c r="BK257" s="72" t="str">
        <f>IF('Cálculo MP'!R267="","",'Cálculo MP'!R267)</f>
        <v/>
      </c>
      <c r="BL257" s="72" t="str">
        <f>IF('Cálculo MP'!S267="","",'Cálculo MP'!S267)</f>
        <v/>
      </c>
      <c r="BM257" s="71"/>
      <c r="BN257" s="71"/>
      <c r="BO257" s="71"/>
      <c r="BP257" s="71"/>
      <c r="BQ257" s="71"/>
      <c r="BR257" s="71"/>
      <c r="BS257" s="71"/>
    </row>
    <row r="258" spans="1:71" ht="19.5" customHeight="1" x14ac:dyDescent="0.15">
      <c r="A258" s="56" t="s">
        <v>985</v>
      </c>
      <c r="B258" s="57" t="s">
        <v>986</v>
      </c>
      <c r="C258" s="58" t="s">
        <v>985</v>
      </c>
      <c r="D258" s="59" t="s">
        <v>985</v>
      </c>
      <c r="E258" s="61"/>
      <c r="F258" s="60" t="s">
        <v>95</v>
      </c>
      <c r="G258" s="61"/>
      <c r="H258" s="62"/>
      <c r="I258" s="75"/>
      <c r="J258" s="60" t="s">
        <v>95</v>
      </c>
      <c r="K258" s="64"/>
      <c r="L258" s="64"/>
      <c r="M258" s="64" t="s">
        <v>96</v>
      </c>
      <c r="N258" s="64" t="s">
        <v>97</v>
      </c>
      <c r="O258" s="65" t="s">
        <v>986</v>
      </c>
      <c r="P258" s="70" t="s">
        <v>96</v>
      </c>
      <c r="Q258" s="60" t="s">
        <v>95</v>
      </c>
      <c r="R258" s="60" t="s">
        <v>96</v>
      </c>
      <c r="S258" s="66" t="s">
        <v>96</v>
      </c>
      <c r="T258" s="67" t="s">
        <v>96</v>
      </c>
      <c r="U258" s="60" t="s">
        <v>96</v>
      </c>
      <c r="V258" s="60" t="s">
        <v>96</v>
      </c>
      <c r="W258" s="60" t="str" cm="1">
        <f t="array" ref="W258">_xlfn.LET(_xlpm.resultados,_xlfn.UNIQUE(_xlfn._xlws.FILTER(Tabla1[Proceso],(Tabla1[Metal Base]=Q258)*(Tabla1[Etiquetas]=_xlfn.TEXTJOIN(" + ",TRUE,IF((TRIM(Upload!R258:V258)="")+(LOWER(TRIM(Upload!R258:V258))="(seleccione)"),"",PROPER(TRIM(Upload!R258:V258)))))*(Tabla1[Línea2]=IFERROR(VLOOKUP(Upload!P258&amp;"*",CAT_Procesos!D:D,1,FALSE),"")))),_xlpm.cantidad,ROWS(_xlpm.resultados),IF(ISERROR(_xlpm.cantidad),"Combinación no existente",IF(_xlpm.cantidad=1,INDEX(_xlpm.resultados,1),"(seleccione)")))</f>
        <v>Combinación no existente</v>
      </c>
      <c r="X258" s="67" t="s">
        <v>96</v>
      </c>
      <c r="Y258" s="64"/>
      <c r="Z258" s="64"/>
      <c r="AA258" s="64"/>
      <c r="AB258" s="133" t="s">
        <v>96</v>
      </c>
      <c r="AC258" s="64"/>
      <c r="AD258" s="64"/>
      <c r="AE258" s="64"/>
      <c r="AF258" s="60" t="s">
        <v>96</v>
      </c>
      <c r="AG258" s="64"/>
      <c r="AH258" s="64"/>
      <c r="AI258" s="64"/>
      <c r="AJ258" s="68" t="s">
        <v>96</v>
      </c>
      <c r="AK258" s="69" t="str">
        <f t="shared" si="6"/>
        <v/>
      </c>
      <c r="AL258" s="70" t="s">
        <v>96</v>
      </c>
      <c r="AM258" s="69" t="str">
        <f t="shared" si="7"/>
        <v/>
      </c>
      <c r="AN258" s="71"/>
      <c r="AO258" s="71"/>
      <c r="AP258" s="71"/>
      <c r="AQ258" s="71"/>
      <c r="AR258" s="71" t="s">
        <v>96</v>
      </c>
      <c r="AS258" s="71"/>
      <c r="AT258" s="71" t="s">
        <v>96</v>
      </c>
      <c r="AU258" s="71"/>
      <c r="AV258" s="71" t="s">
        <v>95</v>
      </c>
      <c r="AW258" s="71"/>
      <c r="AX258" s="71"/>
      <c r="AY258" s="71"/>
      <c r="AZ258" s="71"/>
      <c r="BA258" s="71"/>
      <c r="BB258" s="70" t="s">
        <v>218</v>
      </c>
      <c r="BC258" s="70" t="s">
        <v>98</v>
      </c>
      <c r="BD258" s="72" t="str">
        <f>IF('Cálculo MP'!K268="","",'Cálculo MP'!K268)</f>
        <v/>
      </c>
      <c r="BE258" s="72" t="str">
        <f>IF('Cálculo MP'!L268="","",'Cálculo MP'!L268)</f>
        <v/>
      </c>
      <c r="BF258" s="72" t="str">
        <f>IF('Cálculo MP'!M268="","",'Cálculo MP'!M268)</f>
        <v/>
      </c>
      <c r="BG258" s="72" t="str">
        <f>IF('Cálculo MP'!N268="","",'Cálculo MP'!N268)</f>
        <v/>
      </c>
      <c r="BH258" s="72" t="str">
        <f>IF('Cálculo MP'!O268="","",'Cálculo MP'!O268)</f>
        <v/>
      </c>
      <c r="BI258" s="72" t="str">
        <f>IF('Cálculo MP'!P268="","",'Cálculo MP'!P268)</f>
        <v/>
      </c>
      <c r="BJ258" s="72" t="str">
        <f>IF('Cálculo MP'!Q268="","",'Cálculo MP'!Q268)</f>
        <v/>
      </c>
      <c r="BK258" s="72" t="str">
        <f>IF('Cálculo MP'!R268="","",'Cálculo MP'!R268)</f>
        <v/>
      </c>
      <c r="BL258" s="72" t="str">
        <f>IF('Cálculo MP'!S268="","",'Cálculo MP'!S268)</f>
        <v/>
      </c>
      <c r="BM258" s="71"/>
      <c r="BN258" s="71"/>
      <c r="BO258" s="71"/>
      <c r="BP258" s="71"/>
      <c r="BQ258" s="71"/>
      <c r="BR258" s="71"/>
      <c r="BS258" s="71"/>
    </row>
    <row r="259" spans="1:71" ht="19.5" customHeight="1" x14ac:dyDescent="0.15">
      <c r="A259" s="56" t="s">
        <v>985</v>
      </c>
      <c r="B259" s="57" t="s">
        <v>986</v>
      </c>
      <c r="C259" s="58" t="s">
        <v>985</v>
      </c>
      <c r="D259" s="59" t="s">
        <v>985</v>
      </c>
      <c r="E259" s="61"/>
      <c r="F259" s="60" t="s">
        <v>95</v>
      </c>
      <c r="G259" s="61"/>
      <c r="H259" s="62"/>
      <c r="I259" s="75"/>
      <c r="J259" s="60" t="s">
        <v>95</v>
      </c>
      <c r="K259" s="64"/>
      <c r="L259" s="64"/>
      <c r="M259" s="64" t="s">
        <v>96</v>
      </c>
      <c r="N259" s="64" t="s">
        <v>97</v>
      </c>
      <c r="O259" s="65" t="s">
        <v>986</v>
      </c>
      <c r="P259" s="70" t="s">
        <v>96</v>
      </c>
      <c r="Q259" s="60" t="s">
        <v>95</v>
      </c>
      <c r="R259" s="60" t="s">
        <v>96</v>
      </c>
      <c r="S259" s="66" t="s">
        <v>96</v>
      </c>
      <c r="T259" s="67" t="s">
        <v>96</v>
      </c>
      <c r="U259" s="60" t="s">
        <v>96</v>
      </c>
      <c r="V259" s="60" t="s">
        <v>96</v>
      </c>
      <c r="W259" s="60" t="str" cm="1">
        <f t="array" ref="W259">_xlfn.LET(_xlpm.resultados,_xlfn.UNIQUE(_xlfn._xlws.FILTER(Tabla1[Proceso],(Tabla1[Metal Base]=Q259)*(Tabla1[Etiquetas]=_xlfn.TEXTJOIN(" + ",TRUE,IF((TRIM(Upload!R259:V259)="")+(LOWER(TRIM(Upload!R259:V259))="(seleccione)"),"",PROPER(TRIM(Upload!R259:V259)))))*(Tabla1[Línea2]=IFERROR(VLOOKUP(Upload!P259&amp;"*",CAT_Procesos!D:D,1,FALSE),"")))),_xlpm.cantidad,ROWS(_xlpm.resultados),IF(ISERROR(_xlpm.cantidad),"Combinación no existente",IF(_xlpm.cantidad=1,INDEX(_xlpm.resultados,1),"(seleccione)")))</f>
        <v>Combinación no existente</v>
      </c>
      <c r="X259" s="67" t="s">
        <v>96</v>
      </c>
      <c r="Y259" s="64"/>
      <c r="Z259" s="64"/>
      <c r="AA259" s="64"/>
      <c r="AB259" s="133" t="s">
        <v>96</v>
      </c>
      <c r="AC259" s="64"/>
      <c r="AD259" s="64"/>
      <c r="AE259" s="64"/>
      <c r="AF259" s="60" t="s">
        <v>96</v>
      </c>
      <c r="AG259" s="64"/>
      <c r="AH259" s="64"/>
      <c r="AI259" s="64"/>
      <c r="AJ259" s="68" t="s">
        <v>96</v>
      </c>
      <c r="AK259" s="69" t="str">
        <f t="shared" si="6"/>
        <v/>
      </c>
      <c r="AL259" s="70" t="s">
        <v>96</v>
      </c>
      <c r="AM259" s="69" t="str">
        <f t="shared" si="7"/>
        <v/>
      </c>
      <c r="AN259" s="71"/>
      <c r="AO259" s="71"/>
      <c r="AP259" s="71"/>
      <c r="AQ259" s="71"/>
      <c r="AR259" s="71" t="s">
        <v>96</v>
      </c>
      <c r="AS259" s="71"/>
      <c r="AT259" s="71" t="s">
        <v>96</v>
      </c>
      <c r="AU259" s="71"/>
      <c r="AV259" s="71" t="s">
        <v>95</v>
      </c>
      <c r="AW259" s="71"/>
      <c r="AX259" s="71"/>
      <c r="AY259" s="71"/>
      <c r="AZ259" s="71"/>
      <c r="BA259" s="71"/>
      <c r="BB259" s="70" t="s">
        <v>218</v>
      </c>
      <c r="BC259" s="70" t="s">
        <v>98</v>
      </c>
      <c r="BD259" s="72" t="str">
        <f>IF('Cálculo MP'!K269="","",'Cálculo MP'!K269)</f>
        <v/>
      </c>
      <c r="BE259" s="72" t="str">
        <f>IF('Cálculo MP'!L269="","",'Cálculo MP'!L269)</f>
        <v/>
      </c>
      <c r="BF259" s="72" t="str">
        <f>IF('Cálculo MP'!M269="","",'Cálculo MP'!M269)</f>
        <v/>
      </c>
      <c r="BG259" s="72" t="str">
        <f>IF('Cálculo MP'!N269="","",'Cálculo MP'!N269)</f>
        <v/>
      </c>
      <c r="BH259" s="72" t="str">
        <f>IF('Cálculo MP'!O269="","",'Cálculo MP'!O269)</f>
        <v/>
      </c>
      <c r="BI259" s="72" t="str">
        <f>IF('Cálculo MP'!P269="","",'Cálculo MP'!P269)</f>
        <v/>
      </c>
      <c r="BJ259" s="72" t="str">
        <f>IF('Cálculo MP'!Q269="","",'Cálculo MP'!Q269)</f>
        <v/>
      </c>
      <c r="BK259" s="72" t="str">
        <f>IF('Cálculo MP'!R269="","",'Cálculo MP'!R269)</f>
        <v/>
      </c>
      <c r="BL259" s="72" t="str">
        <f>IF('Cálculo MP'!S269="","",'Cálculo MP'!S269)</f>
        <v/>
      </c>
      <c r="BM259" s="71"/>
      <c r="BN259" s="71"/>
      <c r="BO259" s="71"/>
      <c r="BP259" s="71"/>
      <c r="BQ259" s="71"/>
      <c r="BR259" s="71"/>
      <c r="BS259" s="71"/>
    </row>
    <row r="260" spans="1:71" ht="19.5" customHeight="1" x14ac:dyDescent="0.15">
      <c r="A260" s="56" t="s">
        <v>985</v>
      </c>
      <c r="B260" s="57" t="s">
        <v>986</v>
      </c>
      <c r="C260" s="58" t="s">
        <v>985</v>
      </c>
      <c r="D260" s="59" t="s">
        <v>985</v>
      </c>
      <c r="E260" s="61"/>
      <c r="F260" s="60" t="s">
        <v>95</v>
      </c>
      <c r="G260" s="61"/>
      <c r="H260" s="62"/>
      <c r="I260" s="75"/>
      <c r="J260" s="60" t="s">
        <v>95</v>
      </c>
      <c r="K260" s="64"/>
      <c r="L260" s="64"/>
      <c r="M260" s="64" t="s">
        <v>96</v>
      </c>
      <c r="N260" s="64" t="s">
        <v>97</v>
      </c>
      <c r="O260" s="65" t="s">
        <v>986</v>
      </c>
      <c r="P260" s="70" t="s">
        <v>96</v>
      </c>
      <c r="Q260" s="60" t="s">
        <v>95</v>
      </c>
      <c r="R260" s="60" t="s">
        <v>96</v>
      </c>
      <c r="S260" s="66" t="s">
        <v>96</v>
      </c>
      <c r="T260" s="67" t="s">
        <v>96</v>
      </c>
      <c r="U260" s="60" t="s">
        <v>96</v>
      </c>
      <c r="V260" s="60" t="s">
        <v>96</v>
      </c>
      <c r="W260" s="60" t="str" cm="1">
        <f t="array" ref="W260">_xlfn.LET(_xlpm.resultados,_xlfn.UNIQUE(_xlfn._xlws.FILTER(Tabla1[Proceso],(Tabla1[Metal Base]=Q260)*(Tabla1[Etiquetas]=_xlfn.TEXTJOIN(" + ",TRUE,IF((TRIM(Upload!R260:V260)="")+(LOWER(TRIM(Upload!R260:V260))="(seleccione)"),"",PROPER(TRIM(Upload!R260:V260)))))*(Tabla1[Línea2]=IFERROR(VLOOKUP(Upload!P260&amp;"*",CAT_Procesos!D:D,1,FALSE),"")))),_xlpm.cantidad,ROWS(_xlpm.resultados),IF(ISERROR(_xlpm.cantidad),"Combinación no existente",IF(_xlpm.cantidad=1,INDEX(_xlpm.resultados,1),"(seleccione)")))</f>
        <v>Combinación no existente</v>
      </c>
      <c r="X260" s="67" t="s">
        <v>96</v>
      </c>
      <c r="Y260" s="64"/>
      <c r="Z260" s="64"/>
      <c r="AA260" s="64"/>
      <c r="AB260" s="133" t="s">
        <v>96</v>
      </c>
      <c r="AC260" s="64"/>
      <c r="AD260" s="64"/>
      <c r="AE260" s="64"/>
      <c r="AF260" s="60" t="s">
        <v>96</v>
      </c>
      <c r="AG260" s="64"/>
      <c r="AH260" s="64"/>
      <c r="AI260" s="64"/>
      <c r="AJ260" s="68" t="s">
        <v>96</v>
      </c>
      <c r="AK260" s="69" t="str">
        <f t="shared" si="6"/>
        <v/>
      </c>
      <c r="AL260" s="70" t="s">
        <v>96</v>
      </c>
      <c r="AM260" s="69" t="str">
        <f t="shared" si="7"/>
        <v/>
      </c>
      <c r="AN260" s="71"/>
      <c r="AO260" s="71"/>
      <c r="AP260" s="71"/>
      <c r="AQ260" s="71"/>
      <c r="AR260" s="71" t="s">
        <v>96</v>
      </c>
      <c r="AS260" s="71"/>
      <c r="AT260" s="71" t="s">
        <v>96</v>
      </c>
      <c r="AU260" s="71"/>
      <c r="AV260" s="71" t="s">
        <v>95</v>
      </c>
      <c r="AW260" s="71"/>
      <c r="AX260" s="71"/>
      <c r="AY260" s="71"/>
      <c r="AZ260" s="71"/>
      <c r="BA260" s="71"/>
      <c r="BB260" s="70" t="s">
        <v>218</v>
      </c>
      <c r="BC260" s="70" t="s">
        <v>98</v>
      </c>
      <c r="BD260" s="72" t="str">
        <f>IF('Cálculo MP'!K270="","",'Cálculo MP'!K270)</f>
        <v/>
      </c>
      <c r="BE260" s="72" t="str">
        <f>IF('Cálculo MP'!L270="","",'Cálculo MP'!L270)</f>
        <v/>
      </c>
      <c r="BF260" s="72" t="str">
        <f>IF('Cálculo MP'!M270="","",'Cálculo MP'!M270)</f>
        <v/>
      </c>
      <c r="BG260" s="72" t="str">
        <f>IF('Cálculo MP'!N270="","",'Cálculo MP'!N270)</f>
        <v/>
      </c>
      <c r="BH260" s="72" t="str">
        <f>IF('Cálculo MP'!O270="","",'Cálculo MP'!O270)</f>
        <v/>
      </c>
      <c r="BI260" s="72" t="str">
        <f>IF('Cálculo MP'!P270="","",'Cálculo MP'!P270)</f>
        <v/>
      </c>
      <c r="BJ260" s="72" t="str">
        <f>IF('Cálculo MP'!Q270="","",'Cálculo MP'!Q270)</f>
        <v/>
      </c>
      <c r="BK260" s="72" t="str">
        <f>IF('Cálculo MP'!R270="","",'Cálculo MP'!R270)</f>
        <v/>
      </c>
      <c r="BL260" s="72" t="str">
        <f>IF('Cálculo MP'!S270="","",'Cálculo MP'!S270)</f>
        <v/>
      </c>
      <c r="BM260" s="71"/>
      <c r="BN260" s="71"/>
      <c r="BO260" s="71"/>
      <c r="BP260" s="71"/>
      <c r="BQ260" s="71"/>
      <c r="BR260" s="71"/>
      <c r="BS260" s="71"/>
    </row>
    <row r="261" spans="1:71" ht="19.5" customHeight="1" x14ac:dyDescent="0.15">
      <c r="A261" s="56" t="s">
        <v>985</v>
      </c>
      <c r="B261" s="57" t="s">
        <v>986</v>
      </c>
      <c r="C261" s="58" t="s">
        <v>985</v>
      </c>
      <c r="D261" s="59" t="s">
        <v>985</v>
      </c>
      <c r="E261" s="61"/>
      <c r="F261" s="60" t="s">
        <v>95</v>
      </c>
      <c r="G261" s="61"/>
      <c r="H261" s="62"/>
      <c r="I261" s="75"/>
      <c r="J261" s="60" t="s">
        <v>95</v>
      </c>
      <c r="K261" s="64"/>
      <c r="L261" s="64"/>
      <c r="M261" s="64" t="s">
        <v>96</v>
      </c>
      <c r="N261" s="64" t="s">
        <v>97</v>
      </c>
      <c r="O261" s="65" t="s">
        <v>986</v>
      </c>
      <c r="P261" s="70" t="s">
        <v>96</v>
      </c>
      <c r="Q261" s="60" t="s">
        <v>95</v>
      </c>
      <c r="R261" s="60" t="s">
        <v>96</v>
      </c>
      <c r="S261" s="66" t="s">
        <v>96</v>
      </c>
      <c r="T261" s="67" t="s">
        <v>96</v>
      </c>
      <c r="U261" s="60" t="s">
        <v>96</v>
      </c>
      <c r="V261" s="60" t="s">
        <v>96</v>
      </c>
      <c r="W261" s="60" t="str" cm="1">
        <f t="array" ref="W261">_xlfn.LET(_xlpm.resultados,_xlfn.UNIQUE(_xlfn._xlws.FILTER(Tabla1[Proceso],(Tabla1[Metal Base]=Q261)*(Tabla1[Etiquetas]=_xlfn.TEXTJOIN(" + ",TRUE,IF((TRIM(Upload!R261:V261)="")+(LOWER(TRIM(Upload!R261:V261))="(seleccione)"),"",PROPER(TRIM(Upload!R261:V261)))))*(Tabla1[Línea2]=IFERROR(VLOOKUP(Upload!P261&amp;"*",CAT_Procesos!D:D,1,FALSE),"")))),_xlpm.cantidad,ROWS(_xlpm.resultados),IF(ISERROR(_xlpm.cantidad),"Combinación no existente",IF(_xlpm.cantidad=1,INDEX(_xlpm.resultados,1),"(seleccione)")))</f>
        <v>Combinación no existente</v>
      </c>
      <c r="X261" s="67" t="s">
        <v>96</v>
      </c>
      <c r="Y261" s="64"/>
      <c r="Z261" s="64"/>
      <c r="AA261" s="64"/>
      <c r="AB261" s="133" t="s">
        <v>96</v>
      </c>
      <c r="AC261" s="64"/>
      <c r="AD261" s="64"/>
      <c r="AE261" s="64"/>
      <c r="AF261" s="60" t="s">
        <v>96</v>
      </c>
      <c r="AG261" s="64"/>
      <c r="AH261" s="64"/>
      <c r="AI261" s="64"/>
      <c r="AJ261" s="68" t="s">
        <v>96</v>
      </c>
      <c r="AK261" s="69" t="str">
        <f t="shared" si="6"/>
        <v/>
      </c>
      <c r="AL261" s="70" t="s">
        <v>96</v>
      </c>
      <c r="AM261" s="69" t="str">
        <f t="shared" si="7"/>
        <v/>
      </c>
      <c r="AN261" s="71"/>
      <c r="AO261" s="71"/>
      <c r="AP261" s="71"/>
      <c r="AQ261" s="71"/>
      <c r="AR261" s="71" t="s">
        <v>96</v>
      </c>
      <c r="AS261" s="71"/>
      <c r="AT261" s="71" t="s">
        <v>96</v>
      </c>
      <c r="AU261" s="71"/>
      <c r="AV261" s="71" t="s">
        <v>95</v>
      </c>
      <c r="AW261" s="71"/>
      <c r="AX261" s="71"/>
      <c r="AY261" s="71"/>
      <c r="AZ261" s="71"/>
      <c r="BA261" s="71"/>
      <c r="BB261" s="70" t="s">
        <v>218</v>
      </c>
      <c r="BC261" s="70" t="s">
        <v>98</v>
      </c>
      <c r="BD261" s="72" t="str">
        <f>IF('Cálculo MP'!K271="","",'Cálculo MP'!K271)</f>
        <v/>
      </c>
      <c r="BE261" s="72" t="str">
        <f>IF('Cálculo MP'!L271="","",'Cálculo MP'!L271)</f>
        <v/>
      </c>
      <c r="BF261" s="72" t="str">
        <f>IF('Cálculo MP'!M271="","",'Cálculo MP'!M271)</f>
        <v/>
      </c>
      <c r="BG261" s="72" t="str">
        <f>IF('Cálculo MP'!N271="","",'Cálculo MP'!N271)</f>
        <v/>
      </c>
      <c r="BH261" s="72" t="str">
        <f>IF('Cálculo MP'!O271="","",'Cálculo MP'!O271)</f>
        <v/>
      </c>
      <c r="BI261" s="72" t="str">
        <f>IF('Cálculo MP'!P271="","",'Cálculo MP'!P271)</f>
        <v/>
      </c>
      <c r="BJ261" s="72" t="str">
        <f>IF('Cálculo MP'!Q271="","",'Cálculo MP'!Q271)</f>
        <v/>
      </c>
      <c r="BK261" s="72" t="str">
        <f>IF('Cálculo MP'!R271="","",'Cálculo MP'!R271)</f>
        <v/>
      </c>
      <c r="BL261" s="72" t="str">
        <f>IF('Cálculo MP'!S271="","",'Cálculo MP'!S271)</f>
        <v/>
      </c>
      <c r="BM261" s="71"/>
      <c r="BN261" s="71"/>
      <c r="BO261" s="71"/>
      <c r="BP261" s="71"/>
      <c r="BQ261" s="71"/>
      <c r="BR261" s="71"/>
      <c r="BS261" s="71"/>
    </row>
    <row r="262" spans="1:71" ht="19.5" customHeight="1" x14ac:dyDescent="0.15">
      <c r="A262" s="56" t="s">
        <v>985</v>
      </c>
      <c r="B262" s="57" t="s">
        <v>986</v>
      </c>
      <c r="C262" s="58" t="s">
        <v>985</v>
      </c>
      <c r="D262" s="59" t="s">
        <v>985</v>
      </c>
      <c r="E262" s="61"/>
      <c r="F262" s="60" t="s">
        <v>95</v>
      </c>
      <c r="G262" s="61"/>
      <c r="H262" s="62"/>
      <c r="I262" s="75"/>
      <c r="J262" s="60" t="s">
        <v>95</v>
      </c>
      <c r="K262" s="64"/>
      <c r="L262" s="64"/>
      <c r="M262" s="64" t="s">
        <v>96</v>
      </c>
      <c r="N262" s="64" t="s">
        <v>97</v>
      </c>
      <c r="O262" s="65" t="s">
        <v>986</v>
      </c>
      <c r="P262" s="70" t="s">
        <v>96</v>
      </c>
      <c r="Q262" s="60" t="s">
        <v>95</v>
      </c>
      <c r="R262" s="60" t="s">
        <v>96</v>
      </c>
      <c r="S262" s="66" t="s">
        <v>96</v>
      </c>
      <c r="T262" s="67" t="s">
        <v>96</v>
      </c>
      <c r="U262" s="60" t="s">
        <v>96</v>
      </c>
      <c r="V262" s="60" t="s">
        <v>96</v>
      </c>
      <c r="W262" s="60" t="str" cm="1">
        <f t="array" ref="W262">_xlfn.LET(_xlpm.resultados,_xlfn.UNIQUE(_xlfn._xlws.FILTER(Tabla1[Proceso],(Tabla1[Metal Base]=Q262)*(Tabla1[Etiquetas]=_xlfn.TEXTJOIN(" + ",TRUE,IF((TRIM(Upload!R262:V262)="")+(LOWER(TRIM(Upload!R262:V262))="(seleccione)"),"",PROPER(TRIM(Upload!R262:V262)))))*(Tabla1[Línea2]=IFERROR(VLOOKUP(Upload!P262&amp;"*",CAT_Procesos!D:D,1,FALSE),"")))),_xlpm.cantidad,ROWS(_xlpm.resultados),IF(ISERROR(_xlpm.cantidad),"Combinación no existente",IF(_xlpm.cantidad=1,INDEX(_xlpm.resultados,1),"(seleccione)")))</f>
        <v>Combinación no existente</v>
      </c>
      <c r="X262" s="67" t="s">
        <v>96</v>
      </c>
      <c r="Y262" s="64"/>
      <c r="Z262" s="64"/>
      <c r="AA262" s="64"/>
      <c r="AB262" s="133" t="s">
        <v>96</v>
      </c>
      <c r="AC262" s="64"/>
      <c r="AD262" s="64"/>
      <c r="AE262" s="64"/>
      <c r="AF262" s="60" t="s">
        <v>96</v>
      </c>
      <c r="AG262" s="64"/>
      <c r="AH262" s="64"/>
      <c r="AI262" s="64"/>
      <c r="AJ262" s="68" t="s">
        <v>96</v>
      </c>
      <c r="AK262" s="69" t="str">
        <f t="shared" si="6"/>
        <v/>
      </c>
      <c r="AL262" s="70" t="s">
        <v>96</v>
      </c>
      <c r="AM262" s="69" t="str">
        <f t="shared" si="7"/>
        <v/>
      </c>
      <c r="AN262" s="71"/>
      <c r="AO262" s="71"/>
      <c r="AP262" s="71"/>
      <c r="AQ262" s="71"/>
      <c r="AR262" s="71" t="s">
        <v>96</v>
      </c>
      <c r="AS262" s="71"/>
      <c r="AT262" s="71" t="s">
        <v>96</v>
      </c>
      <c r="AU262" s="71"/>
      <c r="AV262" s="71" t="s">
        <v>95</v>
      </c>
      <c r="AW262" s="71"/>
      <c r="AX262" s="71"/>
      <c r="AY262" s="71"/>
      <c r="AZ262" s="71"/>
      <c r="BA262" s="71"/>
      <c r="BB262" s="70" t="s">
        <v>218</v>
      </c>
      <c r="BC262" s="70" t="s">
        <v>98</v>
      </c>
      <c r="BD262" s="72" t="str">
        <f>IF('Cálculo MP'!K272="","",'Cálculo MP'!K272)</f>
        <v/>
      </c>
      <c r="BE262" s="72" t="str">
        <f>IF('Cálculo MP'!L272="","",'Cálculo MP'!L272)</f>
        <v/>
      </c>
      <c r="BF262" s="72" t="str">
        <f>IF('Cálculo MP'!M272="","",'Cálculo MP'!M272)</f>
        <v/>
      </c>
      <c r="BG262" s="72" t="str">
        <f>IF('Cálculo MP'!N272="","",'Cálculo MP'!N272)</f>
        <v/>
      </c>
      <c r="BH262" s="72" t="str">
        <f>IF('Cálculo MP'!O272="","",'Cálculo MP'!O272)</f>
        <v/>
      </c>
      <c r="BI262" s="72" t="str">
        <f>IF('Cálculo MP'!P272="","",'Cálculo MP'!P272)</f>
        <v/>
      </c>
      <c r="BJ262" s="72" t="str">
        <f>IF('Cálculo MP'!Q272="","",'Cálculo MP'!Q272)</f>
        <v/>
      </c>
      <c r="BK262" s="72" t="str">
        <f>IF('Cálculo MP'!R272="","",'Cálculo MP'!R272)</f>
        <v/>
      </c>
      <c r="BL262" s="72" t="str">
        <f>IF('Cálculo MP'!S272="","",'Cálculo MP'!S272)</f>
        <v/>
      </c>
      <c r="BM262" s="71"/>
      <c r="BN262" s="71"/>
      <c r="BO262" s="71"/>
      <c r="BP262" s="71"/>
      <c r="BQ262" s="71"/>
      <c r="BR262" s="71"/>
      <c r="BS262" s="71"/>
    </row>
    <row r="263" spans="1:71" ht="19.5" customHeight="1" x14ac:dyDescent="0.15">
      <c r="A263" s="56" t="s">
        <v>985</v>
      </c>
      <c r="B263" s="57" t="s">
        <v>986</v>
      </c>
      <c r="C263" s="58" t="s">
        <v>985</v>
      </c>
      <c r="D263" s="59" t="s">
        <v>985</v>
      </c>
      <c r="E263" s="61"/>
      <c r="F263" s="60" t="s">
        <v>95</v>
      </c>
      <c r="G263" s="61"/>
      <c r="H263" s="62"/>
      <c r="I263" s="75"/>
      <c r="J263" s="60" t="s">
        <v>95</v>
      </c>
      <c r="K263" s="64"/>
      <c r="L263" s="64"/>
      <c r="M263" s="64" t="s">
        <v>96</v>
      </c>
      <c r="N263" s="64" t="s">
        <v>97</v>
      </c>
      <c r="O263" s="65" t="s">
        <v>986</v>
      </c>
      <c r="P263" s="70" t="s">
        <v>96</v>
      </c>
      <c r="Q263" s="60" t="s">
        <v>95</v>
      </c>
      <c r="R263" s="60" t="s">
        <v>96</v>
      </c>
      <c r="S263" s="66" t="s">
        <v>96</v>
      </c>
      <c r="T263" s="67" t="s">
        <v>96</v>
      </c>
      <c r="U263" s="60" t="s">
        <v>96</v>
      </c>
      <c r="V263" s="60" t="s">
        <v>96</v>
      </c>
      <c r="W263" s="60" t="str" cm="1">
        <f t="array" ref="W263">_xlfn.LET(_xlpm.resultados,_xlfn.UNIQUE(_xlfn._xlws.FILTER(Tabla1[Proceso],(Tabla1[Metal Base]=Q263)*(Tabla1[Etiquetas]=_xlfn.TEXTJOIN(" + ",TRUE,IF((TRIM(Upload!R263:V263)="")+(LOWER(TRIM(Upload!R263:V263))="(seleccione)"),"",PROPER(TRIM(Upload!R263:V263)))))*(Tabla1[Línea2]=IFERROR(VLOOKUP(Upload!P263&amp;"*",CAT_Procesos!D:D,1,FALSE),"")))),_xlpm.cantidad,ROWS(_xlpm.resultados),IF(ISERROR(_xlpm.cantidad),"Combinación no existente",IF(_xlpm.cantidad=1,INDEX(_xlpm.resultados,1),"(seleccione)")))</f>
        <v>Combinación no existente</v>
      </c>
      <c r="X263" s="67" t="s">
        <v>96</v>
      </c>
      <c r="Y263" s="64"/>
      <c r="Z263" s="64"/>
      <c r="AA263" s="64"/>
      <c r="AB263" s="133" t="s">
        <v>96</v>
      </c>
      <c r="AC263" s="64"/>
      <c r="AD263" s="64"/>
      <c r="AE263" s="64"/>
      <c r="AF263" s="60" t="s">
        <v>96</v>
      </c>
      <c r="AG263" s="64"/>
      <c r="AH263" s="64"/>
      <c r="AI263" s="64"/>
      <c r="AJ263" s="68" t="s">
        <v>96</v>
      </c>
      <c r="AK263" s="69" t="str">
        <f t="shared" si="6"/>
        <v/>
      </c>
      <c r="AL263" s="70" t="s">
        <v>96</v>
      </c>
      <c r="AM263" s="69" t="str">
        <f t="shared" si="7"/>
        <v/>
      </c>
      <c r="AN263" s="71"/>
      <c r="AO263" s="71"/>
      <c r="AP263" s="71"/>
      <c r="AQ263" s="71"/>
      <c r="AR263" s="71" t="s">
        <v>96</v>
      </c>
      <c r="AS263" s="71"/>
      <c r="AT263" s="71" t="s">
        <v>96</v>
      </c>
      <c r="AU263" s="71"/>
      <c r="AV263" s="71" t="s">
        <v>95</v>
      </c>
      <c r="AW263" s="71"/>
      <c r="AX263" s="71"/>
      <c r="AY263" s="71"/>
      <c r="AZ263" s="71"/>
      <c r="BA263" s="71"/>
      <c r="BB263" s="70" t="s">
        <v>218</v>
      </c>
      <c r="BC263" s="70" t="s">
        <v>98</v>
      </c>
      <c r="BD263" s="72" t="str">
        <f>IF('Cálculo MP'!K273="","",'Cálculo MP'!K273)</f>
        <v/>
      </c>
      <c r="BE263" s="72" t="str">
        <f>IF('Cálculo MP'!L273="","",'Cálculo MP'!L273)</f>
        <v/>
      </c>
      <c r="BF263" s="72" t="str">
        <f>IF('Cálculo MP'!M273="","",'Cálculo MP'!M273)</f>
        <v/>
      </c>
      <c r="BG263" s="72" t="str">
        <f>IF('Cálculo MP'!N273="","",'Cálculo MP'!N273)</f>
        <v/>
      </c>
      <c r="BH263" s="72" t="str">
        <f>IF('Cálculo MP'!O273="","",'Cálculo MP'!O273)</f>
        <v/>
      </c>
      <c r="BI263" s="72" t="str">
        <f>IF('Cálculo MP'!P273="","",'Cálculo MP'!P273)</f>
        <v/>
      </c>
      <c r="BJ263" s="72" t="str">
        <f>IF('Cálculo MP'!Q273="","",'Cálculo MP'!Q273)</f>
        <v/>
      </c>
      <c r="BK263" s="72" t="str">
        <f>IF('Cálculo MP'!R273="","",'Cálculo MP'!R273)</f>
        <v/>
      </c>
      <c r="BL263" s="72" t="str">
        <f>IF('Cálculo MP'!S273="","",'Cálculo MP'!S273)</f>
        <v/>
      </c>
      <c r="BM263" s="71"/>
      <c r="BN263" s="71"/>
      <c r="BO263" s="71"/>
      <c r="BP263" s="71"/>
      <c r="BQ263" s="71"/>
      <c r="BR263" s="71"/>
      <c r="BS263" s="71"/>
    </row>
    <row r="264" spans="1:71" ht="19.5" customHeight="1" x14ac:dyDescent="0.15">
      <c r="A264" s="56" t="s">
        <v>985</v>
      </c>
      <c r="B264" s="57" t="s">
        <v>986</v>
      </c>
      <c r="C264" s="58" t="s">
        <v>985</v>
      </c>
      <c r="D264" s="59" t="s">
        <v>985</v>
      </c>
      <c r="E264" s="61"/>
      <c r="F264" s="60" t="s">
        <v>95</v>
      </c>
      <c r="G264" s="61"/>
      <c r="H264" s="62"/>
      <c r="I264" s="75"/>
      <c r="J264" s="60" t="s">
        <v>95</v>
      </c>
      <c r="K264" s="64"/>
      <c r="L264" s="64"/>
      <c r="M264" s="64" t="s">
        <v>96</v>
      </c>
      <c r="N264" s="64" t="s">
        <v>97</v>
      </c>
      <c r="O264" s="65" t="s">
        <v>986</v>
      </c>
      <c r="P264" s="70" t="s">
        <v>96</v>
      </c>
      <c r="Q264" s="60" t="s">
        <v>95</v>
      </c>
      <c r="R264" s="60" t="s">
        <v>96</v>
      </c>
      <c r="S264" s="66" t="s">
        <v>96</v>
      </c>
      <c r="T264" s="67" t="s">
        <v>96</v>
      </c>
      <c r="U264" s="60" t="s">
        <v>96</v>
      </c>
      <c r="V264" s="60" t="s">
        <v>96</v>
      </c>
      <c r="W264" s="60" t="str" cm="1">
        <f t="array" ref="W264">_xlfn.LET(_xlpm.resultados,_xlfn.UNIQUE(_xlfn._xlws.FILTER(Tabla1[Proceso],(Tabla1[Metal Base]=Q264)*(Tabla1[Etiquetas]=_xlfn.TEXTJOIN(" + ",TRUE,IF((TRIM(Upload!R264:V264)="")+(LOWER(TRIM(Upload!R264:V264))="(seleccione)"),"",PROPER(TRIM(Upload!R264:V264)))))*(Tabla1[Línea2]=IFERROR(VLOOKUP(Upload!P264&amp;"*",CAT_Procesos!D:D,1,FALSE),"")))),_xlpm.cantidad,ROWS(_xlpm.resultados),IF(ISERROR(_xlpm.cantidad),"Combinación no existente",IF(_xlpm.cantidad=1,INDEX(_xlpm.resultados,1),"(seleccione)")))</f>
        <v>Combinación no existente</v>
      </c>
      <c r="X264" s="67" t="s">
        <v>96</v>
      </c>
      <c r="Y264" s="64"/>
      <c r="Z264" s="64"/>
      <c r="AA264" s="64"/>
      <c r="AB264" s="133" t="s">
        <v>96</v>
      </c>
      <c r="AC264" s="64"/>
      <c r="AD264" s="64"/>
      <c r="AE264" s="64"/>
      <c r="AF264" s="60" t="s">
        <v>96</v>
      </c>
      <c r="AG264" s="64"/>
      <c r="AH264" s="64"/>
      <c r="AI264" s="64"/>
      <c r="AJ264" s="68" t="s">
        <v>96</v>
      </c>
      <c r="AK264" s="69" t="str">
        <f t="shared" si="6"/>
        <v/>
      </c>
      <c r="AL264" s="70" t="s">
        <v>96</v>
      </c>
      <c r="AM264" s="69" t="str">
        <f t="shared" si="7"/>
        <v/>
      </c>
      <c r="AN264" s="71"/>
      <c r="AO264" s="71"/>
      <c r="AP264" s="71"/>
      <c r="AQ264" s="71"/>
      <c r="AR264" s="71" t="s">
        <v>96</v>
      </c>
      <c r="AS264" s="71"/>
      <c r="AT264" s="71" t="s">
        <v>96</v>
      </c>
      <c r="AU264" s="71"/>
      <c r="AV264" s="71" t="s">
        <v>95</v>
      </c>
      <c r="AW264" s="71"/>
      <c r="AX264" s="71"/>
      <c r="AY264" s="71"/>
      <c r="AZ264" s="71"/>
      <c r="BA264" s="71"/>
      <c r="BB264" s="70" t="s">
        <v>218</v>
      </c>
      <c r="BC264" s="70" t="s">
        <v>98</v>
      </c>
      <c r="BD264" s="72" t="str">
        <f>IF('Cálculo MP'!K274="","",'Cálculo MP'!K274)</f>
        <v/>
      </c>
      <c r="BE264" s="72" t="str">
        <f>IF('Cálculo MP'!L274="","",'Cálculo MP'!L274)</f>
        <v/>
      </c>
      <c r="BF264" s="72" t="str">
        <f>IF('Cálculo MP'!M274="","",'Cálculo MP'!M274)</f>
        <v/>
      </c>
      <c r="BG264" s="72" t="str">
        <f>IF('Cálculo MP'!N274="","",'Cálculo MP'!N274)</f>
        <v/>
      </c>
      <c r="BH264" s="72" t="str">
        <f>IF('Cálculo MP'!O274="","",'Cálculo MP'!O274)</f>
        <v/>
      </c>
      <c r="BI264" s="72" t="str">
        <f>IF('Cálculo MP'!P274="","",'Cálculo MP'!P274)</f>
        <v/>
      </c>
      <c r="BJ264" s="72" t="str">
        <f>IF('Cálculo MP'!Q274="","",'Cálculo MP'!Q274)</f>
        <v/>
      </c>
      <c r="BK264" s="72" t="str">
        <f>IF('Cálculo MP'!R274="","",'Cálculo MP'!R274)</f>
        <v/>
      </c>
      <c r="BL264" s="72" t="str">
        <f>IF('Cálculo MP'!S274="","",'Cálculo MP'!S274)</f>
        <v/>
      </c>
      <c r="BM264" s="71"/>
      <c r="BN264" s="71"/>
      <c r="BO264" s="71"/>
      <c r="BP264" s="71"/>
      <c r="BQ264" s="71"/>
      <c r="BR264" s="71"/>
      <c r="BS264" s="71"/>
    </row>
    <row r="265" spans="1:71" ht="19.5" customHeight="1" x14ac:dyDescent="0.15">
      <c r="A265" s="56" t="s">
        <v>985</v>
      </c>
      <c r="B265" s="57" t="s">
        <v>986</v>
      </c>
      <c r="C265" s="58" t="s">
        <v>985</v>
      </c>
      <c r="D265" s="59" t="s">
        <v>985</v>
      </c>
      <c r="E265" s="61"/>
      <c r="F265" s="60" t="s">
        <v>95</v>
      </c>
      <c r="G265" s="61"/>
      <c r="H265" s="62"/>
      <c r="I265" s="75"/>
      <c r="J265" s="60" t="s">
        <v>95</v>
      </c>
      <c r="K265" s="64"/>
      <c r="L265" s="64"/>
      <c r="M265" s="64" t="s">
        <v>96</v>
      </c>
      <c r="N265" s="64" t="s">
        <v>97</v>
      </c>
      <c r="O265" s="65" t="s">
        <v>986</v>
      </c>
      <c r="P265" s="70" t="s">
        <v>96</v>
      </c>
      <c r="Q265" s="60" t="s">
        <v>95</v>
      </c>
      <c r="R265" s="60" t="s">
        <v>96</v>
      </c>
      <c r="S265" s="66" t="s">
        <v>96</v>
      </c>
      <c r="T265" s="67" t="s">
        <v>96</v>
      </c>
      <c r="U265" s="60" t="s">
        <v>96</v>
      </c>
      <c r="V265" s="60" t="s">
        <v>96</v>
      </c>
      <c r="W265" s="60" t="str" cm="1">
        <f t="array" ref="W265">_xlfn.LET(_xlpm.resultados,_xlfn.UNIQUE(_xlfn._xlws.FILTER(Tabla1[Proceso],(Tabla1[Metal Base]=Q265)*(Tabla1[Etiquetas]=_xlfn.TEXTJOIN(" + ",TRUE,IF((TRIM(Upload!R265:V265)="")+(LOWER(TRIM(Upload!R265:V265))="(seleccione)"),"",PROPER(TRIM(Upload!R265:V265)))))*(Tabla1[Línea2]=IFERROR(VLOOKUP(Upload!P265&amp;"*",CAT_Procesos!D:D,1,FALSE),"")))),_xlpm.cantidad,ROWS(_xlpm.resultados),IF(ISERROR(_xlpm.cantidad),"Combinación no existente",IF(_xlpm.cantidad=1,INDEX(_xlpm.resultados,1),"(seleccione)")))</f>
        <v>Combinación no existente</v>
      </c>
      <c r="X265" s="67" t="s">
        <v>96</v>
      </c>
      <c r="Y265" s="64"/>
      <c r="Z265" s="64"/>
      <c r="AA265" s="64"/>
      <c r="AB265" s="133" t="s">
        <v>96</v>
      </c>
      <c r="AC265" s="64"/>
      <c r="AD265" s="64"/>
      <c r="AE265" s="64"/>
      <c r="AF265" s="60" t="s">
        <v>96</v>
      </c>
      <c r="AG265" s="64"/>
      <c r="AH265" s="64"/>
      <c r="AI265" s="64"/>
      <c r="AJ265" s="68" t="s">
        <v>96</v>
      </c>
      <c r="AK265" s="69" t="str">
        <f t="shared" si="6"/>
        <v/>
      </c>
      <c r="AL265" s="70" t="s">
        <v>96</v>
      </c>
      <c r="AM265" s="69" t="str">
        <f t="shared" si="7"/>
        <v/>
      </c>
      <c r="AN265" s="71"/>
      <c r="AO265" s="71"/>
      <c r="AP265" s="71"/>
      <c r="AQ265" s="71"/>
      <c r="AR265" s="71" t="s">
        <v>96</v>
      </c>
      <c r="AS265" s="71"/>
      <c r="AT265" s="71" t="s">
        <v>96</v>
      </c>
      <c r="AU265" s="71"/>
      <c r="AV265" s="71" t="s">
        <v>95</v>
      </c>
      <c r="AW265" s="71"/>
      <c r="AX265" s="71"/>
      <c r="AY265" s="71"/>
      <c r="AZ265" s="71"/>
      <c r="BA265" s="71"/>
      <c r="BB265" s="70" t="s">
        <v>218</v>
      </c>
      <c r="BC265" s="70" t="s">
        <v>98</v>
      </c>
      <c r="BD265" s="72" t="str">
        <f>IF('Cálculo MP'!K275="","",'Cálculo MP'!K275)</f>
        <v/>
      </c>
      <c r="BE265" s="72" t="str">
        <f>IF('Cálculo MP'!L275="","",'Cálculo MP'!L275)</f>
        <v/>
      </c>
      <c r="BF265" s="72" t="str">
        <f>IF('Cálculo MP'!M275="","",'Cálculo MP'!M275)</f>
        <v/>
      </c>
      <c r="BG265" s="72" t="str">
        <f>IF('Cálculo MP'!N275="","",'Cálculo MP'!N275)</f>
        <v/>
      </c>
      <c r="BH265" s="72" t="str">
        <f>IF('Cálculo MP'!O275="","",'Cálculo MP'!O275)</f>
        <v/>
      </c>
      <c r="BI265" s="72" t="str">
        <f>IF('Cálculo MP'!P275="","",'Cálculo MP'!P275)</f>
        <v/>
      </c>
      <c r="BJ265" s="72" t="str">
        <f>IF('Cálculo MP'!Q275="","",'Cálculo MP'!Q275)</f>
        <v/>
      </c>
      <c r="BK265" s="72" t="str">
        <f>IF('Cálculo MP'!R275="","",'Cálculo MP'!R275)</f>
        <v/>
      </c>
      <c r="BL265" s="72" t="str">
        <f>IF('Cálculo MP'!S275="","",'Cálculo MP'!S275)</f>
        <v/>
      </c>
      <c r="BM265" s="71"/>
      <c r="BN265" s="71"/>
      <c r="BO265" s="71"/>
      <c r="BP265" s="71"/>
      <c r="BQ265" s="71"/>
      <c r="BR265" s="71"/>
      <c r="BS265" s="71"/>
    </row>
    <row r="266" spans="1:71" ht="19.5" customHeight="1" x14ac:dyDescent="0.15">
      <c r="A266" s="56" t="s">
        <v>985</v>
      </c>
      <c r="B266" s="57" t="s">
        <v>986</v>
      </c>
      <c r="C266" s="58" t="s">
        <v>985</v>
      </c>
      <c r="D266" s="59" t="s">
        <v>985</v>
      </c>
      <c r="E266" s="61"/>
      <c r="F266" s="60" t="s">
        <v>95</v>
      </c>
      <c r="G266" s="61"/>
      <c r="H266" s="62"/>
      <c r="I266" s="75"/>
      <c r="J266" s="60" t="s">
        <v>95</v>
      </c>
      <c r="K266" s="64"/>
      <c r="L266" s="64"/>
      <c r="M266" s="64" t="s">
        <v>96</v>
      </c>
      <c r="N266" s="64" t="s">
        <v>97</v>
      </c>
      <c r="O266" s="65" t="s">
        <v>986</v>
      </c>
      <c r="P266" s="70" t="s">
        <v>96</v>
      </c>
      <c r="Q266" s="60" t="s">
        <v>95</v>
      </c>
      <c r="R266" s="60" t="s">
        <v>96</v>
      </c>
      <c r="S266" s="66" t="s">
        <v>96</v>
      </c>
      <c r="T266" s="67" t="s">
        <v>96</v>
      </c>
      <c r="U266" s="60" t="s">
        <v>96</v>
      </c>
      <c r="V266" s="60" t="s">
        <v>96</v>
      </c>
      <c r="W266" s="60" t="str" cm="1">
        <f t="array" ref="W266">_xlfn.LET(_xlpm.resultados,_xlfn.UNIQUE(_xlfn._xlws.FILTER(Tabla1[Proceso],(Tabla1[Metal Base]=Q266)*(Tabla1[Etiquetas]=_xlfn.TEXTJOIN(" + ",TRUE,IF((TRIM(Upload!R266:V266)="")+(LOWER(TRIM(Upload!R266:V266))="(seleccione)"),"",PROPER(TRIM(Upload!R266:V266)))))*(Tabla1[Línea2]=IFERROR(VLOOKUP(Upload!P266&amp;"*",CAT_Procesos!D:D,1,FALSE),"")))),_xlpm.cantidad,ROWS(_xlpm.resultados),IF(ISERROR(_xlpm.cantidad),"Combinación no existente",IF(_xlpm.cantidad=1,INDEX(_xlpm.resultados,1),"(seleccione)")))</f>
        <v>Combinación no existente</v>
      </c>
      <c r="X266" s="67" t="s">
        <v>96</v>
      </c>
      <c r="Y266" s="64"/>
      <c r="Z266" s="64"/>
      <c r="AA266" s="64"/>
      <c r="AB266" s="133" t="s">
        <v>96</v>
      </c>
      <c r="AC266" s="64"/>
      <c r="AD266" s="64"/>
      <c r="AE266" s="64"/>
      <c r="AF266" s="60" t="s">
        <v>96</v>
      </c>
      <c r="AG266" s="64"/>
      <c r="AH266" s="64"/>
      <c r="AI266" s="64"/>
      <c r="AJ266" s="68" t="s">
        <v>96</v>
      </c>
      <c r="AK266" s="69" t="str">
        <f t="shared" ref="AK266:AK329" si="8">IFERROR(((VALUE(TRIM(LEFT(MID(AJ266,FIND("|",AJ266)+1,99),FIND("-",MID(AJ266,FIND("|",AJ266)+1,99))-1)))+VALUE(TRIM(SUBSTITUTE(SUBSTITUTE(SUBSTITUTE(SUBSTITUTE(SUBSTITUTE(MID(MID(AJ266,FIND("|",AJ266)+1,99),FIND("-",MID(AJ266,FIND("|",AJ266)+1,99))+1,20),"µm",""),"μm",""),"mils",""),"mil",""),"",""))))/2)*IF(ISNUMBER(SEARCH("mil",MID(AJ266,FIND("|",AJ266)+1,99))),25.4,1),"")</f>
        <v/>
      </c>
      <c r="AL266" s="70" t="s">
        <v>96</v>
      </c>
      <c r="AM266" s="69" t="str">
        <f t="shared" ref="AM266:AM329" si="9">IFERROR(((VALUE(TRIM(LEFT(MID(AL266,FIND("|",AL266)+1,99),FIND("-",MID(AL266,FIND("|",AL266)+1,99))-1)))+VALUE(TRIM(SUBSTITUTE(SUBSTITUTE(SUBSTITUTE(SUBSTITUTE(SUBSTITUTE(MID(MID(AL266,FIND("|",AL266)+1,99),FIND("-",MID(AL266,FIND("|",AL266)+1,99))+1,20),"µm",""),"μm",""),"mils",""),"mil",""),"",""))))/2)*IF(ISNUMBER(SEARCH("mil",MID(AL266,FIND("|",AL266)+1,99))),25.4,1),"")</f>
        <v/>
      </c>
      <c r="AN266" s="71"/>
      <c r="AO266" s="71"/>
      <c r="AP266" s="71"/>
      <c r="AQ266" s="71"/>
      <c r="AR266" s="71" t="s">
        <v>96</v>
      </c>
      <c r="AS266" s="71"/>
      <c r="AT266" s="71" t="s">
        <v>96</v>
      </c>
      <c r="AU266" s="71"/>
      <c r="AV266" s="71" t="s">
        <v>95</v>
      </c>
      <c r="AW266" s="71"/>
      <c r="AX266" s="71"/>
      <c r="AY266" s="71"/>
      <c r="AZ266" s="71"/>
      <c r="BA266" s="71"/>
      <c r="BB266" s="70" t="s">
        <v>218</v>
      </c>
      <c r="BC266" s="70" t="s">
        <v>98</v>
      </c>
      <c r="BD266" s="72" t="str">
        <f>IF('Cálculo MP'!K276="","",'Cálculo MP'!K276)</f>
        <v/>
      </c>
      <c r="BE266" s="72" t="str">
        <f>IF('Cálculo MP'!L276="","",'Cálculo MP'!L276)</f>
        <v/>
      </c>
      <c r="BF266" s="72" t="str">
        <f>IF('Cálculo MP'!M276="","",'Cálculo MP'!M276)</f>
        <v/>
      </c>
      <c r="BG266" s="72" t="str">
        <f>IF('Cálculo MP'!N276="","",'Cálculo MP'!N276)</f>
        <v/>
      </c>
      <c r="BH266" s="72" t="str">
        <f>IF('Cálculo MP'!O276="","",'Cálculo MP'!O276)</f>
        <v/>
      </c>
      <c r="BI266" s="72" t="str">
        <f>IF('Cálculo MP'!P276="","",'Cálculo MP'!P276)</f>
        <v/>
      </c>
      <c r="BJ266" s="72" t="str">
        <f>IF('Cálculo MP'!Q276="","",'Cálculo MP'!Q276)</f>
        <v/>
      </c>
      <c r="BK266" s="72" t="str">
        <f>IF('Cálculo MP'!R276="","",'Cálculo MP'!R276)</f>
        <v/>
      </c>
      <c r="BL266" s="72" t="str">
        <f>IF('Cálculo MP'!S276="","",'Cálculo MP'!S276)</f>
        <v/>
      </c>
      <c r="BM266" s="71"/>
      <c r="BN266" s="71"/>
      <c r="BO266" s="71"/>
      <c r="BP266" s="71"/>
      <c r="BQ266" s="71"/>
      <c r="BR266" s="71"/>
      <c r="BS266" s="71"/>
    </row>
    <row r="267" spans="1:71" ht="19.5" customHeight="1" x14ac:dyDescent="0.15">
      <c r="A267" s="56" t="s">
        <v>985</v>
      </c>
      <c r="B267" s="57" t="s">
        <v>986</v>
      </c>
      <c r="C267" s="58" t="s">
        <v>985</v>
      </c>
      <c r="D267" s="59" t="s">
        <v>985</v>
      </c>
      <c r="E267" s="61"/>
      <c r="F267" s="60" t="s">
        <v>95</v>
      </c>
      <c r="G267" s="61"/>
      <c r="H267" s="62"/>
      <c r="I267" s="75"/>
      <c r="J267" s="60" t="s">
        <v>95</v>
      </c>
      <c r="K267" s="64"/>
      <c r="L267" s="64"/>
      <c r="M267" s="64" t="s">
        <v>96</v>
      </c>
      <c r="N267" s="64" t="s">
        <v>97</v>
      </c>
      <c r="O267" s="65" t="s">
        <v>986</v>
      </c>
      <c r="P267" s="70" t="s">
        <v>96</v>
      </c>
      <c r="Q267" s="60" t="s">
        <v>95</v>
      </c>
      <c r="R267" s="60" t="s">
        <v>96</v>
      </c>
      <c r="S267" s="66" t="s">
        <v>96</v>
      </c>
      <c r="T267" s="67" t="s">
        <v>96</v>
      </c>
      <c r="U267" s="60" t="s">
        <v>96</v>
      </c>
      <c r="V267" s="60" t="s">
        <v>96</v>
      </c>
      <c r="W267" s="60" t="str" cm="1">
        <f t="array" ref="W267">_xlfn.LET(_xlpm.resultados,_xlfn.UNIQUE(_xlfn._xlws.FILTER(Tabla1[Proceso],(Tabla1[Metal Base]=Q267)*(Tabla1[Etiquetas]=_xlfn.TEXTJOIN(" + ",TRUE,IF((TRIM(Upload!R267:V267)="")+(LOWER(TRIM(Upload!R267:V267))="(seleccione)"),"",PROPER(TRIM(Upload!R267:V267)))))*(Tabla1[Línea2]=IFERROR(VLOOKUP(Upload!P267&amp;"*",CAT_Procesos!D:D,1,FALSE),"")))),_xlpm.cantidad,ROWS(_xlpm.resultados),IF(ISERROR(_xlpm.cantidad),"Combinación no existente",IF(_xlpm.cantidad=1,INDEX(_xlpm.resultados,1),"(seleccione)")))</f>
        <v>Combinación no existente</v>
      </c>
      <c r="X267" s="67" t="s">
        <v>96</v>
      </c>
      <c r="Y267" s="64"/>
      <c r="Z267" s="64"/>
      <c r="AA267" s="64"/>
      <c r="AB267" s="133" t="s">
        <v>96</v>
      </c>
      <c r="AC267" s="64"/>
      <c r="AD267" s="64"/>
      <c r="AE267" s="64"/>
      <c r="AF267" s="60" t="s">
        <v>96</v>
      </c>
      <c r="AG267" s="64"/>
      <c r="AH267" s="64"/>
      <c r="AI267" s="64"/>
      <c r="AJ267" s="68" t="s">
        <v>96</v>
      </c>
      <c r="AK267" s="69" t="str">
        <f t="shared" si="8"/>
        <v/>
      </c>
      <c r="AL267" s="70" t="s">
        <v>96</v>
      </c>
      <c r="AM267" s="69" t="str">
        <f t="shared" si="9"/>
        <v/>
      </c>
      <c r="AN267" s="71"/>
      <c r="AO267" s="71"/>
      <c r="AP267" s="71"/>
      <c r="AQ267" s="71"/>
      <c r="AR267" s="71" t="s">
        <v>96</v>
      </c>
      <c r="AS267" s="71"/>
      <c r="AT267" s="71" t="s">
        <v>96</v>
      </c>
      <c r="AU267" s="71"/>
      <c r="AV267" s="71" t="s">
        <v>95</v>
      </c>
      <c r="AW267" s="71"/>
      <c r="AX267" s="71"/>
      <c r="AY267" s="71"/>
      <c r="AZ267" s="71"/>
      <c r="BA267" s="71"/>
      <c r="BB267" s="70" t="s">
        <v>218</v>
      </c>
      <c r="BC267" s="70" t="s">
        <v>98</v>
      </c>
      <c r="BD267" s="72" t="str">
        <f>IF('Cálculo MP'!K277="","",'Cálculo MP'!K277)</f>
        <v/>
      </c>
      <c r="BE267" s="72" t="str">
        <f>IF('Cálculo MP'!L277="","",'Cálculo MP'!L277)</f>
        <v/>
      </c>
      <c r="BF267" s="72" t="str">
        <f>IF('Cálculo MP'!M277="","",'Cálculo MP'!M277)</f>
        <v/>
      </c>
      <c r="BG267" s="72" t="str">
        <f>IF('Cálculo MP'!N277="","",'Cálculo MP'!N277)</f>
        <v/>
      </c>
      <c r="BH267" s="72" t="str">
        <f>IF('Cálculo MP'!O277="","",'Cálculo MP'!O277)</f>
        <v/>
      </c>
      <c r="BI267" s="72" t="str">
        <f>IF('Cálculo MP'!P277="","",'Cálculo MP'!P277)</f>
        <v/>
      </c>
      <c r="BJ267" s="72" t="str">
        <f>IF('Cálculo MP'!Q277="","",'Cálculo MP'!Q277)</f>
        <v/>
      </c>
      <c r="BK267" s="72" t="str">
        <f>IF('Cálculo MP'!R277="","",'Cálculo MP'!R277)</f>
        <v/>
      </c>
      <c r="BL267" s="72" t="str">
        <f>IF('Cálculo MP'!S277="","",'Cálculo MP'!S277)</f>
        <v/>
      </c>
      <c r="BM267" s="71"/>
      <c r="BN267" s="71"/>
      <c r="BO267" s="71"/>
      <c r="BP267" s="71"/>
      <c r="BQ267" s="71"/>
      <c r="BR267" s="71"/>
      <c r="BS267" s="71"/>
    </row>
    <row r="268" spans="1:71" ht="19.5" customHeight="1" x14ac:dyDescent="0.15">
      <c r="A268" s="56" t="s">
        <v>985</v>
      </c>
      <c r="B268" s="57" t="s">
        <v>986</v>
      </c>
      <c r="C268" s="58" t="s">
        <v>985</v>
      </c>
      <c r="D268" s="59" t="s">
        <v>985</v>
      </c>
      <c r="E268" s="61"/>
      <c r="F268" s="60" t="s">
        <v>95</v>
      </c>
      <c r="G268" s="61"/>
      <c r="H268" s="62"/>
      <c r="I268" s="75"/>
      <c r="J268" s="60" t="s">
        <v>95</v>
      </c>
      <c r="K268" s="64"/>
      <c r="L268" s="64"/>
      <c r="M268" s="64" t="s">
        <v>96</v>
      </c>
      <c r="N268" s="64" t="s">
        <v>97</v>
      </c>
      <c r="O268" s="65" t="s">
        <v>986</v>
      </c>
      <c r="P268" s="70" t="s">
        <v>96</v>
      </c>
      <c r="Q268" s="60" t="s">
        <v>95</v>
      </c>
      <c r="R268" s="60" t="s">
        <v>96</v>
      </c>
      <c r="S268" s="66" t="s">
        <v>96</v>
      </c>
      <c r="T268" s="67" t="s">
        <v>96</v>
      </c>
      <c r="U268" s="60" t="s">
        <v>96</v>
      </c>
      <c r="V268" s="60" t="s">
        <v>96</v>
      </c>
      <c r="W268" s="60" t="str" cm="1">
        <f t="array" ref="W268">_xlfn.LET(_xlpm.resultados,_xlfn.UNIQUE(_xlfn._xlws.FILTER(Tabla1[Proceso],(Tabla1[Metal Base]=Q268)*(Tabla1[Etiquetas]=_xlfn.TEXTJOIN(" + ",TRUE,IF((TRIM(Upload!R268:V268)="")+(LOWER(TRIM(Upload!R268:V268))="(seleccione)"),"",PROPER(TRIM(Upload!R268:V268)))))*(Tabla1[Línea2]=IFERROR(VLOOKUP(Upload!P268&amp;"*",CAT_Procesos!D:D,1,FALSE),"")))),_xlpm.cantidad,ROWS(_xlpm.resultados),IF(ISERROR(_xlpm.cantidad),"Combinación no existente",IF(_xlpm.cantidad=1,INDEX(_xlpm.resultados,1),"(seleccione)")))</f>
        <v>Combinación no existente</v>
      </c>
      <c r="X268" s="67" t="s">
        <v>96</v>
      </c>
      <c r="Y268" s="64"/>
      <c r="Z268" s="64"/>
      <c r="AA268" s="64"/>
      <c r="AB268" s="133" t="s">
        <v>96</v>
      </c>
      <c r="AC268" s="64"/>
      <c r="AD268" s="64"/>
      <c r="AE268" s="64"/>
      <c r="AF268" s="60" t="s">
        <v>96</v>
      </c>
      <c r="AG268" s="64"/>
      <c r="AH268" s="64"/>
      <c r="AI268" s="64"/>
      <c r="AJ268" s="68" t="s">
        <v>96</v>
      </c>
      <c r="AK268" s="69" t="str">
        <f t="shared" si="8"/>
        <v/>
      </c>
      <c r="AL268" s="70" t="s">
        <v>96</v>
      </c>
      <c r="AM268" s="69" t="str">
        <f t="shared" si="9"/>
        <v/>
      </c>
      <c r="AN268" s="71"/>
      <c r="AO268" s="71"/>
      <c r="AP268" s="71"/>
      <c r="AQ268" s="71"/>
      <c r="AR268" s="71" t="s">
        <v>96</v>
      </c>
      <c r="AS268" s="71"/>
      <c r="AT268" s="71" t="s">
        <v>96</v>
      </c>
      <c r="AU268" s="71"/>
      <c r="AV268" s="71" t="s">
        <v>95</v>
      </c>
      <c r="AW268" s="71"/>
      <c r="AX268" s="71"/>
      <c r="AY268" s="71"/>
      <c r="AZ268" s="71"/>
      <c r="BA268" s="71"/>
      <c r="BB268" s="70" t="s">
        <v>218</v>
      </c>
      <c r="BC268" s="70" t="s">
        <v>98</v>
      </c>
      <c r="BD268" s="72" t="str">
        <f>IF('Cálculo MP'!K278="","",'Cálculo MP'!K278)</f>
        <v/>
      </c>
      <c r="BE268" s="72" t="str">
        <f>IF('Cálculo MP'!L278="","",'Cálculo MP'!L278)</f>
        <v/>
      </c>
      <c r="BF268" s="72" t="str">
        <f>IF('Cálculo MP'!M278="","",'Cálculo MP'!M278)</f>
        <v/>
      </c>
      <c r="BG268" s="72" t="str">
        <f>IF('Cálculo MP'!N278="","",'Cálculo MP'!N278)</f>
        <v/>
      </c>
      <c r="BH268" s="72" t="str">
        <f>IF('Cálculo MP'!O278="","",'Cálculo MP'!O278)</f>
        <v/>
      </c>
      <c r="BI268" s="72" t="str">
        <f>IF('Cálculo MP'!P278="","",'Cálculo MP'!P278)</f>
        <v/>
      </c>
      <c r="BJ268" s="72" t="str">
        <f>IF('Cálculo MP'!Q278="","",'Cálculo MP'!Q278)</f>
        <v/>
      </c>
      <c r="BK268" s="72" t="str">
        <f>IF('Cálculo MP'!R278="","",'Cálculo MP'!R278)</f>
        <v/>
      </c>
      <c r="BL268" s="72" t="str">
        <f>IF('Cálculo MP'!S278="","",'Cálculo MP'!S278)</f>
        <v/>
      </c>
      <c r="BM268" s="71"/>
      <c r="BN268" s="71"/>
      <c r="BO268" s="71"/>
      <c r="BP268" s="71"/>
      <c r="BQ268" s="71"/>
      <c r="BR268" s="71"/>
      <c r="BS268" s="71"/>
    </row>
    <row r="269" spans="1:71" ht="19.5" customHeight="1" x14ac:dyDescent="0.15">
      <c r="A269" s="56" t="s">
        <v>985</v>
      </c>
      <c r="B269" s="57" t="s">
        <v>986</v>
      </c>
      <c r="C269" s="58" t="s">
        <v>985</v>
      </c>
      <c r="D269" s="59" t="s">
        <v>985</v>
      </c>
      <c r="E269" s="61"/>
      <c r="F269" s="60" t="s">
        <v>95</v>
      </c>
      <c r="G269" s="61"/>
      <c r="H269" s="62"/>
      <c r="I269" s="75"/>
      <c r="J269" s="60" t="s">
        <v>95</v>
      </c>
      <c r="K269" s="64"/>
      <c r="L269" s="64"/>
      <c r="M269" s="64" t="s">
        <v>96</v>
      </c>
      <c r="N269" s="64" t="s">
        <v>97</v>
      </c>
      <c r="O269" s="65" t="s">
        <v>986</v>
      </c>
      <c r="P269" s="70" t="s">
        <v>96</v>
      </c>
      <c r="Q269" s="60" t="s">
        <v>95</v>
      </c>
      <c r="R269" s="60" t="s">
        <v>96</v>
      </c>
      <c r="S269" s="66" t="s">
        <v>96</v>
      </c>
      <c r="T269" s="67" t="s">
        <v>96</v>
      </c>
      <c r="U269" s="60" t="s">
        <v>96</v>
      </c>
      <c r="V269" s="60" t="s">
        <v>96</v>
      </c>
      <c r="W269" s="60" t="str" cm="1">
        <f t="array" ref="W269">_xlfn.LET(_xlpm.resultados,_xlfn.UNIQUE(_xlfn._xlws.FILTER(Tabla1[Proceso],(Tabla1[Metal Base]=Q269)*(Tabla1[Etiquetas]=_xlfn.TEXTJOIN(" + ",TRUE,IF((TRIM(Upload!R269:V269)="")+(LOWER(TRIM(Upload!R269:V269))="(seleccione)"),"",PROPER(TRIM(Upload!R269:V269)))))*(Tabla1[Línea2]=IFERROR(VLOOKUP(Upload!P269&amp;"*",CAT_Procesos!D:D,1,FALSE),"")))),_xlpm.cantidad,ROWS(_xlpm.resultados),IF(ISERROR(_xlpm.cantidad),"Combinación no existente",IF(_xlpm.cantidad=1,INDEX(_xlpm.resultados,1),"(seleccione)")))</f>
        <v>Combinación no existente</v>
      </c>
      <c r="X269" s="67" t="s">
        <v>96</v>
      </c>
      <c r="Y269" s="64"/>
      <c r="Z269" s="64"/>
      <c r="AA269" s="64"/>
      <c r="AB269" s="133" t="s">
        <v>96</v>
      </c>
      <c r="AC269" s="64"/>
      <c r="AD269" s="64"/>
      <c r="AE269" s="64"/>
      <c r="AF269" s="60" t="s">
        <v>96</v>
      </c>
      <c r="AG269" s="64"/>
      <c r="AH269" s="64"/>
      <c r="AI269" s="64"/>
      <c r="AJ269" s="68" t="s">
        <v>96</v>
      </c>
      <c r="AK269" s="69" t="str">
        <f t="shared" si="8"/>
        <v/>
      </c>
      <c r="AL269" s="70" t="s">
        <v>96</v>
      </c>
      <c r="AM269" s="69" t="str">
        <f t="shared" si="9"/>
        <v/>
      </c>
      <c r="AN269" s="71"/>
      <c r="AO269" s="71"/>
      <c r="AP269" s="71"/>
      <c r="AQ269" s="71"/>
      <c r="AR269" s="71" t="s">
        <v>96</v>
      </c>
      <c r="AS269" s="71"/>
      <c r="AT269" s="71" t="s">
        <v>96</v>
      </c>
      <c r="AU269" s="71"/>
      <c r="AV269" s="71" t="s">
        <v>95</v>
      </c>
      <c r="AW269" s="71"/>
      <c r="AX269" s="71"/>
      <c r="AY269" s="71"/>
      <c r="AZ269" s="71"/>
      <c r="BA269" s="71"/>
      <c r="BB269" s="70" t="s">
        <v>218</v>
      </c>
      <c r="BC269" s="70" t="s">
        <v>98</v>
      </c>
      <c r="BD269" s="72" t="str">
        <f>IF('Cálculo MP'!K279="","",'Cálculo MP'!K279)</f>
        <v/>
      </c>
      <c r="BE269" s="72" t="str">
        <f>IF('Cálculo MP'!L279="","",'Cálculo MP'!L279)</f>
        <v/>
      </c>
      <c r="BF269" s="72" t="str">
        <f>IF('Cálculo MP'!M279="","",'Cálculo MP'!M279)</f>
        <v/>
      </c>
      <c r="BG269" s="72" t="str">
        <f>IF('Cálculo MP'!N279="","",'Cálculo MP'!N279)</f>
        <v/>
      </c>
      <c r="BH269" s="72" t="str">
        <f>IF('Cálculo MP'!O279="","",'Cálculo MP'!O279)</f>
        <v/>
      </c>
      <c r="BI269" s="72" t="str">
        <f>IF('Cálculo MP'!P279="","",'Cálculo MP'!P279)</f>
        <v/>
      </c>
      <c r="BJ269" s="72" t="str">
        <f>IF('Cálculo MP'!Q279="","",'Cálculo MP'!Q279)</f>
        <v/>
      </c>
      <c r="BK269" s="72" t="str">
        <f>IF('Cálculo MP'!R279="","",'Cálculo MP'!R279)</f>
        <v/>
      </c>
      <c r="BL269" s="72" t="str">
        <f>IF('Cálculo MP'!S279="","",'Cálculo MP'!S279)</f>
        <v/>
      </c>
      <c r="BM269" s="71"/>
      <c r="BN269" s="71"/>
      <c r="BO269" s="71"/>
      <c r="BP269" s="71"/>
      <c r="BQ269" s="71"/>
      <c r="BR269" s="71"/>
      <c r="BS269" s="71"/>
    </row>
    <row r="270" spans="1:71" ht="19.5" customHeight="1" x14ac:dyDescent="0.15">
      <c r="A270" s="56" t="s">
        <v>985</v>
      </c>
      <c r="B270" s="57" t="s">
        <v>986</v>
      </c>
      <c r="C270" s="58" t="s">
        <v>985</v>
      </c>
      <c r="D270" s="59" t="s">
        <v>985</v>
      </c>
      <c r="E270" s="61"/>
      <c r="F270" s="60" t="s">
        <v>95</v>
      </c>
      <c r="G270" s="61"/>
      <c r="H270" s="62"/>
      <c r="I270" s="75"/>
      <c r="J270" s="60" t="s">
        <v>95</v>
      </c>
      <c r="K270" s="64"/>
      <c r="L270" s="64"/>
      <c r="M270" s="64" t="s">
        <v>96</v>
      </c>
      <c r="N270" s="64" t="s">
        <v>97</v>
      </c>
      <c r="O270" s="65" t="s">
        <v>986</v>
      </c>
      <c r="P270" s="70" t="s">
        <v>96</v>
      </c>
      <c r="Q270" s="60" t="s">
        <v>95</v>
      </c>
      <c r="R270" s="60" t="s">
        <v>96</v>
      </c>
      <c r="S270" s="66" t="s">
        <v>96</v>
      </c>
      <c r="T270" s="67" t="s">
        <v>96</v>
      </c>
      <c r="U270" s="60" t="s">
        <v>96</v>
      </c>
      <c r="V270" s="60" t="s">
        <v>96</v>
      </c>
      <c r="W270" s="60" t="str" cm="1">
        <f t="array" ref="W270">_xlfn.LET(_xlpm.resultados,_xlfn.UNIQUE(_xlfn._xlws.FILTER(Tabla1[Proceso],(Tabla1[Metal Base]=Q270)*(Tabla1[Etiquetas]=_xlfn.TEXTJOIN(" + ",TRUE,IF((TRIM(Upload!R270:V270)="")+(LOWER(TRIM(Upload!R270:V270))="(seleccione)"),"",PROPER(TRIM(Upload!R270:V270)))))*(Tabla1[Línea2]=IFERROR(VLOOKUP(Upload!P270&amp;"*",CAT_Procesos!D:D,1,FALSE),"")))),_xlpm.cantidad,ROWS(_xlpm.resultados),IF(ISERROR(_xlpm.cantidad),"Combinación no existente",IF(_xlpm.cantidad=1,INDEX(_xlpm.resultados,1),"(seleccione)")))</f>
        <v>Combinación no existente</v>
      </c>
      <c r="X270" s="67" t="s">
        <v>96</v>
      </c>
      <c r="Y270" s="64"/>
      <c r="Z270" s="64"/>
      <c r="AA270" s="64"/>
      <c r="AB270" s="133" t="s">
        <v>96</v>
      </c>
      <c r="AC270" s="64"/>
      <c r="AD270" s="64"/>
      <c r="AE270" s="64"/>
      <c r="AF270" s="60" t="s">
        <v>96</v>
      </c>
      <c r="AG270" s="64"/>
      <c r="AH270" s="64"/>
      <c r="AI270" s="64"/>
      <c r="AJ270" s="68" t="s">
        <v>96</v>
      </c>
      <c r="AK270" s="69" t="str">
        <f t="shared" si="8"/>
        <v/>
      </c>
      <c r="AL270" s="70" t="s">
        <v>96</v>
      </c>
      <c r="AM270" s="69" t="str">
        <f t="shared" si="9"/>
        <v/>
      </c>
      <c r="AN270" s="71"/>
      <c r="AO270" s="71"/>
      <c r="AP270" s="71"/>
      <c r="AQ270" s="71"/>
      <c r="AR270" s="71" t="s">
        <v>96</v>
      </c>
      <c r="AS270" s="71"/>
      <c r="AT270" s="71" t="s">
        <v>96</v>
      </c>
      <c r="AU270" s="71"/>
      <c r="AV270" s="71" t="s">
        <v>95</v>
      </c>
      <c r="AW270" s="71"/>
      <c r="AX270" s="71"/>
      <c r="AY270" s="71"/>
      <c r="AZ270" s="71"/>
      <c r="BA270" s="71"/>
      <c r="BB270" s="70" t="s">
        <v>218</v>
      </c>
      <c r="BC270" s="70" t="s">
        <v>98</v>
      </c>
      <c r="BD270" s="72" t="str">
        <f>IF('Cálculo MP'!K280="","",'Cálculo MP'!K280)</f>
        <v/>
      </c>
      <c r="BE270" s="72" t="str">
        <f>IF('Cálculo MP'!L280="","",'Cálculo MP'!L280)</f>
        <v/>
      </c>
      <c r="BF270" s="72" t="str">
        <f>IF('Cálculo MP'!M280="","",'Cálculo MP'!M280)</f>
        <v/>
      </c>
      <c r="BG270" s="72" t="str">
        <f>IF('Cálculo MP'!N280="","",'Cálculo MP'!N280)</f>
        <v/>
      </c>
      <c r="BH270" s="72" t="str">
        <f>IF('Cálculo MP'!O280="","",'Cálculo MP'!O280)</f>
        <v/>
      </c>
      <c r="BI270" s="72" t="str">
        <f>IF('Cálculo MP'!P280="","",'Cálculo MP'!P280)</f>
        <v/>
      </c>
      <c r="BJ270" s="72" t="str">
        <f>IF('Cálculo MP'!Q280="","",'Cálculo MP'!Q280)</f>
        <v/>
      </c>
      <c r="BK270" s="72" t="str">
        <f>IF('Cálculo MP'!R280="","",'Cálculo MP'!R280)</f>
        <v/>
      </c>
      <c r="BL270" s="72" t="str">
        <f>IF('Cálculo MP'!S280="","",'Cálculo MP'!S280)</f>
        <v/>
      </c>
      <c r="BM270" s="71"/>
      <c r="BN270" s="71"/>
      <c r="BO270" s="71"/>
      <c r="BP270" s="71"/>
      <c r="BQ270" s="71"/>
      <c r="BR270" s="71"/>
      <c r="BS270" s="71"/>
    </row>
    <row r="271" spans="1:71" ht="19.5" customHeight="1" x14ac:dyDescent="0.15">
      <c r="A271" s="56" t="s">
        <v>985</v>
      </c>
      <c r="B271" s="57" t="s">
        <v>986</v>
      </c>
      <c r="C271" s="58" t="s">
        <v>985</v>
      </c>
      <c r="D271" s="59" t="s">
        <v>985</v>
      </c>
      <c r="E271" s="61"/>
      <c r="F271" s="60" t="s">
        <v>95</v>
      </c>
      <c r="G271" s="61"/>
      <c r="H271" s="62"/>
      <c r="I271" s="75"/>
      <c r="J271" s="60" t="s">
        <v>95</v>
      </c>
      <c r="K271" s="64"/>
      <c r="L271" s="64"/>
      <c r="M271" s="64" t="s">
        <v>96</v>
      </c>
      <c r="N271" s="64" t="s">
        <v>97</v>
      </c>
      <c r="O271" s="65" t="s">
        <v>986</v>
      </c>
      <c r="P271" s="70" t="s">
        <v>96</v>
      </c>
      <c r="Q271" s="60" t="s">
        <v>95</v>
      </c>
      <c r="R271" s="60" t="s">
        <v>96</v>
      </c>
      <c r="S271" s="66" t="s">
        <v>96</v>
      </c>
      <c r="T271" s="67" t="s">
        <v>96</v>
      </c>
      <c r="U271" s="60" t="s">
        <v>96</v>
      </c>
      <c r="V271" s="60" t="s">
        <v>96</v>
      </c>
      <c r="W271" s="60" t="str" cm="1">
        <f t="array" ref="W271">_xlfn.LET(_xlpm.resultados,_xlfn.UNIQUE(_xlfn._xlws.FILTER(Tabla1[Proceso],(Tabla1[Metal Base]=Q271)*(Tabla1[Etiquetas]=_xlfn.TEXTJOIN(" + ",TRUE,IF((TRIM(Upload!R271:V271)="")+(LOWER(TRIM(Upload!R271:V271))="(seleccione)"),"",PROPER(TRIM(Upload!R271:V271)))))*(Tabla1[Línea2]=IFERROR(VLOOKUP(Upload!P271&amp;"*",CAT_Procesos!D:D,1,FALSE),"")))),_xlpm.cantidad,ROWS(_xlpm.resultados),IF(ISERROR(_xlpm.cantidad),"Combinación no existente",IF(_xlpm.cantidad=1,INDEX(_xlpm.resultados,1),"(seleccione)")))</f>
        <v>Combinación no existente</v>
      </c>
      <c r="X271" s="67" t="s">
        <v>96</v>
      </c>
      <c r="Y271" s="64"/>
      <c r="Z271" s="64"/>
      <c r="AA271" s="64"/>
      <c r="AB271" s="133" t="s">
        <v>96</v>
      </c>
      <c r="AC271" s="64"/>
      <c r="AD271" s="64"/>
      <c r="AE271" s="64"/>
      <c r="AF271" s="60" t="s">
        <v>96</v>
      </c>
      <c r="AG271" s="64"/>
      <c r="AH271" s="64"/>
      <c r="AI271" s="64"/>
      <c r="AJ271" s="68" t="s">
        <v>96</v>
      </c>
      <c r="AK271" s="69" t="str">
        <f t="shared" si="8"/>
        <v/>
      </c>
      <c r="AL271" s="70" t="s">
        <v>96</v>
      </c>
      <c r="AM271" s="69" t="str">
        <f t="shared" si="9"/>
        <v/>
      </c>
      <c r="AN271" s="71"/>
      <c r="AO271" s="71"/>
      <c r="AP271" s="71"/>
      <c r="AQ271" s="71"/>
      <c r="AR271" s="71" t="s">
        <v>96</v>
      </c>
      <c r="AS271" s="71"/>
      <c r="AT271" s="71" t="s">
        <v>96</v>
      </c>
      <c r="AU271" s="71"/>
      <c r="AV271" s="71" t="s">
        <v>95</v>
      </c>
      <c r="AW271" s="71"/>
      <c r="AX271" s="71"/>
      <c r="AY271" s="71"/>
      <c r="AZ271" s="71"/>
      <c r="BA271" s="71"/>
      <c r="BB271" s="70" t="s">
        <v>218</v>
      </c>
      <c r="BC271" s="70" t="s">
        <v>98</v>
      </c>
      <c r="BD271" s="72" t="str">
        <f>IF('Cálculo MP'!K281="","",'Cálculo MP'!K281)</f>
        <v/>
      </c>
      <c r="BE271" s="72" t="str">
        <f>IF('Cálculo MP'!L281="","",'Cálculo MP'!L281)</f>
        <v/>
      </c>
      <c r="BF271" s="72" t="str">
        <f>IF('Cálculo MP'!M281="","",'Cálculo MP'!M281)</f>
        <v/>
      </c>
      <c r="BG271" s="72" t="str">
        <f>IF('Cálculo MP'!N281="","",'Cálculo MP'!N281)</f>
        <v/>
      </c>
      <c r="BH271" s="72" t="str">
        <f>IF('Cálculo MP'!O281="","",'Cálculo MP'!O281)</f>
        <v/>
      </c>
      <c r="BI271" s="72" t="str">
        <f>IF('Cálculo MP'!P281="","",'Cálculo MP'!P281)</f>
        <v/>
      </c>
      <c r="BJ271" s="72" t="str">
        <f>IF('Cálculo MP'!Q281="","",'Cálculo MP'!Q281)</f>
        <v/>
      </c>
      <c r="BK271" s="72" t="str">
        <f>IF('Cálculo MP'!R281="","",'Cálculo MP'!R281)</f>
        <v/>
      </c>
      <c r="BL271" s="72" t="str">
        <f>IF('Cálculo MP'!S281="","",'Cálculo MP'!S281)</f>
        <v/>
      </c>
      <c r="BM271" s="71"/>
      <c r="BN271" s="71"/>
      <c r="BO271" s="71"/>
      <c r="BP271" s="71"/>
      <c r="BQ271" s="71"/>
      <c r="BR271" s="71"/>
      <c r="BS271" s="71"/>
    </row>
    <row r="272" spans="1:71" ht="19.5" customHeight="1" x14ac:dyDescent="0.15">
      <c r="A272" s="56" t="s">
        <v>985</v>
      </c>
      <c r="B272" s="57" t="s">
        <v>986</v>
      </c>
      <c r="C272" s="58" t="s">
        <v>985</v>
      </c>
      <c r="D272" s="59" t="s">
        <v>985</v>
      </c>
      <c r="E272" s="61"/>
      <c r="F272" s="60" t="s">
        <v>95</v>
      </c>
      <c r="G272" s="61"/>
      <c r="H272" s="62"/>
      <c r="I272" s="75"/>
      <c r="J272" s="60" t="s">
        <v>95</v>
      </c>
      <c r="K272" s="64"/>
      <c r="L272" s="64"/>
      <c r="M272" s="64" t="s">
        <v>96</v>
      </c>
      <c r="N272" s="64" t="s">
        <v>97</v>
      </c>
      <c r="O272" s="65" t="s">
        <v>986</v>
      </c>
      <c r="P272" s="70" t="s">
        <v>96</v>
      </c>
      <c r="Q272" s="60" t="s">
        <v>95</v>
      </c>
      <c r="R272" s="60" t="s">
        <v>96</v>
      </c>
      <c r="S272" s="66" t="s">
        <v>96</v>
      </c>
      <c r="T272" s="67" t="s">
        <v>96</v>
      </c>
      <c r="U272" s="60" t="s">
        <v>96</v>
      </c>
      <c r="V272" s="60" t="s">
        <v>96</v>
      </c>
      <c r="W272" s="60" t="str" cm="1">
        <f t="array" ref="W272">_xlfn.LET(_xlpm.resultados,_xlfn.UNIQUE(_xlfn._xlws.FILTER(Tabla1[Proceso],(Tabla1[Metal Base]=Q272)*(Tabla1[Etiquetas]=_xlfn.TEXTJOIN(" + ",TRUE,IF((TRIM(Upload!R272:V272)="")+(LOWER(TRIM(Upload!R272:V272))="(seleccione)"),"",PROPER(TRIM(Upload!R272:V272)))))*(Tabla1[Línea2]=IFERROR(VLOOKUP(Upload!P272&amp;"*",CAT_Procesos!D:D,1,FALSE),"")))),_xlpm.cantidad,ROWS(_xlpm.resultados),IF(ISERROR(_xlpm.cantidad),"Combinación no existente",IF(_xlpm.cantidad=1,INDEX(_xlpm.resultados,1),"(seleccione)")))</f>
        <v>Combinación no existente</v>
      </c>
      <c r="X272" s="67" t="s">
        <v>96</v>
      </c>
      <c r="Y272" s="64"/>
      <c r="Z272" s="64"/>
      <c r="AA272" s="64"/>
      <c r="AB272" s="133" t="s">
        <v>96</v>
      </c>
      <c r="AC272" s="64"/>
      <c r="AD272" s="64"/>
      <c r="AE272" s="64"/>
      <c r="AF272" s="60" t="s">
        <v>96</v>
      </c>
      <c r="AG272" s="64"/>
      <c r="AH272" s="64"/>
      <c r="AI272" s="64"/>
      <c r="AJ272" s="68" t="s">
        <v>96</v>
      </c>
      <c r="AK272" s="69" t="str">
        <f t="shared" si="8"/>
        <v/>
      </c>
      <c r="AL272" s="70" t="s">
        <v>96</v>
      </c>
      <c r="AM272" s="69" t="str">
        <f t="shared" si="9"/>
        <v/>
      </c>
      <c r="AN272" s="71"/>
      <c r="AO272" s="71"/>
      <c r="AP272" s="71"/>
      <c r="AQ272" s="71"/>
      <c r="AR272" s="71" t="s">
        <v>96</v>
      </c>
      <c r="AS272" s="71"/>
      <c r="AT272" s="71" t="s">
        <v>96</v>
      </c>
      <c r="AU272" s="71"/>
      <c r="AV272" s="71" t="s">
        <v>95</v>
      </c>
      <c r="AW272" s="71"/>
      <c r="AX272" s="71"/>
      <c r="AY272" s="71"/>
      <c r="AZ272" s="71"/>
      <c r="BA272" s="71"/>
      <c r="BB272" s="70" t="s">
        <v>218</v>
      </c>
      <c r="BC272" s="70" t="s">
        <v>98</v>
      </c>
      <c r="BD272" s="72" t="str">
        <f>IF('Cálculo MP'!K282="","",'Cálculo MP'!K282)</f>
        <v/>
      </c>
      <c r="BE272" s="72" t="str">
        <f>IF('Cálculo MP'!L282="","",'Cálculo MP'!L282)</f>
        <v/>
      </c>
      <c r="BF272" s="72" t="str">
        <f>IF('Cálculo MP'!M282="","",'Cálculo MP'!M282)</f>
        <v/>
      </c>
      <c r="BG272" s="72" t="str">
        <f>IF('Cálculo MP'!N282="","",'Cálculo MP'!N282)</f>
        <v/>
      </c>
      <c r="BH272" s="72" t="str">
        <f>IF('Cálculo MP'!O282="","",'Cálculo MP'!O282)</f>
        <v/>
      </c>
      <c r="BI272" s="72" t="str">
        <f>IF('Cálculo MP'!P282="","",'Cálculo MP'!P282)</f>
        <v/>
      </c>
      <c r="BJ272" s="72" t="str">
        <f>IF('Cálculo MP'!Q282="","",'Cálculo MP'!Q282)</f>
        <v/>
      </c>
      <c r="BK272" s="72" t="str">
        <f>IF('Cálculo MP'!R282="","",'Cálculo MP'!R282)</f>
        <v/>
      </c>
      <c r="BL272" s="72" t="str">
        <f>IF('Cálculo MP'!S282="","",'Cálculo MP'!S282)</f>
        <v/>
      </c>
      <c r="BM272" s="71"/>
      <c r="BN272" s="71"/>
      <c r="BO272" s="71"/>
      <c r="BP272" s="71"/>
      <c r="BQ272" s="71"/>
      <c r="BR272" s="71"/>
      <c r="BS272" s="71"/>
    </row>
    <row r="273" spans="1:71" ht="19.5" customHeight="1" x14ac:dyDescent="0.15">
      <c r="A273" s="56" t="s">
        <v>985</v>
      </c>
      <c r="B273" s="57" t="s">
        <v>986</v>
      </c>
      <c r="C273" s="58" t="s">
        <v>985</v>
      </c>
      <c r="D273" s="59" t="s">
        <v>985</v>
      </c>
      <c r="E273" s="61"/>
      <c r="F273" s="60" t="s">
        <v>95</v>
      </c>
      <c r="G273" s="61"/>
      <c r="H273" s="62"/>
      <c r="I273" s="75"/>
      <c r="J273" s="60" t="s">
        <v>95</v>
      </c>
      <c r="K273" s="64"/>
      <c r="L273" s="64"/>
      <c r="M273" s="64" t="s">
        <v>96</v>
      </c>
      <c r="N273" s="64" t="s">
        <v>97</v>
      </c>
      <c r="O273" s="65" t="s">
        <v>986</v>
      </c>
      <c r="P273" s="70" t="s">
        <v>96</v>
      </c>
      <c r="Q273" s="60" t="s">
        <v>95</v>
      </c>
      <c r="R273" s="60" t="s">
        <v>96</v>
      </c>
      <c r="S273" s="66" t="s">
        <v>96</v>
      </c>
      <c r="T273" s="67" t="s">
        <v>96</v>
      </c>
      <c r="U273" s="60" t="s">
        <v>96</v>
      </c>
      <c r="V273" s="60" t="s">
        <v>96</v>
      </c>
      <c r="W273" s="60" t="str" cm="1">
        <f t="array" ref="W273">_xlfn.LET(_xlpm.resultados,_xlfn.UNIQUE(_xlfn._xlws.FILTER(Tabla1[Proceso],(Tabla1[Metal Base]=Q273)*(Tabla1[Etiquetas]=_xlfn.TEXTJOIN(" + ",TRUE,IF((TRIM(Upload!R273:V273)="")+(LOWER(TRIM(Upload!R273:V273))="(seleccione)"),"",PROPER(TRIM(Upload!R273:V273)))))*(Tabla1[Línea2]=IFERROR(VLOOKUP(Upload!P273&amp;"*",CAT_Procesos!D:D,1,FALSE),"")))),_xlpm.cantidad,ROWS(_xlpm.resultados),IF(ISERROR(_xlpm.cantidad),"Combinación no existente",IF(_xlpm.cantidad=1,INDEX(_xlpm.resultados,1),"(seleccione)")))</f>
        <v>Combinación no existente</v>
      </c>
      <c r="X273" s="67" t="s">
        <v>96</v>
      </c>
      <c r="Y273" s="64"/>
      <c r="Z273" s="64"/>
      <c r="AA273" s="64"/>
      <c r="AB273" s="133" t="s">
        <v>96</v>
      </c>
      <c r="AC273" s="64"/>
      <c r="AD273" s="64"/>
      <c r="AE273" s="64"/>
      <c r="AF273" s="60" t="s">
        <v>96</v>
      </c>
      <c r="AG273" s="64"/>
      <c r="AH273" s="64"/>
      <c r="AI273" s="64"/>
      <c r="AJ273" s="68" t="s">
        <v>96</v>
      </c>
      <c r="AK273" s="69" t="str">
        <f t="shared" si="8"/>
        <v/>
      </c>
      <c r="AL273" s="70" t="s">
        <v>96</v>
      </c>
      <c r="AM273" s="69" t="str">
        <f t="shared" si="9"/>
        <v/>
      </c>
      <c r="AN273" s="71"/>
      <c r="AO273" s="71"/>
      <c r="AP273" s="71"/>
      <c r="AQ273" s="71"/>
      <c r="AR273" s="71" t="s">
        <v>96</v>
      </c>
      <c r="AS273" s="71"/>
      <c r="AT273" s="71" t="s">
        <v>96</v>
      </c>
      <c r="AU273" s="71"/>
      <c r="AV273" s="71" t="s">
        <v>95</v>
      </c>
      <c r="AW273" s="71"/>
      <c r="AX273" s="71"/>
      <c r="AY273" s="71"/>
      <c r="AZ273" s="71"/>
      <c r="BA273" s="71"/>
      <c r="BB273" s="70" t="s">
        <v>218</v>
      </c>
      <c r="BC273" s="70" t="s">
        <v>98</v>
      </c>
      <c r="BD273" s="72" t="str">
        <f>IF('Cálculo MP'!K283="","",'Cálculo MP'!K283)</f>
        <v/>
      </c>
      <c r="BE273" s="72" t="str">
        <f>IF('Cálculo MP'!L283="","",'Cálculo MP'!L283)</f>
        <v/>
      </c>
      <c r="BF273" s="72" t="str">
        <f>IF('Cálculo MP'!M283="","",'Cálculo MP'!M283)</f>
        <v/>
      </c>
      <c r="BG273" s="72" t="str">
        <f>IF('Cálculo MP'!N283="","",'Cálculo MP'!N283)</f>
        <v/>
      </c>
      <c r="BH273" s="72" t="str">
        <f>IF('Cálculo MP'!O283="","",'Cálculo MP'!O283)</f>
        <v/>
      </c>
      <c r="BI273" s="72" t="str">
        <f>IF('Cálculo MP'!P283="","",'Cálculo MP'!P283)</f>
        <v/>
      </c>
      <c r="BJ273" s="72" t="str">
        <f>IF('Cálculo MP'!Q283="","",'Cálculo MP'!Q283)</f>
        <v/>
      </c>
      <c r="BK273" s="72" t="str">
        <f>IF('Cálculo MP'!R283="","",'Cálculo MP'!R283)</f>
        <v/>
      </c>
      <c r="BL273" s="72" t="str">
        <f>IF('Cálculo MP'!S283="","",'Cálculo MP'!S283)</f>
        <v/>
      </c>
      <c r="BM273" s="71"/>
      <c r="BN273" s="71"/>
      <c r="BO273" s="71"/>
      <c r="BP273" s="71"/>
      <c r="BQ273" s="71"/>
      <c r="BR273" s="71"/>
      <c r="BS273" s="71"/>
    </row>
    <row r="274" spans="1:71" ht="19.5" customHeight="1" x14ac:dyDescent="0.15">
      <c r="A274" s="56" t="s">
        <v>985</v>
      </c>
      <c r="B274" s="57" t="s">
        <v>986</v>
      </c>
      <c r="C274" s="58" t="s">
        <v>985</v>
      </c>
      <c r="D274" s="59" t="s">
        <v>985</v>
      </c>
      <c r="E274" s="61"/>
      <c r="F274" s="60" t="s">
        <v>95</v>
      </c>
      <c r="G274" s="61"/>
      <c r="H274" s="62"/>
      <c r="I274" s="75"/>
      <c r="J274" s="60" t="s">
        <v>95</v>
      </c>
      <c r="K274" s="64"/>
      <c r="L274" s="64"/>
      <c r="M274" s="64" t="s">
        <v>96</v>
      </c>
      <c r="N274" s="64" t="s">
        <v>97</v>
      </c>
      <c r="O274" s="65" t="s">
        <v>986</v>
      </c>
      <c r="P274" s="70" t="s">
        <v>96</v>
      </c>
      <c r="Q274" s="60" t="s">
        <v>95</v>
      </c>
      <c r="R274" s="60" t="s">
        <v>96</v>
      </c>
      <c r="S274" s="66" t="s">
        <v>96</v>
      </c>
      <c r="T274" s="67" t="s">
        <v>96</v>
      </c>
      <c r="U274" s="60" t="s">
        <v>96</v>
      </c>
      <c r="V274" s="60" t="s">
        <v>96</v>
      </c>
      <c r="W274" s="60" t="str" cm="1">
        <f t="array" ref="W274">_xlfn.LET(_xlpm.resultados,_xlfn.UNIQUE(_xlfn._xlws.FILTER(Tabla1[Proceso],(Tabla1[Metal Base]=Q274)*(Tabla1[Etiquetas]=_xlfn.TEXTJOIN(" + ",TRUE,IF((TRIM(Upload!R274:V274)="")+(LOWER(TRIM(Upload!R274:V274))="(seleccione)"),"",PROPER(TRIM(Upload!R274:V274)))))*(Tabla1[Línea2]=IFERROR(VLOOKUP(Upload!P274&amp;"*",CAT_Procesos!D:D,1,FALSE),"")))),_xlpm.cantidad,ROWS(_xlpm.resultados),IF(ISERROR(_xlpm.cantidad),"Combinación no existente",IF(_xlpm.cantidad=1,INDEX(_xlpm.resultados,1),"(seleccione)")))</f>
        <v>Combinación no existente</v>
      </c>
      <c r="X274" s="67" t="s">
        <v>96</v>
      </c>
      <c r="Y274" s="64"/>
      <c r="Z274" s="64"/>
      <c r="AA274" s="64"/>
      <c r="AB274" s="133" t="s">
        <v>96</v>
      </c>
      <c r="AC274" s="64"/>
      <c r="AD274" s="64"/>
      <c r="AE274" s="64"/>
      <c r="AF274" s="60" t="s">
        <v>96</v>
      </c>
      <c r="AG274" s="64"/>
      <c r="AH274" s="64"/>
      <c r="AI274" s="64"/>
      <c r="AJ274" s="68" t="s">
        <v>96</v>
      </c>
      <c r="AK274" s="69" t="str">
        <f t="shared" si="8"/>
        <v/>
      </c>
      <c r="AL274" s="70" t="s">
        <v>96</v>
      </c>
      <c r="AM274" s="69" t="str">
        <f t="shared" si="9"/>
        <v/>
      </c>
      <c r="AN274" s="71"/>
      <c r="AO274" s="71"/>
      <c r="AP274" s="71"/>
      <c r="AQ274" s="71"/>
      <c r="AR274" s="71" t="s">
        <v>96</v>
      </c>
      <c r="AS274" s="71"/>
      <c r="AT274" s="71" t="s">
        <v>96</v>
      </c>
      <c r="AU274" s="71"/>
      <c r="AV274" s="71" t="s">
        <v>95</v>
      </c>
      <c r="AW274" s="71"/>
      <c r="AX274" s="71"/>
      <c r="AY274" s="71"/>
      <c r="AZ274" s="71"/>
      <c r="BA274" s="71"/>
      <c r="BB274" s="70" t="s">
        <v>218</v>
      </c>
      <c r="BC274" s="70" t="s">
        <v>98</v>
      </c>
      <c r="BD274" s="72" t="str">
        <f>IF('Cálculo MP'!K284="","",'Cálculo MP'!K284)</f>
        <v/>
      </c>
      <c r="BE274" s="72" t="str">
        <f>IF('Cálculo MP'!L284="","",'Cálculo MP'!L284)</f>
        <v/>
      </c>
      <c r="BF274" s="72" t="str">
        <f>IF('Cálculo MP'!M284="","",'Cálculo MP'!M284)</f>
        <v/>
      </c>
      <c r="BG274" s="72" t="str">
        <f>IF('Cálculo MP'!N284="","",'Cálculo MP'!N284)</f>
        <v/>
      </c>
      <c r="BH274" s="72" t="str">
        <f>IF('Cálculo MP'!O284="","",'Cálculo MP'!O284)</f>
        <v/>
      </c>
      <c r="BI274" s="72" t="str">
        <f>IF('Cálculo MP'!P284="","",'Cálculo MP'!P284)</f>
        <v/>
      </c>
      <c r="BJ274" s="72" t="str">
        <f>IF('Cálculo MP'!Q284="","",'Cálculo MP'!Q284)</f>
        <v/>
      </c>
      <c r="BK274" s="72" t="str">
        <f>IF('Cálculo MP'!R284="","",'Cálculo MP'!R284)</f>
        <v/>
      </c>
      <c r="BL274" s="72" t="str">
        <f>IF('Cálculo MP'!S284="","",'Cálculo MP'!S284)</f>
        <v/>
      </c>
      <c r="BM274" s="71"/>
      <c r="BN274" s="71"/>
      <c r="BO274" s="71"/>
      <c r="BP274" s="71"/>
      <c r="BQ274" s="71"/>
      <c r="BR274" s="71"/>
      <c r="BS274" s="71"/>
    </row>
    <row r="275" spans="1:71" ht="19.5" customHeight="1" x14ac:dyDescent="0.15">
      <c r="A275" s="56" t="s">
        <v>985</v>
      </c>
      <c r="B275" s="57" t="s">
        <v>986</v>
      </c>
      <c r="C275" s="58" t="s">
        <v>985</v>
      </c>
      <c r="D275" s="59" t="s">
        <v>985</v>
      </c>
      <c r="E275" s="61"/>
      <c r="F275" s="60" t="s">
        <v>95</v>
      </c>
      <c r="G275" s="61"/>
      <c r="H275" s="62"/>
      <c r="I275" s="75"/>
      <c r="J275" s="60" t="s">
        <v>95</v>
      </c>
      <c r="K275" s="64"/>
      <c r="L275" s="64"/>
      <c r="M275" s="64" t="s">
        <v>96</v>
      </c>
      <c r="N275" s="64" t="s">
        <v>97</v>
      </c>
      <c r="O275" s="65" t="s">
        <v>986</v>
      </c>
      <c r="P275" s="70" t="s">
        <v>96</v>
      </c>
      <c r="Q275" s="60" t="s">
        <v>95</v>
      </c>
      <c r="R275" s="60" t="s">
        <v>96</v>
      </c>
      <c r="S275" s="66" t="s">
        <v>96</v>
      </c>
      <c r="T275" s="67" t="s">
        <v>96</v>
      </c>
      <c r="U275" s="60" t="s">
        <v>96</v>
      </c>
      <c r="V275" s="60" t="s">
        <v>96</v>
      </c>
      <c r="W275" s="60" t="str" cm="1">
        <f t="array" ref="W275">_xlfn.LET(_xlpm.resultados,_xlfn.UNIQUE(_xlfn._xlws.FILTER(Tabla1[Proceso],(Tabla1[Metal Base]=Q275)*(Tabla1[Etiquetas]=_xlfn.TEXTJOIN(" + ",TRUE,IF((TRIM(Upload!R275:V275)="")+(LOWER(TRIM(Upload!R275:V275))="(seleccione)"),"",PROPER(TRIM(Upload!R275:V275)))))*(Tabla1[Línea2]=IFERROR(VLOOKUP(Upload!P275&amp;"*",CAT_Procesos!D:D,1,FALSE),"")))),_xlpm.cantidad,ROWS(_xlpm.resultados),IF(ISERROR(_xlpm.cantidad),"Combinación no existente",IF(_xlpm.cantidad=1,INDEX(_xlpm.resultados,1),"(seleccione)")))</f>
        <v>Combinación no existente</v>
      </c>
      <c r="X275" s="67" t="s">
        <v>96</v>
      </c>
      <c r="Y275" s="64"/>
      <c r="Z275" s="64"/>
      <c r="AA275" s="64"/>
      <c r="AB275" s="133" t="s">
        <v>96</v>
      </c>
      <c r="AC275" s="64"/>
      <c r="AD275" s="64"/>
      <c r="AE275" s="64"/>
      <c r="AF275" s="60" t="s">
        <v>96</v>
      </c>
      <c r="AG275" s="64"/>
      <c r="AH275" s="64"/>
      <c r="AI275" s="64"/>
      <c r="AJ275" s="68" t="s">
        <v>96</v>
      </c>
      <c r="AK275" s="69" t="str">
        <f t="shared" si="8"/>
        <v/>
      </c>
      <c r="AL275" s="70" t="s">
        <v>96</v>
      </c>
      <c r="AM275" s="69" t="str">
        <f t="shared" si="9"/>
        <v/>
      </c>
      <c r="AN275" s="71"/>
      <c r="AO275" s="71"/>
      <c r="AP275" s="71"/>
      <c r="AQ275" s="71"/>
      <c r="AR275" s="71" t="s">
        <v>96</v>
      </c>
      <c r="AS275" s="71"/>
      <c r="AT275" s="71" t="s">
        <v>96</v>
      </c>
      <c r="AU275" s="71"/>
      <c r="AV275" s="71" t="s">
        <v>95</v>
      </c>
      <c r="AW275" s="71"/>
      <c r="AX275" s="71"/>
      <c r="AY275" s="71"/>
      <c r="AZ275" s="71"/>
      <c r="BA275" s="71"/>
      <c r="BB275" s="70" t="s">
        <v>218</v>
      </c>
      <c r="BC275" s="70" t="s">
        <v>98</v>
      </c>
      <c r="BD275" s="72" t="str">
        <f>IF('Cálculo MP'!K285="","",'Cálculo MP'!K285)</f>
        <v/>
      </c>
      <c r="BE275" s="72" t="str">
        <f>IF('Cálculo MP'!L285="","",'Cálculo MP'!L285)</f>
        <v/>
      </c>
      <c r="BF275" s="72" t="str">
        <f>IF('Cálculo MP'!M285="","",'Cálculo MP'!M285)</f>
        <v/>
      </c>
      <c r="BG275" s="72" t="str">
        <f>IF('Cálculo MP'!N285="","",'Cálculo MP'!N285)</f>
        <v/>
      </c>
      <c r="BH275" s="72" t="str">
        <f>IF('Cálculo MP'!O285="","",'Cálculo MP'!O285)</f>
        <v/>
      </c>
      <c r="BI275" s="72" t="str">
        <f>IF('Cálculo MP'!P285="","",'Cálculo MP'!P285)</f>
        <v/>
      </c>
      <c r="BJ275" s="72" t="str">
        <f>IF('Cálculo MP'!Q285="","",'Cálculo MP'!Q285)</f>
        <v/>
      </c>
      <c r="BK275" s="72" t="str">
        <f>IF('Cálculo MP'!R285="","",'Cálculo MP'!R285)</f>
        <v/>
      </c>
      <c r="BL275" s="72" t="str">
        <f>IF('Cálculo MP'!S285="","",'Cálculo MP'!S285)</f>
        <v/>
      </c>
      <c r="BM275" s="71"/>
      <c r="BN275" s="71"/>
      <c r="BO275" s="71"/>
      <c r="BP275" s="71"/>
      <c r="BQ275" s="71"/>
      <c r="BR275" s="71"/>
      <c r="BS275" s="71"/>
    </row>
    <row r="276" spans="1:71" ht="19.5" customHeight="1" x14ac:dyDescent="0.15">
      <c r="A276" s="56" t="s">
        <v>985</v>
      </c>
      <c r="B276" s="57" t="s">
        <v>986</v>
      </c>
      <c r="C276" s="58" t="s">
        <v>985</v>
      </c>
      <c r="D276" s="59" t="s">
        <v>985</v>
      </c>
      <c r="E276" s="61"/>
      <c r="F276" s="60" t="s">
        <v>95</v>
      </c>
      <c r="G276" s="61"/>
      <c r="H276" s="62"/>
      <c r="I276" s="75"/>
      <c r="J276" s="60" t="s">
        <v>95</v>
      </c>
      <c r="K276" s="64"/>
      <c r="L276" s="64"/>
      <c r="M276" s="64" t="s">
        <v>96</v>
      </c>
      <c r="N276" s="64" t="s">
        <v>97</v>
      </c>
      <c r="O276" s="65" t="s">
        <v>986</v>
      </c>
      <c r="P276" s="70" t="s">
        <v>96</v>
      </c>
      <c r="Q276" s="60" t="s">
        <v>95</v>
      </c>
      <c r="R276" s="60" t="s">
        <v>96</v>
      </c>
      <c r="S276" s="66" t="s">
        <v>96</v>
      </c>
      <c r="T276" s="67" t="s">
        <v>96</v>
      </c>
      <c r="U276" s="60" t="s">
        <v>96</v>
      </c>
      <c r="V276" s="60" t="s">
        <v>96</v>
      </c>
      <c r="W276" s="60" t="str" cm="1">
        <f t="array" ref="W276">_xlfn.LET(_xlpm.resultados,_xlfn.UNIQUE(_xlfn._xlws.FILTER(Tabla1[Proceso],(Tabla1[Metal Base]=Q276)*(Tabla1[Etiquetas]=_xlfn.TEXTJOIN(" + ",TRUE,IF((TRIM(Upload!R276:V276)="")+(LOWER(TRIM(Upload!R276:V276))="(seleccione)"),"",PROPER(TRIM(Upload!R276:V276)))))*(Tabla1[Línea2]=IFERROR(VLOOKUP(Upload!P276&amp;"*",CAT_Procesos!D:D,1,FALSE),"")))),_xlpm.cantidad,ROWS(_xlpm.resultados),IF(ISERROR(_xlpm.cantidad),"Combinación no existente",IF(_xlpm.cantidad=1,INDEX(_xlpm.resultados,1),"(seleccione)")))</f>
        <v>Combinación no existente</v>
      </c>
      <c r="X276" s="67" t="s">
        <v>96</v>
      </c>
      <c r="Y276" s="64"/>
      <c r="Z276" s="64"/>
      <c r="AA276" s="64"/>
      <c r="AB276" s="133" t="s">
        <v>96</v>
      </c>
      <c r="AC276" s="64"/>
      <c r="AD276" s="64"/>
      <c r="AE276" s="64"/>
      <c r="AF276" s="60" t="s">
        <v>96</v>
      </c>
      <c r="AG276" s="64"/>
      <c r="AH276" s="64"/>
      <c r="AI276" s="64"/>
      <c r="AJ276" s="68" t="s">
        <v>96</v>
      </c>
      <c r="AK276" s="69" t="str">
        <f t="shared" si="8"/>
        <v/>
      </c>
      <c r="AL276" s="70" t="s">
        <v>96</v>
      </c>
      <c r="AM276" s="69" t="str">
        <f t="shared" si="9"/>
        <v/>
      </c>
      <c r="AN276" s="71"/>
      <c r="AO276" s="71"/>
      <c r="AP276" s="71"/>
      <c r="AQ276" s="71"/>
      <c r="AR276" s="71" t="s">
        <v>96</v>
      </c>
      <c r="AS276" s="71"/>
      <c r="AT276" s="71" t="s">
        <v>96</v>
      </c>
      <c r="AU276" s="71"/>
      <c r="AV276" s="71" t="s">
        <v>95</v>
      </c>
      <c r="AW276" s="71"/>
      <c r="AX276" s="71"/>
      <c r="AY276" s="71"/>
      <c r="AZ276" s="71"/>
      <c r="BA276" s="71"/>
      <c r="BB276" s="70" t="s">
        <v>218</v>
      </c>
      <c r="BC276" s="70" t="s">
        <v>98</v>
      </c>
      <c r="BD276" s="72" t="str">
        <f>IF('Cálculo MP'!K286="","",'Cálculo MP'!K286)</f>
        <v/>
      </c>
      <c r="BE276" s="72" t="str">
        <f>IF('Cálculo MP'!L286="","",'Cálculo MP'!L286)</f>
        <v/>
      </c>
      <c r="BF276" s="72" t="str">
        <f>IF('Cálculo MP'!M286="","",'Cálculo MP'!M286)</f>
        <v/>
      </c>
      <c r="BG276" s="72" t="str">
        <f>IF('Cálculo MP'!N286="","",'Cálculo MP'!N286)</f>
        <v/>
      </c>
      <c r="BH276" s="72" t="str">
        <f>IF('Cálculo MP'!O286="","",'Cálculo MP'!O286)</f>
        <v/>
      </c>
      <c r="BI276" s="72" t="str">
        <f>IF('Cálculo MP'!P286="","",'Cálculo MP'!P286)</f>
        <v/>
      </c>
      <c r="BJ276" s="72" t="str">
        <f>IF('Cálculo MP'!Q286="","",'Cálculo MP'!Q286)</f>
        <v/>
      </c>
      <c r="BK276" s="72" t="str">
        <f>IF('Cálculo MP'!R286="","",'Cálculo MP'!R286)</f>
        <v/>
      </c>
      <c r="BL276" s="72" t="str">
        <f>IF('Cálculo MP'!S286="","",'Cálculo MP'!S286)</f>
        <v/>
      </c>
      <c r="BM276" s="71"/>
      <c r="BN276" s="71"/>
      <c r="BO276" s="71"/>
      <c r="BP276" s="71"/>
      <c r="BQ276" s="71"/>
      <c r="BR276" s="71"/>
      <c r="BS276" s="71"/>
    </row>
    <row r="277" spans="1:71" ht="19.5" customHeight="1" x14ac:dyDescent="0.15">
      <c r="A277" s="56" t="s">
        <v>985</v>
      </c>
      <c r="B277" s="57" t="s">
        <v>986</v>
      </c>
      <c r="C277" s="58" t="s">
        <v>985</v>
      </c>
      <c r="D277" s="59" t="s">
        <v>985</v>
      </c>
      <c r="E277" s="61"/>
      <c r="F277" s="60" t="s">
        <v>95</v>
      </c>
      <c r="G277" s="61"/>
      <c r="H277" s="62"/>
      <c r="I277" s="75"/>
      <c r="J277" s="60" t="s">
        <v>95</v>
      </c>
      <c r="K277" s="64"/>
      <c r="L277" s="64"/>
      <c r="M277" s="64" t="s">
        <v>96</v>
      </c>
      <c r="N277" s="64" t="s">
        <v>97</v>
      </c>
      <c r="O277" s="65" t="s">
        <v>986</v>
      </c>
      <c r="P277" s="70" t="s">
        <v>96</v>
      </c>
      <c r="Q277" s="60" t="s">
        <v>95</v>
      </c>
      <c r="R277" s="60" t="s">
        <v>96</v>
      </c>
      <c r="S277" s="66" t="s">
        <v>96</v>
      </c>
      <c r="T277" s="67" t="s">
        <v>96</v>
      </c>
      <c r="U277" s="60" t="s">
        <v>96</v>
      </c>
      <c r="V277" s="60" t="s">
        <v>96</v>
      </c>
      <c r="W277" s="60" t="str" cm="1">
        <f t="array" ref="W277">_xlfn.LET(_xlpm.resultados,_xlfn.UNIQUE(_xlfn._xlws.FILTER(Tabla1[Proceso],(Tabla1[Metal Base]=Q277)*(Tabla1[Etiquetas]=_xlfn.TEXTJOIN(" + ",TRUE,IF((TRIM(Upload!R277:V277)="")+(LOWER(TRIM(Upload!R277:V277))="(seleccione)"),"",PROPER(TRIM(Upload!R277:V277)))))*(Tabla1[Línea2]=IFERROR(VLOOKUP(Upload!P277&amp;"*",CAT_Procesos!D:D,1,FALSE),"")))),_xlpm.cantidad,ROWS(_xlpm.resultados),IF(ISERROR(_xlpm.cantidad),"Combinación no existente",IF(_xlpm.cantidad=1,INDEX(_xlpm.resultados,1),"(seleccione)")))</f>
        <v>Combinación no existente</v>
      </c>
      <c r="X277" s="67" t="s">
        <v>96</v>
      </c>
      <c r="Y277" s="64"/>
      <c r="Z277" s="64"/>
      <c r="AA277" s="64"/>
      <c r="AB277" s="133" t="s">
        <v>96</v>
      </c>
      <c r="AC277" s="64"/>
      <c r="AD277" s="64"/>
      <c r="AE277" s="64"/>
      <c r="AF277" s="60" t="s">
        <v>96</v>
      </c>
      <c r="AG277" s="64"/>
      <c r="AH277" s="64"/>
      <c r="AI277" s="64"/>
      <c r="AJ277" s="68" t="s">
        <v>96</v>
      </c>
      <c r="AK277" s="69" t="str">
        <f t="shared" si="8"/>
        <v/>
      </c>
      <c r="AL277" s="70" t="s">
        <v>96</v>
      </c>
      <c r="AM277" s="69" t="str">
        <f t="shared" si="9"/>
        <v/>
      </c>
      <c r="AN277" s="71"/>
      <c r="AO277" s="71"/>
      <c r="AP277" s="71"/>
      <c r="AQ277" s="71"/>
      <c r="AR277" s="71" t="s">
        <v>96</v>
      </c>
      <c r="AS277" s="71"/>
      <c r="AT277" s="71" t="s">
        <v>96</v>
      </c>
      <c r="AU277" s="71"/>
      <c r="AV277" s="71" t="s">
        <v>95</v>
      </c>
      <c r="AW277" s="71"/>
      <c r="AX277" s="71"/>
      <c r="AY277" s="71"/>
      <c r="AZ277" s="71"/>
      <c r="BA277" s="71"/>
      <c r="BB277" s="70" t="s">
        <v>218</v>
      </c>
      <c r="BC277" s="70" t="s">
        <v>98</v>
      </c>
      <c r="BD277" s="72" t="str">
        <f>IF('Cálculo MP'!K287="","",'Cálculo MP'!K287)</f>
        <v/>
      </c>
      <c r="BE277" s="72" t="str">
        <f>IF('Cálculo MP'!L287="","",'Cálculo MP'!L287)</f>
        <v/>
      </c>
      <c r="BF277" s="72" t="str">
        <f>IF('Cálculo MP'!M287="","",'Cálculo MP'!M287)</f>
        <v/>
      </c>
      <c r="BG277" s="72" t="str">
        <f>IF('Cálculo MP'!N287="","",'Cálculo MP'!N287)</f>
        <v/>
      </c>
      <c r="BH277" s="72" t="str">
        <f>IF('Cálculo MP'!O287="","",'Cálculo MP'!O287)</f>
        <v/>
      </c>
      <c r="BI277" s="72" t="str">
        <f>IF('Cálculo MP'!P287="","",'Cálculo MP'!P287)</f>
        <v/>
      </c>
      <c r="BJ277" s="72" t="str">
        <f>IF('Cálculo MP'!Q287="","",'Cálculo MP'!Q287)</f>
        <v/>
      </c>
      <c r="BK277" s="72" t="str">
        <f>IF('Cálculo MP'!R287="","",'Cálculo MP'!R287)</f>
        <v/>
      </c>
      <c r="BL277" s="72" t="str">
        <f>IF('Cálculo MP'!S287="","",'Cálculo MP'!S287)</f>
        <v/>
      </c>
      <c r="BM277" s="71"/>
      <c r="BN277" s="71"/>
      <c r="BO277" s="71"/>
      <c r="BP277" s="71"/>
      <c r="BQ277" s="71"/>
      <c r="BR277" s="71"/>
      <c r="BS277" s="71"/>
    </row>
    <row r="278" spans="1:71" ht="19.5" customHeight="1" x14ac:dyDescent="0.15">
      <c r="A278" s="56" t="s">
        <v>985</v>
      </c>
      <c r="B278" s="57" t="s">
        <v>986</v>
      </c>
      <c r="C278" s="58" t="s">
        <v>985</v>
      </c>
      <c r="D278" s="59" t="s">
        <v>985</v>
      </c>
      <c r="E278" s="61"/>
      <c r="F278" s="60" t="s">
        <v>95</v>
      </c>
      <c r="G278" s="61"/>
      <c r="H278" s="62"/>
      <c r="I278" s="75"/>
      <c r="J278" s="60" t="s">
        <v>95</v>
      </c>
      <c r="K278" s="64"/>
      <c r="L278" s="64"/>
      <c r="M278" s="64" t="s">
        <v>96</v>
      </c>
      <c r="N278" s="64" t="s">
        <v>97</v>
      </c>
      <c r="O278" s="65" t="s">
        <v>986</v>
      </c>
      <c r="P278" s="70" t="s">
        <v>96</v>
      </c>
      <c r="Q278" s="60" t="s">
        <v>95</v>
      </c>
      <c r="R278" s="60" t="s">
        <v>96</v>
      </c>
      <c r="S278" s="66" t="s">
        <v>96</v>
      </c>
      <c r="T278" s="67" t="s">
        <v>96</v>
      </c>
      <c r="U278" s="60" t="s">
        <v>96</v>
      </c>
      <c r="V278" s="60" t="s">
        <v>96</v>
      </c>
      <c r="W278" s="60" t="str" cm="1">
        <f t="array" ref="W278">_xlfn.LET(_xlpm.resultados,_xlfn.UNIQUE(_xlfn._xlws.FILTER(Tabla1[Proceso],(Tabla1[Metal Base]=Q278)*(Tabla1[Etiquetas]=_xlfn.TEXTJOIN(" + ",TRUE,IF((TRIM(Upload!R278:V278)="")+(LOWER(TRIM(Upload!R278:V278))="(seleccione)"),"",PROPER(TRIM(Upload!R278:V278)))))*(Tabla1[Línea2]=IFERROR(VLOOKUP(Upload!P278&amp;"*",CAT_Procesos!D:D,1,FALSE),"")))),_xlpm.cantidad,ROWS(_xlpm.resultados),IF(ISERROR(_xlpm.cantidad),"Combinación no existente",IF(_xlpm.cantidad=1,INDEX(_xlpm.resultados,1),"(seleccione)")))</f>
        <v>Combinación no existente</v>
      </c>
      <c r="X278" s="67" t="s">
        <v>96</v>
      </c>
      <c r="Y278" s="64"/>
      <c r="Z278" s="64"/>
      <c r="AA278" s="64"/>
      <c r="AB278" s="133" t="s">
        <v>96</v>
      </c>
      <c r="AC278" s="64"/>
      <c r="AD278" s="64"/>
      <c r="AE278" s="64"/>
      <c r="AF278" s="60" t="s">
        <v>96</v>
      </c>
      <c r="AG278" s="64"/>
      <c r="AH278" s="64"/>
      <c r="AI278" s="64"/>
      <c r="AJ278" s="68" t="s">
        <v>96</v>
      </c>
      <c r="AK278" s="69" t="str">
        <f t="shared" si="8"/>
        <v/>
      </c>
      <c r="AL278" s="70" t="s">
        <v>96</v>
      </c>
      <c r="AM278" s="69" t="str">
        <f t="shared" si="9"/>
        <v/>
      </c>
      <c r="AN278" s="71"/>
      <c r="AO278" s="71"/>
      <c r="AP278" s="71"/>
      <c r="AQ278" s="71"/>
      <c r="AR278" s="71" t="s">
        <v>96</v>
      </c>
      <c r="AS278" s="71"/>
      <c r="AT278" s="71" t="s">
        <v>96</v>
      </c>
      <c r="AU278" s="71"/>
      <c r="AV278" s="71" t="s">
        <v>95</v>
      </c>
      <c r="AW278" s="71"/>
      <c r="AX278" s="71"/>
      <c r="AY278" s="71"/>
      <c r="AZ278" s="71"/>
      <c r="BA278" s="71"/>
      <c r="BB278" s="70" t="s">
        <v>218</v>
      </c>
      <c r="BC278" s="70" t="s">
        <v>98</v>
      </c>
      <c r="BD278" s="72" t="str">
        <f>IF('Cálculo MP'!K288="","",'Cálculo MP'!K288)</f>
        <v/>
      </c>
      <c r="BE278" s="72" t="str">
        <f>IF('Cálculo MP'!L288="","",'Cálculo MP'!L288)</f>
        <v/>
      </c>
      <c r="BF278" s="72" t="str">
        <f>IF('Cálculo MP'!M288="","",'Cálculo MP'!M288)</f>
        <v/>
      </c>
      <c r="BG278" s="72" t="str">
        <f>IF('Cálculo MP'!N288="","",'Cálculo MP'!N288)</f>
        <v/>
      </c>
      <c r="BH278" s="72" t="str">
        <f>IF('Cálculo MP'!O288="","",'Cálculo MP'!O288)</f>
        <v/>
      </c>
      <c r="BI278" s="72" t="str">
        <f>IF('Cálculo MP'!P288="","",'Cálculo MP'!P288)</f>
        <v/>
      </c>
      <c r="BJ278" s="72" t="str">
        <f>IF('Cálculo MP'!Q288="","",'Cálculo MP'!Q288)</f>
        <v/>
      </c>
      <c r="BK278" s="72" t="str">
        <f>IF('Cálculo MP'!R288="","",'Cálculo MP'!R288)</f>
        <v/>
      </c>
      <c r="BL278" s="72" t="str">
        <f>IF('Cálculo MP'!S288="","",'Cálculo MP'!S288)</f>
        <v/>
      </c>
      <c r="BM278" s="71"/>
      <c r="BN278" s="71"/>
      <c r="BO278" s="71"/>
      <c r="BP278" s="71"/>
      <c r="BQ278" s="71"/>
      <c r="BR278" s="71"/>
      <c r="BS278" s="71"/>
    </row>
    <row r="279" spans="1:71" ht="19.5" customHeight="1" x14ac:dyDescent="0.15">
      <c r="A279" s="56" t="s">
        <v>985</v>
      </c>
      <c r="B279" s="57" t="s">
        <v>986</v>
      </c>
      <c r="C279" s="58" t="s">
        <v>985</v>
      </c>
      <c r="D279" s="59" t="s">
        <v>985</v>
      </c>
      <c r="E279" s="61"/>
      <c r="F279" s="60" t="s">
        <v>95</v>
      </c>
      <c r="G279" s="61"/>
      <c r="H279" s="62"/>
      <c r="I279" s="75"/>
      <c r="J279" s="60" t="s">
        <v>95</v>
      </c>
      <c r="K279" s="64"/>
      <c r="L279" s="64"/>
      <c r="M279" s="64" t="s">
        <v>96</v>
      </c>
      <c r="N279" s="64" t="s">
        <v>97</v>
      </c>
      <c r="O279" s="65" t="s">
        <v>986</v>
      </c>
      <c r="P279" s="70" t="s">
        <v>96</v>
      </c>
      <c r="Q279" s="60" t="s">
        <v>95</v>
      </c>
      <c r="R279" s="60" t="s">
        <v>96</v>
      </c>
      <c r="S279" s="66" t="s">
        <v>96</v>
      </c>
      <c r="T279" s="67" t="s">
        <v>96</v>
      </c>
      <c r="U279" s="60" t="s">
        <v>96</v>
      </c>
      <c r="V279" s="60" t="s">
        <v>96</v>
      </c>
      <c r="W279" s="60" t="str" cm="1">
        <f t="array" ref="W279">_xlfn.LET(_xlpm.resultados,_xlfn.UNIQUE(_xlfn._xlws.FILTER(Tabla1[Proceso],(Tabla1[Metal Base]=Q279)*(Tabla1[Etiquetas]=_xlfn.TEXTJOIN(" + ",TRUE,IF((TRIM(Upload!R279:V279)="")+(LOWER(TRIM(Upload!R279:V279))="(seleccione)"),"",PROPER(TRIM(Upload!R279:V279)))))*(Tabla1[Línea2]=IFERROR(VLOOKUP(Upload!P279&amp;"*",CAT_Procesos!D:D,1,FALSE),"")))),_xlpm.cantidad,ROWS(_xlpm.resultados),IF(ISERROR(_xlpm.cantidad),"Combinación no existente",IF(_xlpm.cantidad=1,INDEX(_xlpm.resultados,1),"(seleccione)")))</f>
        <v>Combinación no existente</v>
      </c>
      <c r="X279" s="67" t="s">
        <v>96</v>
      </c>
      <c r="Y279" s="64"/>
      <c r="Z279" s="64"/>
      <c r="AA279" s="64"/>
      <c r="AB279" s="133" t="s">
        <v>96</v>
      </c>
      <c r="AC279" s="64"/>
      <c r="AD279" s="64"/>
      <c r="AE279" s="64"/>
      <c r="AF279" s="60" t="s">
        <v>96</v>
      </c>
      <c r="AG279" s="64"/>
      <c r="AH279" s="64"/>
      <c r="AI279" s="64"/>
      <c r="AJ279" s="68" t="s">
        <v>96</v>
      </c>
      <c r="AK279" s="69" t="str">
        <f t="shared" si="8"/>
        <v/>
      </c>
      <c r="AL279" s="70" t="s">
        <v>96</v>
      </c>
      <c r="AM279" s="69" t="str">
        <f t="shared" si="9"/>
        <v/>
      </c>
      <c r="AN279" s="71"/>
      <c r="AO279" s="71"/>
      <c r="AP279" s="71"/>
      <c r="AQ279" s="71"/>
      <c r="AR279" s="71" t="s">
        <v>96</v>
      </c>
      <c r="AS279" s="71"/>
      <c r="AT279" s="71" t="s">
        <v>96</v>
      </c>
      <c r="AU279" s="71"/>
      <c r="AV279" s="71" t="s">
        <v>95</v>
      </c>
      <c r="AW279" s="71"/>
      <c r="AX279" s="71"/>
      <c r="AY279" s="71"/>
      <c r="AZ279" s="71"/>
      <c r="BA279" s="71"/>
      <c r="BB279" s="70" t="s">
        <v>218</v>
      </c>
      <c r="BC279" s="70" t="s">
        <v>98</v>
      </c>
      <c r="BD279" s="72" t="str">
        <f>IF('Cálculo MP'!K289="","",'Cálculo MP'!K289)</f>
        <v/>
      </c>
      <c r="BE279" s="72" t="str">
        <f>IF('Cálculo MP'!L289="","",'Cálculo MP'!L289)</f>
        <v/>
      </c>
      <c r="BF279" s="72" t="str">
        <f>IF('Cálculo MP'!M289="","",'Cálculo MP'!M289)</f>
        <v/>
      </c>
      <c r="BG279" s="72" t="str">
        <f>IF('Cálculo MP'!N289="","",'Cálculo MP'!N289)</f>
        <v/>
      </c>
      <c r="BH279" s="72" t="str">
        <f>IF('Cálculo MP'!O289="","",'Cálculo MP'!O289)</f>
        <v/>
      </c>
      <c r="BI279" s="72" t="str">
        <f>IF('Cálculo MP'!P289="","",'Cálculo MP'!P289)</f>
        <v/>
      </c>
      <c r="BJ279" s="72" t="str">
        <f>IF('Cálculo MP'!Q289="","",'Cálculo MP'!Q289)</f>
        <v/>
      </c>
      <c r="BK279" s="72" t="str">
        <f>IF('Cálculo MP'!R289="","",'Cálculo MP'!R289)</f>
        <v/>
      </c>
      <c r="BL279" s="72" t="str">
        <f>IF('Cálculo MP'!S289="","",'Cálculo MP'!S289)</f>
        <v/>
      </c>
      <c r="BM279" s="71"/>
      <c r="BN279" s="71"/>
      <c r="BO279" s="71"/>
      <c r="BP279" s="71"/>
      <c r="BQ279" s="71"/>
      <c r="BR279" s="71"/>
      <c r="BS279" s="71"/>
    </row>
    <row r="280" spans="1:71" ht="19.5" customHeight="1" x14ac:dyDescent="0.15">
      <c r="A280" s="56" t="s">
        <v>985</v>
      </c>
      <c r="B280" s="57" t="s">
        <v>986</v>
      </c>
      <c r="C280" s="58" t="s">
        <v>985</v>
      </c>
      <c r="D280" s="59" t="s">
        <v>985</v>
      </c>
      <c r="E280" s="61"/>
      <c r="F280" s="60" t="s">
        <v>95</v>
      </c>
      <c r="G280" s="61"/>
      <c r="H280" s="62"/>
      <c r="I280" s="75"/>
      <c r="J280" s="60" t="s">
        <v>95</v>
      </c>
      <c r="K280" s="64"/>
      <c r="L280" s="64"/>
      <c r="M280" s="64" t="s">
        <v>96</v>
      </c>
      <c r="N280" s="64" t="s">
        <v>97</v>
      </c>
      <c r="O280" s="65" t="s">
        <v>986</v>
      </c>
      <c r="P280" s="70" t="s">
        <v>96</v>
      </c>
      <c r="Q280" s="60" t="s">
        <v>95</v>
      </c>
      <c r="R280" s="60" t="s">
        <v>96</v>
      </c>
      <c r="S280" s="66" t="s">
        <v>96</v>
      </c>
      <c r="T280" s="67" t="s">
        <v>96</v>
      </c>
      <c r="U280" s="60" t="s">
        <v>96</v>
      </c>
      <c r="V280" s="60" t="s">
        <v>96</v>
      </c>
      <c r="W280" s="60" t="str" cm="1">
        <f t="array" ref="W280">_xlfn.LET(_xlpm.resultados,_xlfn.UNIQUE(_xlfn._xlws.FILTER(Tabla1[Proceso],(Tabla1[Metal Base]=Q280)*(Tabla1[Etiquetas]=_xlfn.TEXTJOIN(" + ",TRUE,IF((TRIM(Upload!R280:V280)="")+(LOWER(TRIM(Upload!R280:V280))="(seleccione)"),"",PROPER(TRIM(Upload!R280:V280)))))*(Tabla1[Línea2]=IFERROR(VLOOKUP(Upload!P280&amp;"*",CAT_Procesos!D:D,1,FALSE),"")))),_xlpm.cantidad,ROWS(_xlpm.resultados),IF(ISERROR(_xlpm.cantidad),"Combinación no existente",IF(_xlpm.cantidad=1,INDEX(_xlpm.resultados,1),"(seleccione)")))</f>
        <v>Combinación no existente</v>
      </c>
      <c r="X280" s="67" t="s">
        <v>96</v>
      </c>
      <c r="Y280" s="64"/>
      <c r="Z280" s="64"/>
      <c r="AA280" s="64"/>
      <c r="AB280" s="133" t="s">
        <v>96</v>
      </c>
      <c r="AC280" s="64"/>
      <c r="AD280" s="64"/>
      <c r="AE280" s="64"/>
      <c r="AF280" s="60" t="s">
        <v>96</v>
      </c>
      <c r="AG280" s="64"/>
      <c r="AH280" s="64"/>
      <c r="AI280" s="64"/>
      <c r="AJ280" s="68" t="s">
        <v>96</v>
      </c>
      <c r="AK280" s="69" t="str">
        <f t="shared" si="8"/>
        <v/>
      </c>
      <c r="AL280" s="70" t="s">
        <v>96</v>
      </c>
      <c r="AM280" s="69" t="str">
        <f t="shared" si="9"/>
        <v/>
      </c>
      <c r="AN280" s="71"/>
      <c r="AO280" s="71"/>
      <c r="AP280" s="71"/>
      <c r="AQ280" s="71"/>
      <c r="AR280" s="71" t="s">
        <v>96</v>
      </c>
      <c r="AS280" s="71"/>
      <c r="AT280" s="71" t="s">
        <v>96</v>
      </c>
      <c r="AU280" s="71"/>
      <c r="AV280" s="71" t="s">
        <v>95</v>
      </c>
      <c r="AW280" s="71"/>
      <c r="AX280" s="71"/>
      <c r="AY280" s="71"/>
      <c r="AZ280" s="71"/>
      <c r="BA280" s="71"/>
      <c r="BB280" s="70" t="s">
        <v>218</v>
      </c>
      <c r="BC280" s="70" t="s">
        <v>98</v>
      </c>
      <c r="BD280" s="72" t="str">
        <f>IF('Cálculo MP'!K290="","",'Cálculo MP'!K290)</f>
        <v/>
      </c>
      <c r="BE280" s="72" t="str">
        <f>IF('Cálculo MP'!L290="","",'Cálculo MP'!L290)</f>
        <v/>
      </c>
      <c r="BF280" s="72" t="str">
        <f>IF('Cálculo MP'!M290="","",'Cálculo MP'!M290)</f>
        <v/>
      </c>
      <c r="BG280" s="72" t="str">
        <f>IF('Cálculo MP'!N290="","",'Cálculo MP'!N290)</f>
        <v/>
      </c>
      <c r="BH280" s="72" t="str">
        <f>IF('Cálculo MP'!O290="","",'Cálculo MP'!O290)</f>
        <v/>
      </c>
      <c r="BI280" s="72" t="str">
        <f>IF('Cálculo MP'!P290="","",'Cálculo MP'!P290)</f>
        <v/>
      </c>
      <c r="BJ280" s="72" t="str">
        <f>IF('Cálculo MP'!Q290="","",'Cálculo MP'!Q290)</f>
        <v/>
      </c>
      <c r="BK280" s="72" t="str">
        <f>IF('Cálculo MP'!R290="","",'Cálculo MP'!R290)</f>
        <v/>
      </c>
      <c r="BL280" s="72" t="str">
        <f>IF('Cálculo MP'!S290="","",'Cálculo MP'!S290)</f>
        <v/>
      </c>
      <c r="BM280" s="71"/>
      <c r="BN280" s="71"/>
      <c r="BO280" s="71"/>
      <c r="BP280" s="71"/>
      <c r="BQ280" s="71"/>
      <c r="BR280" s="71"/>
      <c r="BS280" s="71"/>
    </row>
    <row r="281" spans="1:71" ht="19.5" customHeight="1" x14ac:dyDescent="0.15">
      <c r="A281" s="56" t="s">
        <v>985</v>
      </c>
      <c r="B281" s="57" t="s">
        <v>986</v>
      </c>
      <c r="C281" s="58" t="s">
        <v>985</v>
      </c>
      <c r="D281" s="59" t="s">
        <v>985</v>
      </c>
      <c r="E281" s="61"/>
      <c r="F281" s="60" t="s">
        <v>95</v>
      </c>
      <c r="G281" s="61"/>
      <c r="H281" s="62"/>
      <c r="I281" s="75"/>
      <c r="J281" s="60" t="s">
        <v>95</v>
      </c>
      <c r="K281" s="64"/>
      <c r="L281" s="64"/>
      <c r="M281" s="64" t="s">
        <v>96</v>
      </c>
      <c r="N281" s="64" t="s">
        <v>97</v>
      </c>
      <c r="O281" s="65" t="s">
        <v>986</v>
      </c>
      <c r="P281" s="70" t="s">
        <v>96</v>
      </c>
      <c r="Q281" s="60" t="s">
        <v>95</v>
      </c>
      <c r="R281" s="60" t="s">
        <v>96</v>
      </c>
      <c r="S281" s="66" t="s">
        <v>96</v>
      </c>
      <c r="T281" s="67" t="s">
        <v>96</v>
      </c>
      <c r="U281" s="60" t="s">
        <v>96</v>
      </c>
      <c r="V281" s="60" t="s">
        <v>96</v>
      </c>
      <c r="W281" s="60" t="str" cm="1">
        <f t="array" ref="W281">_xlfn.LET(_xlpm.resultados,_xlfn.UNIQUE(_xlfn._xlws.FILTER(Tabla1[Proceso],(Tabla1[Metal Base]=Q281)*(Tabla1[Etiquetas]=_xlfn.TEXTJOIN(" + ",TRUE,IF((TRIM(Upload!R281:V281)="")+(LOWER(TRIM(Upload!R281:V281))="(seleccione)"),"",PROPER(TRIM(Upload!R281:V281)))))*(Tabla1[Línea2]=IFERROR(VLOOKUP(Upload!P281&amp;"*",CAT_Procesos!D:D,1,FALSE),"")))),_xlpm.cantidad,ROWS(_xlpm.resultados),IF(ISERROR(_xlpm.cantidad),"Combinación no existente",IF(_xlpm.cantidad=1,INDEX(_xlpm.resultados,1),"(seleccione)")))</f>
        <v>Combinación no existente</v>
      </c>
      <c r="X281" s="67" t="s">
        <v>96</v>
      </c>
      <c r="Y281" s="64"/>
      <c r="Z281" s="64"/>
      <c r="AA281" s="64"/>
      <c r="AB281" s="133" t="s">
        <v>96</v>
      </c>
      <c r="AC281" s="64"/>
      <c r="AD281" s="64"/>
      <c r="AE281" s="64"/>
      <c r="AF281" s="60" t="s">
        <v>96</v>
      </c>
      <c r="AG281" s="64"/>
      <c r="AH281" s="64"/>
      <c r="AI281" s="64"/>
      <c r="AJ281" s="68" t="s">
        <v>96</v>
      </c>
      <c r="AK281" s="69" t="str">
        <f t="shared" si="8"/>
        <v/>
      </c>
      <c r="AL281" s="70" t="s">
        <v>96</v>
      </c>
      <c r="AM281" s="69" t="str">
        <f t="shared" si="9"/>
        <v/>
      </c>
      <c r="AN281" s="71"/>
      <c r="AO281" s="71"/>
      <c r="AP281" s="71"/>
      <c r="AQ281" s="71"/>
      <c r="AR281" s="71" t="s">
        <v>96</v>
      </c>
      <c r="AS281" s="71"/>
      <c r="AT281" s="71" t="s">
        <v>96</v>
      </c>
      <c r="AU281" s="71"/>
      <c r="AV281" s="71" t="s">
        <v>95</v>
      </c>
      <c r="AW281" s="71"/>
      <c r="AX281" s="71"/>
      <c r="AY281" s="71"/>
      <c r="AZ281" s="71"/>
      <c r="BA281" s="71"/>
      <c r="BB281" s="70" t="s">
        <v>218</v>
      </c>
      <c r="BC281" s="70" t="s">
        <v>98</v>
      </c>
      <c r="BD281" s="72" t="str">
        <f>IF('Cálculo MP'!K291="","",'Cálculo MP'!K291)</f>
        <v/>
      </c>
      <c r="BE281" s="72" t="str">
        <f>IF('Cálculo MP'!L291="","",'Cálculo MP'!L291)</f>
        <v/>
      </c>
      <c r="BF281" s="72" t="str">
        <f>IF('Cálculo MP'!M291="","",'Cálculo MP'!M291)</f>
        <v/>
      </c>
      <c r="BG281" s="72" t="str">
        <f>IF('Cálculo MP'!N291="","",'Cálculo MP'!N291)</f>
        <v/>
      </c>
      <c r="BH281" s="72" t="str">
        <f>IF('Cálculo MP'!O291="","",'Cálculo MP'!O291)</f>
        <v/>
      </c>
      <c r="BI281" s="72" t="str">
        <f>IF('Cálculo MP'!P291="","",'Cálculo MP'!P291)</f>
        <v/>
      </c>
      <c r="BJ281" s="72" t="str">
        <f>IF('Cálculo MP'!Q291="","",'Cálculo MP'!Q291)</f>
        <v/>
      </c>
      <c r="BK281" s="72" t="str">
        <f>IF('Cálculo MP'!R291="","",'Cálculo MP'!R291)</f>
        <v/>
      </c>
      <c r="BL281" s="72" t="str">
        <f>IF('Cálculo MP'!S291="","",'Cálculo MP'!S291)</f>
        <v/>
      </c>
      <c r="BM281" s="71"/>
      <c r="BN281" s="71"/>
      <c r="BO281" s="71"/>
      <c r="BP281" s="71"/>
      <c r="BQ281" s="71"/>
      <c r="BR281" s="71"/>
      <c r="BS281" s="71"/>
    </row>
    <row r="282" spans="1:71" ht="19.5" customHeight="1" x14ac:dyDescent="0.15">
      <c r="A282" s="56" t="s">
        <v>985</v>
      </c>
      <c r="B282" s="57" t="s">
        <v>986</v>
      </c>
      <c r="C282" s="58" t="s">
        <v>985</v>
      </c>
      <c r="D282" s="59" t="s">
        <v>985</v>
      </c>
      <c r="E282" s="61"/>
      <c r="F282" s="60" t="s">
        <v>95</v>
      </c>
      <c r="G282" s="61"/>
      <c r="H282" s="62"/>
      <c r="I282" s="75"/>
      <c r="J282" s="60" t="s">
        <v>95</v>
      </c>
      <c r="K282" s="64"/>
      <c r="L282" s="64"/>
      <c r="M282" s="64" t="s">
        <v>96</v>
      </c>
      <c r="N282" s="64" t="s">
        <v>97</v>
      </c>
      <c r="O282" s="65" t="s">
        <v>986</v>
      </c>
      <c r="P282" s="70" t="s">
        <v>96</v>
      </c>
      <c r="Q282" s="60" t="s">
        <v>95</v>
      </c>
      <c r="R282" s="60" t="s">
        <v>96</v>
      </c>
      <c r="S282" s="66" t="s">
        <v>96</v>
      </c>
      <c r="T282" s="67" t="s">
        <v>96</v>
      </c>
      <c r="U282" s="60" t="s">
        <v>96</v>
      </c>
      <c r="V282" s="60" t="s">
        <v>96</v>
      </c>
      <c r="W282" s="60" t="str" cm="1">
        <f t="array" ref="W282">_xlfn.LET(_xlpm.resultados,_xlfn.UNIQUE(_xlfn._xlws.FILTER(Tabla1[Proceso],(Tabla1[Metal Base]=Q282)*(Tabla1[Etiquetas]=_xlfn.TEXTJOIN(" + ",TRUE,IF((TRIM(Upload!R282:V282)="")+(LOWER(TRIM(Upload!R282:V282))="(seleccione)"),"",PROPER(TRIM(Upload!R282:V282)))))*(Tabla1[Línea2]=IFERROR(VLOOKUP(Upload!P282&amp;"*",CAT_Procesos!D:D,1,FALSE),"")))),_xlpm.cantidad,ROWS(_xlpm.resultados),IF(ISERROR(_xlpm.cantidad),"Combinación no existente",IF(_xlpm.cantidad=1,INDEX(_xlpm.resultados,1),"(seleccione)")))</f>
        <v>Combinación no existente</v>
      </c>
      <c r="X282" s="67" t="s">
        <v>96</v>
      </c>
      <c r="Y282" s="64"/>
      <c r="Z282" s="64"/>
      <c r="AA282" s="64"/>
      <c r="AB282" s="133" t="s">
        <v>96</v>
      </c>
      <c r="AC282" s="64"/>
      <c r="AD282" s="64"/>
      <c r="AE282" s="64"/>
      <c r="AF282" s="60" t="s">
        <v>96</v>
      </c>
      <c r="AG282" s="64"/>
      <c r="AH282" s="64"/>
      <c r="AI282" s="64"/>
      <c r="AJ282" s="68" t="s">
        <v>96</v>
      </c>
      <c r="AK282" s="69" t="str">
        <f t="shared" si="8"/>
        <v/>
      </c>
      <c r="AL282" s="70" t="s">
        <v>96</v>
      </c>
      <c r="AM282" s="69" t="str">
        <f t="shared" si="9"/>
        <v/>
      </c>
      <c r="AN282" s="71"/>
      <c r="AO282" s="71"/>
      <c r="AP282" s="71"/>
      <c r="AQ282" s="71"/>
      <c r="AR282" s="71" t="s">
        <v>96</v>
      </c>
      <c r="AS282" s="71"/>
      <c r="AT282" s="71" t="s">
        <v>96</v>
      </c>
      <c r="AU282" s="71"/>
      <c r="AV282" s="71" t="s">
        <v>95</v>
      </c>
      <c r="AW282" s="71"/>
      <c r="AX282" s="71"/>
      <c r="AY282" s="71"/>
      <c r="AZ282" s="71"/>
      <c r="BA282" s="71"/>
      <c r="BB282" s="70" t="s">
        <v>218</v>
      </c>
      <c r="BC282" s="70" t="s">
        <v>98</v>
      </c>
      <c r="BD282" s="72" t="str">
        <f>IF('Cálculo MP'!K292="","",'Cálculo MP'!K292)</f>
        <v/>
      </c>
      <c r="BE282" s="72" t="str">
        <f>IF('Cálculo MP'!L292="","",'Cálculo MP'!L292)</f>
        <v/>
      </c>
      <c r="BF282" s="72" t="str">
        <f>IF('Cálculo MP'!M292="","",'Cálculo MP'!M292)</f>
        <v/>
      </c>
      <c r="BG282" s="72" t="str">
        <f>IF('Cálculo MP'!N292="","",'Cálculo MP'!N292)</f>
        <v/>
      </c>
      <c r="BH282" s="72" t="str">
        <f>IF('Cálculo MP'!O292="","",'Cálculo MP'!O292)</f>
        <v/>
      </c>
      <c r="BI282" s="72" t="str">
        <f>IF('Cálculo MP'!P292="","",'Cálculo MP'!P292)</f>
        <v/>
      </c>
      <c r="BJ282" s="72" t="str">
        <f>IF('Cálculo MP'!Q292="","",'Cálculo MP'!Q292)</f>
        <v/>
      </c>
      <c r="BK282" s="72" t="str">
        <f>IF('Cálculo MP'!R292="","",'Cálculo MP'!R292)</f>
        <v/>
      </c>
      <c r="BL282" s="72" t="str">
        <f>IF('Cálculo MP'!S292="","",'Cálculo MP'!S292)</f>
        <v/>
      </c>
      <c r="BM282" s="71"/>
      <c r="BN282" s="71"/>
      <c r="BO282" s="71"/>
      <c r="BP282" s="71"/>
      <c r="BQ282" s="71"/>
      <c r="BR282" s="71"/>
      <c r="BS282" s="71"/>
    </row>
    <row r="283" spans="1:71" ht="19.5" customHeight="1" x14ac:dyDescent="0.15">
      <c r="A283" s="56" t="s">
        <v>985</v>
      </c>
      <c r="B283" s="57" t="s">
        <v>986</v>
      </c>
      <c r="C283" s="58" t="s">
        <v>985</v>
      </c>
      <c r="D283" s="59" t="s">
        <v>985</v>
      </c>
      <c r="E283" s="61"/>
      <c r="F283" s="60" t="s">
        <v>95</v>
      </c>
      <c r="G283" s="61"/>
      <c r="H283" s="62"/>
      <c r="I283" s="75"/>
      <c r="J283" s="60" t="s">
        <v>95</v>
      </c>
      <c r="K283" s="64"/>
      <c r="L283" s="64"/>
      <c r="M283" s="64" t="s">
        <v>96</v>
      </c>
      <c r="N283" s="64" t="s">
        <v>97</v>
      </c>
      <c r="O283" s="65" t="s">
        <v>986</v>
      </c>
      <c r="P283" s="70" t="s">
        <v>96</v>
      </c>
      <c r="Q283" s="60" t="s">
        <v>95</v>
      </c>
      <c r="R283" s="60" t="s">
        <v>96</v>
      </c>
      <c r="S283" s="66" t="s">
        <v>96</v>
      </c>
      <c r="T283" s="67" t="s">
        <v>96</v>
      </c>
      <c r="U283" s="60" t="s">
        <v>96</v>
      </c>
      <c r="V283" s="60" t="s">
        <v>96</v>
      </c>
      <c r="W283" s="60" t="str" cm="1">
        <f t="array" ref="W283">_xlfn.LET(_xlpm.resultados,_xlfn.UNIQUE(_xlfn._xlws.FILTER(Tabla1[Proceso],(Tabla1[Metal Base]=Q283)*(Tabla1[Etiquetas]=_xlfn.TEXTJOIN(" + ",TRUE,IF((TRIM(Upload!R283:V283)="")+(LOWER(TRIM(Upload!R283:V283))="(seleccione)"),"",PROPER(TRIM(Upload!R283:V283)))))*(Tabla1[Línea2]=IFERROR(VLOOKUP(Upload!P283&amp;"*",CAT_Procesos!D:D,1,FALSE),"")))),_xlpm.cantidad,ROWS(_xlpm.resultados),IF(ISERROR(_xlpm.cantidad),"Combinación no existente",IF(_xlpm.cantidad=1,INDEX(_xlpm.resultados,1),"(seleccione)")))</f>
        <v>Combinación no existente</v>
      </c>
      <c r="X283" s="67" t="s">
        <v>96</v>
      </c>
      <c r="Y283" s="64"/>
      <c r="Z283" s="64"/>
      <c r="AA283" s="64"/>
      <c r="AB283" s="133" t="s">
        <v>96</v>
      </c>
      <c r="AC283" s="64"/>
      <c r="AD283" s="64"/>
      <c r="AE283" s="64"/>
      <c r="AF283" s="60" t="s">
        <v>96</v>
      </c>
      <c r="AG283" s="64"/>
      <c r="AH283" s="64"/>
      <c r="AI283" s="64"/>
      <c r="AJ283" s="68" t="s">
        <v>96</v>
      </c>
      <c r="AK283" s="69" t="str">
        <f t="shared" si="8"/>
        <v/>
      </c>
      <c r="AL283" s="70" t="s">
        <v>96</v>
      </c>
      <c r="AM283" s="69" t="str">
        <f t="shared" si="9"/>
        <v/>
      </c>
      <c r="AN283" s="71"/>
      <c r="AO283" s="71"/>
      <c r="AP283" s="71"/>
      <c r="AQ283" s="71"/>
      <c r="AR283" s="71" t="s">
        <v>96</v>
      </c>
      <c r="AS283" s="71"/>
      <c r="AT283" s="71" t="s">
        <v>96</v>
      </c>
      <c r="AU283" s="71"/>
      <c r="AV283" s="71" t="s">
        <v>95</v>
      </c>
      <c r="AW283" s="71"/>
      <c r="AX283" s="71"/>
      <c r="AY283" s="71"/>
      <c r="AZ283" s="71"/>
      <c r="BA283" s="71"/>
      <c r="BB283" s="70" t="s">
        <v>218</v>
      </c>
      <c r="BC283" s="70" t="s">
        <v>98</v>
      </c>
      <c r="BD283" s="72" t="str">
        <f>IF('Cálculo MP'!K293="","",'Cálculo MP'!K293)</f>
        <v/>
      </c>
      <c r="BE283" s="72" t="str">
        <f>IF('Cálculo MP'!L293="","",'Cálculo MP'!L293)</f>
        <v/>
      </c>
      <c r="BF283" s="72" t="str">
        <f>IF('Cálculo MP'!M293="","",'Cálculo MP'!M293)</f>
        <v/>
      </c>
      <c r="BG283" s="72" t="str">
        <f>IF('Cálculo MP'!N293="","",'Cálculo MP'!N293)</f>
        <v/>
      </c>
      <c r="BH283" s="72" t="str">
        <f>IF('Cálculo MP'!O293="","",'Cálculo MP'!O293)</f>
        <v/>
      </c>
      <c r="BI283" s="72" t="str">
        <f>IF('Cálculo MP'!P293="","",'Cálculo MP'!P293)</f>
        <v/>
      </c>
      <c r="BJ283" s="72" t="str">
        <f>IF('Cálculo MP'!Q293="","",'Cálculo MP'!Q293)</f>
        <v/>
      </c>
      <c r="BK283" s="72" t="str">
        <f>IF('Cálculo MP'!R293="","",'Cálculo MP'!R293)</f>
        <v/>
      </c>
      <c r="BL283" s="72" t="str">
        <f>IF('Cálculo MP'!S293="","",'Cálculo MP'!S293)</f>
        <v/>
      </c>
      <c r="BM283" s="71"/>
      <c r="BN283" s="71"/>
      <c r="BO283" s="71"/>
      <c r="BP283" s="71"/>
      <c r="BQ283" s="71"/>
      <c r="BR283" s="71"/>
      <c r="BS283" s="71"/>
    </row>
    <row r="284" spans="1:71" ht="19.5" customHeight="1" x14ac:dyDescent="0.15">
      <c r="A284" s="56" t="s">
        <v>985</v>
      </c>
      <c r="B284" s="57" t="s">
        <v>986</v>
      </c>
      <c r="C284" s="58" t="s">
        <v>985</v>
      </c>
      <c r="D284" s="59" t="s">
        <v>985</v>
      </c>
      <c r="E284" s="61"/>
      <c r="F284" s="60" t="s">
        <v>95</v>
      </c>
      <c r="G284" s="61"/>
      <c r="H284" s="62"/>
      <c r="I284" s="75"/>
      <c r="J284" s="60" t="s">
        <v>95</v>
      </c>
      <c r="K284" s="64"/>
      <c r="L284" s="64"/>
      <c r="M284" s="64" t="s">
        <v>96</v>
      </c>
      <c r="N284" s="64" t="s">
        <v>97</v>
      </c>
      <c r="O284" s="65" t="s">
        <v>986</v>
      </c>
      <c r="P284" s="70" t="s">
        <v>96</v>
      </c>
      <c r="Q284" s="60" t="s">
        <v>95</v>
      </c>
      <c r="R284" s="60" t="s">
        <v>96</v>
      </c>
      <c r="S284" s="66" t="s">
        <v>96</v>
      </c>
      <c r="T284" s="67" t="s">
        <v>96</v>
      </c>
      <c r="U284" s="60" t="s">
        <v>96</v>
      </c>
      <c r="V284" s="60" t="s">
        <v>96</v>
      </c>
      <c r="W284" s="60" t="str" cm="1">
        <f t="array" ref="W284">_xlfn.LET(_xlpm.resultados,_xlfn.UNIQUE(_xlfn._xlws.FILTER(Tabla1[Proceso],(Tabla1[Metal Base]=Q284)*(Tabla1[Etiquetas]=_xlfn.TEXTJOIN(" + ",TRUE,IF((TRIM(Upload!R284:V284)="")+(LOWER(TRIM(Upload!R284:V284))="(seleccione)"),"",PROPER(TRIM(Upload!R284:V284)))))*(Tabla1[Línea2]=IFERROR(VLOOKUP(Upload!P284&amp;"*",CAT_Procesos!D:D,1,FALSE),"")))),_xlpm.cantidad,ROWS(_xlpm.resultados),IF(ISERROR(_xlpm.cantidad),"Combinación no existente",IF(_xlpm.cantidad=1,INDEX(_xlpm.resultados,1),"(seleccione)")))</f>
        <v>Combinación no existente</v>
      </c>
      <c r="X284" s="67" t="s">
        <v>96</v>
      </c>
      <c r="Y284" s="64"/>
      <c r="Z284" s="64"/>
      <c r="AA284" s="64"/>
      <c r="AB284" s="133" t="s">
        <v>96</v>
      </c>
      <c r="AC284" s="64"/>
      <c r="AD284" s="64"/>
      <c r="AE284" s="64"/>
      <c r="AF284" s="60" t="s">
        <v>96</v>
      </c>
      <c r="AG284" s="64"/>
      <c r="AH284" s="64"/>
      <c r="AI284" s="64"/>
      <c r="AJ284" s="68" t="s">
        <v>96</v>
      </c>
      <c r="AK284" s="69" t="str">
        <f t="shared" si="8"/>
        <v/>
      </c>
      <c r="AL284" s="70" t="s">
        <v>96</v>
      </c>
      <c r="AM284" s="69" t="str">
        <f t="shared" si="9"/>
        <v/>
      </c>
      <c r="AN284" s="71"/>
      <c r="AO284" s="71"/>
      <c r="AP284" s="71"/>
      <c r="AQ284" s="71"/>
      <c r="AR284" s="71" t="s">
        <v>96</v>
      </c>
      <c r="AS284" s="71"/>
      <c r="AT284" s="71" t="s">
        <v>96</v>
      </c>
      <c r="AU284" s="71"/>
      <c r="AV284" s="71" t="s">
        <v>95</v>
      </c>
      <c r="AW284" s="71"/>
      <c r="AX284" s="71"/>
      <c r="AY284" s="71"/>
      <c r="AZ284" s="71"/>
      <c r="BA284" s="71"/>
      <c r="BB284" s="70" t="s">
        <v>218</v>
      </c>
      <c r="BC284" s="70" t="s">
        <v>98</v>
      </c>
      <c r="BD284" s="72" t="str">
        <f>IF('Cálculo MP'!K294="","",'Cálculo MP'!K294)</f>
        <v/>
      </c>
      <c r="BE284" s="72" t="str">
        <f>IF('Cálculo MP'!L294="","",'Cálculo MP'!L294)</f>
        <v/>
      </c>
      <c r="BF284" s="72" t="str">
        <f>IF('Cálculo MP'!M294="","",'Cálculo MP'!M294)</f>
        <v/>
      </c>
      <c r="BG284" s="72" t="str">
        <f>IF('Cálculo MP'!N294="","",'Cálculo MP'!N294)</f>
        <v/>
      </c>
      <c r="BH284" s="72" t="str">
        <f>IF('Cálculo MP'!O294="","",'Cálculo MP'!O294)</f>
        <v/>
      </c>
      <c r="BI284" s="72" t="str">
        <f>IF('Cálculo MP'!P294="","",'Cálculo MP'!P294)</f>
        <v/>
      </c>
      <c r="BJ284" s="72" t="str">
        <f>IF('Cálculo MP'!Q294="","",'Cálculo MP'!Q294)</f>
        <v/>
      </c>
      <c r="BK284" s="72" t="str">
        <f>IF('Cálculo MP'!R294="","",'Cálculo MP'!R294)</f>
        <v/>
      </c>
      <c r="BL284" s="72" t="str">
        <f>IF('Cálculo MP'!S294="","",'Cálculo MP'!S294)</f>
        <v/>
      </c>
      <c r="BM284" s="71"/>
      <c r="BN284" s="71"/>
      <c r="BO284" s="71"/>
      <c r="BP284" s="71"/>
      <c r="BQ284" s="71"/>
      <c r="BR284" s="71"/>
      <c r="BS284" s="71"/>
    </row>
    <row r="285" spans="1:71" ht="19.5" customHeight="1" x14ac:dyDescent="0.15">
      <c r="A285" s="56" t="s">
        <v>985</v>
      </c>
      <c r="B285" s="57" t="s">
        <v>986</v>
      </c>
      <c r="C285" s="58" t="s">
        <v>985</v>
      </c>
      <c r="D285" s="59" t="s">
        <v>985</v>
      </c>
      <c r="E285" s="61"/>
      <c r="F285" s="60" t="s">
        <v>95</v>
      </c>
      <c r="G285" s="61"/>
      <c r="H285" s="62"/>
      <c r="I285" s="75"/>
      <c r="J285" s="60" t="s">
        <v>95</v>
      </c>
      <c r="K285" s="64"/>
      <c r="L285" s="64"/>
      <c r="M285" s="64" t="s">
        <v>96</v>
      </c>
      <c r="N285" s="64" t="s">
        <v>97</v>
      </c>
      <c r="O285" s="65" t="s">
        <v>986</v>
      </c>
      <c r="P285" s="70" t="s">
        <v>96</v>
      </c>
      <c r="Q285" s="60" t="s">
        <v>95</v>
      </c>
      <c r="R285" s="60" t="s">
        <v>96</v>
      </c>
      <c r="S285" s="66" t="s">
        <v>96</v>
      </c>
      <c r="T285" s="67" t="s">
        <v>96</v>
      </c>
      <c r="U285" s="60" t="s">
        <v>96</v>
      </c>
      <c r="V285" s="60" t="s">
        <v>96</v>
      </c>
      <c r="W285" s="60" t="str" cm="1">
        <f t="array" ref="W285">_xlfn.LET(_xlpm.resultados,_xlfn.UNIQUE(_xlfn._xlws.FILTER(Tabla1[Proceso],(Tabla1[Metal Base]=Q285)*(Tabla1[Etiquetas]=_xlfn.TEXTJOIN(" + ",TRUE,IF((TRIM(Upload!R285:V285)="")+(LOWER(TRIM(Upload!R285:V285))="(seleccione)"),"",PROPER(TRIM(Upload!R285:V285)))))*(Tabla1[Línea2]=IFERROR(VLOOKUP(Upload!P285&amp;"*",CAT_Procesos!D:D,1,FALSE),"")))),_xlpm.cantidad,ROWS(_xlpm.resultados),IF(ISERROR(_xlpm.cantidad),"Combinación no existente",IF(_xlpm.cantidad=1,INDEX(_xlpm.resultados,1),"(seleccione)")))</f>
        <v>Combinación no existente</v>
      </c>
      <c r="X285" s="67" t="s">
        <v>96</v>
      </c>
      <c r="Y285" s="64"/>
      <c r="Z285" s="64"/>
      <c r="AA285" s="64"/>
      <c r="AB285" s="133" t="s">
        <v>96</v>
      </c>
      <c r="AC285" s="64"/>
      <c r="AD285" s="64"/>
      <c r="AE285" s="64"/>
      <c r="AF285" s="60" t="s">
        <v>96</v>
      </c>
      <c r="AG285" s="64"/>
      <c r="AH285" s="64"/>
      <c r="AI285" s="64"/>
      <c r="AJ285" s="68" t="s">
        <v>96</v>
      </c>
      <c r="AK285" s="69" t="str">
        <f t="shared" si="8"/>
        <v/>
      </c>
      <c r="AL285" s="70" t="s">
        <v>96</v>
      </c>
      <c r="AM285" s="69" t="str">
        <f t="shared" si="9"/>
        <v/>
      </c>
      <c r="AN285" s="71"/>
      <c r="AO285" s="71"/>
      <c r="AP285" s="71"/>
      <c r="AQ285" s="71"/>
      <c r="AR285" s="71" t="s">
        <v>96</v>
      </c>
      <c r="AS285" s="71"/>
      <c r="AT285" s="71" t="s">
        <v>96</v>
      </c>
      <c r="AU285" s="71"/>
      <c r="AV285" s="71" t="s">
        <v>95</v>
      </c>
      <c r="AW285" s="71"/>
      <c r="AX285" s="71"/>
      <c r="AY285" s="71"/>
      <c r="AZ285" s="71"/>
      <c r="BA285" s="71"/>
      <c r="BB285" s="70" t="s">
        <v>218</v>
      </c>
      <c r="BC285" s="70" t="s">
        <v>98</v>
      </c>
      <c r="BD285" s="72" t="str">
        <f>IF('Cálculo MP'!K295="","",'Cálculo MP'!K295)</f>
        <v/>
      </c>
      <c r="BE285" s="72" t="str">
        <f>IF('Cálculo MP'!L295="","",'Cálculo MP'!L295)</f>
        <v/>
      </c>
      <c r="BF285" s="72" t="str">
        <f>IF('Cálculo MP'!M295="","",'Cálculo MP'!M295)</f>
        <v/>
      </c>
      <c r="BG285" s="72" t="str">
        <f>IF('Cálculo MP'!N295="","",'Cálculo MP'!N295)</f>
        <v/>
      </c>
      <c r="BH285" s="72" t="str">
        <f>IF('Cálculo MP'!O295="","",'Cálculo MP'!O295)</f>
        <v/>
      </c>
      <c r="BI285" s="72" t="str">
        <f>IF('Cálculo MP'!P295="","",'Cálculo MP'!P295)</f>
        <v/>
      </c>
      <c r="BJ285" s="72" t="str">
        <f>IF('Cálculo MP'!Q295="","",'Cálculo MP'!Q295)</f>
        <v/>
      </c>
      <c r="BK285" s="72" t="str">
        <f>IF('Cálculo MP'!R295="","",'Cálculo MP'!R295)</f>
        <v/>
      </c>
      <c r="BL285" s="72" t="str">
        <f>IF('Cálculo MP'!S295="","",'Cálculo MP'!S295)</f>
        <v/>
      </c>
      <c r="BM285" s="71"/>
      <c r="BN285" s="71"/>
      <c r="BO285" s="71"/>
      <c r="BP285" s="71"/>
      <c r="BQ285" s="71"/>
      <c r="BR285" s="71"/>
      <c r="BS285" s="71"/>
    </row>
    <row r="286" spans="1:71" ht="19.5" customHeight="1" x14ac:dyDescent="0.15">
      <c r="A286" s="56" t="s">
        <v>985</v>
      </c>
      <c r="B286" s="57" t="s">
        <v>986</v>
      </c>
      <c r="C286" s="58" t="s">
        <v>985</v>
      </c>
      <c r="D286" s="59" t="s">
        <v>985</v>
      </c>
      <c r="E286" s="61"/>
      <c r="F286" s="60" t="s">
        <v>95</v>
      </c>
      <c r="G286" s="61"/>
      <c r="H286" s="62"/>
      <c r="I286" s="75"/>
      <c r="J286" s="60" t="s">
        <v>95</v>
      </c>
      <c r="K286" s="64"/>
      <c r="L286" s="64"/>
      <c r="M286" s="64" t="s">
        <v>96</v>
      </c>
      <c r="N286" s="64" t="s">
        <v>97</v>
      </c>
      <c r="O286" s="65" t="s">
        <v>986</v>
      </c>
      <c r="P286" s="70" t="s">
        <v>96</v>
      </c>
      <c r="Q286" s="60" t="s">
        <v>95</v>
      </c>
      <c r="R286" s="60" t="s">
        <v>96</v>
      </c>
      <c r="S286" s="66" t="s">
        <v>96</v>
      </c>
      <c r="T286" s="67" t="s">
        <v>96</v>
      </c>
      <c r="U286" s="60" t="s">
        <v>96</v>
      </c>
      <c r="V286" s="60" t="s">
        <v>96</v>
      </c>
      <c r="W286" s="60" t="str" cm="1">
        <f t="array" ref="W286">_xlfn.LET(_xlpm.resultados,_xlfn.UNIQUE(_xlfn._xlws.FILTER(Tabla1[Proceso],(Tabla1[Metal Base]=Q286)*(Tabla1[Etiquetas]=_xlfn.TEXTJOIN(" + ",TRUE,IF((TRIM(Upload!R286:V286)="")+(LOWER(TRIM(Upload!R286:V286))="(seleccione)"),"",PROPER(TRIM(Upload!R286:V286)))))*(Tabla1[Línea2]=IFERROR(VLOOKUP(Upload!P286&amp;"*",CAT_Procesos!D:D,1,FALSE),"")))),_xlpm.cantidad,ROWS(_xlpm.resultados),IF(ISERROR(_xlpm.cantidad),"Combinación no existente",IF(_xlpm.cantidad=1,INDEX(_xlpm.resultados,1),"(seleccione)")))</f>
        <v>Combinación no existente</v>
      </c>
      <c r="X286" s="67" t="s">
        <v>96</v>
      </c>
      <c r="Y286" s="64"/>
      <c r="Z286" s="64"/>
      <c r="AA286" s="64"/>
      <c r="AB286" s="133" t="s">
        <v>96</v>
      </c>
      <c r="AC286" s="64"/>
      <c r="AD286" s="64"/>
      <c r="AE286" s="64"/>
      <c r="AF286" s="60" t="s">
        <v>96</v>
      </c>
      <c r="AG286" s="64"/>
      <c r="AH286" s="64"/>
      <c r="AI286" s="64"/>
      <c r="AJ286" s="68" t="s">
        <v>96</v>
      </c>
      <c r="AK286" s="69" t="str">
        <f t="shared" si="8"/>
        <v/>
      </c>
      <c r="AL286" s="70" t="s">
        <v>96</v>
      </c>
      <c r="AM286" s="69" t="str">
        <f t="shared" si="9"/>
        <v/>
      </c>
      <c r="AN286" s="71"/>
      <c r="AO286" s="71"/>
      <c r="AP286" s="71"/>
      <c r="AQ286" s="71"/>
      <c r="AR286" s="71" t="s">
        <v>96</v>
      </c>
      <c r="AS286" s="71"/>
      <c r="AT286" s="71" t="s">
        <v>96</v>
      </c>
      <c r="AU286" s="71"/>
      <c r="AV286" s="71" t="s">
        <v>95</v>
      </c>
      <c r="AW286" s="71"/>
      <c r="AX286" s="71"/>
      <c r="AY286" s="71"/>
      <c r="AZ286" s="71"/>
      <c r="BA286" s="71"/>
      <c r="BB286" s="70" t="s">
        <v>218</v>
      </c>
      <c r="BC286" s="70" t="s">
        <v>98</v>
      </c>
      <c r="BD286" s="72" t="str">
        <f>IF('Cálculo MP'!K296="","",'Cálculo MP'!K296)</f>
        <v/>
      </c>
      <c r="BE286" s="72" t="str">
        <f>IF('Cálculo MP'!L296="","",'Cálculo MP'!L296)</f>
        <v/>
      </c>
      <c r="BF286" s="72" t="str">
        <f>IF('Cálculo MP'!M296="","",'Cálculo MP'!M296)</f>
        <v/>
      </c>
      <c r="BG286" s="72" t="str">
        <f>IF('Cálculo MP'!N296="","",'Cálculo MP'!N296)</f>
        <v/>
      </c>
      <c r="BH286" s="72" t="str">
        <f>IF('Cálculo MP'!O296="","",'Cálculo MP'!O296)</f>
        <v/>
      </c>
      <c r="BI286" s="72" t="str">
        <f>IF('Cálculo MP'!P296="","",'Cálculo MP'!P296)</f>
        <v/>
      </c>
      <c r="BJ286" s="72" t="str">
        <f>IF('Cálculo MP'!Q296="","",'Cálculo MP'!Q296)</f>
        <v/>
      </c>
      <c r="BK286" s="72" t="str">
        <f>IF('Cálculo MP'!R296="","",'Cálculo MP'!R296)</f>
        <v/>
      </c>
      <c r="BL286" s="72" t="str">
        <f>IF('Cálculo MP'!S296="","",'Cálculo MP'!S296)</f>
        <v/>
      </c>
      <c r="BM286" s="71"/>
      <c r="BN286" s="71"/>
      <c r="BO286" s="71"/>
      <c r="BP286" s="71"/>
      <c r="BQ286" s="71"/>
      <c r="BR286" s="71"/>
      <c r="BS286" s="71"/>
    </row>
    <row r="287" spans="1:71" ht="19.5" customHeight="1" x14ac:dyDescent="0.15">
      <c r="A287" s="56" t="s">
        <v>985</v>
      </c>
      <c r="B287" s="57" t="s">
        <v>986</v>
      </c>
      <c r="C287" s="58" t="s">
        <v>985</v>
      </c>
      <c r="D287" s="59" t="s">
        <v>985</v>
      </c>
      <c r="E287" s="61"/>
      <c r="F287" s="60" t="s">
        <v>95</v>
      </c>
      <c r="G287" s="61"/>
      <c r="H287" s="62"/>
      <c r="I287" s="75"/>
      <c r="J287" s="60" t="s">
        <v>95</v>
      </c>
      <c r="K287" s="64"/>
      <c r="L287" s="64"/>
      <c r="M287" s="64" t="s">
        <v>96</v>
      </c>
      <c r="N287" s="64" t="s">
        <v>97</v>
      </c>
      <c r="O287" s="65" t="s">
        <v>986</v>
      </c>
      <c r="P287" s="70" t="s">
        <v>96</v>
      </c>
      <c r="Q287" s="60" t="s">
        <v>95</v>
      </c>
      <c r="R287" s="60" t="s">
        <v>96</v>
      </c>
      <c r="S287" s="66" t="s">
        <v>96</v>
      </c>
      <c r="T287" s="67" t="s">
        <v>96</v>
      </c>
      <c r="U287" s="60" t="s">
        <v>96</v>
      </c>
      <c r="V287" s="60" t="s">
        <v>96</v>
      </c>
      <c r="W287" s="60" t="str" cm="1">
        <f t="array" ref="W287">_xlfn.LET(_xlpm.resultados,_xlfn.UNIQUE(_xlfn._xlws.FILTER(Tabla1[Proceso],(Tabla1[Metal Base]=Q287)*(Tabla1[Etiquetas]=_xlfn.TEXTJOIN(" + ",TRUE,IF((TRIM(Upload!R287:V287)="")+(LOWER(TRIM(Upload!R287:V287))="(seleccione)"),"",PROPER(TRIM(Upload!R287:V287)))))*(Tabla1[Línea2]=IFERROR(VLOOKUP(Upload!P287&amp;"*",CAT_Procesos!D:D,1,FALSE),"")))),_xlpm.cantidad,ROWS(_xlpm.resultados),IF(ISERROR(_xlpm.cantidad),"Combinación no existente",IF(_xlpm.cantidad=1,INDEX(_xlpm.resultados,1),"(seleccione)")))</f>
        <v>Combinación no existente</v>
      </c>
      <c r="X287" s="67" t="s">
        <v>96</v>
      </c>
      <c r="Y287" s="64"/>
      <c r="Z287" s="64"/>
      <c r="AA287" s="64"/>
      <c r="AB287" s="133" t="s">
        <v>96</v>
      </c>
      <c r="AC287" s="64"/>
      <c r="AD287" s="64"/>
      <c r="AE287" s="64"/>
      <c r="AF287" s="60" t="s">
        <v>96</v>
      </c>
      <c r="AG287" s="64"/>
      <c r="AH287" s="64"/>
      <c r="AI287" s="64"/>
      <c r="AJ287" s="68" t="s">
        <v>96</v>
      </c>
      <c r="AK287" s="69" t="str">
        <f t="shared" si="8"/>
        <v/>
      </c>
      <c r="AL287" s="70" t="s">
        <v>96</v>
      </c>
      <c r="AM287" s="69" t="str">
        <f t="shared" si="9"/>
        <v/>
      </c>
      <c r="AN287" s="71"/>
      <c r="AO287" s="71"/>
      <c r="AP287" s="71"/>
      <c r="AQ287" s="71"/>
      <c r="AR287" s="71" t="s">
        <v>96</v>
      </c>
      <c r="AS287" s="71"/>
      <c r="AT287" s="71" t="s">
        <v>96</v>
      </c>
      <c r="AU287" s="71"/>
      <c r="AV287" s="71" t="s">
        <v>95</v>
      </c>
      <c r="AW287" s="71"/>
      <c r="AX287" s="71"/>
      <c r="AY287" s="71"/>
      <c r="AZ287" s="71"/>
      <c r="BA287" s="71"/>
      <c r="BB287" s="70" t="s">
        <v>218</v>
      </c>
      <c r="BC287" s="70" t="s">
        <v>98</v>
      </c>
      <c r="BD287" s="72" t="str">
        <f>IF('Cálculo MP'!K297="","",'Cálculo MP'!K297)</f>
        <v/>
      </c>
      <c r="BE287" s="72" t="str">
        <f>IF('Cálculo MP'!L297="","",'Cálculo MP'!L297)</f>
        <v/>
      </c>
      <c r="BF287" s="72" t="str">
        <f>IF('Cálculo MP'!M297="","",'Cálculo MP'!M297)</f>
        <v/>
      </c>
      <c r="BG287" s="72" t="str">
        <f>IF('Cálculo MP'!N297="","",'Cálculo MP'!N297)</f>
        <v/>
      </c>
      <c r="BH287" s="72" t="str">
        <f>IF('Cálculo MP'!O297="","",'Cálculo MP'!O297)</f>
        <v/>
      </c>
      <c r="BI287" s="72" t="str">
        <f>IF('Cálculo MP'!P297="","",'Cálculo MP'!P297)</f>
        <v/>
      </c>
      <c r="BJ287" s="72" t="str">
        <f>IF('Cálculo MP'!Q297="","",'Cálculo MP'!Q297)</f>
        <v/>
      </c>
      <c r="BK287" s="72" t="str">
        <f>IF('Cálculo MP'!R297="","",'Cálculo MP'!R297)</f>
        <v/>
      </c>
      <c r="BL287" s="72" t="str">
        <f>IF('Cálculo MP'!S297="","",'Cálculo MP'!S297)</f>
        <v/>
      </c>
      <c r="BM287" s="71"/>
      <c r="BN287" s="71"/>
      <c r="BO287" s="71"/>
      <c r="BP287" s="71"/>
      <c r="BQ287" s="71"/>
      <c r="BR287" s="71"/>
      <c r="BS287" s="71"/>
    </row>
    <row r="288" spans="1:71" ht="19.5" customHeight="1" x14ac:dyDescent="0.15">
      <c r="A288" s="56" t="s">
        <v>985</v>
      </c>
      <c r="B288" s="57" t="s">
        <v>986</v>
      </c>
      <c r="C288" s="58" t="s">
        <v>985</v>
      </c>
      <c r="D288" s="59" t="s">
        <v>985</v>
      </c>
      <c r="E288" s="61"/>
      <c r="F288" s="60" t="s">
        <v>95</v>
      </c>
      <c r="G288" s="61"/>
      <c r="H288" s="62"/>
      <c r="I288" s="75"/>
      <c r="J288" s="60" t="s">
        <v>95</v>
      </c>
      <c r="K288" s="64"/>
      <c r="L288" s="64"/>
      <c r="M288" s="64" t="s">
        <v>96</v>
      </c>
      <c r="N288" s="64" t="s">
        <v>97</v>
      </c>
      <c r="O288" s="65" t="s">
        <v>986</v>
      </c>
      <c r="P288" s="70" t="s">
        <v>96</v>
      </c>
      <c r="Q288" s="60" t="s">
        <v>95</v>
      </c>
      <c r="R288" s="60" t="s">
        <v>96</v>
      </c>
      <c r="S288" s="66" t="s">
        <v>96</v>
      </c>
      <c r="T288" s="67" t="s">
        <v>96</v>
      </c>
      <c r="U288" s="60" t="s">
        <v>96</v>
      </c>
      <c r="V288" s="60" t="s">
        <v>96</v>
      </c>
      <c r="W288" s="60" t="str" cm="1">
        <f t="array" ref="W288">_xlfn.LET(_xlpm.resultados,_xlfn.UNIQUE(_xlfn._xlws.FILTER(Tabla1[Proceso],(Tabla1[Metal Base]=Q288)*(Tabla1[Etiquetas]=_xlfn.TEXTJOIN(" + ",TRUE,IF((TRIM(Upload!R288:V288)="")+(LOWER(TRIM(Upload!R288:V288))="(seleccione)"),"",PROPER(TRIM(Upload!R288:V288)))))*(Tabla1[Línea2]=IFERROR(VLOOKUP(Upload!P288&amp;"*",CAT_Procesos!D:D,1,FALSE),"")))),_xlpm.cantidad,ROWS(_xlpm.resultados),IF(ISERROR(_xlpm.cantidad),"Combinación no existente",IF(_xlpm.cantidad=1,INDEX(_xlpm.resultados,1),"(seleccione)")))</f>
        <v>Combinación no existente</v>
      </c>
      <c r="X288" s="67" t="s">
        <v>96</v>
      </c>
      <c r="Y288" s="64"/>
      <c r="Z288" s="64"/>
      <c r="AA288" s="64"/>
      <c r="AB288" s="133" t="s">
        <v>96</v>
      </c>
      <c r="AC288" s="64"/>
      <c r="AD288" s="64"/>
      <c r="AE288" s="64"/>
      <c r="AF288" s="60" t="s">
        <v>96</v>
      </c>
      <c r="AG288" s="64"/>
      <c r="AH288" s="64"/>
      <c r="AI288" s="64"/>
      <c r="AJ288" s="68" t="s">
        <v>96</v>
      </c>
      <c r="AK288" s="69" t="str">
        <f t="shared" si="8"/>
        <v/>
      </c>
      <c r="AL288" s="70" t="s">
        <v>96</v>
      </c>
      <c r="AM288" s="69" t="str">
        <f t="shared" si="9"/>
        <v/>
      </c>
      <c r="AN288" s="71"/>
      <c r="AO288" s="71"/>
      <c r="AP288" s="71"/>
      <c r="AQ288" s="71"/>
      <c r="AR288" s="71" t="s">
        <v>96</v>
      </c>
      <c r="AS288" s="71"/>
      <c r="AT288" s="71" t="s">
        <v>96</v>
      </c>
      <c r="AU288" s="71"/>
      <c r="AV288" s="71" t="s">
        <v>95</v>
      </c>
      <c r="AW288" s="71"/>
      <c r="AX288" s="71"/>
      <c r="AY288" s="71"/>
      <c r="AZ288" s="71"/>
      <c r="BA288" s="71"/>
      <c r="BB288" s="70" t="s">
        <v>218</v>
      </c>
      <c r="BC288" s="70" t="s">
        <v>98</v>
      </c>
      <c r="BD288" s="72" t="str">
        <f>IF('Cálculo MP'!K298="","",'Cálculo MP'!K298)</f>
        <v/>
      </c>
      <c r="BE288" s="72" t="str">
        <f>IF('Cálculo MP'!L298="","",'Cálculo MP'!L298)</f>
        <v/>
      </c>
      <c r="BF288" s="72" t="str">
        <f>IF('Cálculo MP'!M298="","",'Cálculo MP'!M298)</f>
        <v/>
      </c>
      <c r="BG288" s="72" t="str">
        <f>IF('Cálculo MP'!N298="","",'Cálculo MP'!N298)</f>
        <v/>
      </c>
      <c r="BH288" s="72" t="str">
        <f>IF('Cálculo MP'!O298="","",'Cálculo MP'!O298)</f>
        <v/>
      </c>
      <c r="BI288" s="72" t="str">
        <f>IF('Cálculo MP'!P298="","",'Cálculo MP'!P298)</f>
        <v/>
      </c>
      <c r="BJ288" s="72" t="str">
        <f>IF('Cálculo MP'!Q298="","",'Cálculo MP'!Q298)</f>
        <v/>
      </c>
      <c r="BK288" s="72" t="str">
        <f>IF('Cálculo MP'!R298="","",'Cálculo MP'!R298)</f>
        <v/>
      </c>
      <c r="BL288" s="72" t="str">
        <f>IF('Cálculo MP'!S298="","",'Cálculo MP'!S298)</f>
        <v/>
      </c>
      <c r="BM288" s="71"/>
      <c r="BN288" s="71"/>
      <c r="BO288" s="71"/>
      <c r="BP288" s="71"/>
      <c r="BQ288" s="71"/>
      <c r="BR288" s="71"/>
      <c r="BS288" s="71"/>
    </row>
    <row r="289" spans="1:71" ht="19.5" customHeight="1" x14ac:dyDescent="0.15">
      <c r="A289" s="56" t="s">
        <v>985</v>
      </c>
      <c r="B289" s="57" t="s">
        <v>986</v>
      </c>
      <c r="C289" s="58" t="s">
        <v>985</v>
      </c>
      <c r="D289" s="59" t="s">
        <v>985</v>
      </c>
      <c r="E289" s="61"/>
      <c r="F289" s="60" t="s">
        <v>95</v>
      </c>
      <c r="G289" s="61"/>
      <c r="H289" s="62"/>
      <c r="I289" s="75"/>
      <c r="J289" s="60" t="s">
        <v>95</v>
      </c>
      <c r="K289" s="64"/>
      <c r="L289" s="64"/>
      <c r="M289" s="64" t="s">
        <v>96</v>
      </c>
      <c r="N289" s="64" t="s">
        <v>97</v>
      </c>
      <c r="O289" s="65" t="s">
        <v>986</v>
      </c>
      <c r="P289" s="70" t="s">
        <v>96</v>
      </c>
      <c r="Q289" s="60" t="s">
        <v>95</v>
      </c>
      <c r="R289" s="60" t="s">
        <v>96</v>
      </c>
      <c r="S289" s="66" t="s">
        <v>96</v>
      </c>
      <c r="T289" s="67" t="s">
        <v>96</v>
      </c>
      <c r="U289" s="60" t="s">
        <v>96</v>
      </c>
      <c r="V289" s="60" t="s">
        <v>96</v>
      </c>
      <c r="W289" s="60" t="str" cm="1">
        <f t="array" ref="W289">_xlfn.LET(_xlpm.resultados,_xlfn.UNIQUE(_xlfn._xlws.FILTER(Tabla1[Proceso],(Tabla1[Metal Base]=Q289)*(Tabla1[Etiquetas]=_xlfn.TEXTJOIN(" + ",TRUE,IF((TRIM(Upload!R289:V289)="")+(LOWER(TRIM(Upload!R289:V289))="(seleccione)"),"",PROPER(TRIM(Upload!R289:V289)))))*(Tabla1[Línea2]=IFERROR(VLOOKUP(Upload!P289&amp;"*",CAT_Procesos!D:D,1,FALSE),"")))),_xlpm.cantidad,ROWS(_xlpm.resultados),IF(ISERROR(_xlpm.cantidad),"Combinación no existente",IF(_xlpm.cantidad=1,INDEX(_xlpm.resultados,1),"(seleccione)")))</f>
        <v>Combinación no existente</v>
      </c>
      <c r="X289" s="67" t="s">
        <v>96</v>
      </c>
      <c r="Y289" s="64"/>
      <c r="Z289" s="64"/>
      <c r="AA289" s="64"/>
      <c r="AB289" s="133" t="s">
        <v>96</v>
      </c>
      <c r="AC289" s="64"/>
      <c r="AD289" s="64"/>
      <c r="AE289" s="64"/>
      <c r="AF289" s="60" t="s">
        <v>96</v>
      </c>
      <c r="AG289" s="64"/>
      <c r="AH289" s="64"/>
      <c r="AI289" s="64"/>
      <c r="AJ289" s="68" t="s">
        <v>96</v>
      </c>
      <c r="AK289" s="69" t="str">
        <f t="shared" si="8"/>
        <v/>
      </c>
      <c r="AL289" s="70" t="s">
        <v>96</v>
      </c>
      <c r="AM289" s="69" t="str">
        <f t="shared" si="9"/>
        <v/>
      </c>
      <c r="AN289" s="71"/>
      <c r="AO289" s="71"/>
      <c r="AP289" s="71"/>
      <c r="AQ289" s="71"/>
      <c r="AR289" s="71" t="s">
        <v>96</v>
      </c>
      <c r="AS289" s="71"/>
      <c r="AT289" s="71" t="s">
        <v>96</v>
      </c>
      <c r="AU289" s="71"/>
      <c r="AV289" s="71" t="s">
        <v>95</v>
      </c>
      <c r="AW289" s="71"/>
      <c r="AX289" s="71"/>
      <c r="AY289" s="71"/>
      <c r="AZ289" s="71"/>
      <c r="BA289" s="71"/>
      <c r="BB289" s="70" t="s">
        <v>218</v>
      </c>
      <c r="BC289" s="70" t="s">
        <v>98</v>
      </c>
      <c r="BD289" s="72" t="str">
        <f>IF('Cálculo MP'!K299="","",'Cálculo MP'!K299)</f>
        <v/>
      </c>
      <c r="BE289" s="72" t="str">
        <f>IF('Cálculo MP'!L299="","",'Cálculo MP'!L299)</f>
        <v/>
      </c>
      <c r="BF289" s="72" t="str">
        <f>IF('Cálculo MP'!M299="","",'Cálculo MP'!M299)</f>
        <v/>
      </c>
      <c r="BG289" s="72" t="str">
        <f>IF('Cálculo MP'!N299="","",'Cálculo MP'!N299)</f>
        <v/>
      </c>
      <c r="BH289" s="72" t="str">
        <f>IF('Cálculo MP'!O299="","",'Cálculo MP'!O299)</f>
        <v/>
      </c>
      <c r="BI289" s="72" t="str">
        <f>IF('Cálculo MP'!P299="","",'Cálculo MP'!P299)</f>
        <v/>
      </c>
      <c r="BJ289" s="72" t="str">
        <f>IF('Cálculo MP'!Q299="","",'Cálculo MP'!Q299)</f>
        <v/>
      </c>
      <c r="BK289" s="72" t="str">
        <f>IF('Cálculo MP'!R299="","",'Cálculo MP'!R299)</f>
        <v/>
      </c>
      <c r="BL289" s="72" t="str">
        <f>IF('Cálculo MP'!S299="","",'Cálculo MP'!S299)</f>
        <v/>
      </c>
      <c r="BM289" s="71"/>
      <c r="BN289" s="71"/>
      <c r="BO289" s="71"/>
      <c r="BP289" s="71"/>
      <c r="BQ289" s="71"/>
      <c r="BR289" s="71"/>
      <c r="BS289" s="71"/>
    </row>
    <row r="290" spans="1:71" ht="19.5" customHeight="1" x14ac:dyDescent="0.15">
      <c r="A290" s="56" t="s">
        <v>985</v>
      </c>
      <c r="B290" s="57" t="s">
        <v>986</v>
      </c>
      <c r="C290" s="58" t="s">
        <v>985</v>
      </c>
      <c r="D290" s="59" t="s">
        <v>985</v>
      </c>
      <c r="E290" s="61"/>
      <c r="F290" s="60" t="s">
        <v>95</v>
      </c>
      <c r="G290" s="61"/>
      <c r="H290" s="62"/>
      <c r="I290" s="75"/>
      <c r="J290" s="60" t="s">
        <v>95</v>
      </c>
      <c r="K290" s="64"/>
      <c r="L290" s="64"/>
      <c r="M290" s="64" t="s">
        <v>96</v>
      </c>
      <c r="N290" s="64" t="s">
        <v>97</v>
      </c>
      <c r="O290" s="65" t="s">
        <v>986</v>
      </c>
      <c r="P290" s="70" t="s">
        <v>96</v>
      </c>
      <c r="Q290" s="60" t="s">
        <v>95</v>
      </c>
      <c r="R290" s="60" t="s">
        <v>96</v>
      </c>
      <c r="S290" s="66" t="s">
        <v>96</v>
      </c>
      <c r="T290" s="67" t="s">
        <v>96</v>
      </c>
      <c r="U290" s="60" t="s">
        <v>96</v>
      </c>
      <c r="V290" s="60" t="s">
        <v>96</v>
      </c>
      <c r="W290" s="60" t="str" cm="1">
        <f t="array" ref="W290">_xlfn.LET(_xlpm.resultados,_xlfn.UNIQUE(_xlfn._xlws.FILTER(Tabla1[Proceso],(Tabla1[Metal Base]=Q290)*(Tabla1[Etiquetas]=_xlfn.TEXTJOIN(" + ",TRUE,IF((TRIM(Upload!R290:V290)="")+(LOWER(TRIM(Upload!R290:V290))="(seleccione)"),"",PROPER(TRIM(Upload!R290:V290)))))*(Tabla1[Línea2]=IFERROR(VLOOKUP(Upload!P290&amp;"*",CAT_Procesos!D:D,1,FALSE),"")))),_xlpm.cantidad,ROWS(_xlpm.resultados),IF(ISERROR(_xlpm.cantidad),"Combinación no existente",IF(_xlpm.cantidad=1,INDEX(_xlpm.resultados,1),"(seleccione)")))</f>
        <v>Combinación no existente</v>
      </c>
      <c r="X290" s="67" t="s">
        <v>96</v>
      </c>
      <c r="Y290" s="64"/>
      <c r="Z290" s="64"/>
      <c r="AA290" s="64"/>
      <c r="AB290" s="133" t="s">
        <v>96</v>
      </c>
      <c r="AC290" s="64"/>
      <c r="AD290" s="64"/>
      <c r="AE290" s="64"/>
      <c r="AF290" s="60" t="s">
        <v>96</v>
      </c>
      <c r="AG290" s="64"/>
      <c r="AH290" s="64"/>
      <c r="AI290" s="64"/>
      <c r="AJ290" s="68" t="s">
        <v>96</v>
      </c>
      <c r="AK290" s="69" t="str">
        <f t="shared" si="8"/>
        <v/>
      </c>
      <c r="AL290" s="70" t="s">
        <v>96</v>
      </c>
      <c r="AM290" s="69" t="str">
        <f t="shared" si="9"/>
        <v/>
      </c>
      <c r="AN290" s="71"/>
      <c r="AO290" s="71"/>
      <c r="AP290" s="71"/>
      <c r="AQ290" s="71"/>
      <c r="AR290" s="71" t="s">
        <v>96</v>
      </c>
      <c r="AS290" s="71"/>
      <c r="AT290" s="71" t="s">
        <v>96</v>
      </c>
      <c r="AU290" s="71"/>
      <c r="AV290" s="71" t="s">
        <v>95</v>
      </c>
      <c r="AW290" s="71"/>
      <c r="AX290" s="71"/>
      <c r="AY290" s="71"/>
      <c r="AZ290" s="71"/>
      <c r="BA290" s="71"/>
      <c r="BB290" s="70" t="s">
        <v>218</v>
      </c>
      <c r="BC290" s="70" t="s">
        <v>98</v>
      </c>
      <c r="BD290" s="72" t="str">
        <f>IF('Cálculo MP'!K300="","",'Cálculo MP'!K300)</f>
        <v/>
      </c>
      <c r="BE290" s="72" t="str">
        <f>IF('Cálculo MP'!L300="","",'Cálculo MP'!L300)</f>
        <v/>
      </c>
      <c r="BF290" s="72" t="str">
        <f>IF('Cálculo MP'!M300="","",'Cálculo MP'!M300)</f>
        <v/>
      </c>
      <c r="BG290" s="72" t="str">
        <f>IF('Cálculo MP'!N300="","",'Cálculo MP'!N300)</f>
        <v/>
      </c>
      <c r="BH290" s="72" t="str">
        <f>IF('Cálculo MP'!O300="","",'Cálculo MP'!O300)</f>
        <v/>
      </c>
      <c r="BI290" s="72" t="str">
        <f>IF('Cálculo MP'!P300="","",'Cálculo MP'!P300)</f>
        <v/>
      </c>
      <c r="BJ290" s="72" t="str">
        <f>IF('Cálculo MP'!Q300="","",'Cálculo MP'!Q300)</f>
        <v/>
      </c>
      <c r="BK290" s="72" t="str">
        <f>IF('Cálculo MP'!R300="","",'Cálculo MP'!R300)</f>
        <v/>
      </c>
      <c r="BL290" s="72" t="str">
        <f>IF('Cálculo MP'!S300="","",'Cálculo MP'!S300)</f>
        <v/>
      </c>
      <c r="BM290" s="71"/>
      <c r="BN290" s="71"/>
      <c r="BO290" s="71"/>
      <c r="BP290" s="71"/>
      <c r="BQ290" s="71"/>
      <c r="BR290" s="71"/>
      <c r="BS290" s="71"/>
    </row>
    <row r="291" spans="1:71" ht="19.5" customHeight="1" x14ac:dyDescent="0.15">
      <c r="A291" s="56" t="s">
        <v>985</v>
      </c>
      <c r="B291" s="57" t="s">
        <v>986</v>
      </c>
      <c r="C291" s="58" t="s">
        <v>985</v>
      </c>
      <c r="D291" s="59" t="s">
        <v>985</v>
      </c>
      <c r="E291" s="61"/>
      <c r="F291" s="60" t="s">
        <v>95</v>
      </c>
      <c r="G291" s="61"/>
      <c r="H291" s="62"/>
      <c r="I291" s="75"/>
      <c r="J291" s="60" t="s">
        <v>95</v>
      </c>
      <c r="K291" s="64"/>
      <c r="L291" s="64"/>
      <c r="M291" s="64" t="s">
        <v>96</v>
      </c>
      <c r="N291" s="64" t="s">
        <v>97</v>
      </c>
      <c r="O291" s="65" t="s">
        <v>986</v>
      </c>
      <c r="P291" s="70" t="s">
        <v>96</v>
      </c>
      <c r="Q291" s="60" t="s">
        <v>95</v>
      </c>
      <c r="R291" s="60" t="s">
        <v>96</v>
      </c>
      <c r="S291" s="66" t="s">
        <v>96</v>
      </c>
      <c r="T291" s="67" t="s">
        <v>96</v>
      </c>
      <c r="U291" s="60" t="s">
        <v>96</v>
      </c>
      <c r="V291" s="60" t="s">
        <v>96</v>
      </c>
      <c r="W291" s="60" t="str" cm="1">
        <f t="array" ref="W291">_xlfn.LET(_xlpm.resultados,_xlfn.UNIQUE(_xlfn._xlws.FILTER(Tabla1[Proceso],(Tabla1[Metal Base]=Q291)*(Tabla1[Etiquetas]=_xlfn.TEXTJOIN(" + ",TRUE,IF((TRIM(Upload!R291:V291)="")+(LOWER(TRIM(Upload!R291:V291))="(seleccione)"),"",PROPER(TRIM(Upload!R291:V291)))))*(Tabla1[Línea2]=IFERROR(VLOOKUP(Upload!P291&amp;"*",CAT_Procesos!D:D,1,FALSE),"")))),_xlpm.cantidad,ROWS(_xlpm.resultados),IF(ISERROR(_xlpm.cantidad),"Combinación no existente",IF(_xlpm.cantidad=1,INDEX(_xlpm.resultados,1),"(seleccione)")))</f>
        <v>Combinación no existente</v>
      </c>
      <c r="X291" s="67" t="s">
        <v>96</v>
      </c>
      <c r="Y291" s="64"/>
      <c r="Z291" s="64"/>
      <c r="AA291" s="64"/>
      <c r="AB291" s="133" t="s">
        <v>96</v>
      </c>
      <c r="AC291" s="64"/>
      <c r="AD291" s="64"/>
      <c r="AE291" s="64"/>
      <c r="AF291" s="60" t="s">
        <v>96</v>
      </c>
      <c r="AG291" s="64"/>
      <c r="AH291" s="64"/>
      <c r="AI291" s="64"/>
      <c r="AJ291" s="68" t="s">
        <v>96</v>
      </c>
      <c r="AK291" s="69" t="str">
        <f t="shared" si="8"/>
        <v/>
      </c>
      <c r="AL291" s="70" t="s">
        <v>96</v>
      </c>
      <c r="AM291" s="69" t="str">
        <f t="shared" si="9"/>
        <v/>
      </c>
      <c r="AN291" s="71"/>
      <c r="AO291" s="71"/>
      <c r="AP291" s="71"/>
      <c r="AQ291" s="71"/>
      <c r="AR291" s="71" t="s">
        <v>96</v>
      </c>
      <c r="AS291" s="71"/>
      <c r="AT291" s="71" t="s">
        <v>96</v>
      </c>
      <c r="AU291" s="71"/>
      <c r="AV291" s="71" t="s">
        <v>95</v>
      </c>
      <c r="AW291" s="71"/>
      <c r="AX291" s="71"/>
      <c r="AY291" s="71"/>
      <c r="AZ291" s="71"/>
      <c r="BA291" s="71"/>
      <c r="BB291" s="70" t="s">
        <v>218</v>
      </c>
      <c r="BC291" s="70" t="s">
        <v>98</v>
      </c>
      <c r="BD291" s="72" t="str">
        <f>IF('Cálculo MP'!K301="","",'Cálculo MP'!K301)</f>
        <v/>
      </c>
      <c r="BE291" s="72" t="str">
        <f>IF('Cálculo MP'!L301="","",'Cálculo MP'!L301)</f>
        <v/>
      </c>
      <c r="BF291" s="72" t="str">
        <f>IF('Cálculo MP'!M301="","",'Cálculo MP'!M301)</f>
        <v/>
      </c>
      <c r="BG291" s="72" t="str">
        <f>IF('Cálculo MP'!N301="","",'Cálculo MP'!N301)</f>
        <v/>
      </c>
      <c r="BH291" s="72" t="str">
        <f>IF('Cálculo MP'!O301="","",'Cálculo MP'!O301)</f>
        <v/>
      </c>
      <c r="BI291" s="72" t="str">
        <f>IF('Cálculo MP'!P301="","",'Cálculo MP'!P301)</f>
        <v/>
      </c>
      <c r="BJ291" s="72" t="str">
        <f>IF('Cálculo MP'!Q301="","",'Cálculo MP'!Q301)</f>
        <v/>
      </c>
      <c r="BK291" s="72" t="str">
        <f>IF('Cálculo MP'!R301="","",'Cálculo MP'!R301)</f>
        <v/>
      </c>
      <c r="BL291" s="72" t="str">
        <f>IF('Cálculo MP'!S301="","",'Cálculo MP'!S301)</f>
        <v/>
      </c>
      <c r="BM291" s="71"/>
      <c r="BN291" s="71"/>
      <c r="BO291" s="71"/>
      <c r="BP291" s="71"/>
      <c r="BQ291" s="71"/>
      <c r="BR291" s="71"/>
      <c r="BS291" s="71"/>
    </row>
    <row r="292" spans="1:71" ht="19.5" customHeight="1" x14ac:dyDescent="0.15">
      <c r="A292" s="56" t="s">
        <v>985</v>
      </c>
      <c r="B292" s="57" t="s">
        <v>986</v>
      </c>
      <c r="C292" s="58" t="s">
        <v>985</v>
      </c>
      <c r="D292" s="59" t="s">
        <v>985</v>
      </c>
      <c r="E292" s="61"/>
      <c r="F292" s="60" t="s">
        <v>95</v>
      </c>
      <c r="G292" s="61"/>
      <c r="H292" s="62"/>
      <c r="I292" s="75"/>
      <c r="J292" s="60" t="s">
        <v>95</v>
      </c>
      <c r="K292" s="64"/>
      <c r="L292" s="64"/>
      <c r="M292" s="64" t="s">
        <v>96</v>
      </c>
      <c r="N292" s="64" t="s">
        <v>97</v>
      </c>
      <c r="O292" s="65" t="s">
        <v>986</v>
      </c>
      <c r="P292" s="70" t="s">
        <v>96</v>
      </c>
      <c r="Q292" s="60" t="s">
        <v>95</v>
      </c>
      <c r="R292" s="60" t="s">
        <v>96</v>
      </c>
      <c r="S292" s="66" t="s">
        <v>96</v>
      </c>
      <c r="T292" s="67" t="s">
        <v>96</v>
      </c>
      <c r="U292" s="60" t="s">
        <v>96</v>
      </c>
      <c r="V292" s="60" t="s">
        <v>96</v>
      </c>
      <c r="W292" s="60" t="str" cm="1">
        <f t="array" ref="W292">_xlfn.LET(_xlpm.resultados,_xlfn.UNIQUE(_xlfn._xlws.FILTER(Tabla1[Proceso],(Tabla1[Metal Base]=Q292)*(Tabla1[Etiquetas]=_xlfn.TEXTJOIN(" + ",TRUE,IF((TRIM(Upload!R292:V292)="")+(LOWER(TRIM(Upload!R292:V292))="(seleccione)"),"",PROPER(TRIM(Upload!R292:V292)))))*(Tabla1[Línea2]=IFERROR(VLOOKUP(Upload!P292&amp;"*",CAT_Procesos!D:D,1,FALSE),"")))),_xlpm.cantidad,ROWS(_xlpm.resultados),IF(ISERROR(_xlpm.cantidad),"Combinación no existente",IF(_xlpm.cantidad=1,INDEX(_xlpm.resultados,1),"(seleccione)")))</f>
        <v>Combinación no existente</v>
      </c>
      <c r="X292" s="67" t="s">
        <v>96</v>
      </c>
      <c r="Y292" s="64"/>
      <c r="Z292" s="64"/>
      <c r="AA292" s="64"/>
      <c r="AB292" s="133" t="s">
        <v>96</v>
      </c>
      <c r="AC292" s="64"/>
      <c r="AD292" s="64"/>
      <c r="AE292" s="64"/>
      <c r="AF292" s="60" t="s">
        <v>96</v>
      </c>
      <c r="AG292" s="64"/>
      <c r="AH292" s="64"/>
      <c r="AI292" s="64"/>
      <c r="AJ292" s="68" t="s">
        <v>96</v>
      </c>
      <c r="AK292" s="69" t="str">
        <f t="shared" si="8"/>
        <v/>
      </c>
      <c r="AL292" s="70" t="s">
        <v>96</v>
      </c>
      <c r="AM292" s="69" t="str">
        <f t="shared" si="9"/>
        <v/>
      </c>
      <c r="AN292" s="71"/>
      <c r="AO292" s="71"/>
      <c r="AP292" s="71"/>
      <c r="AQ292" s="71"/>
      <c r="AR292" s="71" t="s">
        <v>96</v>
      </c>
      <c r="AS292" s="71"/>
      <c r="AT292" s="71" t="s">
        <v>96</v>
      </c>
      <c r="AU292" s="71"/>
      <c r="AV292" s="71" t="s">
        <v>95</v>
      </c>
      <c r="AW292" s="71"/>
      <c r="AX292" s="71"/>
      <c r="AY292" s="71"/>
      <c r="AZ292" s="71"/>
      <c r="BA292" s="71"/>
      <c r="BB292" s="70" t="s">
        <v>218</v>
      </c>
      <c r="BC292" s="70" t="s">
        <v>98</v>
      </c>
      <c r="BD292" s="72" t="str">
        <f>IF('Cálculo MP'!K302="","",'Cálculo MP'!K302)</f>
        <v/>
      </c>
      <c r="BE292" s="72" t="str">
        <f>IF('Cálculo MP'!L302="","",'Cálculo MP'!L302)</f>
        <v/>
      </c>
      <c r="BF292" s="72" t="str">
        <f>IF('Cálculo MP'!M302="","",'Cálculo MP'!M302)</f>
        <v/>
      </c>
      <c r="BG292" s="72" t="str">
        <f>IF('Cálculo MP'!N302="","",'Cálculo MP'!N302)</f>
        <v/>
      </c>
      <c r="BH292" s="72" t="str">
        <f>IF('Cálculo MP'!O302="","",'Cálculo MP'!O302)</f>
        <v/>
      </c>
      <c r="BI292" s="72" t="str">
        <f>IF('Cálculo MP'!P302="","",'Cálculo MP'!P302)</f>
        <v/>
      </c>
      <c r="BJ292" s="72" t="str">
        <f>IF('Cálculo MP'!Q302="","",'Cálculo MP'!Q302)</f>
        <v/>
      </c>
      <c r="BK292" s="72" t="str">
        <f>IF('Cálculo MP'!R302="","",'Cálculo MP'!R302)</f>
        <v/>
      </c>
      <c r="BL292" s="72" t="str">
        <f>IF('Cálculo MP'!S302="","",'Cálculo MP'!S302)</f>
        <v/>
      </c>
      <c r="BM292" s="71"/>
      <c r="BN292" s="71"/>
      <c r="BO292" s="71"/>
      <c r="BP292" s="71"/>
      <c r="BQ292" s="71"/>
      <c r="BR292" s="71"/>
      <c r="BS292" s="71"/>
    </row>
    <row r="293" spans="1:71" ht="19.5" customHeight="1" x14ac:dyDescent="0.15">
      <c r="A293" s="56" t="s">
        <v>985</v>
      </c>
      <c r="B293" s="57" t="s">
        <v>986</v>
      </c>
      <c r="C293" s="58" t="s">
        <v>985</v>
      </c>
      <c r="D293" s="59" t="s">
        <v>985</v>
      </c>
      <c r="E293" s="61"/>
      <c r="F293" s="60" t="s">
        <v>95</v>
      </c>
      <c r="G293" s="61"/>
      <c r="H293" s="62"/>
      <c r="I293" s="75"/>
      <c r="J293" s="60" t="s">
        <v>95</v>
      </c>
      <c r="K293" s="64"/>
      <c r="L293" s="64"/>
      <c r="M293" s="64" t="s">
        <v>96</v>
      </c>
      <c r="N293" s="64" t="s">
        <v>97</v>
      </c>
      <c r="O293" s="65" t="s">
        <v>986</v>
      </c>
      <c r="P293" s="70" t="s">
        <v>96</v>
      </c>
      <c r="Q293" s="60" t="s">
        <v>95</v>
      </c>
      <c r="R293" s="60" t="s">
        <v>96</v>
      </c>
      <c r="S293" s="66" t="s">
        <v>96</v>
      </c>
      <c r="T293" s="67" t="s">
        <v>96</v>
      </c>
      <c r="U293" s="60" t="s">
        <v>96</v>
      </c>
      <c r="V293" s="60" t="s">
        <v>96</v>
      </c>
      <c r="W293" s="60" t="str" cm="1">
        <f t="array" ref="W293">_xlfn.LET(_xlpm.resultados,_xlfn.UNIQUE(_xlfn._xlws.FILTER(Tabla1[Proceso],(Tabla1[Metal Base]=Q293)*(Tabla1[Etiquetas]=_xlfn.TEXTJOIN(" + ",TRUE,IF((TRIM(Upload!R293:V293)="")+(LOWER(TRIM(Upload!R293:V293))="(seleccione)"),"",PROPER(TRIM(Upload!R293:V293)))))*(Tabla1[Línea2]=IFERROR(VLOOKUP(Upload!P293&amp;"*",CAT_Procesos!D:D,1,FALSE),"")))),_xlpm.cantidad,ROWS(_xlpm.resultados),IF(ISERROR(_xlpm.cantidad),"Combinación no existente",IF(_xlpm.cantidad=1,INDEX(_xlpm.resultados,1),"(seleccione)")))</f>
        <v>Combinación no existente</v>
      </c>
      <c r="X293" s="67" t="s">
        <v>96</v>
      </c>
      <c r="Y293" s="64"/>
      <c r="Z293" s="64"/>
      <c r="AA293" s="64"/>
      <c r="AB293" s="133" t="s">
        <v>96</v>
      </c>
      <c r="AC293" s="64"/>
      <c r="AD293" s="64"/>
      <c r="AE293" s="64"/>
      <c r="AF293" s="60" t="s">
        <v>96</v>
      </c>
      <c r="AG293" s="64"/>
      <c r="AH293" s="64"/>
      <c r="AI293" s="64"/>
      <c r="AJ293" s="68" t="s">
        <v>96</v>
      </c>
      <c r="AK293" s="69" t="str">
        <f t="shared" si="8"/>
        <v/>
      </c>
      <c r="AL293" s="70" t="s">
        <v>96</v>
      </c>
      <c r="AM293" s="69" t="str">
        <f t="shared" si="9"/>
        <v/>
      </c>
      <c r="AN293" s="71"/>
      <c r="AO293" s="71"/>
      <c r="AP293" s="71"/>
      <c r="AQ293" s="71"/>
      <c r="AR293" s="71" t="s">
        <v>96</v>
      </c>
      <c r="AS293" s="71"/>
      <c r="AT293" s="71" t="s">
        <v>96</v>
      </c>
      <c r="AU293" s="71"/>
      <c r="AV293" s="71" t="s">
        <v>95</v>
      </c>
      <c r="AW293" s="71"/>
      <c r="AX293" s="71"/>
      <c r="AY293" s="71"/>
      <c r="AZ293" s="71"/>
      <c r="BA293" s="71"/>
      <c r="BB293" s="70" t="s">
        <v>218</v>
      </c>
      <c r="BC293" s="70" t="s">
        <v>98</v>
      </c>
      <c r="BD293" s="72" t="str">
        <f>IF('Cálculo MP'!K303="","",'Cálculo MP'!K303)</f>
        <v/>
      </c>
      <c r="BE293" s="72" t="str">
        <f>IF('Cálculo MP'!L303="","",'Cálculo MP'!L303)</f>
        <v/>
      </c>
      <c r="BF293" s="72" t="str">
        <f>IF('Cálculo MP'!M303="","",'Cálculo MP'!M303)</f>
        <v/>
      </c>
      <c r="BG293" s="72" t="str">
        <f>IF('Cálculo MP'!N303="","",'Cálculo MP'!N303)</f>
        <v/>
      </c>
      <c r="BH293" s="72" t="str">
        <f>IF('Cálculo MP'!O303="","",'Cálculo MP'!O303)</f>
        <v/>
      </c>
      <c r="BI293" s="72" t="str">
        <f>IF('Cálculo MP'!P303="","",'Cálculo MP'!P303)</f>
        <v/>
      </c>
      <c r="BJ293" s="72" t="str">
        <f>IF('Cálculo MP'!Q303="","",'Cálculo MP'!Q303)</f>
        <v/>
      </c>
      <c r="BK293" s="72" t="str">
        <f>IF('Cálculo MP'!R303="","",'Cálculo MP'!R303)</f>
        <v/>
      </c>
      <c r="BL293" s="72" t="str">
        <f>IF('Cálculo MP'!S303="","",'Cálculo MP'!S303)</f>
        <v/>
      </c>
      <c r="BM293" s="71"/>
      <c r="BN293" s="71"/>
      <c r="BO293" s="71"/>
      <c r="BP293" s="71"/>
      <c r="BQ293" s="71"/>
      <c r="BR293" s="71"/>
      <c r="BS293" s="71"/>
    </row>
    <row r="294" spans="1:71" ht="19.5" customHeight="1" x14ac:dyDescent="0.15">
      <c r="A294" s="56" t="s">
        <v>985</v>
      </c>
      <c r="B294" s="57" t="s">
        <v>986</v>
      </c>
      <c r="C294" s="58" t="s">
        <v>985</v>
      </c>
      <c r="D294" s="59" t="s">
        <v>985</v>
      </c>
      <c r="E294" s="61"/>
      <c r="F294" s="60" t="s">
        <v>95</v>
      </c>
      <c r="G294" s="61"/>
      <c r="H294" s="62"/>
      <c r="I294" s="75"/>
      <c r="J294" s="60" t="s">
        <v>95</v>
      </c>
      <c r="K294" s="64"/>
      <c r="L294" s="64"/>
      <c r="M294" s="64" t="s">
        <v>96</v>
      </c>
      <c r="N294" s="64" t="s">
        <v>97</v>
      </c>
      <c r="O294" s="65" t="s">
        <v>986</v>
      </c>
      <c r="P294" s="70" t="s">
        <v>96</v>
      </c>
      <c r="Q294" s="60" t="s">
        <v>95</v>
      </c>
      <c r="R294" s="60" t="s">
        <v>96</v>
      </c>
      <c r="S294" s="66" t="s">
        <v>96</v>
      </c>
      <c r="T294" s="67" t="s">
        <v>96</v>
      </c>
      <c r="U294" s="60" t="s">
        <v>96</v>
      </c>
      <c r="V294" s="60" t="s">
        <v>96</v>
      </c>
      <c r="W294" s="60" t="str" cm="1">
        <f t="array" ref="W294">_xlfn.LET(_xlpm.resultados,_xlfn.UNIQUE(_xlfn._xlws.FILTER(Tabla1[Proceso],(Tabla1[Metal Base]=Q294)*(Tabla1[Etiquetas]=_xlfn.TEXTJOIN(" + ",TRUE,IF((TRIM(Upload!R294:V294)="")+(LOWER(TRIM(Upload!R294:V294))="(seleccione)"),"",PROPER(TRIM(Upload!R294:V294)))))*(Tabla1[Línea2]=IFERROR(VLOOKUP(Upload!P294&amp;"*",CAT_Procesos!D:D,1,FALSE),"")))),_xlpm.cantidad,ROWS(_xlpm.resultados),IF(ISERROR(_xlpm.cantidad),"Combinación no existente",IF(_xlpm.cantidad=1,INDEX(_xlpm.resultados,1),"(seleccione)")))</f>
        <v>Combinación no existente</v>
      </c>
      <c r="X294" s="67" t="s">
        <v>96</v>
      </c>
      <c r="Y294" s="64"/>
      <c r="Z294" s="64"/>
      <c r="AA294" s="64"/>
      <c r="AB294" s="133" t="s">
        <v>96</v>
      </c>
      <c r="AC294" s="64"/>
      <c r="AD294" s="64"/>
      <c r="AE294" s="64"/>
      <c r="AF294" s="60" t="s">
        <v>96</v>
      </c>
      <c r="AG294" s="64"/>
      <c r="AH294" s="64"/>
      <c r="AI294" s="64"/>
      <c r="AJ294" s="68" t="s">
        <v>96</v>
      </c>
      <c r="AK294" s="69" t="str">
        <f t="shared" si="8"/>
        <v/>
      </c>
      <c r="AL294" s="70" t="s">
        <v>96</v>
      </c>
      <c r="AM294" s="69" t="str">
        <f t="shared" si="9"/>
        <v/>
      </c>
      <c r="AN294" s="71"/>
      <c r="AO294" s="71"/>
      <c r="AP294" s="71"/>
      <c r="AQ294" s="71"/>
      <c r="AR294" s="71" t="s">
        <v>96</v>
      </c>
      <c r="AS294" s="71"/>
      <c r="AT294" s="71" t="s">
        <v>96</v>
      </c>
      <c r="AU294" s="71"/>
      <c r="AV294" s="71" t="s">
        <v>95</v>
      </c>
      <c r="AW294" s="71"/>
      <c r="AX294" s="71"/>
      <c r="AY294" s="71"/>
      <c r="AZ294" s="71"/>
      <c r="BA294" s="71"/>
      <c r="BB294" s="70" t="s">
        <v>218</v>
      </c>
      <c r="BC294" s="70" t="s">
        <v>98</v>
      </c>
      <c r="BD294" s="72" t="str">
        <f>IF('Cálculo MP'!K304="","",'Cálculo MP'!K304)</f>
        <v/>
      </c>
      <c r="BE294" s="72" t="str">
        <f>IF('Cálculo MP'!L304="","",'Cálculo MP'!L304)</f>
        <v/>
      </c>
      <c r="BF294" s="72" t="str">
        <f>IF('Cálculo MP'!M304="","",'Cálculo MP'!M304)</f>
        <v/>
      </c>
      <c r="BG294" s="72" t="str">
        <f>IF('Cálculo MP'!N304="","",'Cálculo MP'!N304)</f>
        <v/>
      </c>
      <c r="BH294" s="72" t="str">
        <f>IF('Cálculo MP'!O304="","",'Cálculo MP'!O304)</f>
        <v/>
      </c>
      <c r="BI294" s="72" t="str">
        <f>IF('Cálculo MP'!P304="","",'Cálculo MP'!P304)</f>
        <v/>
      </c>
      <c r="BJ294" s="72" t="str">
        <f>IF('Cálculo MP'!Q304="","",'Cálculo MP'!Q304)</f>
        <v/>
      </c>
      <c r="BK294" s="72" t="str">
        <f>IF('Cálculo MP'!R304="","",'Cálculo MP'!R304)</f>
        <v/>
      </c>
      <c r="BL294" s="72" t="str">
        <f>IF('Cálculo MP'!S304="","",'Cálculo MP'!S304)</f>
        <v/>
      </c>
      <c r="BM294" s="71"/>
      <c r="BN294" s="71"/>
      <c r="BO294" s="71"/>
      <c r="BP294" s="71"/>
      <c r="BQ294" s="71"/>
      <c r="BR294" s="71"/>
      <c r="BS294" s="71"/>
    </row>
    <row r="295" spans="1:71" ht="19.5" customHeight="1" x14ac:dyDescent="0.15">
      <c r="A295" s="56" t="s">
        <v>985</v>
      </c>
      <c r="B295" s="57" t="s">
        <v>986</v>
      </c>
      <c r="C295" s="58" t="s">
        <v>985</v>
      </c>
      <c r="D295" s="59" t="s">
        <v>985</v>
      </c>
      <c r="E295" s="61"/>
      <c r="F295" s="60" t="s">
        <v>95</v>
      </c>
      <c r="G295" s="61"/>
      <c r="H295" s="62"/>
      <c r="I295" s="75"/>
      <c r="J295" s="60" t="s">
        <v>95</v>
      </c>
      <c r="K295" s="64"/>
      <c r="L295" s="64"/>
      <c r="M295" s="64" t="s">
        <v>96</v>
      </c>
      <c r="N295" s="64" t="s">
        <v>97</v>
      </c>
      <c r="O295" s="65" t="s">
        <v>986</v>
      </c>
      <c r="P295" s="70" t="s">
        <v>96</v>
      </c>
      <c r="Q295" s="60" t="s">
        <v>95</v>
      </c>
      <c r="R295" s="60" t="s">
        <v>96</v>
      </c>
      <c r="S295" s="66" t="s">
        <v>96</v>
      </c>
      <c r="T295" s="67" t="s">
        <v>96</v>
      </c>
      <c r="U295" s="60" t="s">
        <v>96</v>
      </c>
      <c r="V295" s="60" t="s">
        <v>96</v>
      </c>
      <c r="W295" s="60" t="str" cm="1">
        <f t="array" ref="W295">_xlfn.LET(_xlpm.resultados,_xlfn.UNIQUE(_xlfn._xlws.FILTER(Tabla1[Proceso],(Tabla1[Metal Base]=Q295)*(Tabla1[Etiquetas]=_xlfn.TEXTJOIN(" + ",TRUE,IF((TRIM(Upload!R295:V295)="")+(LOWER(TRIM(Upload!R295:V295))="(seleccione)"),"",PROPER(TRIM(Upload!R295:V295)))))*(Tabla1[Línea2]=IFERROR(VLOOKUP(Upload!P295&amp;"*",CAT_Procesos!D:D,1,FALSE),"")))),_xlpm.cantidad,ROWS(_xlpm.resultados),IF(ISERROR(_xlpm.cantidad),"Combinación no existente",IF(_xlpm.cantidad=1,INDEX(_xlpm.resultados,1),"(seleccione)")))</f>
        <v>Combinación no existente</v>
      </c>
      <c r="X295" s="67" t="s">
        <v>96</v>
      </c>
      <c r="Y295" s="64"/>
      <c r="Z295" s="64"/>
      <c r="AA295" s="64"/>
      <c r="AB295" s="133" t="s">
        <v>96</v>
      </c>
      <c r="AC295" s="64"/>
      <c r="AD295" s="64"/>
      <c r="AE295" s="64"/>
      <c r="AF295" s="60" t="s">
        <v>96</v>
      </c>
      <c r="AG295" s="64"/>
      <c r="AH295" s="64"/>
      <c r="AI295" s="64"/>
      <c r="AJ295" s="68" t="s">
        <v>96</v>
      </c>
      <c r="AK295" s="69" t="str">
        <f t="shared" si="8"/>
        <v/>
      </c>
      <c r="AL295" s="70" t="s">
        <v>96</v>
      </c>
      <c r="AM295" s="69" t="str">
        <f t="shared" si="9"/>
        <v/>
      </c>
      <c r="AN295" s="71"/>
      <c r="AO295" s="71"/>
      <c r="AP295" s="71"/>
      <c r="AQ295" s="71"/>
      <c r="AR295" s="71" t="s">
        <v>96</v>
      </c>
      <c r="AS295" s="71"/>
      <c r="AT295" s="71" t="s">
        <v>96</v>
      </c>
      <c r="AU295" s="71"/>
      <c r="AV295" s="71" t="s">
        <v>95</v>
      </c>
      <c r="AW295" s="71"/>
      <c r="AX295" s="71"/>
      <c r="AY295" s="71"/>
      <c r="AZ295" s="71"/>
      <c r="BA295" s="71"/>
      <c r="BB295" s="70" t="s">
        <v>218</v>
      </c>
      <c r="BC295" s="70" t="s">
        <v>98</v>
      </c>
      <c r="BD295" s="72" t="str">
        <f>IF('Cálculo MP'!K305="","",'Cálculo MP'!K305)</f>
        <v/>
      </c>
      <c r="BE295" s="72" t="str">
        <f>IF('Cálculo MP'!L305="","",'Cálculo MP'!L305)</f>
        <v/>
      </c>
      <c r="BF295" s="72" t="str">
        <f>IF('Cálculo MP'!M305="","",'Cálculo MP'!M305)</f>
        <v/>
      </c>
      <c r="BG295" s="72" t="str">
        <f>IF('Cálculo MP'!N305="","",'Cálculo MP'!N305)</f>
        <v/>
      </c>
      <c r="BH295" s="72" t="str">
        <f>IF('Cálculo MP'!O305="","",'Cálculo MP'!O305)</f>
        <v/>
      </c>
      <c r="BI295" s="72" t="str">
        <f>IF('Cálculo MP'!P305="","",'Cálculo MP'!P305)</f>
        <v/>
      </c>
      <c r="BJ295" s="72" t="str">
        <f>IF('Cálculo MP'!Q305="","",'Cálculo MP'!Q305)</f>
        <v/>
      </c>
      <c r="BK295" s="72" t="str">
        <f>IF('Cálculo MP'!R305="","",'Cálculo MP'!R305)</f>
        <v/>
      </c>
      <c r="BL295" s="72" t="str">
        <f>IF('Cálculo MP'!S305="","",'Cálculo MP'!S305)</f>
        <v/>
      </c>
      <c r="BM295" s="71"/>
      <c r="BN295" s="71"/>
      <c r="BO295" s="71"/>
      <c r="BP295" s="71"/>
      <c r="BQ295" s="71"/>
      <c r="BR295" s="71"/>
      <c r="BS295" s="71"/>
    </row>
    <row r="296" spans="1:71" ht="19.5" customHeight="1" x14ac:dyDescent="0.15">
      <c r="A296" s="56" t="s">
        <v>985</v>
      </c>
      <c r="B296" s="57" t="s">
        <v>986</v>
      </c>
      <c r="C296" s="58" t="s">
        <v>985</v>
      </c>
      <c r="D296" s="59" t="s">
        <v>985</v>
      </c>
      <c r="E296" s="61"/>
      <c r="F296" s="60" t="s">
        <v>95</v>
      </c>
      <c r="G296" s="61"/>
      <c r="H296" s="62"/>
      <c r="I296" s="75"/>
      <c r="J296" s="60" t="s">
        <v>95</v>
      </c>
      <c r="K296" s="64"/>
      <c r="L296" s="64"/>
      <c r="M296" s="64" t="s">
        <v>96</v>
      </c>
      <c r="N296" s="64" t="s">
        <v>97</v>
      </c>
      <c r="O296" s="65" t="s">
        <v>986</v>
      </c>
      <c r="P296" s="70" t="s">
        <v>96</v>
      </c>
      <c r="Q296" s="60" t="s">
        <v>95</v>
      </c>
      <c r="R296" s="60" t="s">
        <v>96</v>
      </c>
      <c r="S296" s="66" t="s">
        <v>96</v>
      </c>
      <c r="T296" s="67" t="s">
        <v>96</v>
      </c>
      <c r="U296" s="60" t="s">
        <v>96</v>
      </c>
      <c r="V296" s="60" t="s">
        <v>96</v>
      </c>
      <c r="W296" s="60" t="str" cm="1">
        <f t="array" ref="W296">_xlfn.LET(_xlpm.resultados,_xlfn.UNIQUE(_xlfn._xlws.FILTER(Tabla1[Proceso],(Tabla1[Metal Base]=Q296)*(Tabla1[Etiquetas]=_xlfn.TEXTJOIN(" + ",TRUE,IF((TRIM(Upload!R296:V296)="")+(LOWER(TRIM(Upload!R296:V296))="(seleccione)"),"",PROPER(TRIM(Upload!R296:V296)))))*(Tabla1[Línea2]=IFERROR(VLOOKUP(Upload!P296&amp;"*",CAT_Procesos!D:D,1,FALSE),"")))),_xlpm.cantidad,ROWS(_xlpm.resultados),IF(ISERROR(_xlpm.cantidad),"Combinación no existente",IF(_xlpm.cantidad=1,INDEX(_xlpm.resultados,1),"(seleccione)")))</f>
        <v>Combinación no existente</v>
      </c>
      <c r="X296" s="67" t="s">
        <v>96</v>
      </c>
      <c r="Y296" s="64"/>
      <c r="Z296" s="64"/>
      <c r="AA296" s="64"/>
      <c r="AB296" s="133" t="s">
        <v>96</v>
      </c>
      <c r="AC296" s="64"/>
      <c r="AD296" s="64"/>
      <c r="AE296" s="64"/>
      <c r="AF296" s="60" t="s">
        <v>96</v>
      </c>
      <c r="AG296" s="64"/>
      <c r="AH296" s="64"/>
      <c r="AI296" s="64"/>
      <c r="AJ296" s="68" t="s">
        <v>96</v>
      </c>
      <c r="AK296" s="69" t="str">
        <f t="shared" si="8"/>
        <v/>
      </c>
      <c r="AL296" s="70" t="s">
        <v>96</v>
      </c>
      <c r="AM296" s="69" t="str">
        <f t="shared" si="9"/>
        <v/>
      </c>
      <c r="AN296" s="71"/>
      <c r="AO296" s="71"/>
      <c r="AP296" s="71"/>
      <c r="AQ296" s="71"/>
      <c r="AR296" s="71" t="s">
        <v>96</v>
      </c>
      <c r="AS296" s="71"/>
      <c r="AT296" s="71" t="s">
        <v>96</v>
      </c>
      <c r="AU296" s="71"/>
      <c r="AV296" s="71" t="s">
        <v>95</v>
      </c>
      <c r="AW296" s="71"/>
      <c r="AX296" s="71"/>
      <c r="AY296" s="71"/>
      <c r="AZ296" s="71"/>
      <c r="BA296" s="71"/>
      <c r="BB296" s="70" t="s">
        <v>218</v>
      </c>
      <c r="BC296" s="70" t="s">
        <v>98</v>
      </c>
      <c r="BD296" s="72" t="str">
        <f>IF('Cálculo MP'!K306="","",'Cálculo MP'!K306)</f>
        <v/>
      </c>
      <c r="BE296" s="72" t="str">
        <f>IF('Cálculo MP'!L306="","",'Cálculo MP'!L306)</f>
        <v/>
      </c>
      <c r="BF296" s="72" t="str">
        <f>IF('Cálculo MP'!M306="","",'Cálculo MP'!M306)</f>
        <v/>
      </c>
      <c r="BG296" s="72" t="str">
        <f>IF('Cálculo MP'!N306="","",'Cálculo MP'!N306)</f>
        <v/>
      </c>
      <c r="BH296" s="72" t="str">
        <f>IF('Cálculo MP'!O306="","",'Cálculo MP'!O306)</f>
        <v/>
      </c>
      <c r="BI296" s="72" t="str">
        <f>IF('Cálculo MP'!P306="","",'Cálculo MP'!P306)</f>
        <v/>
      </c>
      <c r="BJ296" s="72" t="str">
        <f>IF('Cálculo MP'!Q306="","",'Cálculo MP'!Q306)</f>
        <v/>
      </c>
      <c r="BK296" s="72" t="str">
        <f>IF('Cálculo MP'!R306="","",'Cálculo MP'!R306)</f>
        <v/>
      </c>
      <c r="BL296" s="72" t="str">
        <f>IF('Cálculo MP'!S306="","",'Cálculo MP'!S306)</f>
        <v/>
      </c>
      <c r="BM296" s="71"/>
      <c r="BN296" s="71"/>
      <c r="BO296" s="71"/>
      <c r="BP296" s="71"/>
      <c r="BQ296" s="71"/>
      <c r="BR296" s="71"/>
      <c r="BS296" s="71"/>
    </row>
    <row r="297" spans="1:71" ht="19.5" customHeight="1" x14ac:dyDescent="0.15">
      <c r="A297" s="56" t="s">
        <v>985</v>
      </c>
      <c r="B297" s="57" t="s">
        <v>986</v>
      </c>
      <c r="C297" s="58" t="s">
        <v>985</v>
      </c>
      <c r="D297" s="59" t="s">
        <v>985</v>
      </c>
      <c r="E297" s="61"/>
      <c r="F297" s="60" t="s">
        <v>95</v>
      </c>
      <c r="G297" s="61"/>
      <c r="H297" s="62"/>
      <c r="I297" s="75"/>
      <c r="J297" s="60" t="s">
        <v>95</v>
      </c>
      <c r="K297" s="64"/>
      <c r="L297" s="64"/>
      <c r="M297" s="64" t="s">
        <v>96</v>
      </c>
      <c r="N297" s="64" t="s">
        <v>97</v>
      </c>
      <c r="O297" s="65" t="s">
        <v>986</v>
      </c>
      <c r="P297" s="70" t="s">
        <v>96</v>
      </c>
      <c r="Q297" s="60" t="s">
        <v>95</v>
      </c>
      <c r="R297" s="60" t="s">
        <v>96</v>
      </c>
      <c r="S297" s="66" t="s">
        <v>96</v>
      </c>
      <c r="T297" s="67" t="s">
        <v>96</v>
      </c>
      <c r="U297" s="60" t="s">
        <v>96</v>
      </c>
      <c r="V297" s="60" t="s">
        <v>96</v>
      </c>
      <c r="W297" s="60" t="str" cm="1">
        <f t="array" ref="W297">_xlfn.LET(_xlpm.resultados,_xlfn.UNIQUE(_xlfn._xlws.FILTER(Tabla1[Proceso],(Tabla1[Metal Base]=Q297)*(Tabla1[Etiquetas]=_xlfn.TEXTJOIN(" + ",TRUE,IF((TRIM(Upload!R297:V297)="")+(LOWER(TRIM(Upload!R297:V297))="(seleccione)"),"",PROPER(TRIM(Upload!R297:V297)))))*(Tabla1[Línea2]=IFERROR(VLOOKUP(Upload!P297&amp;"*",CAT_Procesos!D:D,1,FALSE),"")))),_xlpm.cantidad,ROWS(_xlpm.resultados),IF(ISERROR(_xlpm.cantidad),"Combinación no existente",IF(_xlpm.cantidad=1,INDEX(_xlpm.resultados,1),"(seleccione)")))</f>
        <v>Combinación no existente</v>
      </c>
      <c r="X297" s="67" t="s">
        <v>96</v>
      </c>
      <c r="Y297" s="64"/>
      <c r="Z297" s="64"/>
      <c r="AA297" s="64"/>
      <c r="AB297" s="133" t="s">
        <v>96</v>
      </c>
      <c r="AC297" s="64"/>
      <c r="AD297" s="64"/>
      <c r="AE297" s="64"/>
      <c r="AF297" s="60" t="s">
        <v>96</v>
      </c>
      <c r="AG297" s="64"/>
      <c r="AH297" s="64"/>
      <c r="AI297" s="64"/>
      <c r="AJ297" s="68" t="s">
        <v>96</v>
      </c>
      <c r="AK297" s="69" t="str">
        <f t="shared" si="8"/>
        <v/>
      </c>
      <c r="AL297" s="70" t="s">
        <v>96</v>
      </c>
      <c r="AM297" s="69" t="str">
        <f t="shared" si="9"/>
        <v/>
      </c>
      <c r="AN297" s="71"/>
      <c r="AO297" s="71"/>
      <c r="AP297" s="71"/>
      <c r="AQ297" s="71"/>
      <c r="AR297" s="71" t="s">
        <v>96</v>
      </c>
      <c r="AS297" s="71"/>
      <c r="AT297" s="71" t="s">
        <v>96</v>
      </c>
      <c r="AU297" s="71"/>
      <c r="AV297" s="71" t="s">
        <v>95</v>
      </c>
      <c r="AW297" s="71"/>
      <c r="AX297" s="71"/>
      <c r="AY297" s="71"/>
      <c r="AZ297" s="71"/>
      <c r="BA297" s="71"/>
      <c r="BB297" s="70" t="s">
        <v>218</v>
      </c>
      <c r="BC297" s="70" t="s">
        <v>98</v>
      </c>
      <c r="BD297" s="72" t="str">
        <f>IF('Cálculo MP'!K307="","",'Cálculo MP'!K307)</f>
        <v/>
      </c>
      <c r="BE297" s="72" t="str">
        <f>IF('Cálculo MP'!L307="","",'Cálculo MP'!L307)</f>
        <v/>
      </c>
      <c r="BF297" s="72" t="str">
        <f>IF('Cálculo MP'!M307="","",'Cálculo MP'!M307)</f>
        <v/>
      </c>
      <c r="BG297" s="72" t="str">
        <f>IF('Cálculo MP'!N307="","",'Cálculo MP'!N307)</f>
        <v/>
      </c>
      <c r="BH297" s="72" t="str">
        <f>IF('Cálculo MP'!O307="","",'Cálculo MP'!O307)</f>
        <v/>
      </c>
      <c r="BI297" s="72" t="str">
        <f>IF('Cálculo MP'!P307="","",'Cálculo MP'!P307)</f>
        <v/>
      </c>
      <c r="BJ297" s="72" t="str">
        <f>IF('Cálculo MP'!Q307="","",'Cálculo MP'!Q307)</f>
        <v/>
      </c>
      <c r="BK297" s="72" t="str">
        <f>IF('Cálculo MP'!R307="","",'Cálculo MP'!R307)</f>
        <v/>
      </c>
      <c r="BL297" s="72" t="str">
        <f>IF('Cálculo MP'!S307="","",'Cálculo MP'!S307)</f>
        <v/>
      </c>
      <c r="BM297" s="71"/>
      <c r="BN297" s="71"/>
      <c r="BO297" s="71"/>
      <c r="BP297" s="71"/>
      <c r="BQ297" s="71"/>
      <c r="BR297" s="71"/>
      <c r="BS297" s="71"/>
    </row>
    <row r="298" spans="1:71" ht="19.5" customHeight="1" x14ac:dyDescent="0.15">
      <c r="A298" s="56" t="s">
        <v>985</v>
      </c>
      <c r="B298" s="57" t="s">
        <v>986</v>
      </c>
      <c r="C298" s="58" t="s">
        <v>985</v>
      </c>
      <c r="D298" s="59" t="s">
        <v>985</v>
      </c>
      <c r="E298" s="61"/>
      <c r="F298" s="60" t="s">
        <v>95</v>
      </c>
      <c r="G298" s="61"/>
      <c r="H298" s="62"/>
      <c r="I298" s="75"/>
      <c r="J298" s="60" t="s">
        <v>95</v>
      </c>
      <c r="K298" s="64"/>
      <c r="L298" s="64"/>
      <c r="M298" s="64" t="s">
        <v>96</v>
      </c>
      <c r="N298" s="64" t="s">
        <v>97</v>
      </c>
      <c r="O298" s="65" t="s">
        <v>986</v>
      </c>
      <c r="P298" s="70" t="s">
        <v>96</v>
      </c>
      <c r="Q298" s="60" t="s">
        <v>95</v>
      </c>
      <c r="R298" s="60" t="s">
        <v>96</v>
      </c>
      <c r="S298" s="66" t="s">
        <v>96</v>
      </c>
      <c r="T298" s="67" t="s">
        <v>96</v>
      </c>
      <c r="U298" s="60" t="s">
        <v>96</v>
      </c>
      <c r="V298" s="60" t="s">
        <v>96</v>
      </c>
      <c r="W298" s="60" t="str" cm="1">
        <f t="array" ref="W298">_xlfn.LET(_xlpm.resultados,_xlfn.UNIQUE(_xlfn._xlws.FILTER(Tabla1[Proceso],(Tabla1[Metal Base]=Q298)*(Tabla1[Etiquetas]=_xlfn.TEXTJOIN(" + ",TRUE,IF((TRIM(Upload!R298:V298)="")+(LOWER(TRIM(Upload!R298:V298))="(seleccione)"),"",PROPER(TRIM(Upload!R298:V298)))))*(Tabla1[Línea2]=IFERROR(VLOOKUP(Upload!P298&amp;"*",CAT_Procesos!D:D,1,FALSE),"")))),_xlpm.cantidad,ROWS(_xlpm.resultados),IF(ISERROR(_xlpm.cantidad),"Combinación no existente",IF(_xlpm.cantidad=1,INDEX(_xlpm.resultados,1),"(seleccione)")))</f>
        <v>Combinación no existente</v>
      </c>
      <c r="X298" s="67" t="s">
        <v>96</v>
      </c>
      <c r="Y298" s="64"/>
      <c r="Z298" s="64"/>
      <c r="AA298" s="64"/>
      <c r="AB298" s="133" t="s">
        <v>96</v>
      </c>
      <c r="AC298" s="64"/>
      <c r="AD298" s="64"/>
      <c r="AE298" s="64"/>
      <c r="AF298" s="60" t="s">
        <v>96</v>
      </c>
      <c r="AG298" s="64"/>
      <c r="AH298" s="64"/>
      <c r="AI298" s="64"/>
      <c r="AJ298" s="68" t="s">
        <v>96</v>
      </c>
      <c r="AK298" s="69" t="str">
        <f t="shared" si="8"/>
        <v/>
      </c>
      <c r="AL298" s="70" t="s">
        <v>96</v>
      </c>
      <c r="AM298" s="69" t="str">
        <f t="shared" si="9"/>
        <v/>
      </c>
      <c r="AN298" s="71"/>
      <c r="AO298" s="71"/>
      <c r="AP298" s="71"/>
      <c r="AQ298" s="71"/>
      <c r="AR298" s="71" t="s">
        <v>96</v>
      </c>
      <c r="AS298" s="71"/>
      <c r="AT298" s="71" t="s">
        <v>96</v>
      </c>
      <c r="AU298" s="71"/>
      <c r="AV298" s="71" t="s">
        <v>95</v>
      </c>
      <c r="AW298" s="71"/>
      <c r="AX298" s="71"/>
      <c r="AY298" s="71"/>
      <c r="AZ298" s="71"/>
      <c r="BA298" s="71"/>
      <c r="BB298" s="70" t="s">
        <v>218</v>
      </c>
      <c r="BC298" s="70" t="s">
        <v>98</v>
      </c>
      <c r="BD298" s="72" t="str">
        <f>IF('Cálculo MP'!K308="","",'Cálculo MP'!K308)</f>
        <v/>
      </c>
      <c r="BE298" s="72" t="str">
        <f>IF('Cálculo MP'!L308="","",'Cálculo MP'!L308)</f>
        <v/>
      </c>
      <c r="BF298" s="72" t="str">
        <f>IF('Cálculo MP'!M308="","",'Cálculo MP'!M308)</f>
        <v/>
      </c>
      <c r="BG298" s="72" t="str">
        <f>IF('Cálculo MP'!N308="","",'Cálculo MP'!N308)</f>
        <v/>
      </c>
      <c r="BH298" s="72" t="str">
        <f>IF('Cálculo MP'!O308="","",'Cálculo MP'!O308)</f>
        <v/>
      </c>
      <c r="BI298" s="72" t="str">
        <f>IF('Cálculo MP'!P308="","",'Cálculo MP'!P308)</f>
        <v/>
      </c>
      <c r="BJ298" s="72" t="str">
        <f>IF('Cálculo MP'!Q308="","",'Cálculo MP'!Q308)</f>
        <v/>
      </c>
      <c r="BK298" s="72" t="str">
        <f>IF('Cálculo MP'!R308="","",'Cálculo MP'!R308)</f>
        <v/>
      </c>
      <c r="BL298" s="72" t="str">
        <f>IF('Cálculo MP'!S308="","",'Cálculo MP'!S308)</f>
        <v/>
      </c>
      <c r="BM298" s="71"/>
      <c r="BN298" s="71"/>
      <c r="BO298" s="71"/>
      <c r="BP298" s="71"/>
      <c r="BQ298" s="71"/>
      <c r="BR298" s="71"/>
      <c r="BS298" s="71"/>
    </row>
    <row r="299" spans="1:71" ht="19.5" customHeight="1" x14ac:dyDescent="0.15">
      <c r="A299" s="56" t="s">
        <v>985</v>
      </c>
      <c r="B299" s="57" t="s">
        <v>986</v>
      </c>
      <c r="C299" s="58" t="s">
        <v>985</v>
      </c>
      <c r="D299" s="59" t="s">
        <v>985</v>
      </c>
      <c r="E299" s="61"/>
      <c r="F299" s="60" t="s">
        <v>95</v>
      </c>
      <c r="G299" s="61"/>
      <c r="H299" s="62"/>
      <c r="I299" s="75"/>
      <c r="J299" s="60" t="s">
        <v>95</v>
      </c>
      <c r="K299" s="64"/>
      <c r="L299" s="64"/>
      <c r="M299" s="64" t="s">
        <v>96</v>
      </c>
      <c r="N299" s="64" t="s">
        <v>97</v>
      </c>
      <c r="O299" s="65" t="s">
        <v>986</v>
      </c>
      <c r="P299" s="70" t="s">
        <v>96</v>
      </c>
      <c r="Q299" s="60" t="s">
        <v>95</v>
      </c>
      <c r="R299" s="60" t="s">
        <v>96</v>
      </c>
      <c r="S299" s="66" t="s">
        <v>96</v>
      </c>
      <c r="T299" s="67" t="s">
        <v>96</v>
      </c>
      <c r="U299" s="60" t="s">
        <v>96</v>
      </c>
      <c r="V299" s="60" t="s">
        <v>96</v>
      </c>
      <c r="W299" s="60" t="str" cm="1">
        <f t="array" ref="W299">_xlfn.LET(_xlpm.resultados,_xlfn.UNIQUE(_xlfn._xlws.FILTER(Tabla1[Proceso],(Tabla1[Metal Base]=Q299)*(Tabla1[Etiquetas]=_xlfn.TEXTJOIN(" + ",TRUE,IF((TRIM(Upload!R299:V299)="")+(LOWER(TRIM(Upload!R299:V299))="(seleccione)"),"",PROPER(TRIM(Upload!R299:V299)))))*(Tabla1[Línea2]=IFERROR(VLOOKUP(Upload!P299&amp;"*",CAT_Procesos!D:D,1,FALSE),"")))),_xlpm.cantidad,ROWS(_xlpm.resultados),IF(ISERROR(_xlpm.cantidad),"Combinación no existente",IF(_xlpm.cantidad=1,INDEX(_xlpm.resultados,1),"(seleccione)")))</f>
        <v>Combinación no existente</v>
      </c>
      <c r="X299" s="67" t="s">
        <v>96</v>
      </c>
      <c r="Y299" s="64"/>
      <c r="Z299" s="64"/>
      <c r="AA299" s="64"/>
      <c r="AB299" s="133" t="s">
        <v>96</v>
      </c>
      <c r="AC299" s="64"/>
      <c r="AD299" s="64"/>
      <c r="AE299" s="64"/>
      <c r="AF299" s="60" t="s">
        <v>96</v>
      </c>
      <c r="AG299" s="64"/>
      <c r="AH299" s="64"/>
      <c r="AI299" s="64"/>
      <c r="AJ299" s="68" t="s">
        <v>96</v>
      </c>
      <c r="AK299" s="69" t="str">
        <f t="shared" si="8"/>
        <v/>
      </c>
      <c r="AL299" s="70" t="s">
        <v>96</v>
      </c>
      <c r="AM299" s="69" t="str">
        <f t="shared" si="9"/>
        <v/>
      </c>
      <c r="AN299" s="71"/>
      <c r="AO299" s="71"/>
      <c r="AP299" s="71"/>
      <c r="AQ299" s="71"/>
      <c r="AR299" s="71" t="s">
        <v>96</v>
      </c>
      <c r="AS299" s="71"/>
      <c r="AT299" s="71" t="s">
        <v>96</v>
      </c>
      <c r="AU299" s="71"/>
      <c r="AV299" s="71" t="s">
        <v>95</v>
      </c>
      <c r="AW299" s="71"/>
      <c r="AX299" s="71"/>
      <c r="AY299" s="71"/>
      <c r="AZ299" s="71"/>
      <c r="BA299" s="71"/>
      <c r="BB299" s="70" t="s">
        <v>218</v>
      </c>
      <c r="BC299" s="70" t="s">
        <v>98</v>
      </c>
      <c r="BD299" s="72" t="str">
        <f>IF('Cálculo MP'!K309="","",'Cálculo MP'!K309)</f>
        <v/>
      </c>
      <c r="BE299" s="72" t="str">
        <f>IF('Cálculo MP'!L309="","",'Cálculo MP'!L309)</f>
        <v/>
      </c>
      <c r="BF299" s="72" t="str">
        <f>IF('Cálculo MP'!M309="","",'Cálculo MP'!M309)</f>
        <v/>
      </c>
      <c r="BG299" s="72" t="str">
        <f>IF('Cálculo MP'!N309="","",'Cálculo MP'!N309)</f>
        <v/>
      </c>
      <c r="BH299" s="72" t="str">
        <f>IF('Cálculo MP'!O309="","",'Cálculo MP'!O309)</f>
        <v/>
      </c>
      <c r="BI299" s="72" t="str">
        <f>IF('Cálculo MP'!P309="","",'Cálculo MP'!P309)</f>
        <v/>
      </c>
      <c r="BJ299" s="72" t="str">
        <f>IF('Cálculo MP'!Q309="","",'Cálculo MP'!Q309)</f>
        <v/>
      </c>
      <c r="BK299" s="72" t="str">
        <f>IF('Cálculo MP'!R309="","",'Cálculo MP'!R309)</f>
        <v/>
      </c>
      <c r="BL299" s="72" t="str">
        <f>IF('Cálculo MP'!S309="","",'Cálculo MP'!S309)</f>
        <v/>
      </c>
      <c r="BM299" s="71"/>
      <c r="BN299" s="71"/>
      <c r="BO299" s="71"/>
      <c r="BP299" s="71"/>
      <c r="BQ299" s="71"/>
      <c r="BR299" s="71"/>
      <c r="BS299" s="71"/>
    </row>
    <row r="300" spans="1:71" ht="19.5" customHeight="1" x14ac:dyDescent="0.15">
      <c r="A300" s="56" t="s">
        <v>985</v>
      </c>
      <c r="B300" s="57" t="s">
        <v>986</v>
      </c>
      <c r="C300" s="58" t="s">
        <v>985</v>
      </c>
      <c r="D300" s="59" t="s">
        <v>985</v>
      </c>
      <c r="E300" s="61"/>
      <c r="F300" s="60" t="s">
        <v>95</v>
      </c>
      <c r="G300" s="61"/>
      <c r="H300" s="62"/>
      <c r="I300" s="75"/>
      <c r="J300" s="60" t="s">
        <v>95</v>
      </c>
      <c r="K300" s="64"/>
      <c r="L300" s="64"/>
      <c r="M300" s="64" t="s">
        <v>96</v>
      </c>
      <c r="N300" s="64" t="s">
        <v>97</v>
      </c>
      <c r="O300" s="65" t="s">
        <v>986</v>
      </c>
      <c r="P300" s="70" t="s">
        <v>96</v>
      </c>
      <c r="Q300" s="60" t="s">
        <v>95</v>
      </c>
      <c r="R300" s="60" t="s">
        <v>96</v>
      </c>
      <c r="S300" s="66" t="s">
        <v>96</v>
      </c>
      <c r="T300" s="67" t="s">
        <v>96</v>
      </c>
      <c r="U300" s="60" t="s">
        <v>96</v>
      </c>
      <c r="V300" s="60" t="s">
        <v>96</v>
      </c>
      <c r="W300" s="60" t="str" cm="1">
        <f t="array" ref="W300">_xlfn.LET(_xlpm.resultados,_xlfn.UNIQUE(_xlfn._xlws.FILTER(Tabla1[Proceso],(Tabla1[Metal Base]=Q300)*(Tabla1[Etiquetas]=_xlfn.TEXTJOIN(" + ",TRUE,IF((TRIM(Upload!R300:V300)="")+(LOWER(TRIM(Upload!R300:V300))="(seleccione)"),"",PROPER(TRIM(Upload!R300:V300)))))*(Tabla1[Línea2]=IFERROR(VLOOKUP(Upload!P300&amp;"*",CAT_Procesos!D:D,1,FALSE),"")))),_xlpm.cantidad,ROWS(_xlpm.resultados),IF(ISERROR(_xlpm.cantidad),"Combinación no existente",IF(_xlpm.cantidad=1,INDEX(_xlpm.resultados,1),"(seleccione)")))</f>
        <v>Combinación no existente</v>
      </c>
      <c r="X300" s="67" t="s">
        <v>96</v>
      </c>
      <c r="Y300" s="64"/>
      <c r="Z300" s="64"/>
      <c r="AA300" s="64"/>
      <c r="AB300" s="133" t="s">
        <v>96</v>
      </c>
      <c r="AC300" s="64"/>
      <c r="AD300" s="64"/>
      <c r="AE300" s="64"/>
      <c r="AF300" s="60" t="s">
        <v>96</v>
      </c>
      <c r="AG300" s="64"/>
      <c r="AH300" s="64"/>
      <c r="AI300" s="64"/>
      <c r="AJ300" s="68" t="s">
        <v>96</v>
      </c>
      <c r="AK300" s="69" t="str">
        <f t="shared" si="8"/>
        <v/>
      </c>
      <c r="AL300" s="70" t="s">
        <v>96</v>
      </c>
      <c r="AM300" s="69" t="str">
        <f t="shared" si="9"/>
        <v/>
      </c>
      <c r="AN300" s="71"/>
      <c r="AO300" s="71"/>
      <c r="AP300" s="71"/>
      <c r="AQ300" s="71"/>
      <c r="AR300" s="71" t="s">
        <v>96</v>
      </c>
      <c r="AS300" s="71"/>
      <c r="AT300" s="71" t="s">
        <v>96</v>
      </c>
      <c r="AU300" s="71"/>
      <c r="AV300" s="71" t="s">
        <v>95</v>
      </c>
      <c r="AW300" s="71"/>
      <c r="AX300" s="71"/>
      <c r="AY300" s="71"/>
      <c r="AZ300" s="71"/>
      <c r="BA300" s="71"/>
      <c r="BB300" s="70" t="s">
        <v>218</v>
      </c>
      <c r="BC300" s="70" t="s">
        <v>98</v>
      </c>
      <c r="BD300" s="72" t="str">
        <f>IF('Cálculo MP'!K310="","",'Cálculo MP'!K310)</f>
        <v/>
      </c>
      <c r="BE300" s="72" t="str">
        <f>IF('Cálculo MP'!L310="","",'Cálculo MP'!L310)</f>
        <v/>
      </c>
      <c r="BF300" s="72" t="str">
        <f>IF('Cálculo MP'!M310="","",'Cálculo MP'!M310)</f>
        <v/>
      </c>
      <c r="BG300" s="72" t="str">
        <f>IF('Cálculo MP'!N310="","",'Cálculo MP'!N310)</f>
        <v/>
      </c>
      <c r="BH300" s="72" t="str">
        <f>IF('Cálculo MP'!O310="","",'Cálculo MP'!O310)</f>
        <v/>
      </c>
      <c r="BI300" s="72" t="str">
        <f>IF('Cálculo MP'!P310="","",'Cálculo MP'!P310)</f>
        <v/>
      </c>
      <c r="BJ300" s="72" t="str">
        <f>IF('Cálculo MP'!Q310="","",'Cálculo MP'!Q310)</f>
        <v/>
      </c>
      <c r="BK300" s="72" t="str">
        <f>IF('Cálculo MP'!R310="","",'Cálculo MP'!R310)</f>
        <v/>
      </c>
      <c r="BL300" s="72" t="str">
        <f>IF('Cálculo MP'!S310="","",'Cálculo MP'!S310)</f>
        <v/>
      </c>
      <c r="BM300" s="71"/>
      <c r="BN300" s="71"/>
      <c r="BO300" s="71"/>
      <c r="BP300" s="71"/>
      <c r="BQ300" s="71"/>
      <c r="BR300" s="71"/>
      <c r="BS300" s="71"/>
    </row>
    <row r="301" spans="1:71" ht="19.5" customHeight="1" x14ac:dyDescent="0.15">
      <c r="A301" s="56" t="s">
        <v>985</v>
      </c>
      <c r="B301" s="57" t="s">
        <v>986</v>
      </c>
      <c r="C301" s="58" t="s">
        <v>985</v>
      </c>
      <c r="D301" s="59" t="s">
        <v>985</v>
      </c>
      <c r="E301" s="61"/>
      <c r="F301" s="60" t="s">
        <v>95</v>
      </c>
      <c r="G301" s="61"/>
      <c r="H301" s="62"/>
      <c r="I301" s="75"/>
      <c r="J301" s="60" t="s">
        <v>95</v>
      </c>
      <c r="K301" s="64"/>
      <c r="L301" s="64"/>
      <c r="M301" s="64" t="s">
        <v>96</v>
      </c>
      <c r="N301" s="64" t="s">
        <v>97</v>
      </c>
      <c r="O301" s="65" t="s">
        <v>986</v>
      </c>
      <c r="P301" s="70" t="s">
        <v>96</v>
      </c>
      <c r="Q301" s="60" t="s">
        <v>95</v>
      </c>
      <c r="R301" s="60" t="s">
        <v>96</v>
      </c>
      <c r="S301" s="66" t="s">
        <v>96</v>
      </c>
      <c r="T301" s="67" t="s">
        <v>96</v>
      </c>
      <c r="U301" s="60" t="s">
        <v>96</v>
      </c>
      <c r="V301" s="60" t="s">
        <v>96</v>
      </c>
      <c r="W301" s="60" t="str" cm="1">
        <f t="array" ref="W301">_xlfn.LET(_xlpm.resultados,_xlfn.UNIQUE(_xlfn._xlws.FILTER(Tabla1[Proceso],(Tabla1[Metal Base]=Q301)*(Tabla1[Etiquetas]=_xlfn.TEXTJOIN(" + ",TRUE,IF((TRIM(Upload!R301:V301)="")+(LOWER(TRIM(Upload!R301:V301))="(seleccione)"),"",PROPER(TRIM(Upload!R301:V301)))))*(Tabla1[Línea2]=IFERROR(VLOOKUP(Upload!P301&amp;"*",CAT_Procesos!D:D,1,FALSE),"")))),_xlpm.cantidad,ROWS(_xlpm.resultados),IF(ISERROR(_xlpm.cantidad),"Combinación no existente",IF(_xlpm.cantidad=1,INDEX(_xlpm.resultados,1),"(seleccione)")))</f>
        <v>Combinación no existente</v>
      </c>
      <c r="X301" s="67" t="s">
        <v>96</v>
      </c>
      <c r="Y301" s="64"/>
      <c r="Z301" s="64"/>
      <c r="AA301" s="64"/>
      <c r="AB301" s="133" t="s">
        <v>96</v>
      </c>
      <c r="AC301" s="64"/>
      <c r="AD301" s="64"/>
      <c r="AE301" s="64"/>
      <c r="AF301" s="60" t="s">
        <v>96</v>
      </c>
      <c r="AG301" s="64"/>
      <c r="AH301" s="64"/>
      <c r="AI301" s="64"/>
      <c r="AJ301" s="68" t="s">
        <v>96</v>
      </c>
      <c r="AK301" s="69" t="str">
        <f t="shared" si="8"/>
        <v/>
      </c>
      <c r="AL301" s="70" t="s">
        <v>96</v>
      </c>
      <c r="AM301" s="69" t="str">
        <f t="shared" si="9"/>
        <v/>
      </c>
      <c r="AN301" s="71"/>
      <c r="AO301" s="71"/>
      <c r="AP301" s="71"/>
      <c r="AQ301" s="71"/>
      <c r="AR301" s="71" t="s">
        <v>96</v>
      </c>
      <c r="AS301" s="71"/>
      <c r="AT301" s="71" t="s">
        <v>96</v>
      </c>
      <c r="AU301" s="71"/>
      <c r="AV301" s="71" t="s">
        <v>95</v>
      </c>
      <c r="AW301" s="71"/>
      <c r="AX301" s="71"/>
      <c r="AY301" s="71"/>
      <c r="AZ301" s="71"/>
      <c r="BA301" s="71"/>
      <c r="BB301" s="70" t="s">
        <v>218</v>
      </c>
      <c r="BC301" s="70" t="s">
        <v>98</v>
      </c>
      <c r="BD301" s="72" t="str">
        <f>IF('Cálculo MP'!K311="","",'Cálculo MP'!K311)</f>
        <v/>
      </c>
      <c r="BE301" s="72" t="str">
        <f>IF('Cálculo MP'!L311="","",'Cálculo MP'!L311)</f>
        <v/>
      </c>
      <c r="BF301" s="72" t="str">
        <f>IF('Cálculo MP'!M311="","",'Cálculo MP'!M311)</f>
        <v/>
      </c>
      <c r="BG301" s="72" t="str">
        <f>IF('Cálculo MP'!N311="","",'Cálculo MP'!N311)</f>
        <v/>
      </c>
      <c r="BH301" s="72" t="str">
        <f>IF('Cálculo MP'!O311="","",'Cálculo MP'!O311)</f>
        <v/>
      </c>
      <c r="BI301" s="72" t="str">
        <f>IF('Cálculo MP'!P311="","",'Cálculo MP'!P311)</f>
        <v/>
      </c>
      <c r="BJ301" s="72" t="str">
        <f>IF('Cálculo MP'!Q311="","",'Cálculo MP'!Q311)</f>
        <v/>
      </c>
      <c r="BK301" s="72" t="str">
        <f>IF('Cálculo MP'!R311="","",'Cálculo MP'!R311)</f>
        <v/>
      </c>
      <c r="BL301" s="72" t="str">
        <f>IF('Cálculo MP'!S311="","",'Cálculo MP'!S311)</f>
        <v/>
      </c>
      <c r="BM301" s="71"/>
      <c r="BN301" s="71"/>
      <c r="BO301" s="71"/>
      <c r="BP301" s="71"/>
      <c r="BQ301" s="71"/>
      <c r="BR301" s="71"/>
      <c r="BS301" s="71"/>
    </row>
    <row r="302" spans="1:71" ht="19.5" customHeight="1" x14ac:dyDescent="0.15">
      <c r="A302" s="56" t="s">
        <v>985</v>
      </c>
      <c r="B302" s="57" t="s">
        <v>986</v>
      </c>
      <c r="C302" s="58" t="s">
        <v>985</v>
      </c>
      <c r="D302" s="59" t="s">
        <v>985</v>
      </c>
      <c r="E302" s="61"/>
      <c r="F302" s="60" t="s">
        <v>95</v>
      </c>
      <c r="G302" s="61"/>
      <c r="H302" s="62"/>
      <c r="I302" s="75"/>
      <c r="J302" s="60" t="s">
        <v>95</v>
      </c>
      <c r="K302" s="64"/>
      <c r="L302" s="64"/>
      <c r="M302" s="64" t="s">
        <v>96</v>
      </c>
      <c r="N302" s="64" t="s">
        <v>97</v>
      </c>
      <c r="O302" s="65" t="s">
        <v>986</v>
      </c>
      <c r="P302" s="70" t="s">
        <v>96</v>
      </c>
      <c r="Q302" s="60" t="s">
        <v>95</v>
      </c>
      <c r="R302" s="60" t="s">
        <v>96</v>
      </c>
      <c r="S302" s="66" t="s">
        <v>96</v>
      </c>
      <c r="T302" s="67" t="s">
        <v>96</v>
      </c>
      <c r="U302" s="60" t="s">
        <v>96</v>
      </c>
      <c r="V302" s="60" t="s">
        <v>96</v>
      </c>
      <c r="W302" s="60" t="str" cm="1">
        <f t="array" ref="W302">_xlfn.LET(_xlpm.resultados,_xlfn.UNIQUE(_xlfn._xlws.FILTER(Tabla1[Proceso],(Tabla1[Metal Base]=Q302)*(Tabla1[Etiquetas]=_xlfn.TEXTJOIN(" + ",TRUE,IF((TRIM(Upload!R302:V302)="")+(LOWER(TRIM(Upload!R302:V302))="(seleccione)"),"",PROPER(TRIM(Upload!R302:V302)))))*(Tabla1[Línea2]=IFERROR(VLOOKUP(Upload!P302&amp;"*",CAT_Procesos!D:D,1,FALSE),"")))),_xlpm.cantidad,ROWS(_xlpm.resultados),IF(ISERROR(_xlpm.cantidad),"Combinación no existente",IF(_xlpm.cantidad=1,INDEX(_xlpm.resultados,1),"(seleccione)")))</f>
        <v>Combinación no existente</v>
      </c>
      <c r="X302" s="67" t="s">
        <v>96</v>
      </c>
      <c r="Y302" s="64"/>
      <c r="Z302" s="64"/>
      <c r="AA302" s="64"/>
      <c r="AB302" s="133" t="s">
        <v>96</v>
      </c>
      <c r="AC302" s="64"/>
      <c r="AD302" s="64"/>
      <c r="AE302" s="64"/>
      <c r="AF302" s="60" t="s">
        <v>96</v>
      </c>
      <c r="AG302" s="64"/>
      <c r="AH302" s="64"/>
      <c r="AI302" s="64"/>
      <c r="AJ302" s="68" t="s">
        <v>96</v>
      </c>
      <c r="AK302" s="69" t="str">
        <f t="shared" si="8"/>
        <v/>
      </c>
      <c r="AL302" s="70" t="s">
        <v>96</v>
      </c>
      <c r="AM302" s="69" t="str">
        <f t="shared" si="9"/>
        <v/>
      </c>
      <c r="AN302" s="71"/>
      <c r="AO302" s="71"/>
      <c r="AP302" s="71"/>
      <c r="AQ302" s="71"/>
      <c r="AR302" s="71" t="s">
        <v>96</v>
      </c>
      <c r="AS302" s="71"/>
      <c r="AT302" s="71" t="s">
        <v>96</v>
      </c>
      <c r="AU302" s="71"/>
      <c r="AV302" s="71" t="s">
        <v>95</v>
      </c>
      <c r="AW302" s="71"/>
      <c r="AX302" s="71"/>
      <c r="AY302" s="71"/>
      <c r="AZ302" s="71"/>
      <c r="BA302" s="71"/>
      <c r="BB302" s="70" t="s">
        <v>218</v>
      </c>
      <c r="BC302" s="70" t="s">
        <v>98</v>
      </c>
      <c r="BD302" s="72" t="str">
        <f>IF('Cálculo MP'!K312="","",'Cálculo MP'!K312)</f>
        <v/>
      </c>
      <c r="BE302" s="72" t="str">
        <f>IF('Cálculo MP'!L312="","",'Cálculo MP'!L312)</f>
        <v/>
      </c>
      <c r="BF302" s="72" t="str">
        <f>IF('Cálculo MP'!M312="","",'Cálculo MP'!M312)</f>
        <v/>
      </c>
      <c r="BG302" s="72" t="str">
        <f>IF('Cálculo MP'!N312="","",'Cálculo MP'!N312)</f>
        <v/>
      </c>
      <c r="BH302" s="72" t="str">
        <f>IF('Cálculo MP'!O312="","",'Cálculo MP'!O312)</f>
        <v/>
      </c>
      <c r="BI302" s="72" t="str">
        <f>IF('Cálculo MP'!P312="","",'Cálculo MP'!P312)</f>
        <v/>
      </c>
      <c r="BJ302" s="72" t="str">
        <f>IF('Cálculo MP'!Q312="","",'Cálculo MP'!Q312)</f>
        <v/>
      </c>
      <c r="BK302" s="72" t="str">
        <f>IF('Cálculo MP'!R312="","",'Cálculo MP'!R312)</f>
        <v/>
      </c>
      <c r="BL302" s="72" t="str">
        <f>IF('Cálculo MP'!S312="","",'Cálculo MP'!S312)</f>
        <v/>
      </c>
      <c r="BM302" s="71"/>
      <c r="BN302" s="71"/>
      <c r="BO302" s="71"/>
      <c r="BP302" s="71"/>
      <c r="BQ302" s="71"/>
      <c r="BR302" s="71"/>
      <c r="BS302" s="71"/>
    </row>
    <row r="303" spans="1:71" ht="19.5" customHeight="1" x14ac:dyDescent="0.15">
      <c r="A303" s="56" t="s">
        <v>985</v>
      </c>
      <c r="B303" s="57" t="s">
        <v>986</v>
      </c>
      <c r="C303" s="58" t="s">
        <v>985</v>
      </c>
      <c r="D303" s="59" t="s">
        <v>985</v>
      </c>
      <c r="E303" s="61"/>
      <c r="F303" s="60" t="s">
        <v>95</v>
      </c>
      <c r="G303" s="61"/>
      <c r="H303" s="62"/>
      <c r="I303" s="75"/>
      <c r="J303" s="60" t="s">
        <v>95</v>
      </c>
      <c r="K303" s="64"/>
      <c r="L303" s="64"/>
      <c r="M303" s="64" t="s">
        <v>96</v>
      </c>
      <c r="N303" s="64" t="s">
        <v>97</v>
      </c>
      <c r="O303" s="65" t="s">
        <v>986</v>
      </c>
      <c r="P303" s="70" t="s">
        <v>96</v>
      </c>
      <c r="Q303" s="60" t="s">
        <v>95</v>
      </c>
      <c r="R303" s="60" t="s">
        <v>96</v>
      </c>
      <c r="S303" s="66" t="s">
        <v>96</v>
      </c>
      <c r="T303" s="67" t="s">
        <v>96</v>
      </c>
      <c r="U303" s="60" t="s">
        <v>96</v>
      </c>
      <c r="V303" s="60" t="s">
        <v>96</v>
      </c>
      <c r="W303" s="60" t="str" cm="1">
        <f t="array" ref="W303">_xlfn.LET(_xlpm.resultados,_xlfn.UNIQUE(_xlfn._xlws.FILTER(Tabla1[Proceso],(Tabla1[Metal Base]=Q303)*(Tabla1[Etiquetas]=_xlfn.TEXTJOIN(" + ",TRUE,IF((TRIM(Upload!R303:V303)="")+(LOWER(TRIM(Upload!R303:V303))="(seleccione)"),"",PROPER(TRIM(Upload!R303:V303)))))*(Tabla1[Línea2]=IFERROR(VLOOKUP(Upload!P303&amp;"*",CAT_Procesos!D:D,1,FALSE),"")))),_xlpm.cantidad,ROWS(_xlpm.resultados),IF(ISERROR(_xlpm.cantidad),"Combinación no existente",IF(_xlpm.cantidad=1,INDEX(_xlpm.resultados,1),"(seleccione)")))</f>
        <v>Combinación no existente</v>
      </c>
      <c r="X303" s="67" t="s">
        <v>96</v>
      </c>
      <c r="Y303" s="64"/>
      <c r="Z303" s="64"/>
      <c r="AA303" s="64"/>
      <c r="AB303" s="133" t="s">
        <v>96</v>
      </c>
      <c r="AC303" s="64"/>
      <c r="AD303" s="64"/>
      <c r="AE303" s="64"/>
      <c r="AF303" s="60" t="s">
        <v>96</v>
      </c>
      <c r="AG303" s="64"/>
      <c r="AH303" s="64"/>
      <c r="AI303" s="64"/>
      <c r="AJ303" s="68" t="s">
        <v>96</v>
      </c>
      <c r="AK303" s="69" t="str">
        <f t="shared" si="8"/>
        <v/>
      </c>
      <c r="AL303" s="70" t="s">
        <v>96</v>
      </c>
      <c r="AM303" s="69" t="str">
        <f t="shared" si="9"/>
        <v/>
      </c>
      <c r="AN303" s="71"/>
      <c r="AO303" s="71"/>
      <c r="AP303" s="71"/>
      <c r="AQ303" s="71"/>
      <c r="AR303" s="71" t="s">
        <v>96</v>
      </c>
      <c r="AS303" s="71"/>
      <c r="AT303" s="71" t="s">
        <v>96</v>
      </c>
      <c r="AU303" s="71"/>
      <c r="AV303" s="71" t="s">
        <v>95</v>
      </c>
      <c r="AW303" s="71"/>
      <c r="AX303" s="71"/>
      <c r="AY303" s="71"/>
      <c r="AZ303" s="71"/>
      <c r="BA303" s="71"/>
      <c r="BB303" s="70" t="s">
        <v>218</v>
      </c>
      <c r="BC303" s="70" t="s">
        <v>98</v>
      </c>
      <c r="BD303" s="72" t="str">
        <f>IF('Cálculo MP'!K313="","",'Cálculo MP'!K313)</f>
        <v/>
      </c>
      <c r="BE303" s="72" t="str">
        <f>IF('Cálculo MP'!L313="","",'Cálculo MP'!L313)</f>
        <v/>
      </c>
      <c r="BF303" s="72" t="str">
        <f>IF('Cálculo MP'!M313="","",'Cálculo MP'!M313)</f>
        <v/>
      </c>
      <c r="BG303" s="72" t="str">
        <f>IF('Cálculo MP'!N313="","",'Cálculo MP'!N313)</f>
        <v/>
      </c>
      <c r="BH303" s="72" t="str">
        <f>IF('Cálculo MP'!O313="","",'Cálculo MP'!O313)</f>
        <v/>
      </c>
      <c r="BI303" s="72" t="str">
        <f>IF('Cálculo MP'!P313="","",'Cálculo MP'!P313)</f>
        <v/>
      </c>
      <c r="BJ303" s="72" t="str">
        <f>IF('Cálculo MP'!Q313="","",'Cálculo MP'!Q313)</f>
        <v/>
      </c>
      <c r="BK303" s="72" t="str">
        <f>IF('Cálculo MP'!R313="","",'Cálculo MP'!R313)</f>
        <v/>
      </c>
      <c r="BL303" s="72" t="str">
        <f>IF('Cálculo MP'!S313="","",'Cálculo MP'!S313)</f>
        <v/>
      </c>
      <c r="BM303" s="71"/>
      <c r="BN303" s="71"/>
      <c r="BO303" s="71"/>
      <c r="BP303" s="71"/>
      <c r="BQ303" s="71"/>
      <c r="BR303" s="71"/>
      <c r="BS303" s="71"/>
    </row>
    <row r="304" spans="1:71" ht="19.5" customHeight="1" x14ac:dyDescent="0.15">
      <c r="A304" s="56" t="s">
        <v>985</v>
      </c>
      <c r="B304" s="57" t="s">
        <v>986</v>
      </c>
      <c r="C304" s="58" t="s">
        <v>985</v>
      </c>
      <c r="D304" s="59" t="s">
        <v>985</v>
      </c>
      <c r="E304" s="61"/>
      <c r="F304" s="60" t="s">
        <v>95</v>
      </c>
      <c r="G304" s="61"/>
      <c r="H304" s="62"/>
      <c r="I304" s="75"/>
      <c r="J304" s="60" t="s">
        <v>95</v>
      </c>
      <c r="K304" s="64"/>
      <c r="L304" s="64"/>
      <c r="M304" s="64" t="s">
        <v>96</v>
      </c>
      <c r="N304" s="64" t="s">
        <v>97</v>
      </c>
      <c r="O304" s="65" t="s">
        <v>986</v>
      </c>
      <c r="P304" s="70" t="s">
        <v>96</v>
      </c>
      <c r="Q304" s="60" t="s">
        <v>95</v>
      </c>
      <c r="R304" s="60" t="s">
        <v>96</v>
      </c>
      <c r="S304" s="66" t="s">
        <v>96</v>
      </c>
      <c r="T304" s="67" t="s">
        <v>96</v>
      </c>
      <c r="U304" s="60" t="s">
        <v>96</v>
      </c>
      <c r="V304" s="60" t="s">
        <v>96</v>
      </c>
      <c r="W304" s="60" t="str" cm="1">
        <f t="array" ref="W304">_xlfn.LET(_xlpm.resultados,_xlfn.UNIQUE(_xlfn._xlws.FILTER(Tabla1[Proceso],(Tabla1[Metal Base]=Q304)*(Tabla1[Etiquetas]=_xlfn.TEXTJOIN(" + ",TRUE,IF((TRIM(Upload!R304:V304)="")+(LOWER(TRIM(Upload!R304:V304))="(seleccione)"),"",PROPER(TRIM(Upload!R304:V304)))))*(Tabla1[Línea2]=IFERROR(VLOOKUP(Upload!P304&amp;"*",CAT_Procesos!D:D,1,FALSE),"")))),_xlpm.cantidad,ROWS(_xlpm.resultados),IF(ISERROR(_xlpm.cantidad),"Combinación no existente",IF(_xlpm.cantidad=1,INDEX(_xlpm.resultados,1),"(seleccione)")))</f>
        <v>Combinación no existente</v>
      </c>
      <c r="X304" s="67" t="s">
        <v>96</v>
      </c>
      <c r="Y304" s="64"/>
      <c r="Z304" s="64"/>
      <c r="AA304" s="64"/>
      <c r="AB304" s="133" t="s">
        <v>96</v>
      </c>
      <c r="AC304" s="64"/>
      <c r="AD304" s="64"/>
      <c r="AE304" s="64"/>
      <c r="AF304" s="60" t="s">
        <v>96</v>
      </c>
      <c r="AG304" s="64"/>
      <c r="AH304" s="64"/>
      <c r="AI304" s="64"/>
      <c r="AJ304" s="68" t="s">
        <v>96</v>
      </c>
      <c r="AK304" s="69" t="str">
        <f t="shared" si="8"/>
        <v/>
      </c>
      <c r="AL304" s="70" t="s">
        <v>96</v>
      </c>
      <c r="AM304" s="69" t="str">
        <f t="shared" si="9"/>
        <v/>
      </c>
      <c r="AN304" s="71"/>
      <c r="AO304" s="71"/>
      <c r="AP304" s="71"/>
      <c r="AQ304" s="71"/>
      <c r="AR304" s="71" t="s">
        <v>96</v>
      </c>
      <c r="AS304" s="71"/>
      <c r="AT304" s="71" t="s">
        <v>96</v>
      </c>
      <c r="AU304" s="71"/>
      <c r="AV304" s="71" t="s">
        <v>95</v>
      </c>
      <c r="AW304" s="71"/>
      <c r="AX304" s="71"/>
      <c r="AY304" s="71"/>
      <c r="AZ304" s="71"/>
      <c r="BA304" s="71"/>
      <c r="BB304" s="70" t="s">
        <v>218</v>
      </c>
      <c r="BC304" s="70" t="s">
        <v>98</v>
      </c>
      <c r="BD304" s="72" t="str">
        <f>IF('Cálculo MP'!K314="","",'Cálculo MP'!K314)</f>
        <v/>
      </c>
      <c r="BE304" s="72" t="str">
        <f>IF('Cálculo MP'!L314="","",'Cálculo MP'!L314)</f>
        <v/>
      </c>
      <c r="BF304" s="72" t="str">
        <f>IF('Cálculo MP'!M314="","",'Cálculo MP'!M314)</f>
        <v/>
      </c>
      <c r="BG304" s="72" t="str">
        <f>IF('Cálculo MP'!N314="","",'Cálculo MP'!N314)</f>
        <v/>
      </c>
      <c r="BH304" s="72" t="str">
        <f>IF('Cálculo MP'!O314="","",'Cálculo MP'!O314)</f>
        <v/>
      </c>
      <c r="BI304" s="72" t="str">
        <f>IF('Cálculo MP'!P314="","",'Cálculo MP'!P314)</f>
        <v/>
      </c>
      <c r="BJ304" s="72" t="str">
        <f>IF('Cálculo MP'!Q314="","",'Cálculo MP'!Q314)</f>
        <v/>
      </c>
      <c r="BK304" s="72" t="str">
        <f>IF('Cálculo MP'!R314="","",'Cálculo MP'!R314)</f>
        <v/>
      </c>
      <c r="BL304" s="72" t="str">
        <f>IF('Cálculo MP'!S314="","",'Cálculo MP'!S314)</f>
        <v/>
      </c>
      <c r="BM304" s="71"/>
      <c r="BN304" s="71"/>
      <c r="BO304" s="71"/>
      <c r="BP304" s="71"/>
      <c r="BQ304" s="71"/>
      <c r="BR304" s="71"/>
      <c r="BS304" s="71"/>
    </row>
    <row r="305" spans="1:71" ht="19.5" customHeight="1" x14ac:dyDescent="0.15">
      <c r="A305" s="56" t="s">
        <v>985</v>
      </c>
      <c r="B305" s="57" t="s">
        <v>986</v>
      </c>
      <c r="C305" s="58" t="s">
        <v>985</v>
      </c>
      <c r="D305" s="59" t="s">
        <v>985</v>
      </c>
      <c r="E305" s="61"/>
      <c r="F305" s="60" t="s">
        <v>95</v>
      </c>
      <c r="G305" s="61"/>
      <c r="H305" s="62"/>
      <c r="I305" s="75"/>
      <c r="J305" s="60" t="s">
        <v>95</v>
      </c>
      <c r="K305" s="64"/>
      <c r="L305" s="64"/>
      <c r="M305" s="64" t="s">
        <v>96</v>
      </c>
      <c r="N305" s="64" t="s">
        <v>97</v>
      </c>
      <c r="O305" s="65" t="s">
        <v>986</v>
      </c>
      <c r="P305" s="70" t="s">
        <v>96</v>
      </c>
      <c r="Q305" s="60" t="s">
        <v>95</v>
      </c>
      <c r="R305" s="60" t="s">
        <v>96</v>
      </c>
      <c r="S305" s="66" t="s">
        <v>96</v>
      </c>
      <c r="T305" s="67" t="s">
        <v>96</v>
      </c>
      <c r="U305" s="60" t="s">
        <v>96</v>
      </c>
      <c r="V305" s="60" t="s">
        <v>96</v>
      </c>
      <c r="W305" s="60" t="str" cm="1">
        <f t="array" ref="W305">_xlfn.LET(_xlpm.resultados,_xlfn.UNIQUE(_xlfn._xlws.FILTER(Tabla1[Proceso],(Tabla1[Metal Base]=Q305)*(Tabla1[Etiquetas]=_xlfn.TEXTJOIN(" + ",TRUE,IF((TRIM(Upload!R305:V305)="")+(LOWER(TRIM(Upload!R305:V305))="(seleccione)"),"",PROPER(TRIM(Upload!R305:V305)))))*(Tabla1[Línea2]=IFERROR(VLOOKUP(Upload!P305&amp;"*",CAT_Procesos!D:D,1,FALSE),"")))),_xlpm.cantidad,ROWS(_xlpm.resultados),IF(ISERROR(_xlpm.cantidad),"Combinación no existente",IF(_xlpm.cantidad=1,INDEX(_xlpm.resultados,1),"(seleccione)")))</f>
        <v>Combinación no existente</v>
      </c>
      <c r="X305" s="67" t="s">
        <v>96</v>
      </c>
      <c r="Y305" s="64"/>
      <c r="Z305" s="64"/>
      <c r="AA305" s="64"/>
      <c r="AB305" s="133" t="s">
        <v>96</v>
      </c>
      <c r="AC305" s="64"/>
      <c r="AD305" s="64"/>
      <c r="AE305" s="64"/>
      <c r="AF305" s="60" t="s">
        <v>96</v>
      </c>
      <c r="AG305" s="64"/>
      <c r="AH305" s="64"/>
      <c r="AI305" s="64"/>
      <c r="AJ305" s="68" t="s">
        <v>96</v>
      </c>
      <c r="AK305" s="69" t="str">
        <f t="shared" si="8"/>
        <v/>
      </c>
      <c r="AL305" s="70" t="s">
        <v>96</v>
      </c>
      <c r="AM305" s="69" t="str">
        <f t="shared" si="9"/>
        <v/>
      </c>
      <c r="AN305" s="71"/>
      <c r="AO305" s="71"/>
      <c r="AP305" s="71"/>
      <c r="AQ305" s="71"/>
      <c r="AR305" s="71" t="s">
        <v>96</v>
      </c>
      <c r="AS305" s="71"/>
      <c r="AT305" s="71" t="s">
        <v>96</v>
      </c>
      <c r="AU305" s="71"/>
      <c r="AV305" s="71" t="s">
        <v>95</v>
      </c>
      <c r="AW305" s="71"/>
      <c r="AX305" s="71"/>
      <c r="AY305" s="71"/>
      <c r="AZ305" s="71"/>
      <c r="BA305" s="71"/>
      <c r="BB305" s="70" t="s">
        <v>218</v>
      </c>
      <c r="BC305" s="70" t="s">
        <v>98</v>
      </c>
      <c r="BD305" s="72" t="str">
        <f>IF('Cálculo MP'!K315="","",'Cálculo MP'!K315)</f>
        <v/>
      </c>
      <c r="BE305" s="72" t="str">
        <f>IF('Cálculo MP'!L315="","",'Cálculo MP'!L315)</f>
        <v/>
      </c>
      <c r="BF305" s="72" t="str">
        <f>IF('Cálculo MP'!M315="","",'Cálculo MP'!M315)</f>
        <v/>
      </c>
      <c r="BG305" s="72" t="str">
        <f>IF('Cálculo MP'!N315="","",'Cálculo MP'!N315)</f>
        <v/>
      </c>
      <c r="BH305" s="72" t="str">
        <f>IF('Cálculo MP'!O315="","",'Cálculo MP'!O315)</f>
        <v/>
      </c>
      <c r="BI305" s="72" t="str">
        <f>IF('Cálculo MP'!P315="","",'Cálculo MP'!P315)</f>
        <v/>
      </c>
      <c r="BJ305" s="72" t="str">
        <f>IF('Cálculo MP'!Q315="","",'Cálculo MP'!Q315)</f>
        <v/>
      </c>
      <c r="BK305" s="72" t="str">
        <f>IF('Cálculo MP'!R315="","",'Cálculo MP'!R315)</f>
        <v/>
      </c>
      <c r="BL305" s="72" t="str">
        <f>IF('Cálculo MP'!S315="","",'Cálculo MP'!S315)</f>
        <v/>
      </c>
      <c r="BM305" s="71"/>
      <c r="BN305" s="71"/>
      <c r="BO305" s="71"/>
      <c r="BP305" s="71"/>
      <c r="BQ305" s="71"/>
      <c r="BR305" s="71"/>
      <c r="BS305" s="71"/>
    </row>
    <row r="306" spans="1:71" ht="19.5" customHeight="1" x14ac:dyDescent="0.15">
      <c r="A306" s="56" t="s">
        <v>985</v>
      </c>
      <c r="B306" s="57" t="s">
        <v>986</v>
      </c>
      <c r="C306" s="58" t="s">
        <v>985</v>
      </c>
      <c r="D306" s="59" t="s">
        <v>985</v>
      </c>
      <c r="E306" s="61"/>
      <c r="F306" s="60" t="s">
        <v>95</v>
      </c>
      <c r="G306" s="61"/>
      <c r="H306" s="62"/>
      <c r="I306" s="75"/>
      <c r="J306" s="60" t="s">
        <v>95</v>
      </c>
      <c r="K306" s="64"/>
      <c r="L306" s="64"/>
      <c r="M306" s="64" t="s">
        <v>96</v>
      </c>
      <c r="N306" s="64" t="s">
        <v>97</v>
      </c>
      <c r="O306" s="65" t="s">
        <v>986</v>
      </c>
      <c r="P306" s="70" t="s">
        <v>96</v>
      </c>
      <c r="Q306" s="60" t="s">
        <v>95</v>
      </c>
      <c r="R306" s="60" t="s">
        <v>96</v>
      </c>
      <c r="S306" s="66" t="s">
        <v>96</v>
      </c>
      <c r="T306" s="67" t="s">
        <v>96</v>
      </c>
      <c r="U306" s="60" t="s">
        <v>96</v>
      </c>
      <c r="V306" s="60" t="s">
        <v>96</v>
      </c>
      <c r="W306" s="60" t="str" cm="1">
        <f t="array" ref="W306">_xlfn.LET(_xlpm.resultados,_xlfn.UNIQUE(_xlfn._xlws.FILTER(Tabla1[Proceso],(Tabla1[Metal Base]=Q306)*(Tabla1[Etiquetas]=_xlfn.TEXTJOIN(" + ",TRUE,IF((TRIM(Upload!R306:V306)="")+(LOWER(TRIM(Upload!R306:V306))="(seleccione)"),"",PROPER(TRIM(Upload!R306:V306)))))*(Tabla1[Línea2]=IFERROR(VLOOKUP(Upload!P306&amp;"*",CAT_Procesos!D:D,1,FALSE),"")))),_xlpm.cantidad,ROWS(_xlpm.resultados),IF(ISERROR(_xlpm.cantidad),"Combinación no existente",IF(_xlpm.cantidad=1,INDEX(_xlpm.resultados,1),"(seleccione)")))</f>
        <v>Combinación no existente</v>
      </c>
      <c r="X306" s="67" t="s">
        <v>96</v>
      </c>
      <c r="Y306" s="64"/>
      <c r="Z306" s="64"/>
      <c r="AA306" s="64"/>
      <c r="AB306" s="133" t="s">
        <v>96</v>
      </c>
      <c r="AC306" s="64"/>
      <c r="AD306" s="64"/>
      <c r="AE306" s="64"/>
      <c r="AF306" s="60" t="s">
        <v>96</v>
      </c>
      <c r="AG306" s="64"/>
      <c r="AH306" s="64"/>
      <c r="AI306" s="64"/>
      <c r="AJ306" s="68" t="s">
        <v>96</v>
      </c>
      <c r="AK306" s="69" t="str">
        <f t="shared" si="8"/>
        <v/>
      </c>
      <c r="AL306" s="70" t="s">
        <v>96</v>
      </c>
      <c r="AM306" s="69" t="str">
        <f t="shared" si="9"/>
        <v/>
      </c>
      <c r="AN306" s="71"/>
      <c r="AO306" s="71"/>
      <c r="AP306" s="71"/>
      <c r="AQ306" s="71"/>
      <c r="AR306" s="71" t="s">
        <v>96</v>
      </c>
      <c r="AS306" s="71"/>
      <c r="AT306" s="71" t="s">
        <v>96</v>
      </c>
      <c r="AU306" s="71"/>
      <c r="AV306" s="71" t="s">
        <v>95</v>
      </c>
      <c r="AW306" s="71"/>
      <c r="AX306" s="71"/>
      <c r="AY306" s="71"/>
      <c r="AZ306" s="71"/>
      <c r="BA306" s="71"/>
      <c r="BB306" s="70" t="s">
        <v>218</v>
      </c>
      <c r="BC306" s="70" t="s">
        <v>98</v>
      </c>
      <c r="BD306" s="72" t="str">
        <f>IF('Cálculo MP'!K316="","",'Cálculo MP'!K316)</f>
        <v/>
      </c>
      <c r="BE306" s="72" t="str">
        <f>IF('Cálculo MP'!L316="","",'Cálculo MP'!L316)</f>
        <v/>
      </c>
      <c r="BF306" s="72" t="str">
        <f>IF('Cálculo MP'!M316="","",'Cálculo MP'!M316)</f>
        <v/>
      </c>
      <c r="BG306" s="72" t="str">
        <f>IF('Cálculo MP'!N316="","",'Cálculo MP'!N316)</f>
        <v/>
      </c>
      <c r="BH306" s="72" t="str">
        <f>IF('Cálculo MP'!O316="","",'Cálculo MP'!O316)</f>
        <v/>
      </c>
      <c r="BI306" s="72" t="str">
        <f>IF('Cálculo MP'!P316="","",'Cálculo MP'!P316)</f>
        <v/>
      </c>
      <c r="BJ306" s="72" t="str">
        <f>IF('Cálculo MP'!Q316="","",'Cálculo MP'!Q316)</f>
        <v/>
      </c>
      <c r="BK306" s="72" t="str">
        <f>IF('Cálculo MP'!R316="","",'Cálculo MP'!R316)</f>
        <v/>
      </c>
      <c r="BL306" s="72" t="str">
        <f>IF('Cálculo MP'!S316="","",'Cálculo MP'!S316)</f>
        <v/>
      </c>
      <c r="BM306" s="71"/>
      <c r="BN306" s="71"/>
      <c r="BO306" s="71"/>
      <c r="BP306" s="71"/>
      <c r="BQ306" s="71"/>
      <c r="BR306" s="71"/>
      <c r="BS306" s="71"/>
    </row>
    <row r="307" spans="1:71" ht="19.5" customHeight="1" x14ac:dyDescent="0.15">
      <c r="A307" s="56" t="s">
        <v>985</v>
      </c>
      <c r="B307" s="57" t="s">
        <v>986</v>
      </c>
      <c r="C307" s="58" t="s">
        <v>985</v>
      </c>
      <c r="D307" s="59" t="s">
        <v>985</v>
      </c>
      <c r="E307" s="61"/>
      <c r="F307" s="60" t="s">
        <v>95</v>
      </c>
      <c r="G307" s="61"/>
      <c r="H307" s="62"/>
      <c r="I307" s="75"/>
      <c r="J307" s="60" t="s">
        <v>95</v>
      </c>
      <c r="K307" s="64"/>
      <c r="L307" s="64"/>
      <c r="M307" s="64" t="s">
        <v>96</v>
      </c>
      <c r="N307" s="64" t="s">
        <v>97</v>
      </c>
      <c r="O307" s="65" t="s">
        <v>986</v>
      </c>
      <c r="P307" s="70" t="s">
        <v>96</v>
      </c>
      <c r="Q307" s="60" t="s">
        <v>95</v>
      </c>
      <c r="R307" s="60" t="s">
        <v>96</v>
      </c>
      <c r="S307" s="66" t="s">
        <v>96</v>
      </c>
      <c r="T307" s="67" t="s">
        <v>96</v>
      </c>
      <c r="U307" s="60" t="s">
        <v>96</v>
      </c>
      <c r="V307" s="60" t="s">
        <v>96</v>
      </c>
      <c r="W307" s="60" t="str" cm="1">
        <f t="array" ref="W307">_xlfn.LET(_xlpm.resultados,_xlfn.UNIQUE(_xlfn._xlws.FILTER(Tabla1[Proceso],(Tabla1[Metal Base]=Q307)*(Tabla1[Etiquetas]=_xlfn.TEXTJOIN(" + ",TRUE,IF((TRIM(Upload!R307:V307)="")+(LOWER(TRIM(Upload!R307:V307))="(seleccione)"),"",PROPER(TRIM(Upload!R307:V307)))))*(Tabla1[Línea2]=IFERROR(VLOOKUP(Upload!P307&amp;"*",CAT_Procesos!D:D,1,FALSE),"")))),_xlpm.cantidad,ROWS(_xlpm.resultados),IF(ISERROR(_xlpm.cantidad),"Combinación no existente",IF(_xlpm.cantidad=1,INDEX(_xlpm.resultados,1),"(seleccione)")))</f>
        <v>Combinación no existente</v>
      </c>
      <c r="X307" s="67" t="s">
        <v>96</v>
      </c>
      <c r="Y307" s="64"/>
      <c r="Z307" s="64"/>
      <c r="AA307" s="64"/>
      <c r="AB307" s="133" t="s">
        <v>96</v>
      </c>
      <c r="AC307" s="64"/>
      <c r="AD307" s="64"/>
      <c r="AE307" s="64"/>
      <c r="AF307" s="60" t="s">
        <v>96</v>
      </c>
      <c r="AG307" s="64"/>
      <c r="AH307" s="64"/>
      <c r="AI307" s="64"/>
      <c r="AJ307" s="68" t="s">
        <v>96</v>
      </c>
      <c r="AK307" s="69" t="str">
        <f t="shared" si="8"/>
        <v/>
      </c>
      <c r="AL307" s="70" t="s">
        <v>96</v>
      </c>
      <c r="AM307" s="69" t="str">
        <f t="shared" si="9"/>
        <v/>
      </c>
      <c r="AN307" s="71"/>
      <c r="AO307" s="71"/>
      <c r="AP307" s="71"/>
      <c r="AQ307" s="71"/>
      <c r="AR307" s="71" t="s">
        <v>96</v>
      </c>
      <c r="AS307" s="71"/>
      <c r="AT307" s="71" t="s">
        <v>96</v>
      </c>
      <c r="AU307" s="71"/>
      <c r="AV307" s="71" t="s">
        <v>95</v>
      </c>
      <c r="AW307" s="71"/>
      <c r="AX307" s="71"/>
      <c r="AY307" s="71"/>
      <c r="AZ307" s="71"/>
      <c r="BA307" s="71"/>
      <c r="BB307" s="70" t="s">
        <v>218</v>
      </c>
      <c r="BC307" s="70" t="s">
        <v>98</v>
      </c>
      <c r="BD307" s="72" t="str">
        <f>IF('Cálculo MP'!K317="","",'Cálculo MP'!K317)</f>
        <v/>
      </c>
      <c r="BE307" s="72" t="str">
        <f>IF('Cálculo MP'!L317="","",'Cálculo MP'!L317)</f>
        <v/>
      </c>
      <c r="BF307" s="72" t="str">
        <f>IF('Cálculo MP'!M317="","",'Cálculo MP'!M317)</f>
        <v/>
      </c>
      <c r="BG307" s="72" t="str">
        <f>IF('Cálculo MP'!N317="","",'Cálculo MP'!N317)</f>
        <v/>
      </c>
      <c r="BH307" s="72" t="str">
        <f>IF('Cálculo MP'!O317="","",'Cálculo MP'!O317)</f>
        <v/>
      </c>
      <c r="BI307" s="72" t="str">
        <f>IF('Cálculo MP'!P317="","",'Cálculo MP'!P317)</f>
        <v/>
      </c>
      <c r="BJ307" s="72" t="str">
        <f>IF('Cálculo MP'!Q317="","",'Cálculo MP'!Q317)</f>
        <v/>
      </c>
      <c r="BK307" s="72" t="str">
        <f>IF('Cálculo MP'!R317="","",'Cálculo MP'!R317)</f>
        <v/>
      </c>
      <c r="BL307" s="72" t="str">
        <f>IF('Cálculo MP'!S317="","",'Cálculo MP'!S317)</f>
        <v/>
      </c>
      <c r="BM307" s="71"/>
      <c r="BN307" s="71"/>
      <c r="BO307" s="71"/>
      <c r="BP307" s="71"/>
      <c r="BQ307" s="71"/>
      <c r="BR307" s="71"/>
      <c r="BS307" s="71"/>
    </row>
    <row r="308" spans="1:71" ht="19.5" customHeight="1" x14ac:dyDescent="0.15">
      <c r="A308" s="56" t="s">
        <v>985</v>
      </c>
      <c r="B308" s="57" t="s">
        <v>986</v>
      </c>
      <c r="C308" s="58" t="s">
        <v>985</v>
      </c>
      <c r="D308" s="59" t="s">
        <v>985</v>
      </c>
      <c r="E308" s="61"/>
      <c r="F308" s="60" t="s">
        <v>95</v>
      </c>
      <c r="G308" s="61"/>
      <c r="H308" s="62"/>
      <c r="I308" s="75"/>
      <c r="J308" s="60" t="s">
        <v>95</v>
      </c>
      <c r="K308" s="64"/>
      <c r="L308" s="64"/>
      <c r="M308" s="64" t="s">
        <v>96</v>
      </c>
      <c r="N308" s="64" t="s">
        <v>97</v>
      </c>
      <c r="O308" s="65" t="s">
        <v>986</v>
      </c>
      <c r="P308" s="70" t="s">
        <v>96</v>
      </c>
      <c r="Q308" s="60" t="s">
        <v>95</v>
      </c>
      <c r="R308" s="60" t="s">
        <v>96</v>
      </c>
      <c r="S308" s="66" t="s">
        <v>96</v>
      </c>
      <c r="T308" s="67" t="s">
        <v>96</v>
      </c>
      <c r="U308" s="60" t="s">
        <v>96</v>
      </c>
      <c r="V308" s="60" t="s">
        <v>96</v>
      </c>
      <c r="W308" s="60" t="str" cm="1">
        <f t="array" ref="W308">_xlfn.LET(_xlpm.resultados,_xlfn.UNIQUE(_xlfn._xlws.FILTER(Tabla1[Proceso],(Tabla1[Metal Base]=Q308)*(Tabla1[Etiquetas]=_xlfn.TEXTJOIN(" + ",TRUE,IF((TRIM(Upload!R308:V308)="")+(LOWER(TRIM(Upload!R308:V308))="(seleccione)"),"",PROPER(TRIM(Upload!R308:V308)))))*(Tabla1[Línea2]=IFERROR(VLOOKUP(Upload!P308&amp;"*",CAT_Procesos!D:D,1,FALSE),"")))),_xlpm.cantidad,ROWS(_xlpm.resultados),IF(ISERROR(_xlpm.cantidad),"Combinación no existente",IF(_xlpm.cantidad=1,INDEX(_xlpm.resultados,1),"(seleccione)")))</f>
        <v>Combinación no existente</v>
      </c>
      <c r="X308" s="67" t="s">
        <v>96</v>
      </c>
      <c r="Y308" s="64"/>
      <c r="Z308" s="64"/>
      <c r="AA308" s="64"/>
      <c r="AB308" s="133" t="s">
        <v>96</v>
      </c>
      <c r="AC308" s="64"/>
      <c r="AD308" s="64"/>
      <c r="AE308" s="64"/>
      <c r="AF308" s="60" t="s">
        <v>96</v>
      </c>
      <c r="AG308" s="64"/>
      <c r="AH308" s="64"/>
      <c r="AI308" s="64"/>
      <c r="AJ308" s="68" t="s">
        <v>96</v>
      </c>
      <c r="AK308" s="69" t="str">
        <f t="shared" si="8"/>
        <v/>
      </c>
      <c r="AL308" s="70" t="s">
        <v>96</v>
      </c>
      <c r="AM308" s="69" t="str">
        <f t="shared" si="9"/>
        <v/>
      </c>
      <c r="AN308" s="71"/>
      <c r="AO308" s="71"/>
      <c r="AP308" s="71"/>
      <c r="AQ308" s="71"/>
      <c r="AR308" s="71" t="s">
        <v>96</v>
      </c>
      <c r="AS308" s="71"/>
      <c r="AT308" s="71" t="s">
        <v>96</v>
      </c>
      <c r="AU308" s="71"/>
      <c r="AV308" s="71" t="s">
        <v>95</v>
      </c>
      <c r="AW308" s="71"/>
      <c r="AX308" s="71"/>
      <c r="AY308" s="71"/>
      <c r="AZ308" s="71"/>
      <c r="BA308" s="71"/>
      <c r="BB308" s="70" t="s">
        <v>218</v>
      </c>
      <c r="BC308" s="70" t="s">
        <v>98</v>
      </c>
      <c r="BD308" s="72" t="str">
        <f>IF('Cálculo MP'!K318="","",'Cálculo MP'!K318)</f>
        <v/>
      </c>
      <c r="BE308" s="72" t="str">
        <f>IF('Cálculo MP'!L318="","",'Cálculo MP'!L318)</f>
        <v/>
      </c>
      <c r="BF308" s="72" t="str">
        <f>IF('Cálculo MP'!M318="","",'Cálculo MP'!M318)</f>
        <v/>
      </c>
      <c r="BG308" s="72" t="str">
        <f>IF('Cálculo MP'!N318="","",'Cálculo MP'!N318)</f>
        <v/>
      </c>
      <c r="BH308" s="72" t="str">
        <f>IF('Cálculo MP'!O318="","",'Cálculo MP'!O318)</f>
        <v/>
      </c>
      <c r="BI308" s="72" t="str">
        <f>IF('Cálculo MP'!P318="","",'Cálculo MP'!P318)</f>
        <v/>
      </c>
      <c r="BJ308" s="72" t="str">
        <f>IF('Cálculo MP'!Q318="","",'Cálculo MP'!Q318)</f>
        <v/>
      </c>
      <c r="BK308" s="72" t="str">
        <f>IF('Cálculo MP'!R318="","",'Cálculo MP'!R318)</f>
        <v/>
      </c>
      <c r="BL308" s="72" t="str">
        <f>IF('Cálculo MP'!S318="","",'Cálculo MP'!S318)</f>
        <v/>
      </c>
      <c r="BM308" s="71"/>
      <c r="BN308" s="71"/>
      <c r="BO308" s="71"/>
      <c r="BP308" s="71"/>
      <c r="BQ308" s="71"/>
      <c r="BR308" s="71"/>
      <c r="BS308" s="71"/>
    </row>
    <row r="309" spans="1:71" ht="19.5" customHeight="1" x14ac:dyDescent="0.15">
      <c r="A309" s="56" t="s">
        <v>985</v>
      </c>
      <c r="B309" s="57" t="s">
        <v>986</v>
      </c>
      <c r="C309" s="58" t="s">
        <v>985</v>
      </c>
      <c r="D309" s="59" t="s">
        <v>985</v>
      </c>
      <c r="E309" s="61"/>
      <c r="F309" s="60" t="s">
        <v>95</v>
      </c>
      <c r="G309" s="61"/>
      <c r="H309" s="62"/>
      <c r="I309" s="75"/>
      <c r="J309" s="60" t="s">
        <v>95</v>
      </c>
      <c r="K309" s="64"/>
      <c r="L309" s="64"/>
      <c r="M309" s="64" t="s">
        <v>96</v>
      </c>
      <c r="N309" s="64" t="s">
        <v>97</v>
      </c>
      <c r="O309" s="65" t="s">
        <v>986</v>
      </c>
      <c r="P309" s="70" t="s">
        <v>96</v>
      </c>
      <c r="Q309" s="60" t="s">
        <v>95</v>
      </c>
      <c r="R309" s="60" t="s">
        <v>96</v>
      </c>
      <c r="S309" s="66" t="s">
        <v>96</v>
      </c>
      <c r="T309" s="67" t="s">
        <v>96</v>
      </c>
      <c r="U309" s="60" t="s">
        <v>96</v>
      </c>
      <c r="V309" s="60" t="s">
        <v>96</v>
      </c>
      <c r="W309" s="60" t="str" cm="1">
        <f t="array" ref="W309">_xlfn.LET(_xlpm.resultados,_xlfn.UNIQUE(_xlfn._xlws.FILTER(Tabla1[Proceso],(Tabla1[Metal Base]=Q309)*(Tabla1[Etiquetas]=_xlfn.TEXTJOIN(" + ",TRUE,IF((TRIM(Upload!R309:V309)="")+(LOWER(TRIM(Upload!R309:V309))="(seleccione)"),"",PROPER(TRIM(Upload!R309:V309)))))*(Tabla1[Línea2]=IFERROR(VLOOKUP(Upload!P309&amp;"*",CAT_Procesos!D:D,1,FALSE),"")))),_xlpm.cantidad,ROWS(_xlpm.resultados),IF(ISERROR(_xlpm.cantidad),"Combinación no existente",IF(_xlpm.cantidad=1,INDEX(_xlpm.resultados,1),"(seleccione)")))</f>
        <v>Combinación no existente</v>
      </c>
      <c r="X309" s="67" t="s">
        <v>96</v>
      </c>
      <c r="Y309" s="64"/>
      <c r="Z309" s="64"/>
      <c r="AA309" s="64"/>
      <c r="AB309" s="133" t="s">
        <v>96</v>
      </c>
      <c r="AC309" s="64"/>
      <c r="AD309" s="64"/>
      <c r="AE309" s="64"/>
      <c r="AF309" s="60" t="s">
        <v>96</v>
      </c>
      <c r="AG309" s="64"/>
      <c r="AH309" s="64"/>
      <c r="AI309" s="64"/>
      <c r="AJ309" s="68" t="s">
        <v>96</v>
      </c>
      <c r="AK309" s="69" t="str">
        <f t="shared" si="8"/>
        <v/>
      </c>
      <c r="AL309" s="70" t="s">
        <v>96</v>
      </c>
      <c r="AM309" s="69" t="str">
        <f t="shared" si="9"/>
        <v/>
      </c>
      <c r="AN309" s="71"/>
      <c r="AO309" s="71"/>
      <c r="AP309" s="71"/>
      <c r="AQ309" s="71"/>
      <c r="AR309" s="71" t="s">
        <v>96</v>
      </c>
      <c r="AS309" s="71"/>
      <c r="AT309" s="71" t="s">
        <v>96</v>
      </c>
      <c r="AU309" s="71"/>
      <c r="AV309" s="71" t="s">
        <v>95</v>
      </c>
      <c r="AW309" s="71"/>
      <c r="AX309" s="71"/>
      <c r="AY309" s="71"/>
      <c r="AZ309" s="71"/>
      <c r="BA309" s="71"/>
      <c r="BB309" s="70" t="s">
        <v>218</v>
      </c>
      <c r="BC309" s="70" t="s">
        <v>98</v>
      </c>
      <c r="BD309" s="72" t="str">
        <f>IF('Cálculo MP'!K319="","",'Cálculo MP'!K319)</f>
        <v/>
      </c>
      <c r="BE309" s="72" t="str">
        <f>IF('Cálculo MP'!L319="","",'Cálculo MP'!L319)</f>
        <v/>
      </c>
      <c r="BF309" s="72" t="str">
        <f>IF('Cálculo MP'!M319="","",'Cálculo MP'!M319)</f>
        <v/>
      </c>
      <c r="BG309" s="72" t="str">
        <f>IF('Cálculo MP'!N319="","",'Cálculo MP'!N319)</f>
        <v/>
      </c>
      <c r="BH309" s="72" t="str">
        <f>IF('Cálculo MP'!O319="","",'Cálculo MP'!O319)</f>
        <v/>
      </c>
      <c r="BI309" s="72" t="str">
        <f>IF('Cálculo MP'!P319="","",'Cálculo MP'!P319)</f>
        <v/>
      </c>
      <c r="BJ309" s="72" t="str">
        <f>IF('Cálculo MP'!Q319="","",'Cálculo MP'!Q319)</f>
        <v/>
      </c>
      <c r="BK309" s="72" t="str">
        <f>IF('Cálculo MP'!R319="","",'Cálculo MP'!R319)</f>
        <v/>
      </c>
      <c r="BL309" s="72" t="str">
        <f>IF('Cálculo MP'!S319="","",'Cálculo MP'!S319)</f>
        <v/>
      </c>
      <c r="BM309" s="71"/>
      <c r="BN309" s="71"/>
      <c r="BO309" s="71"/>
      <c r="BP309" s="71"/>
      <c r="BQ309" s="71"/>
      <c r="BR309" s="71"/>
      <c r="BS309" s="71"/>
    </row>
    <row r="310" spans="1:71" ht="19.5" customHeight="1" x14ac:dyDescent="0.15">
      <c r="A310" s="56" t="s">
        <v>985</v>
      </c>
      <c r="B310" s="57" t="s">
        <v>986</v>
      </c>
      <c r="C310" s="58" t="s">
        <v>985</v>
      </c>
      <c r="D310" s="59" t="s">
        <v>985</v>
      </c>
      <c r="E310" s="61"/>
      <c r="F310" s="60" t="s">
        <v>95</v>
      </c>
      <c r="G310" s="61"/>
      <c r="H310" s="62"/>
      <c r="I310" s="75"/>
      <c r="J310" s="60" t="s">
        <v>95</v>
      </c>
      <c r="K310" s="64"/>
      <c r="L310" s="64"/>
      <c r="M310" s="64" t="s">
        <v>96</v>
      </c>
      <c r="N310" s="64" t="s">
        <v>97</v>
      </c>
      <c r="O310" s="65" t="s">
        <v>986</v>
      </c>
      <c r="P310" s="70" t="s">
        <v>96</v>
      </c>
      <c r="Q310" s="60" t="s">
        <v>95</v>
      </c>
      <c r="R310" s="60" t="s">
        <v>96</v>
      </c>
      <c r="S310" s="66" t="s">
        <v>96</v>
      </c>
      <c r="T310" s="67" t="s">
        <v>96</v>
      </c>
      <c r="U310" s="60" t="s">
        <v>96</v>
      </c>
      <c r="V310" s="60" t="s">
        <v>96</v>
      </c>
      <c r="W310" s="60" t="str" cm="1">
        <f t="array" ref="W310">_xlfn.LET(_xlpm.resultados,_xlfn.UNIQUE(_xlfn._xlws.FILTER(Tabla1[Proceso],(Tabla1[Metal Base]=Q310)*(Tabla1[Etiquetas]=_xlfn.TEXTJOIN(" + ",TRUE,IF((TRIM(Upload!R310:V310)="")+(LOWER(TRIM(Upload!R310:V310))="(seleccione)"),"",PROPER(TRIM(Upload!R310:V310)))))*(Tabla1[Línea2]=IFERROR(VLOOKUP(Upload!P310&amp;"*",CAT_Procesos!D:D,1,FALSE),"")))),_xlpm.cantidad,ROWS(_xlpm.resultados),IF(ISERROR(_xlpm.cantidad),"Combinación no existente",IF(_xlpm.cantidad=1,INDEX(_xlpm.resultados,1),"(seleccione)")))</f>
        <v>Combinación no existente</v>
      </c>
      <c r="X310" s="67" t="s">
        <v>96</v>
      </c>
      <c r="Y310" s="64"/>
      <c r="Z310" s="64"/>
      <c r="AA310" s="64"/>
      <c r="AB310" s="133" t="s">
        <v>96</v>
      </c>
      <c r="AC310" s="64"/>
      <c r="AD310" s="64"/>
      <c r="AE310" s="64"/>
      <c r="AF310" s="60" t="s">
        <v>96</v>
      </c>
      <c r="AG310" s="64"/>
      <c r="AH310" s="64"/>
      <c r="AI310" s="64"/>
      <c r="AJ310" s="68" t="s">
        <v>96</v>
      </c>
      <c r="AK310" s="69" t="str">
        <f t="shared" si="8"/>
        <v/>
      </c>
      <c r="AL310" s="70" t="s">
        <v>96</v>
      </c>
      <c r="AM310" s="69" t="str">
        <f t="shared" si="9"/>
        <v/>
      </c>
      <c r="AN310" s="71"/>
      <c r="AO310" s="71"/>
      <c r="AP310" s="71"/>
      <c r="AQ310" s="71"/>
      <c r="AR310" s="71" t="s">
        <v>96</v>
      </c>
      <c r="AS310" s="71"/>
      <c r="AT310" s="71" t="s">
        <v>96</v>
      </c>
      <c r="AU310" s="71"/>
      <c r="AV310" s="71" t="s">
        <v>95</v>
      </c>
      <c r="AW310" s="71"/>
      <c r="AX310" s="71"/>
      <c r="AY310" s="71"/>
      <c r="AZ310" s="71"/>
      <c r="BA310" s="71"/>
      <c r="BB310" s="70" t="s">
        <v>218</v>
      </c>
      <c r="BC310" s="70" t="s">
        <v>98</v>
      </c>
      <c r="BD310" s="72" t="str">
        <f>IF('Cálculo MP'!K320="","",'Cálculo MP'!K320)</f>
        <v/>
      </c>
      <c r="BE310" s="72" t="str">
        <f>IF('Cálculo MP'!L320="","",'Cálculo MP'!L320)</f>
        <v/>
      </c>
      <c r="BF310" s="72" t="str">
        <f>IF('Cálculo MP'!M320="","",'Cálculo MP'!M320)</f>
        <v/>
      </c>
      <c r="BG310" s="72" t="str">
        <f>IF('Cálculo MP'!N320="","",'Cálculo MP'!N320)</f>
        <v/>
      </c>
      <c r="BH310" s="72" t="str">
        <f>IF('Cálculo MP'!O320="","",'Cálculo MP'!O320)</f>
        <v/>
      </c>
      <c r="BI310" s="72" t="str">
        <f>IF('Cálculo MP'!P320="","",'Cálculo MP'!P320)</f>
        <v/>
      </c>
      <c r="BJ310" s="72" t="str">
        <f>IF('Cálculo MP'!Q320="","",'Cálculo MP'!Q320)</f>
        <v/>
      </c>
      <c r="BK310" s="72" t="str">
        <f>IF('Cálculo MP'!R320="","",'Cálculo MP'!R320)</f>
        <v/>
      </c>
      <c r="BL310" s="72" t="str">
        <f>IF('Cálculo MP'!S320="","",'Cálculo MP'!S320)</f>
        <v/>
      </c>
      <c r="BM310" s="71"/>
      <c r="BN310" s="71"/>
      <c r="BO310" s="71"/>
      <c r="BP310" s="71"/>
      <c r="BQ310" s="71"/>
      <c r="BR310" s="71"/>
      <c r="BS310" s="71"/>
    </row>
    <row r="311" spans="1:71" ht="19.5" customHeight="1" x14ac:dyDescent="0.15">
      <c r="A311" s="56" t="s">
        <v>985</v>
      </c>
      <c r="B311" s="57" t="s">
        <v>986</v>
      </c>
      <c r="C311" s="58" t="s">
        <v>985</v>
      </c>
      <c r="D311" s="59" t="s">
        <v>985</v>
      </c>
      <c r="E311" s="61"/>
      <c r="F311" s="60" t="s">
        <v>95</v>
      </c>
      <c r="G311" s="61"/>
      <c r="H311" s="62"/>
      <c r="I311" s="75"/>
      <c r="J311" s="60" t="s">
        <v>95</v>
      </c>
      <c r="K311" s="64"/>
      <c r="L311" s="64"/>
      <c r="M311" s="64" t="s">
        <v>96</v>
      </c>
      <c r="N311" s="64" t="s">
        <v>97</v>
      </c>
      <c r="O311" s="65" t="s">
        <v>986</v>
      </c>
      <c r="P311" s="70" t="s">
        <v>96</v>
      </c>
      <c r="Q311" s="60" t="s">
        <v>95</v>
      </c>
      <c r="R311" s="60" t="s">
        <v>96</v>
      </c>
      <c r="S311" s="66" t="s">
        <v>96</v>
      </c>
      <c r="T311" s="67" t="s">
        <v>96</v>
      </c>
      <c r="U311" s="60" t="s">
        <v>96</v>
      </c>
      <c r="V311" s="60" t="s">
        <v>96</v>
      </c>
      <c r="W311" s="60" t="str" cm="1">
        <f t="array" ref="W311">_xlfn.LET(_xlpm.resultados,_xlfn.UNIQUE(_xlfn._xlws.FILTER(Tabla1[Proceso],(Tabla1[Metal Base]=Q311)*(Tabla1[Etiquetas]=_xlfn.TEXTJOIN(" + ",TRUE,IF((TRIM(Upload!R311:V311)="")+(LOWER(TRIM(Upload!R311:V311))="(seleccione)"),"",PROPER(TRIM(Upload!R311:V311)))))*(Tabla1[Línea2]=IFERROR(VLOOKUP(Upload!P311&amp;"*",CAT_Procesos!D:D,1,FALSE),"")))),_xlpm.cantidad,ROWS(_xlpm.resultados),IF(ISERROR(_xlpm.cantidad),"Combinación no existente",IF(_xlpm.cantidad=1,INDEX(_xlpm.resultados,1),"(seleccione)")))</f>
        <v>Combinación no existente</v>
      </c>
      <c r="X311" s="67" t="s">
        <v>96</v>
      </c>
      <c r="Y311" s="64"/>
      <c r="Z311" s="64"/>
      <c r="AA311" s="64"/>
      <c r="AB311" s="133" t="s">
        <v>96</v>
      </c>
      <c r="AC311" s="64"/>
      <c r="AD311" s="64"/>
      <c r="AE311" s="64"/>
      <c r="AF311" s="60" t="s">
        <v>96</v>
      </c>
      <c r="AG311" s="64"/>
      <c r="AH311" s="64"/>
      <c r="AI311" s="64"/>
      <c r="AJ311" s="68" t="s">
        <v>96</v>
      </c>
      <c r="AK311" s="69" t="str">
        <f t="shared" si="8"/>
        <v/>
      </c>
      <c r="AL311" s="70" t="s">
        <v>96</v>
      </c>
      <c r="AM311" s="69" t="str">
        <f t="shared" si="9"/>
        <v/>
      </c>
      <c r="AN311" s="71"/>
      <c r="AO311" s="71"/>
      <c r="AP311" s="71"/>
      <c r="AQ311" s="71"/>
      <c r="AR311" s="71" t="s">
        <v>96</v>
      </c>
      <c r="AS311" s="71"/>
      <c r="AT311" s="71" t="s">
        <v>96</v>
      </c>
      <c r="AU311" s="71"/>
      <c r="AV311" s="71" t="s">
        <v>95</v>
      </c>
      <c r="AW311" s="71"/>
      <c r="AX311" s="71"/>
      <c r="AY311" s="71"/>
      <c r="AZ311" s="71"/>
      <c r="BA311" s="71"/>
      <c r="BB311" s="70" t="s">
        <v>218</v>
      </c>
      <c r="BC311" s="70" t="s">
        <v>98</v>
      </c>
      <c r="BD311" s="72" t="str">
        <f>IF('Cálculo MP'!K321="","",'Cálculo MP'!K321)</f>
        <v/>
      </c>
      <c r="BE311" s="72" t="str">
        <f>IF('Cálculo MP'!L321="","",'Cálculo MP'!L321)</f>
        <v/>
      </c>
      <c r="BF311" s="72" t="str">
        <f>IF('Cálculo MP'!M321="","",'Cálculo MP'!M321)</f>
        <v/>
      </c>
      <c r="BG311" s="72" t="str">
        <f>IF('Cálculo MP'!N321="","",'Cálculo MP'!N321)</f>
        <v/>
      </c>
      <c r="BH311" s="72" t="str">
        <f>IF('Cálculo MP'!O321="","",'Cálculo MP'!O321)</f>
        <v/>
      </c>
      <c r="BI311" s="72" t="str">
        <f>IF('Cálculo MP'!P321="","",'Cálculo MP'!P321)</f>
        <v/>
      </c>
      <c r="BJ311" s="72" t="str">
        <f>IF('Cálculo MP'!Q321="","",'Cálculo MP'!Q321)</f>
        <v/>
      </c>
      <c r="BK311" s="72" t="str">
        <f>IF('Cálculo MP'!R321="","",'Cálculo MP'!R321)</f>
        <v/>
      </c>
      <c r="BL311" s="72" t="str">
        <f>IF('Cálculo MP'!S321="","",'Cálculo MP'!S321)</f>
        <v/>
      </c>
      <c r="BM311" s="71"/>
      <c r="BN311" s="71"/>
      <c r="BO311" s="71"/>
      <c r="BP311" s="71"/>
      <c r="BQ311" s="71"/>
      <c r="BR311" s="71"/>
      <c r="BS311" s="71"/>
    </row>
    <row r="312" spans="1:71" ht="19.5" customHeight="1" x14ac:dyDescent="0.15">
      <c r="A312" s="56" t="s">
        <v>985</v>
      </c>
      <c r="B312" s="57" t="s">
        <v>986</v>
      </c>
      <c r="C312" s="58" t="s">
        <v>985</v>
      </c>
      <c r="D312" s="59" t="s">
        <v>985</v>
      </c>
      <c r="E312" s="61"/>
      <c r="F312" s="60" t="s">
        <v>95</v>
      </c>
      <c r="G312" s="61"/>
      <c r="H312" s="62"/>
      <c r="I312" s="75"/>
      <c r="J312" s="60" t="s">
        <v>95</v>
      </c>
      <c r="K312" s="64"/>
      <c r="L312" s="64"/>
      <c r="M312" s="64" t="s">
        <v>96</v>
      </c>
      <c r="N312" s="64" t="s">
        <v>97</v>
      </c>
      <c r="O312" s="65" t="s">
        <v>986</v>
      </c>
      <c r="P312" s="70" t="s">
        <v>96</v>
      </c>
      <c r="Q312" s="60" t="s">
        <v>95</v>
      </c>
      <c r="R312" s="60" t="s">
        <v>96</v>
      </c>
      <c r="S312" s="66" t="s">
        <v>96</v>
      </c>
      <c r="T312" s="67" t="s">
        <v>96</v>
      </c>
      <c r="U312" s="60" t="s">
        <v>96</v>
      </c>
      <c r="V312" s="60" t="s">
        <v>96</v>
      </c>
      <c r="W312" s="60" t="str" cm="1">
        <f t="array" ref="W312">_xlfn.LET(_xlpm.resultados,_xlfn.UNIQUE(_xlfn._xlws.FILTER(Tabla1[Proceso],(Tabla1[Metal Base]=Q312)*(Tabla1[Etiquetas]=_xlfn.TEXTJOIN(" + ",TRUE,IF((TRIM(Upload!R312:V312)="")+(LOWER(TRIM(Upload!R312:V312))="(seleccione)"),"",PROPER(TRIM(Upload!R312:V312)))))*(Tabla1[Línea2]=IFERROR(VLOOKUP(Upload!P312&amp;"*",CAT_Procesos!D:D,1,FALSE),"")))),_xlpm.cantidad,ROWS(_xlpm.resultados),IF(ISERROR(_xlpm.cantidad),"Combinación no existente",IF(_xlpm.cantidad=1,INDEX(_xlpm.resultados,1),"(seleccione)")))</f>
        <v>Combinación no existente</v>
      </c>
      <c r="X312" s="67" t="s">
        <v>96</v>
      </c>
      <c r="Y312" s="64"/>
      <c r="Z312" s="64"/>
      <c r="AA312" s="64"/>
      <c r="AB312" s="133" t="s">
        <v>96</v>
      </c>
      <c r="AC312" s="64"/>
      <c r="AD312" s="64"/>
      <c r="AE312" s="64"/>
      <c r="AF312" s="60" t="s">
        <v>96</v>
      </c>
      <c r="AG312" s="64"/>
      <c r="AH312" s="64"/>
      <c r="AI312" s="64"/>
      <c r="AJ312" s="68" t="s">
        <v>96</v>
      </c>
      <c r="AK312" s="69" t="str">
        <f t="shared" si="8"/>
        <v/>
      </c>
      <c r="AL312" s="70" t="s">
        <v>96</v>
      </c>
      <c r="AM312" s="69" t="str">
        <f t="shared" si="9"/>
        <v/>
      </c>
      <c r="AN312" s="71"/>
      <c r="AO312" s="71"/>
      <c r="AP312" s="71"/>
      <c r="AQ312" s="71"/>
      <c r="AR312" s="71" t="s">
        <v>96</v>
      </c>
      <c r="AS312" s="71"/>
      <c r="AT312" s="71" t="s">
        <v>96</v>
      </c>
      <c r="AU312" s="71"/>
      <c r="AV312" s="71" t="s">
        <v>95</v>
      </c>
      <c r="AW312" s="71"/>
      <c r="AX312" s="71"/>
      <c r="AY312" s="71"/>
      <c r="AZ312" s="71"/>
      <c r="BA312" s="71"/>
      <c r="BB312" s="70" t="s">
        <v>218</v>
      </c>
      <c r="BC312" s="70" t="s">
        <v>98</v>
      </c>
      <c r="BD312" s="72" t="str">
        <f>IF('Cálculo MP'!K322="","",'Cálculo MP'!K322)</f>
        <v/>
      </c>
      <c r="BE312" s="72" t="str">
        <f>IF('Cálculo MP'!L322="","",'Cálculo MP'!L322)</f>
        <v/>
      </c>
      <c r="BF312" s="72" t="str">
        <f>IF('Cálculo MP'!M322="","",'Cálculo MP'!M322)</f>
        <v/>
      </c>
      <c r="BG312" s="72" t="str">
        <f>IF('Cálculo MP'!N322="","",'Cálculo MP'!N322)</f>
        <v/>
      </c>
      <c r="BH312" s="72" t="str">
        <f>IF('Cálculo MP'!O322="","",'Cálculo MP'!O322)</f>
        <v/>
      </c>
      <c r="BI312" s="72" t="str">
        <f>IF('Cálculo MP'!P322="","",'Cálculo MP'!P322)</f>
        <v/>
      </c>
      <c r="BJ312" s="72" t="str">
        <f>IF('Cálculo MP'!Q322="","",'Cálculo MP'!Q322)</f>
        <v/>
      </c>
      <c r="BK312" s="72" t="str">
        <f>IF('Cálculo MP'!R322="","",'Cálculo MP'!R322)</f>
        <v/>
      </c>
      <c r="BL312" s="72" t="str">
        <f>IF('Cálculo MP'!S322="","",'Cálculo MP'!S322)</f>
        <v/>
      </c>
      <c r="BM312" s="71"/>
      <c r="BN312" s="71"/>
      <c r="BO312" s="71"/>
      <c r="BP312" s="71"/>
      <c r="BQ312" s="71"/>
      <c r="BR312" s="71"/>
      <c r="BS312" s="71"/>
    </row>
    <row r="313" spans="1:71" ht="19.5" customHeight="1" x14ac:dyDescent="0.15">
      <c r="A313" s="56" t="s">
        <v>985</v>
      </c>
      <c r="B313" s="57" t="s">
        <v>986</v>
      </c>
      <c r="C313" s="58" t="s">
        <v>985</v>
      </c>
      <c r="D313" s="59" t="s">
        <v>985</v>
      </c>
      <c r="E313" s="61"/>
      <c r="F313" s="60" t="s">
        <v>95</v>
      </c>
      <c r="G313" s="61"/>
      <c r="H313" s="62"/>
      <c r="I313" s="75"/>
      <c r="J313" s="60" t="s">
        <v>95</v>
      </c>
      <c r="K313" s="64"/>
      <c r="L313" s="64"/>
      <c r="M313" s="64" t="s">
        <v>96</v>
      </c>
      <c r="N313" s="64" t="s">
        <v>97</v>
      </c>
      <c r="O313" s="65" t="s">
        <v>986</v>
      </c>
      <c r="P313" s="70" t="s">
        <v>96</v>
      </c>
      <c r="Q313" s="60" t="s">
        <v>95</v>
      </c>
      <c r="R313" s="60" t="s">
        <v>96</v>
      </c>
      <c r="S313" s="66" t="s">
        <v>96</v>
      </c>
      <c r="T313" s="67" t="s">
        <v>96</v>
      </c>
      <c r="U313" s="60" t="s">
        <v>96</v>
      </c>
      <c r="V313" s="60" t="s">
        <v>96</v>
      </c>
      <c r="W313" s="60" t="str" cm="1">
        <f t="array" ref="W313">_xlfn.LET(_xlpm.resultados,_xlfn.UNIQUE(_xlfn._xlws.FILTER(Tabla1[Proceso],(Tabla1[Metal Base]=Q313)*(Tabla1[Etiquetas]=_xlfn.TEXTJOIN(" + ",TRUE,IF((TRIM(Upload!R313:V313)="")+(LOWER(TRIM(Upload!R313:V313))="(seleccione)"),"",PROPER(TRIM(Upload!R313:V313)))))*(Tabla1[Línea2]=IFERROR(VLOOKUP(Upload!P313&amp;"*",CAT_Procesos!D:D,1,FALSE),"")))),_xlpm.cantidad,ROWS(_xlpm.resultados),IF(ISERROR(_xlpm.cantidad),"Combinación no existente",IF(_xlpm.cantidad=1,INDEX(_xlpm.resultados,1),"(seleccione)")))</f>
        <v>Combinación no existente</v>
      </c>
      <c r="X313" s="67" t="s">
        <v>96</v>
      </c>
      <c r="Y313" s="64"/>
      <c r="Z313" s="64"/>
      <c r="AA313" s="64"/>
      <c r="AB313" s="133" t="s">
        <v>96</v>
      </c>
      <c r="AC313" s="64"/>
      <c r="AD313" s="64"/>
      <c r="AE313" s="64"/>
      <c r="AF313" s="60" t="s">
        <v>96</v>
      </c>
      <c r="AG313" s="64"/>
      <c r="AH313" s="64"/>
      <c r="AI313" s="64"/>
      <c r="AJ313" s="68" t="s">
        <v>96</v>
      </c>
      <c r="AK313" s="69" t="str">
        <f t="shared" si="8"/>
        <v/>
      </c>
      <c r="AL313" s="70" t="s">
        <v>96</v>
      </c>
      <c r="AM313" s="69" t="str">
        <f t="shared" si="9"/>
        <v/>
      </c>
      <c r="AN313" s="71"/>
      <c r="AO313" s="71"/>
      <c r="AP313" s="71"/>
      <c r="AQ313" s="71"/>
      <c r="AR313" s="71" t="s">
        <v>96</v>
      </c>
      <c r="AS313" s="71"/>
      <c r="AT313" s="71" t="s">
        <v>96</v>
      </c>
      <c r="AU313" s="71"/>
      <c r="AV313" s="71" t="s">
        <v>95</v>
      </c>
      <c r="AW313" s="71"/>
      <c r="AX313" s="71"/>
      <c r="AY313" s="71"/>
      <c r="AZ313" s="71"/>
      <c r="BA313" s="71"/>
      <c r="BB313" s="70" t="s">
        <v>218</v>
      </c>
      <c r="BC313" s="70" t="s">
        <v>98</v>
      </c>
      <c r="BD313" s="72" t="str">
        <f>IF('Cálculo MP'!K323="","",'Cálculo MP'!K323)</f>
        <v/>
      </c>
      <c r="BE313" s="72" t="str">
        <f>IF('Cálculo MP'!L323="","",'Cálculo MP'!L323)</f>
        <v/>
      </c>
      <c r="BF313" s="72" t="str">
        <f>IF('Cálculo MP'!M323="","",'Cálculo MP'!M323)</f>
        <v/>
      </c>
      <c r="BG313" s="72" t="str">
        <f>IF('Cálculo MP'!N323="","",'Cálculo MP'!N323)</f>
        <v/>
      </c>
      <c r="BH313" s="72" t="str">
        <f>IF('Cálculo MP'!O323="","",'Cálculo MP'!O323)</f>
        <v/>
      </c>
      <c r="BI313" s="72" t="str">
        <f>IF('Cálculo MP'!P323="","",'Cálculo MP'!P323)</f>
        <v/>
      </c>
      <c r="BJ313" s="72" t="str">
        <f>IF('Cálculo MP'!Q323="","",'Cálculo MP'!Q323)</f>
        <v/>
      </c>
      <c r="BK313" s="72" t="str">
        <f>IF('Cálculo MP'!R323="","",'Cálculo MP'!R323)</f>
        <v/>
      </c>
      <c r="BL313" s="72" t="str">
        <f>IF('Cálculo MP'!S323="","",'Cálculo MP'!S323)</f>
        <v/>
      </c>
      <c r="BM313" s="71"/>
      <c r="BN313" s="71"/>
      <c r="BO313" s="71"/>
      <c r="BP313" s="71"/>
      <c r="BQ313" s="71"/>
      <c r="BR313" s="71"/>
      <c r="BS313" s="71"/>
    </row>
    <row r="314" spans="1:71" ht="19.5" customHeight="1" x14ac:dyDescent="0.15">
      <c r="A314" s="56" t="s">
        <v>985</v>
      </c>
      <c r="B314" s="57" t="s">
        <v>986</v>
      </c>
      <c r="C314" s="58" t="s">
        <v>985</v>
      </c>
      <c r="D314" s="59" t="s">
        <v>985</v>
      </c>
      <c r="E314" s="61"/>
      <c r="F314" s="60" t="s">
        <v>95</v>
      </c>
      <c r="G314" s="61"/>
      <c r="H314" s="62"/>
      <c r="I314" s="75"/>
      <c r="J314" s="60" t="s">
        <v>95</v>
      </c>
      <c r="K314" s="64"/>
      <c r="L314" s="64"/>
      <c r="M314" s="64" t="s">
        <v>96</v>
      </c>
      <c r="N314" s="64" t="s">
        <v>97</v>
      </c>
      <c r="O314" s="65" t="s">
        <v>986</v>
      </c>
      <c r="P314" s="70" t="s">
        <v>96</v>
      </c>
      <c r="Q314" s="60" t="s">
        <v>95</v>
      </c>
      <c r="R314" s="60" t="s">
        <v>96</v>
      </c>
      <c r="S314" s="66" t="s">
        <v>96</v>
      </c>
      <c r="T314" s="67" t="s">
        <v>96</v>
      </c>
      <c r="U314" s="60" t="s">
        <v>96</v>
      </c>
      <c r="V314" s="60" t="s">
        <v>96</v>
      </c>
      <c r="W314" s="60" t="str" cm="1">
        <f t="array" ref="W314">_xlfn.LET(_xlpm.resultados,_xlfn.UNIQUE(_xlfn._xlws.FILTER(Tabla1[Proceso],(Tabla1[Metal Base]=Q314)*(Tabla1[Etiquetas]=_xlfn.TEXTJOIN(" + ",TRUE,IF((TRIM(Upload!R314:V314)="")+(LOWER(TRIM(Upload!R314:V314))="(seleccione)"),"",PROPER(TRIM(Upload!R314:V314)))))*(Tabla1[Línea2]=IFERROR(VLOOKUP(Upload!P314&amp;"*",CAT_Procesos!D:D,1,FALSE),"")))),_xlpm.cantidad,ROWS(_xlpm.resultados),IF(ISERROR(_xlpm.cantidad),"Combinación no existente",IF(_xlpm.cantidad=1,INDEX(_xlpm.resultados,1),"(seleccione)")))</f>
        <v>Combinación no existente</v>
      </c>
      <c r="X314" s="67" t="s">
        <v>96</v>
      </c>
      <c r="Y314" s="64"/>
      <c r="Z314" s="64"/>
      <c r="AA314" s="64"/>
      <c r="AB314" s="133" t="s">
        <v>96</v>
      </c>
      <c r="AC314" s="64"/>
      <c r="AD314" s="64"/>
      <c r="AE314" s="64"/>
      <c r="AF314" s="60" t="s">
        <v>96</v>
      </c>
      <c r="AG314" s="64"/>
      <c r="AH314" s="64"/>
      <c r="AI314" s="64"/>
      <c r="AJ314" s="68" t="s">
        <v>96</v>
      </c>
      <c r="AK314" s="69" t="str">
        <f t="shared" si="8"/>
        <v/>
      </c>
      <c r="AL314" s="70" t="s">
        <v>96</v>
      </c>
      <c r="AM314" s="69" t="str">
        <f t="shared" si="9"/>
        <v/>
      </c>
      <c r="AN314" s="71"/>
      <c r="AO314" s="71"/>
      <c r="AP314" s="71"/>
      <c r="AQ314" s="71"/>
      <c r="AR314" s="71" t="s">
        <v>96</v>
      </c>
      <c r="AS314" s="71"/>
      <c r="AT314" s="71" t="s">
        <v>96</v>
      </c>
      <c r="AU314" s="71"/>
      <c r="AV314" s="71" t="s">
        <v>95</v>
      </c>
      <c r="AW314" s="71"/>
      <c r="AX314" s="71"/>
      <c r="AY314" s="71"/>
      <c r="AZ314" s="71"/>
      <c r="BA314" s="71"/>
      <c r="BB314" s="70" t="s">
        <v>218</v>
      </c>
      <c r="BC314" s="70" t="s">
        <v>98</v>
      </c>
      <c r="BD314" s="72" t="str">
        <f>IF('Cálculo MP'!K324="","",'Cálculo MP'!K324)</f>
        <v/>
      </c>
      <c r="BE314" s="72" t="str">
        <f>IF('Cálculo MP'!L324="","",'Cálculo MP'!L324)</f>
        <v/>
      </c>
      <c r="BF314" s="72" t="str">
        <f>IF('Cálculo MP'!M324="","",'Cálculo MP'!M324)</f>
        <v/>
      </c>
      <c r="BG314" s="72" t="str">
        <f>IF('Cálculo MP'!N324="","",'Cálculo MP'!N324)</f>
        <v/>
      </c>
      <c r="BH314" s="72" t="str">
        <f>IF('Cálculo MP'!O324="","",'Cálculo MP'!O324)</f>
        <v/>
      </c>
      <c r="BI314" s="72" t="str">
        <f>IF('Cálculo MP'!P324="","",'Cálculo MP'!P324)</f>
        <v/>
      </c>
      <c r="BJ314" s="72" t="str">
        <f>IF('Cálculo MP'!Q324="","",'Cálculo MP'!Q324)</f>
        <v/>
      </c>
      <c r="BK314" s="72" t="str">
        <f>IF('Cálculo MP'!R324="","",'Cálculo MP'!R324)</f>
        <v/>
      </c>
      <c r="BL314" s="72" t="str">
        <f>IF('Cálculo MP'!S324="","",'Cálculo MP'!S324)</f>
        <v/>
      </c>
      <c r="BM314" s="71"/>
      <c r="BN314" s="71"/>
      <c r="BO314" s="71"/>
      <c r="BP314" s="71"/>
      <c r="BQ314" s="71"/>
      <c r="BR314" s="71"/>
      <c r="BS314" s="71"/>
    </row>
    <row r="315" spans="1:71" ht="19.5" customHeight="1" x14ac:dyDescent="0.15">
      <c r="A315" s="56" t="s">
        <v>985</v>
      </c>
      <c r="B315" s="57" t="s">
        <v>986</v>
      </c>
      <c r="C315" s="58" t="s">
        <v>985</v>
      </c>
      <c r="D315" s="59" t="s">
        <v>985</v>
      </c>
      <c r="E315" s="61"/>
      <c r="F315" s="60" t="s">
        <v>95</v>
      </c>
      <c r="G315" s="61"/>
      <c r="H315" s="62"/>
      <c r="I315" s="75"/>
      <c r="J315" s="60" t="s">
        <v>95</v>
      </c>
      <c r="K315" s="64"/>
      <c r="L315" s="64"/>
      <c r="M315" s="64" t="s">
        <v>96</v>
      </c>
      <c r="N315" s="64" t="s">
        <v>97</v>
      </c>
      <c r="O315" s="65" t="s">
        <v>986</v>
      </c>
      <c r="P315" s="70" t="s">
        <v>96</v>
      </c>
      <c r="Q315" s="60" t="s">
        <v>95</v>
      </c>
      <c r="R315" s="60" t="s">
        <v>96</v>
      </c>
      <c r="S315" s="66" t="s">
        <v>96</v>
      </c>
      <c r="T315" s="67" t="s">
        <v>96</v>
      </c>
      <c r="U315" s="60" t="s">
        <v>96</v>
      </c>
      <c r="V315" s="60" t="s">
        <v>96</v>
      </c>
      <c r="W315" s="60" t="str" cm="1">
        <f t="array" ref="W315">_xlfn.LET(_xlpm.resultados,_xlfn.UNIQUE(_xlfn._xlws.FILTER(Tabla1[Proceso],(Tabla1[Metal Base]=Q315)*(Tabla1[Etiquetas]=_xlfn.TEXTJOIN(" + ",TRUE,IF((TRIM(Upload!R315:V315)="")+(LOWER(TRIM(Upload!R315:V315))="(seleccione)"),"",PROPER(TRIM(Upload!R315:V315)))))*(Tabla1[Línea2]=IFERROR(VLOOKUP(Upload!P315&amp;"*",CAT_Procesos!D:D,1,FALSE),"")))),_xlpm.cantidad,ROWS(_xlpm.resultados),IF(ISERROR(_xlpm.cantidad),"Combinación no existente",IF(_xlpm.cantidad=1,INDEX(_xlpm.resultados,1),"(seleccione)")))</f>
        <v>Combinación no existente</v>
      </c>
      <c r="X315" s="67" t="s">
        <v>96</v>
      </c>
      <c r="Y315" s="64"/>
      <c r="Z315" s="64"/>
      <c r="AA315" s="64"/>
      <c r="AB315" s="133" t="s">
        <v>96</v>
      </c>
      <c r="AC315" s="64"/>
      <c r="AD315" s="64"/>
      <c r="AE315" s="64"/>
      <c r="AF315" s="60" t="s">
        <v>96</v>
      </c>
      <c r="AG315" s="64"/>
      <c r="AH315" s="64"/>
      <c r="AI315" s="64"/>
      <c r="AJ315" s="68" t="s">
        <v>96</v>
      </c>
      <c r="AK315" s="69" t="str">
        <f t="shared" si="8"/>
        <v/>
      </c>
      <c r="AL315" s="70" t="s">
        <v>96</v>
      </c>
      <c r="AM315" s="69" t="str">
        <f t="shared" si="9"/>
        <v/>
      </c>
      <c r="AN315" s="71"/>
      <c r="AO315" s="71"/>
      <c r="AP315" s="71"/>
      <c r="AQ315" s="71"/>
      <c r="AR315" s="71" t="s">
        <v>96</v>
      </c>
      <c r="AS315" s="71"/>
      <c r="AT315" s="71" t="s">
        <v>96</v>
      </c>
      <c r="AU315" s="71"/>
      <c r="AV315" s="71" t="s">
        <v>95</v>
      </c>
      <c r="AW315" s="71"/>
      <c r="AX315" s="71"/>
      <c r="AY315" s="71"/>
      <c r="AZ315" s="71"/>
      <c r="BA315" s="71"/>
      <c r="BB315" s="70" t="s">
        <v>218</v>
      </c>
      <c r="BC315" s="70" t="s">
        <v>98</v>
      </c>
      <c r="BD315" s="72" t="str">
        <f>IF('Cálculo MP'!K325="","",'Cálculo MP'!K325)</f>
        <v/>
      </c>
      <c r="BE315" s="72" t="str">
        <f>IF('Cálculo MP'!L325="","",'Cálculo MP'!L325)</f>
        <v/>
      </c>
      <c r="BF315" s="72" t="str">
        <f>IF('Cálculo MP'!M325="","",'Cálculo MP'!M325)</f>
        <v/>
      </c>
      <c r="BG315" s="72" t="str">
        <f>IF('Cálculo MP'!N325="","",'Cálculo MP'!N325)</f>
        <v/>
      </c>
      <c r="BH315" s="72" t="str">
        <f>IF('Cálculo MP'!O325="","",'Cálculo MP'!O325)</f>
        <v/>
      </c>
      <c r="BI315" s="72" t="str">
        <f>IF('Cálculo MP'!P325="","",'Cálculo MP'!P325)</f>
        <v/>
      </c>
      <c r="BJ315" s="72" t="str">
        <f>IF('Cálculo MP'!Q325="","",'Cálculo MP'!Q325)</f>
        <v/>
      </c>
      <c r="BK315" s="72" t="str">
        <f>IF('Cálculo MP'!R325="","",'Cálculo MP'!R325)</f>
        <v/>
      </c>
      <c r="BL315" s="72" t="str">
        <f>IF('Cálculo MP'!S325="","",'Cálculo MP'!S325)</f>
        <v/>
      </c>
      <c r="BM315" s="71"/>
      <c r="BN315" s="71"/>
      <c r="BO315" s="71"/>
      <c r="BP315" s="71"/>
      <c r="BQ315" s="71"/>
      <c r="BR315" s="71"/>
      <c r="BS315" s="71"/>
    </row>
    <row r="316" spans="1:71" ht="19.5" customHeight="1" x14ac:dyDescent="0.15">
      <c r="A316" s="56" t="s">
        <v>985</v>
      </c>
      <c r="B316" s="57" t="s">
        <v>986</v>
      </c>
      <c r="C316" s="58" t="s">
        <v>985</v>
      </c>
      <c r="D316" s="59" t="s">
        <v>985</v>
      </c>
      <c r="E316" s="61"/>
      <c r="F316" s="60" t="s">
        <v>95</v>
      </c>
      <c r="G316" s="61"/>
      <c r="H316" s="62"/>
      <c r="I316" s="75"/>
      <c r="J316" s="60" t="s">
        <v>95</v>
      </c>
      <c r="K316" s="64"/>
      <c r="L316" s="64"/>
      <c r="M316" s="64" t="s">
        <v>96</v>
      </c>
      <c r="N316" s="64" t="s">
        <v>97</v>
      </c>
      <c r="O316" s="65" t="s">
        <v>986</v>
      </c>
      <c r="P316" s="70" t="s">
        <v>96</v>
      </c>
      <c r="Q316" s="60" t="s">
        <v>95</v>
      </c>
      <c r="R316" s="60" t="s">
        <v>96</v>
      </c>
      <c r="S316" s="66" t="s">
        <v>96</v>
      </c>
      <c r="T316" s="67" t="s">
        <v>96</v>
      </c>
      <c r="U316" s="60" t="s">
        <v>96</v>
      </c>
      <c r="V316" s="60" t="s">
        <v>96</v>
      </c>
      <c r="W316" s="60" t="str" cm="1">
        <f t="array" ref="W316">_xlfn.LET(_xlpm.resultados,_xlfn.UNIQUE(_xlfn._xlws.FILTER(Tabla1[Proceso],(Tabla1[Metal Base]=Q316)*(Tabla1[Etiquetas]=_xlfn.TEXTJOIN(" + ",TRUE,IF((TRIM(Upload!R316:V316)="")+(LOWER(TRIM(Upload!R316:V316))="(seleccione)"),"",PROPER(TRIM(Upload!R316:V316)))))*(Tabla1[Línea2]=IFERROR(VLOOKUP(Upload!P316&amp;"*",CAT_Procesos!D:D,1,FALSE),"")))),_xlpm.cantidad,ROWS(_xlpm.resultados),IF(ISERROR(_xlpm.cantidad),"Combinación no existente",IF(_xlpm.cantidad=1,INDEX(_xlpm.resultados,1),"(seleccione)")))</f>
        <v>Combinación no existente</v>
      </c>
      <c r="X316" s="67" t="s">
        <v>96</v>
      </c>
      <c r="Y316" s="64"/>
      <c r="Z316" s="64"/>
      <c r="AA316" s="64"/>
      <c r="AB316" s="133" t="s">
        <v>96</v>
      </c>
      <c r="AC316" s="64"/>
      <c r="AD316" s="64"/>
      <c r="AE316" s="64"/>
      <c r="AF316" s="60" t="s">
        <v>96</v>
      </c>
      <c r="AG316" s="64"/>
      <c r="AH316" s="64"/>
      <c r="AI316" s="64"/>
      <c r="AJ316" s="68" t="s">
        <v>96</v>
      </c>
      <c r="AK316" s="69" t="str">
        <f t="shared" si="8"/>
        <v/>
      </c>
      <c r="AL316" s="70" t="s">
        <v>96</v>
      </c>
      <c r="AM316" s="69" t="str">
        <f t="shared" si="9"/>
        <v/>
      </c>
      <c r="AN316" s="71"/>
      <c r="AO316" s="71"/>
      <c r="AP316" s="71"/>
      <c r="AQ316" s="71"/>
      <c r="AR316" s="71" t="s">
        <v>96</v>
      </c>
      <c r="AS316" s="71"/>
      <c r="AT316" s="71" t="s">
        <v>96</v>
      </c>
      <c r="AU316" s="71"/>
      <c r="AV316" s="71" t="s">
        <v>95</v>
      </c>
      <c r="AW316" s="71"/>
      <c r="AX316" s="71"/>
      <c r="AY316" s="71"/>
      <c r="AZ316" s="71"/>
      <c r="BA316" s="71"/>
      <c r="BB316" s="70" t="s">
        <v>218</v>
      </c>
      <c r="BC316" s="70" t="s">
        <v>98</v>
      </c>
      <c r="BD316" s="72" t="str">
        <f>IF('Cálculo MP'!K326="","",'Cálculo MP'!K326)</f>
        <v/>
      </c>
      <c r="BE316" s="72" t="str">
        <f>IF('Cálculo MP'!L326="","",'Cálculo MP'!L326)</f>
        <v/>
      </c>
      <c r="BF316" s="72" t="str">
        <f>IF('Cálculo MP'!M326="","",'Cálculo MP'!M326)</f>
        <v/>
      </c>
      <c r="BG316" s="72" t="str">
        <f>IF('Cálculo MP'!N326="","",'Cálculo MP'!N326)</f>
        <v/>
      </c>
      <c r="BH316" s="72" t="str">
        <f>IF('Cálculo MP'!O326="","",'Cálculo MP'!O326)</f>
        <v/>
      </c>
      <c r="BI316" s="72" t="str">
        <f>IF('Cálculo MP'!P326="","",'Cálculo MP'!P326)</f>
        <v/>
      </c>
      <c r="BJ316" s="72" t="str">
        <f>IF('Cálculo MP'!Q326="","",'Cálculo MP'!Q326)</f>
        <v/>
      </c>
      <c r="BK316" s="72" t="str">
        <f>IF('Cálculo MP'!R326="","",'Cálculo MP'!R326)</f>
        <v/>
      </c>
      <c r="BL316" s="72" t="str">
        <f>IF('Cálculo MP'!S326="","",'Cálculo MP'!S326)</f>
        <v/>
      </c>
      <c r="BM316" s="71"/>
      <c r="BN316" s="71"/>
      <c r="BO316" s="71"/>
      <c r="BP316" s="71"/>
      <c r="BQ316" s="71"/>
      <c r="BR316" s="71"/>
      <c r="BS316" s="71"/>
    </row>
    <row r="317" spans="1:71" ht="19.5" customHeight="1" x14ac:dyDescent="0.15">
      <c r="A317" s="56" t="s">
        <v>985</v>
      </c>
      <c r="B317" s="57" t="s">
        <v>986</v>
      </c>
      <c r="C317" s="58" t="s">
        <v>985</v>
      </c>
      <c r="D317" s="59" t="s">
        <v>985</v>
      </c>
      <c r="E317" s="61"/>
      <c r="F317" s="60" t="s">
        <v>95</v>
      </c>
      <c r="G317" s="61"/>
      <c r="H317" s="62"/>
      <c r="I317" s="75"/>
      <c r="J317" s="60" t="s">
        <v>95</v>
      </c>
      <c r="K317" s="64"/>
      <c r="L317" s="64"/>
      <c r="M317" s="64" t="s">
        <v>96</v>
      </c>
      <c r="N317" s="64" t="s">
        <v>97</v>
      </c>
      <c r="O317" s="65" t="s">
        <v>986</v>
      </c>
      <c r="P317" s="70" t="s">
        <v>96</v>
      </c>
      <c r="Q317" s="60" t="s">
        <v>95</v>
      </c>
      <c r="R317" s="60" t="s">
        <v>96</v>
      </c>
      <c r="S317" s="66" t="s">
        <v>96</v>
      </c>
      <c r="T317" s="67" t="s">
        <v>96</v>
      </c>
      <c r="U317" s="60" t="s">
        <v>96</v>
      </c>
      <c r="V317" s="60" t="s">
        <v>96</v>
      </c>
      <c r="W317" s="60" t="str" cm="1">
        <f t="array" ref="W317">_xlfn.LET(_xlpm.resultados,_xlfn.UNIQUE(_xlfn._xlws.FILTER(Tabla1[Proceso],(Tabla1[Metal Base]=Q317)*(Tabla1[Etiquetas]=_xlfn.TEXTJOIN(" + ",TRUE,IF((TRIM(Upload!R317:V317)="")+(LOWER(TRIM(Upload!R317:V317))="(seleccione)"),"",PROPER(TRIM(Upload!R317:V317)))))*(Tabla1[Línea2]=IFERROR(VLOOKUP(Upload!P317&amp;"*",CAT_Procesos!D:D,1,FALSE),"")))),_xlpm.cantidad,ROWS(_xlpm.resultados),IF(ISERROR(_xlpm.cantidad),"Combinación no existente",IF(_xlpm.cantidad=1,INDEX(_xlpm.resultados,1),"(seleccione)")))</f>
        <v>Combinación no existente</v>
      </c>
      <c r="X317" s="67" t="s">
        <v>96</v>
      </c>
      <c r="Y317" s="64"/>
      <c r="Z317" s="64"/>
      <c r="AA317" s="64"/>
      <c r="AB317" s="133" t="s">
        <v>96</v>
      </c>
      <c r="AC317" s="64"/>
      <c r="AD317" s="64"/>
      <c r="AE317" s="64"/>
      <c r="AF317" s="60" t="s">
        <v>96</v>
      </c>
      <c r="AG317" s="64"/>
      <c r="AH317" s="64"/>
      <c r="AI317" s="64"/>
      <c r="AJ317" s="68" t="s">
        <v>96</v>
      </c>
      <c r="AK317" s="69" t="str">
        <f t="shared" si="8"/>
        <v/>
      </c>
      <c r="AL317" s="70" t="s">
        <v>96</v>
      </c>
      <c r="AM317" s="69" t="str">
        <f t="shared" si="9"/>
        <v/>
      </c>
      <c r="AN317" s="71"/>
      <c r="AO317" s="71"/>
      <c r="AP317" s="71"/>
      <c r="AQ317" s="71"/>
      <c r="AR317" s="71" t="s">
        <v>96</v>
      </c>
      <c r="AS317" s="71"/>
      <c r="AT317" s="71" t="s">
        <v>96</v>
      </c>
      <c r="AU317" s="71"/>
      <c r="AV317" s="71" t="s">
        <v>95</v>
      </c>
      <c r="AW317" s="71"/>
      <c r="AX317" s="71"/>
      <c r="AY317" s="71"/>
      <c r="AZ317" s="71"/>
      <c r="BA317" s="71"/>
      <c r="BB317" s="70" t="s">
        <v>218</v>
      </c>
      <c r="BC317" s="70" t="s">
        <v>98</v>
      </c>
      <c r="BD317" s="72" t="str">
        <f>IF('Cálculo MP'!K327="","",'Cálculo MP'!K327)</f>
        <v/>
      </c>
      <c r="BE317" s="72" t="str">
        <f>IF('Cálculo MP'!L327="","",'Cálculo MP'!L327)</f>
        <v/>
      </c>
      <c r="BF317" s="72" t="str">
        <f>IF('Cálculo MP'!M327="","",'Cálculo MP'!M327)</f>
        <v/>
      </c>
      <c r="BG317" s="72" t="str">
        <f>IF('Cálculo MP'!N327="","",'Cálculo MP'!N327)</f>
        <v/>
      </c>
      <c r="BH317" s="72" t="str">
        <f>IF('Cálculo MP'!O327="","",'Cálculo MP'!O327)</f>
        <v/>
      </c>
      <c r="BI317" s="72" t="str">
        <f>IF('Cálculo MP'!P327="","",'Cálculo MP'!P327)</f>
        <v/>
      </c>
      <c r="BJ317" s="72" t="str">
        <f>IF('Cálculo MP'!Q327="","",'Cálculo MP'!Q327)</f>
        <v/>
      </c>
      <c r="BK317" s="72" t="str">
        <f>IF('Cálculo MP'!R327="","",'Cálculo MP'!R327)</f>
        <v/>
      </c>
      <c r="BL317" s="72" t="str">
        <f>IF('Cálculo MP'!S327="","",'Cálculo MP'!S327)</f>
        <v/>
      </c>
      <c r="BM317" s="71"/>
      <c r="BN317" s="71"/>
      <c r="BO317" s="71"/>
      <c r="BP317" s="71"/>
      <c r="BQ317" s="71"/>
      <c r="BR317" s="71"/>
      <c r="BS317" s="71"/>
    </row>
    <row r="318" spans="1:71" ht="19.5" customHeight="1" x14ac:dyDescent="0.15">
      <c r="A318" s="56" t="s">
        <v>985</v>
      </c>
      <c r="B318" s="57" t="s">
        <v>986</v>
      </c>
      <c r="C318" s="58" t="s">
        <v>985</v>
      </c>
      <c r="D318" s="59" t="s">
        <v>985</v>
      </c>
      <c r="E318" s="61"/>
      <c r="F318" s="60" t="s">
        <v>95</v>
      </c>
      <c r="G318" s="61"/>
      <c r="H318" s="62"/>
      <c r="I318" s="75"/>
      <c r="J318" s="60" t="s">
        <v>95</v>
      </c>
      <c r="K318" s="64"/>
      <c r="L318" s="64"/>
      <c r="M318" s="64" t="s">
        <v>96</v>
      </c>
      <c r="N318" s="64" t="s">
        <v>97</v>
      </c>
      <c r="O318" s="65" t="s">
        <v>986</v>
      </c>
      <c r="P318" s="70" t="s">
        <v>96</v>
      </c>
      <c r="Q318" s="60" t="s">
        <v>95</v>
      </c>
      <c r="R318" s="60" t="s">
        <v>96</v>
      </c>
      <c r="S318" s="66" t="s">
        <v>96</v>
      </c>
      <c r="T318" s="67" t="s">
        <v>96</v>
      </c>
      <c r="U318" s="60" t="s">
        <v>96</v>
      </c>
      <c r="V318" s="60" t="s">
        <v>96</v>
      </c>
      <c r="W318" s="60" t="str" cm="1">
        <f t="array" ref="W318">_xlfn.LET(_xlpm.resultados,_xlfn.UNIQUE(_xlfn._xlws.FILTER(Tabla1[Proceso],(Tabla1[Metal Base]=Q318)*(Tabla1[Etiquetas]=_xlfn.TEXTJOIN(" + ",TRUE,IF((TRIM(Upload!R318:V318)="")+(LOWER(TRIM(Upload!R318:V318))="(seleccione)"),"",PROPER(TRIM(Upload!R318:V318)))))*(Tabla1[Línea2]=IFERROR(VLOOKUP(Upload!P318&amp;"*",CAT_Procesos!D:D,1,FALSE),"")))),_xlpm.cantidad,ROWS(_xlpm.resultados),IF(ISERROR(_xlpm.cantidad),"Combinación no existente",IF(_xlpm.cantidad=1,INDEX(_xlpm.resultados,1),"(seleccione)")))</f>
        <v>Combinación no existente</v>
      </c>
      <c r="X318" s="67" t="s">
        <v>96</v>
      </c>
      <c r="Y318" s="64"/>
      <c r="Z318" s="64"/>
      <c r="AA318" s="64"/>
      <c r="AB318" s="133" t="s">
        <v>96</v>
      </c>
      <c r="AC318" s="64"/>
      <c r="AD318" s="64"/>
      <c r="AE318" s="64"/>
      <c r="AF318" s="60" t="s">
        <v>96</v>
      </c>
      <c r="AG318" s="64"/>
      <c r="AH318" s="64"/>
      <c r="AI318" s="64"/>
      <c r="AJ318" s="68" t="s">
        <v>96</v>
      </c>
      <c r="AK318" s="69" t="str">
        <f t="shared" si="8"/>
        <v/>
      </c>
      <c r="AL318" s="70" t="s">
        <v>96</v>
      </c>
      <c r="AM318" s="69" t="str">
        <f t="shared" si="9"/>
        <v/>
      </c>
      <c r="AN318" s="71"/>
      <c r="AO318" s="71"/>
      <c r="AP318" s="71"/>
      <c r="AQ318" s="71"/>
      <c r="AR318" s="71" t="s">
        <v>96</v>
      </c>
      <c r="AS318" s="71"/>
      <c r="AT318" s="71" t="s">
        <v>96</v>
      </c>
      <c r="AU318" s="71"/>
      <c r="AV318" s="71" t="s">
        <v>95</v>
      </c>
      <c r="AW318" s="71"/>
      <c r="AX318" s="71"/>
      <c r="AY318" s="71"/>
      <c r="AZ318" s="71"/>
      <c r="BA318" s="71"/>
      <c r="BB318" s="70" t="s">
        <v>218</v>
      </c>
      <c r="BC318" s="70" t="s">
        <v>98</v>
      </c>
      <c r="BD318" s="72" t="str">
        <f>IF('Cálculo MP'!K328="","",'Cálculo MP'!K328)</f>
        <v/>
      </c>
      <c r="BE318" s="72" t="str">
        <f>IF('Cálculo MP'!L328="","",'Cálculo MP'!L328)</f>
        <v/>
      </c>
      <c r="BF318" s="72" t="str">
        <f>IF('Cálculo MP'!M328="","",'Cálculo MP'!M328)</f>
        <v/>
      </c>
      <c r="BG318" s="72" t="str">
        <f>IF('Cálculo MP'!N328="","",'Cálculo MP'!N328)</f>
        <v/>
      </c>
      <c r="BH318" s="72" t="str">
        <f>IF('Cálculo MP'!O328="","",'Cálculo MP'!O328)</f>
        <v/>
      </c>
      <c r="BI318" s="72" t="str">
        <f>IF('Cálculo MP'!P328="","",'Cálculo MP'!P328)</f>
        <v/>
      </c>
      <c r="BJ318" s="72" t="str">
        <f>IF('Cálculo MP'!Q328="","",'Cálculo MP'!Q328)</f>
        <v/>
      </c>
      <c r="BK318" s="72" t="str">
        <f>IF('Cálculo MP'!R328="","",'Cálculo MP'!R328)</f>
        <v/>
      </c>
      <c r="BL318" s="72" t="str">
        <f>IF('Cálculo MP'!S328="","",'Cálculo MP'!S328)</f>
        <v/>
      </c>
      <c r="BM318" s="71"/>
      <c r="BN318" s="71"/>
      <c r="BO318" s="71"/>
      <c r="BP318" s="71"/>
      <c r="BQ318" s="71"/>
      <c r="BR318" s="71"/>
      <c r="BS318" s="71"/>
    </row>
    <row r="319" spans="1:71" ht="19.5" customHeight="1" x14ac:dyDescent="0.15">
      <c r="A319" s="56" t="s">
        <v>985</v>
      </c>
      <c r="B319" s="57" t="s">
        <v>986</v>
      </c>
      <c r="C319" s="58" t="s">
        <v>985</v>
      </c>
      <c r="D319" s="59" t="s">
        <v>985</v>
      </c>
      <c r="E319" s="61"/>
      <c r="F319" s="60" t="s">
        <v>95</v>
      </c>
      <c r="G319" s="61"/>
      <c r="H319" s="62"/>
      <c r="I319" s="75"/>
      <c r="J319" s="60" t="s">
        <v>95</v>
      </c>
      <c r="K319" s="64"/>
      <c r="L319" s="64"/>
      <c r="M319" s="64" t="s">
        <v>96</v>
      </c>
      <c r="N319" s="64" t="s">
        <v>97</v>
      </c>
      <c r="O319" s="65" t="s">
        <v>986</v>
      </c>
      <c r="P319" s="70" t="s">
        <v>96</v>
      </c>
      <c r="Q319" s="60" t="s">
        <v>95</v>
      </c>
      <c r="R319" s="60" t="s">
        <v>96</v>
      </c>
      <c r="S319" s="66" t="s">
        <v>96</v>
      </c>
      <c r="T319" s="67" t="s">
        <v>96</v>
      </c>
      <c r="U319" s="60" t="s">
        <v>96</v>
      </c>
      <c r="V319" s="60" t="s">
        <v>96</v>
      </c>
      <c r="W319" s="60" t="str" cm="1">
        <f t="array" ref="W319">_xlfn.LET(_xlpm.resultados,_xlfn.UNIQUE(_xlfn._xlws.FILTER(Tabla1[Proceso],(Tabla1[Metal Base]=Q319)*(Tabla1[Etiquetas]=_xlfn.TEXTJOIN(" + ",TRUE,IF((TRIM(Upload!R319:V319)="")+(LOWER(TRIM(Upload!R319:V319))="(seleccione)"),"",PROPER(TRIM(Upload!R319:V319)))))*(Tabla1[Línea2]=IFERROR(VLOOKUP(Upload!P319&amp;"*",CAT_Procesos!D:D,1,FALSE),"")))),_xlpm.cantidad,ROWS(_xlpm.resultados),IF(ISERROR(_xlpm.cantidad),"Combinación no existente",IF(_xlpm.cantidad=1,INDEX(_xlpm.resultados,1),"(seleccione)")))</f>
        <v>Combinación no existente</v>
      </c>
      <c r="X319" s="67" t="s">
        <v>96</v>
      </c>
      <c r="Y319" s="64"/>
      <c r="Z319" s="64"/>
      <c r="AA319" s="64"/>
      <c r="AB319" s="133" t="s">
        <v>96</v>
      </c>
      <c r="AC319" s="64"/>
      <c r="AD319" s="64"/>
      <c r="AE319" s="64"/>
      <c r="AF319" s="60" t="s">
        <v>96</v>
      </c>
      <c r="AG319" s="64"/>
      <c r="AH319" s="64"/>
      <c r="AI319" s="64"/>
      <c r="AJ319" s="68" t="s">
        <v>96</v>
      </c>
      <c r="AK319" s="69" t="str">
        <f t="shared" si="8"/>
        <v/>
      </c>
      <c r="AL319" s="70" t="s">
        <v>96</v>
      </c>
      <c r="AM319" s="69" t="str">
        <f t="shared" si="9"/>
        <v/>
      </c>
      <c r="AN319" s="71"/>
      <c r="AO319" s="71"/>
      <c r="AP319" s="71"/>
      <c r="AQ319" s="71"/>
      <c r="AR319" s="71" t="s">
        <v>96</v>
      </c>
      <c r="AS319" s="71"/>
      <c r="AT319" s="71" t="s">
        <v>96</v>
      </c>
      <c r="AU319" s="71"/>
      <c r="AV319" s="71" t="s">
        <v>95</v>
      </c>
      <c r="AW319" s="71"/>
      <c r="AX319" s="71"/>
      <c r="AY319" s="71"/>
      <c r="AZ319" s="71"/>
      <c r="BA319" s="71"/>
      <c r="BB319" s="70" t="s">
        <v>218</v>
      </c>
      <c r="BC319" s="70" t="s">
        <v>98</v>
      </c>
      <c r="BD319" s="72" t="str">
        <f>IF('Cálculo MP'!K329="","",'Cálculo MP'!K329)</f>
        <v/>
      </c>
      <c r="BE319" s="72" t="str">
        <f>IF('Cálculo MP'!L329="","",'Cálculo MP'!L329)</f>
        <v/>
      </c>
      <c r="BF319" s="72" t="str">
        <f>IF('Cálculo MP'!M329="","",'Cálculo MP'!M329)</f>
        <v/>
      </c>
      <c r="BG319" s="72" t="str">
        <f>IF('Cálculo MP'!N329="","",'Cálculo MP'!N329)</f>
        <v/>
      </c>
      <c r="BH319" s="72" t="str">
        <f>IF('Cálculo MP'!O329="","",'Cálculo MP'!O329)</f>
        <v/>
      </c>
      <c r="BI319" s="72" t="str">
        <f>IF('Cálculo MP'!P329="","",'Cálculo MP'!P329)</f>
        <v/>
      </c>
      <c r="BJ319" s="72" t="str">
        <f>IF('Cálculo MP'!Q329="","",'Cálculo MP'!Q329)</f>
        <v/>
      </c>
      <c r="BK319" s="72" t="str">
        <f>IF('Cálculo MP'!R329="","",'Cálculo MP'!R329)</f>
        <v/>
      </c>
      <c r="BL319" s="72" t="str">
        <f>IF('Cálculo MP'!S329="","",'Cálculo MP'!S329)</f>
        <v/>
      </c>
      <c r="BM319" s="71"/>
      <c r="BN319" s="71"/>
      <c r="BO319" s="71"/>
      <c r="BP319" s="71"/>
      <c r="BQ319" s="71"/>
      <c r="BR319" s="71"/>
      <c r="BS319" s="71"/>
    </row>
    <row r="320" spans="1:71" ht="19.5" customHeight="1" x14ac:dyDescent="0.15">
      <c r="A320" s="56" t="s">
        <v>985</v>
      </c>
      <c r="B320" s="57" t="s">
        <v>986</v>
      </c>
      <c r="C320" s="58" t="s">
        <v>985</v>
      </c>
      <c r="D320" s="59" t="s">
        <v>985</v>
      </c>
      <c r="E320" s="61"/>
      <c r="F320" s="60" t="s">
        <v>95</v>
      </c>
      <c r="G320" s="61"/>
      <c r="H320" s="62"/>
      <c r="I320" s="75"/>
      <c r="J320" s="60" t="s">
        <v>95</v>
      </c>
      <c r="K320" s="64"/>
      <c r="L320" s="64"/>
      <c r="M320" s="64" t="s">
        <v>96</v>
      </c>
      <c r="N320" s="64" t="s">
        <v>97</v>
      </c>
      <c r="O320" s="65" t="s">
        <v>986</v>
      </c>
      <c r="P320" s="70" t="s">
        <v>96</v>
      </c>
      <c r="Q320" s="60" t="s">
        <v>95</v>
      </c>
      <c r="R320" s="60" t="s">
        <v>96</v>
      </c>
      <c r="S320" s="66" t="s">
        <v>96</v>
      </c>
      <c r="T320" s="67" t="s">
        <v>96</v>
      </c>
      <c r="U320" s="60" t="s">
        <v>96</v>
      </c>
      <c r="V320" s="60" t="s">
        <v>96</v>
      </c>
      <c r="W320" s="60" t="str" cm="1">
        <f t="array" ref="W320">_xlfn.LET(_xlpm.resultados,_xlfn.UNIQUE(_xlfn._xlws.FILTER(Tabla1[Proceso],(Tabla1[Metal Base]=Q320)*(Tabla1[Etiquetas]=_xlfn.TEXTJOIN(" + ",TRUE,IF((TRIM(Upload!R320:V320)="")+(LOWER(TRIM(Upload!R320:V320))="(seleccione)"),"",PROPER(TRIM(Upload!R320:V320)))))*(Tabla1[Línea2]=IFERROR(VLOOKUP(Upload!P320&amp;"*",CAT_Procesos!D:D,1,FALSE),"")))),_xlpm.cantidad,ROWS(_xlpm.resultados),IF(ISERROR(_xlpm.cantidad),"Combinación no existente",IF(_xlpm.cantidad=1,INDEX(_xlpm.resultados,1),"(seleccione)")))</f>
        <v>Combinación no existente</v>
      </c>
      <c r="X320" s="67" t="s">
        <v>96</v>
      </c>
      <c r="Y320" s="64"/>
      <c r="Z320" s="64"/>
      <c r="AA320" s="64"/>
      <c r="AB320" s="133" t="s">
        <v>96</v>
      </c>
      <c r="AC320" s="64"/>
      <c r="AD320" s="64"/>
      <c r="AE320" s="64"/>
      <c r="AF320" s="60" t="s">
        <v>96</v>
      </c>
      <c r="AG320" s="64"/>
      <c r="AH320" s="64"/>
      <c r="AI320" s="64"/>
      <c r="AJ320" s="68" t="s">
        <v>96</v>
      </c>
      <c r="AK320" s="69" t="str">
        <f t="shared" si="8"/>
        <v/>
      </c>
      <c r="AL320" s="70" t="s">
        <v>96</v>
      </c>
      <c r="AM320" s="69" t="str">
        <f t="shared" si="9"/>
        <v/>
      </c>
      <c r="AN320" s="71"/>
      <c r="AO320" s="71"/>
      <c r="AP320" s="71"/>
      <c r="AQ320" s="71"/>
      <c r="AR320" s="71" t="s">
        <v>96</v>
      </c>
      <c r="AS320" s="71"/>
      <c r="AT320" s="71" t="s">
        <v>96</v>
      </c>
      <c r="AU320" s="71"/>
      <c r="AV320" s="71" t="s">
        <v>95</v>
      </c>
      <c r="AW320" s="71"/>
      <c r="AX320" s="71"/>
      <c r="AY320" s="71"/>
      <c r="AZ320" s="71"/>
      <c r="BA320" s="71"/>
      <c r="BB320" s="70" t="s">
        <v>218</v>
      </c>
      <c r="BC320" s="70" t="s">
        <v>98</v>
      </c>
      <c r="BD320" s="72" t="str">
        <f>IF('Cálculo MP'!K330="","",'Cálculo MP'!K330)</f>
        <v/>
      </c>
      <c r="BE320" s="72" t="str">
        <f>IF('Cálculo MP'!L330="","",'Cálculo MP'!L330)</f>
        <v/>
      </c>
      <c r="BF320" s="72" t="str">
        <f>IF('Cálculo MP'!M330="","",'Cálculo MP'!M330)</f>
        <v/>
      </c>
      <c r="BG320" s="72" t="str">
        <f>IF('Cálculo MP'!N330="","",'Cálculo MP'!N330)</f>
        <v/>
      </c>
      <c r="BH320" s="72" t="str">
        <f>IF('Cálculo MP'!O330="","",'Cálculo MP'!O330)</f>
        <v/>
      </c>
      <c r="BI320" s="72" t="str">
        <f>IF('Cálculo MP'!P330="","",'Cálculo MP'!P330)</f>
        <v/>
      </c>
      <c r="BJ320" s="72" t="str">
        <f>IF('Cálculo MP'!Q330="","",'Cálculo MP'!Q330)</f>
        <v/>
      </c>
      <c r="BK320" s="72" t="str">
        <f>IF('Cálculo MP'!R330="","",'Cálculo MP'!R330)</f>
        <v/>
      </c>
      <c r="BL320" s="72" t="str">
        <f>IF('Cálculo MP'!S330="","",'Cálculo MP'!S330)</f>
        <v/>
      </c>
      <c r="BM320" s="71"/>
      <c r="BN320" s="71"/>
      <c r="BO320" s="71"/>
      <c r="BP320" s="71"/>
      <c r="BQ320" s="71"/>
      <c r="BR320" s="71"/>
      <c r="BS320" s="71"/>
    </row>
    <row r="321" spans="1:71" ht="19.5" customHeight="1" x14ac:dyDescent="0.15">
      <c r="A321" s="56" t="s">
        <v>985</v>
      </c>
      <c r="B321" s="57" t="s">
        <v>986</v>
      </c>
      <c r="C321" s="58" t="s">
        <v>985</v>
      </c>
      <c r="D321" s="59" t="s">
        <v>985</v>
      </c>
      <c r="E321" s="61"/>
      <c r="F321" s="60" t="s">
        <v>95</v>
      </c>
      <c r="G321" s="61"/>
      <c r="H321" s="62"/>
      <c r="I321" s="75"/>
      <c r="J321" s="60" t="s">
        <v>95</v>
      </c>
      <c r="K321" s="64"/>
      <c r="L321" s="64"/>
      <c r="M321" s="64" t="s">
        <v>96</v>
      </c>
      <c r="N321" s="64" t="s">
        <v>97</v>
      </c>
      <c r="O321" s="65" t="s">
        <v>986</v>
      </c>
      <c r="P321" s="70" t="s">
        <v>96</v>
      </c>
      <c r="Q321" s="60" t="s">
        <v>95</v>
      </c>
      <c r="R321" s="60" t="s">
        <v>96</v>
      </c>
      <c r="S321" s="66" t="s">
        <v>96</v>
      </c>
      <c r="T321" s="67" t="s">
        <v>96</v>
      </c>
      <c r="U321" s="60" t="s">
        <v>96</v>
      </c>
      <c r="V321" s="60" t="s">
        <v>96</v>
      </c>
      <c r="W321" s="60" t="str" cm="1">
        <f t="array" ref="W321">_xlfn.LET(_xlpm.resultados,_xlfn.UNIQUE(_xlfn._xlws.FILTER(Tabla1[Proceso],(Tabla1[Metal Base]=Q321)*(Tabla1[Etiquetas]=_xlfn.TEXTJOIN(" + ",TRUE,IF((TRIM(Upload!R321:V321)="")+(LOWER(TRIM(Upload!R321:V321))="(seleccione)"),"",PROPER(TRIM(Upload!R321:V321)))))*(Tabla1[Línea2]=IFERROR(VLOOKUP(Upload!P321&amp;"*",CAT_Procesos!D:D,1,FALSE),"")))),_xlpm.cantidad,ROWS(_xlpm.resultados),IF(ISERROR(_xlpm.cantidad),"Combinación no existente",IF(_xlpm.cantidad=1,INDEX(_xlpm.resultados,1),"(seleccione)")))</f>
        <v>Combinación no existente</v>
      </c>
      <c r="X321" s="67" t="s">
        <v>96</v>
      </c>
      <c r="Y321" s="64"/>
      <c r="Z321" s="64"/>
      <c r="AA321" s="64"/>
      <c r="AB321" s="133" t="s">
        <v>96</v>
      </c>
      <c r="AC321" s="64"/>
      <c r="AD321" s="64"/>
      <c r="AE321" s="64"/>
      <c r="AF321" s="60" t="s">
        <v>96</v>
      </c>
      <c r="AG321" s="64"/>
      <c r="AH321" s="64"/>
      <c r="AI321" s="64"/>
      <c r="AJ321" s="68" t="s">
        <v>96</v>
      </c>
      <c r="AK321" s="69" t="str">
        <f t="shared" si="8"/>
        <v/>
      </c>
      <c r="AL321" s="70" t="s">
        <v>96</v>
      </c>
      <c r="AM321" s="69" t="str">
        <f t="shared" si="9"/>
        <v/>
      </c>
      <c r="AN321" s="71"/>
      <c r="AO321" s="71"/>
      <c r="AP321" s="71"/>
      <c r="AQ321" s="71"/>
      <c r="AR321" s="71" t="s">
        <v>96</v>
      </c>
      <c r="AS321" s="71"/>
      <c r="AT321" s="71" t="s">
        <v>96</v>
      </c>
      <c r="AU321" s="71"/>
      <c r="AV321" s="71" t="s">
        <v>95</v>
      </c>
      <c r="AW321" s="71"/>
      <c r="AX321" s="71"/>
      <c r="AY321" s="71"/>
      <c r="AZ321" s="71"/>
      <c r="BA321" s="71"/>
      <c r="BB321" s="70" t="s">
        <v>218</v>
      </c>
      <c r="BC321" s="70" t="s">
        <v>98</v>
      </c>
      <c r="BD321" s="72" t="str">
        <f>IF('Cálculo MP'!K331="","",'Cálculo MP'!K331)</f>
        <v/>
      </c>
      <c r="BE321" s="72" t="str">
        <f>IF('Cálculo MP'!L331="","",'Cálculo MP'!L331)</f>
        <v/>
      </c>
      <c r="BF321" s="72" t="str">
        <f>IF('Cálculo MP'!M331="","",'Cálculo MP'!M331)</f>
        <v/>
      </c>
      <c r="BG321" s="72" t="str">
        <f>IF('Cálculo MP'!N331="","",'Cálculo MP'!N331)</f>
        <v/>
      </c>
      <c r="BH321" s="72" t="str">
        <f>IF('Cálculo MP'!O331="","",'Cálculo MP'!O331)</f>
        <v/>
      </c>
      <c r="BI321" s="72" t="str">
        <f>IF('Cálculo MP'!P331="","",'Cálculo MP'!P331)</f>
        <v/>
      </c>
      <c r="BJ321" s="72" t="str">
        <f>IF('Cálculo MP'!Q331="","",'Cálculo MP'!Q331)</f>
        <v/>
      </c>
      <c r="BK321" s="72" t="str">
        <f>IF('Cálculo MP'!R331="","",'Cálculo MP'!R331)</f>
        <v/>
      </c>
      <c r="BL321" s="72" t="str">
        <f>IF('Cálculo MP'!S331="","",'Cálculo MP'!S331)</f>
        <v/>
      </c>
      <c r="BM321" s="71"/>
      <c r="BN321" s="71"/>
      <c r="BO321" s="71"/>
      <c r="BP321" s="71"/>
      <c r="BQ321" s="71"/>
      <c r="BR321" s="71"/>
      <c r="BS321" s="71"/>
    </row>
    <row r="322" spans="1:71" ht="19.5" customHeight="1" x14ac:dyDescent="0.15">
      <c r="A322" s="56" t="s">
        <v>985</v>
      </c>
      <c r="B322" s="57" t="s">
        <v>986</v>
      </c>
      <c r="C322" s="58" t="s">
        <v>985</v>
      </c>
      <c r="D322" s="59" t="s">
        <v>985</v>
      </c>
      <c r="E322" s="61"/>
      <c r="F322" s="60" t="s">
        <v>95</v>
      </c>
      <c r="G322" s="61"/>
      <c r="H322" s="62"/>
      <c r="I322" s="75"/>
      <c r="J322" s="60" t="s">
        <v>95</v>
      </c>
      <c r="K322" s="64"/>
      <c r="L322" s="64"/>
      <c r="M322" s="64" t="s">
        <v>96</v>
      </c>
      <c r="N322" s="64" t="s">
        <v>97</v>
      </c>
      <c r="O322" s="65" t="s">
        <v>986</v>
      </c>
      <c r="P322" s="70" t="s">
        <v>96</v>
      </c>
      <c r="Q322" s="60" t="s">
        <v>95</v>
      </c>
      <c r="R322" s="60" t="s">
        <v>96</v>
      </c>
      <c r="S322" s="66" t="s">
        <v>96</v>
      </c>
      <c r="T322" s="67" t="s">
        <v>96</v>
      </c>
      <c r="U322" s="60" t="s">
        <v>96</v>
      </c>
      <c r="V322" s="60" t="s">
        <v>96</v>
      </c>
      <c r="W322" s="60" t="str" cm="1">
        <f t="array" ref="W322">_xlfn.LET(_xlpm.resultados,_xlfn.UNIQUE(_xlfn._xlws.FILTER(Tabla1[Proceso],(Tabla1[Metal Base]=Q322)*(Tabla1[Etiquetas]=_xlfn.TEXTJOIN(" + ",TRUE,IF((TRIM(Upload!R322:V322)="")+(LOWER(TRIM(Upload!R322:V322))="(seleccione)"),"",PROPER(TRIM(Upload!R322:V322)))))*(Tabla1[Línea2]=IFERROR(VLOOKUP(Upload!P322&amp;"*",CAT_Procesos!D:D,1,FALSE),"")))),_xlpm.cantidad,ROWS(_xlpm.resultados),IF(ISERROR(_xlpm.cantidad),"Combinación no existente",IF(_xlpm.cantidad=1,INDEX(_xlpm.resultados,1),"(seleccione)")))</f>
        <v>Combinación no existente</v>
      </c>
      <c r="X322" s="67" t="s">
        <v>96</v>
      </c>
      <c r="Y322" s="64"/>
      <c r="Z322" s="64"/>
      <c r="AA322" s="64"/>
      <c r="AB322" s="133" t="s">
        <v>96</v>
      </c>
      <c r="AC322" s="64"/>
      <c r="AD322" s="64"/>
      <c r="AE322" s="64"/>
      <c r="AF322" s="60" t="s">
        <v>96</v>
      </c>
      <c r="AG322" s="64"/>
      <c r="AH322" s="64"/>
      <c r="AI322" s="64"/>
      <c r="AJ322" s="68" t="s">
        <v>96</v>
      </c>
      <c r="AK322" s="69" t="str">
        <f t="shared" si="8"/>
        <v/>
      </c>
      <c r="AL322" s="70" t="s">
        <v>96</v>
      </c>
      <c r="AM322" s="69" t="str">
        <f t="shared" si="9"/>
        <v/>
      </c>
      <c r="AN322" s="71"/>
      <c r="AO322" s="71"/>
      <c r="AP322" s="71"/>
      <c r="AQ322" s="71"/>
      <c r="AR322" s="71" t="s">
        <v>96</v>
      </c>
      <c r="AS322" s="71"/>
      <c r="AT322" s="71" t="s">
        <v>96</v>
      </c>
      <c r="AU322" s="71"/>
      <c r="AV322" s="71" t="s">
        <v>95</v>
      </c>
      <c r="AW322" s="71"/>
      <c r="AX322" s="71"/>
      <c r="AY322" s="71"/>
      <c r="AZ322" s="71"/>
      <c r="BA322" s="71"/>
      <c r="BB322" s="70" t="s">
        <v>218</v>
      </c>
      <c r="BC322" s="70" t="s">
        <v>98</v>
      </c>
      <c r="BD322" s="72" t="str">
        <f>IF('Cálculo MP'!K332="","",'Cálculo MP'!K332)</f>
        <v/>
      </c>
      <c r="BE322" s="72" t="str">
        <f>IF('Cálculo MP'!L332="","",'Cálculo MP'!L332)</f>
        <v/>
      </c>
      <c r="BF322" s="72" t="str">
        <f>IF('Cálculo MP'!M332="","",'Cálculo MP'!M332)</f>
        <v/>
      </c>
      <c r="BG322" s="72" t="str">
        <f>IF('Cálculo MP'!N332="","",'Cálculo MP'!N332)</f>
        <v/>
      </c>
      <c r="BH322" s="72" t="str">
        <f>IF('Cálculo MP'!O332="","",'Cálculo MP'!O332)</f>
        <v/>
      </c>
      <c r="BI322" s="72" t="str">
        <f>IF('Cálculo MP'!P332="","",'Cálculo MP'!P332)</f>
        <v/>
      </c>
      <c r="BJ322" s="72" t="str">
        <f>IF('Cálculo MP'!Q332="","",'Cálculo MP'!Q332)</f>
        <v/>
      </c>
      <c r="BK322" s="72" t="str">
        <f>IF('Cálculo MP'!R332="","",'Cálculo MP'!R332)</f>
        <v/>
      </c>
      <c r="BL322" s="72" t="str">
        <f>IF('Cálculo MP'!S332="","",'Cálculo MP'!S332)</f>
        <v/>
      </c>
      <c r="BM322" s="71"/>
      <c r="BN322" s="71"/>
      <c r="BO322" s="71"/>
      <c r="BP322" s="71"/>
      <c r="BQ322" s="71"/>
      <c r="BR322" s="71"/>
      <c r="BS322" s="71"/>
    </row>
    <row r="323" spans="1:71" ht="19.5" customHeight="1" x14ac:dyDescent="0.15">
      <c r="A323" s="56" t="s">
        <v>985</v>
      </c>
      <c r="B323" s="57" t="s">
        <v>986</v>
      </c>
      <c r="C323" s="58" t="s">
        <v>985</v>
      </c>
      <c r="D323" s="59" t="s">
        <v>985</v>
      </c>
      <c r="E323" s="61"/>
      <c r="F323" s="60" t="s">
        <v>95</v>
      </c>
      <c r="G323" s="61"/>
      <c r="H323" s="62"/>
      <c r="I323" s="75"/>
      <c r="J323" s="60" t="s">
        <v>95</v>
      </c>
      <c r="K323" s="64"/>
      <c r="L323" s="64"/>
      <c r="M323" s="64" t="s">
        <v>96</v>
      </c>
      <c r="N323" s="64" t="s">
        <v>97</v>
      </c>
      <c r="O323" s="65" t="s">
        <v>986</v>
      </c>
      <c r="P323" s="70" t="s">
        <v>96</v>
      </c>
      <c r="Q323" s="60" t="s">
        <v>95</v>
      </c>
      <c r="R323" s="60" t="s">
        <v>96</v>
      </c>
      <c r="S323" s="66" t="s">
        <v>96</v>
      </c>
      <c r="T323" s="67" t="s">
        <v>96</v>
      </c>
      <c r="U323" s="60" t="s">
        <v>96</v>
      </c>
      <c r="V323" s="60" t="s">
        <v>96</v>
      </c>
      <c r="W323" s="60" t="str" cm="1">
        <f t="array" ref="W323">_xlfn.LET(_xlpm.resultados,_xlfn.UNIQUE(_xlfn._xlws.FILTER(Tabla1[Proceso],(Tabla1[Metal Base]=Q323)*(Tabla1[Etiquetas]=_xlfn.TEXTJOIN(" + ",TRUE,IF((TRIM(Upload!R323:V323)="")+(LOWER(TRIM(Upload!R323:V323))="(seleccione)"),"",PROPER(TRIM(Upload!R323:V323)))))*(Tabla1[Línea2]=IFERROR(VLOOKUP(Upload!P323&amp;"*",CAT_Procesos!D:D,1,FALSE),"")))),_xlpm.cantidad,ROWS(_xlpm.resultados),IF(ISERROR(_xlpm.cantidad),"Combinación no existente",IF(_xlpm.cantidad=1,INDEX(_xlpm.resultados,1),"(seleccione)")))</f>
        <v>Combinación no existente</v>
      </c>
      <c r="X323" s="67" t="s">
        <v>96</v>
      </c>
      <c r="Y323" s="64"/>
      <c r="Z323" s="64"/>
      <c r="AA323" s="64"/>
      <c r="AB323" s="133" t="s">
        <v>96</v>
      </c>
      <c r="AC323" s="64"/>
      <c r="AD323" s="64"/>
      <c r="AE323" s="64"/>
      <c r="AF323" s="60" t="s">
        <v>96</v>
      </c>
      <c r="AG323" s="64"/>
      <c r="AH323" s="64"/>
      <c r="AI323" s="64"/>
      <c r="AJ323" s="68" t="s">
        <v>96</v>
      </c>
      <c r="AK323" s="69" t="str">
        <f t="shared" si="8"/>
        <v/>
      </c>
      <c r="AL323" s="70" t="s">
        <v>96</v>
      </c>
      <c r="AM323" s="69" t="str">
        <f t="shared" si="9"/>
        <v/>
      </c>
      <c r="AN323" s="71"/>
      <c r="AO323" s="71"/>
      <c r="AP323" s="71"/>
      <c r="AQ323" s="71"/>
      <c r="AR323" s="71" t="s">
        <v>96</v>
      </c>
      <c r="AS323" s="71"/>
      <c r="AT323" s="71" t="s">
        <v>96</v>
      </c>
      <c r="AU323" s="71"/>
      <c r="AV323" s="71" t="s">
        <v>95</v>
      </c>
      <c r="AW323" s="71"/>
      <c r="AX323" s="71"/>
      <c r="AY323" s="71"/>
      <c r="AZ323" s="71"/>
      <c r="BA323" s="71"/>
      <c r="BB323" s="70" t="s">
        <v>218</v>
      </c>
      <c r="BC323" s="70" t="s">
        <v>98</v>
      </c>
      <c r="BD323" s="72" t="str">
        <f>IF('Cálculo MP'!K333="","",'Cálculo MP'!K333)</f>
        <v/>
      </c>
      <c r="BE323" s="72" t="str">
        <f>IF('Cálculo MP'!L333="","",'Cálculo MP'!L333)</f>
        <v/>
      </c>
      <c r="BF323" s="72" t="str">
        <f>IF('Cálculo MP'!M333="","",'Cálculo MP'!M333)</f>
        <v/>
      </c>
      <c r="BG323" s="72" t="str">
        <f>IF('Cálculo MP'!N333="","",'Cálculo MP'!N333)</f>
        <v/>
      </c>
      <c r="BH323" s="72" t="str">
        <f>IF('Cálculo MP'!O333="","",'Cálculo MP'!O333)</f>
        <v/>
      </c>
      <c r="BI323" s="72" t="str">
        <f>IF('Cálculo MP'!P333="","",'Cálculo MP'!P333)</f>
        <v/>
      </c>
      <c r="BJ323" s="72" t="str">
        <f>IF('Cálculo MP'!Q333="","",'Cálculo MP'!Q333)</f>
        <v/>
      </c>
      <c r="BK323" s="72" t="str">
        <f>IF('Cálculo MP'!R333="","",'Cálculo MP'!R333)</f>
        <v/>
      </c>
      <c r="BL323" s="72" t="str">
        <f>IF('Cálculo MP'!S333="","",'Cálculo MP'!S333)</f>
        <v/>
      </c>
      <c r="BM323" s="71"/>
      <c r="BN323" s="71"/>
      <c r="BO323" s="71"/>
      <c r="BP323" s="71"/>
      <c r="BQ323" s="71"/>
      <c r="BR323" s="71"/>
      <c r="BS323" s="71"/>
    </row>
    <row r="324" spans="1:71" ht="19.5" customHeight="1" x14ac:dyDescent="0.15">
      <c r="A324" s="56" t="s">
        <v>985</v>
      </c>
      <c r="B324" s="57" t="s">
        <v>986</v>
      </c>
      <c r="C324" s="58" t="s">
        <v>985</v>
      </c>
      <c r="D324" s="59" t="s">
        <v>985</v>
      </c>
      <c r="E324" s="61"/>
      <c r="F324" s="60" t="s">
        <v>95</v>
      </c>
      <c r="G324" s="61"/>
      <c r="H324" s="62"/>
      <c r="I324" s="75"/>
      <c r="J324" s="60" t="s">
        <v>95</v>
      </c>
      <c r="K324" s="64"/>
      <c r="L324" s="64"/>
      <c r="M324" s="64" t="s">
        <v>96</v>
      </c>
      <c r="N324" s="64" t="s">
        <v>97</v>
      </c>
      <c r="O324" s="65" t="s">
        <v>986</v>
      </c>
      <c r="P324" s="70" t="s">
        <v>96</v>
      </c>
      <c r="Q324" s="60" t="s">
        <v>95</v>
      </c>
      <c r="R324" s="60" t="s">
        <v>96</v>
      </c>
      <c r="S324" s="66" t="s">
        <v>96</v>
      </c>
      <c r="T324" s="67" t="s">
        <v>96</v>
      </c>
      <c r="U324" s="60" t="s">
        <v>96</v>
      </c>
      <c r="V324" s="60" t="s">
        <v>96</v>
      </c>
      <c r="W324" s="60" t="str" cm="1">
        <f t="array" ref="W324">_xlfn.LET(_xlpm.resultados,_xlfn.UNIQUE(_xlfn._xlws.FILTER(Tabla1[Proceso],(Tabla1[Metal Base]=Q324)*(Tabla1[Etiquetas]=_xlfn.TEXTJOIN(" + ",TRUE,IF((TRIM(Upload!R324:V324)="")+(LOWER(TRIM(Upload!R324:V324))="(seleccione)"),"",PROPER(TRIM(Upload!R324:V324)))))*(Tabla1[Línea2]=IFERROR(VLOOKUP(Upload!P324&amp;"*",CAT_Procesos!D:D,1,FALSE),"")))),_xlpm.cantidad,ROWS(_xlpm.resultados),IF(ISERROR(_xlpm.cantidad),"Combinación no existente",IF(_xlpm.cantidad=1,INDEX(_xlpm.resultados,1),"(seleccione)")))</f>
        <v>Combinación no existente</v>
      </c>
      <c r="X324" s="67" t="s">
        <v>96</v>
      </c>
      <c r="Y324" s="64"/>
      <c r="Z324" s="64"/>
      <c r="AA324" s="64"/>
      <c r="AB324" s="133" t="s">
        <v>96</v>
      </c>
      <c r="AC324" s="64"/>
      <c r="AD324" s="64"/>
      <c r="AE324" s="64"/>
      <c r="AF324" s="60" t="s">
        <v>96</v>
      </c>
      <c r="AG324" s="64"/>
      <c r="AH324" s="64"/>
      <c r="AI324" s="64"/>
      <c r="AJ324" s="68" t="s">
        <v>96</v>
      </c>
      <c r="AK324" s="69" t="str">
        <f t="shared" si="8"/>
        <v/>
      </c>
      <c r="AL324" s="70" t="s">
        <v>96</v>
      </c>
      <c r="AM324" s="69" t="str">
        <f t="shared" si="9"/>
        <v/>
      </c>
      <c r="AN324" s="71"/>
      <c r="AO324" s="71"/>
      <c r="AP324" s="71"/>
      <c r="AQ324" s="71"/>
      <c r="AR324" s="71" t="s">
        <v>96</v>
      </c>
      <c r="AS324" s="71"/>
      <c r="AT324" s="71" t="s">
        <v>96</v>
      </c>
      <c r="AU324" s="71"/>
      <c r="AV324" s="71" t="s">
        <v>95</v>
      </c>
      <c r="AW324" s="71"/>
      <c r="AX324" s="71"/>
      <c r="AY324" s="71"/>
      <c r="AZ324" s="71"/>
      <c r="BA324" s="71"/>
      <c r="BB324" s="70" t="s">
        <v>218</v>
      </c>
      <c r="BC324" s="70" t="s">
        <v>98</v>
      </c>
      <c r="BD324" s="72" t="str">
        <f>IF('Cálculo MP'!K334="","",'Cálculo MP'!K334)</f>
        <v/>
      </c>
      <c r="BE324" s="72" t="str">
        <f>IF('Cálculo MP'!L334="","",'Cálculo MP'!L334)</f>
        <v/>
      </c>
      <c r="BF324" s="72" t="str">
        <f>IF('Cálculo MP'!M334="","",'Cálculo MP'!M334)</f>
        <v/>
      </c>
      <c r="BG324" s="72" t="str">
        <f>IF('Cálculo MP'!N334="","",'Cálculo MP'!N334)</f>
        <v/>
      </c>
      <c r="BH324" s="72" t="str">
        <f>IF('Cálculo MP'!O334="","",'Cálculo MP'!O334)</f>
        <v/>
      </c>
      <c r="BI324" s="72" t="str">
        <f>IF('Cálculo MP'!P334="","",'Cálculo MP'!P334)</f>
        <v/>
      </c>
      <c r="BJ324" s="72" t="str">
        <f>IF('Cálculo MP'!Q334="","",'Cálculo MP'!Q334)</f>
        <v/>
      </c>
      <c r="BK324" s="72" t="str">
        <f>IF('Cálculo MP'!R334="","",'Cálculo MP'!R334)</f>
        <v/>
      </c>
      <c r="BL324" s="72" t="str">
        <f>IF('Cálculo MP'!S334="","",'Cálculo MP'!S334)</f>
        <v/>
      </c>
      <c r="BM324" s="71"/>
      <c r="BN324" s="71"/>
      <c r="BO324" s="71"/>
      <c r="BP324" s="71"/>
      <c r="BQ324" s="71"/>
      <c r="BR324" s="71"/>
      <c r="BS324" s="71"/>
    </row>
    <row r="325" spans="1:71" ht="19.5" customHeight="1" x14ac:dyDescent="0.15">
      <c r="A325" s="56" t="s">
        <v>985</v>
      </c>
      <c r="B325" s="57" t="s">
        <v>986</v>
      </c>
      <c r="C325" s="58" t="s">
        <v>985</v>
      </c>
      <c r="D325" s="59" t="s">
        <v>985</v>
      </c>
      <c r="E325" s="61"/>
      <c r="F325" s="60" t="s">
        <v>95</v>
      </c>
      <c r="G325" s="61"/>
      <c r="H325" s="62"/>
      <c r="I325" s="75"/>
      <c r="J325" s="60" t="s">
        <v>95</v>
      </c>
      <c r="K325" s="64"/>
      <c r="L325" s="64"/>
      <c r="M325" s="64" t="s">
        <v>96</v>
      </c>
      <c r="N325" s="64" t="s">
        <v>97</v>
      </c>
      <c r="O325" s="65" t="s">
        <v>986</v>
      </c>
      <c r="P325" s="70" t="s">
        <v>96</v>
      </c>
      <c r="Q325" s="60" t="s">
        <v>95</v>
      </c>
      <c r="R325" s="60" t="s">
        <v>96</v>
      </c>
      <c r="S325" s="66" t="s">
        <v>96</v>
      </c>
      <c r="T325" s="67" t="s">
        <v>96</v>
      </c>
      <c r="U325" s="60" t="s">
        <v>96</v>
      </c>
      <c r="V325" s="60" t="s">
        <v>96</v>
      </c>
      <c r="W325" s="60" t="str" cm="1">
        <f t="array" ref="W325">_xlfn.LET(_xlpm.resultados,_xlfn.UNIQUE(_xlfn._xlws.FILTER(Tabla1[Proceso],(Tabla1[Metal Base]=Q325)*(Tabla1[Etiquetas]=_xlfn.TEXTJOIN(" + ",TRUE,IF((TRIM(Upload!R325:V325)="")+(LOWER(TRIM(Upload!R325:V325))="(seleccione)"),"",PROPER(TRIM(Upload!R325:V325)))))*(Tabla1[Línea2]=IFERROR(VLOOKUP(Upload!P325&amp;"*",CAT_Procesos!D:D,1,FALSE),"")))),_xlpm.cantidad,ROWS(_xlpm.resultados),IF(ISERROR(_xlpm.cantidad),"Combinación no existente",IF(_xlpm.cantidad=1,INDEX(_xlpm.resultados,1),"(seleccione)")))</f>
        <v>Combinación no existente</v>
      </c>
      <c r="X325" s="67" t="s">
        <v>96</v>
      </c>
      <c r="Y325" s="64"/>
      <c r="Z325" s="64"/>
      <c r="AA325" s="64"/>
      <c r="AB325" s="133" t="s">
        <v>96</v>
      </c>
      <c r="AC325" s="64"/>
      <c r="AD325" s="64"/>
      <c r="AE325" s="64"/>
      <c r="AF325" s="60" t="s">
        <v>96</v>
      </c>
      <c r="AG325" s="64"/>
      <c r="AH325" s="64"/>
      <c r="AI325" s="64"/>
      <c r="AJ325" s="68" t="s">
        <v>96</v>
      </c>
      <c r="AK325" s="69" t="str">
        <f t="shared" si="8"/>
        <v/>
      </c>
      <c r="AL325" s="70" t="s">
        <v>96</v>
      </c>
      <c r="AM325" s="69" t="str">
        <f t="shared" si="9"/>
        <v/>
      </c>
      <c r="AN325" s="71"/>
      <c r="AO325" s="71"/>
      <c r="AP325" s="71"/>
      <c r="AQ325" s="71"/>
      <c r="AR325" s="71" t="s">
        <v>96</v>
      </c>
      <c r="AS325" s="71"/>
      <c r="AT325" s="71" t="s">
        <v>96</v>
      </c>
      <c r="AU325" s="71"/>
      <c r="AV325" s="71" t="s">
        <v>95</v>
      </c>
      <c r="AW325" s="71"/>
      <c r="AX325" s="71"/>
      <c r="AY325" s="71"/>
      <c r="AZ325" s="71"/>
      <c r="BA325" s="71"/>
      <c r="BB325" s="70" t="s">
        <v>218</v>
      </c>
      <c r="BC325" s="70" t="s">
        <v>98</v>
      </c>
      <c r="BD325" s="72" t="str">
        <f>IF('Cálculo MP'!K335="","",'Cálculo MP'!K335)</f>
        <v/>
      </c>
      <c r="BE325" s="72" t="str">
        <f>IF('Cálculo MP'!L335="","",'Cálculo MP'!L335)</f>
        <v/>
      </c>
      <c r="BF325" s="72" t="str">
        <f>IF('Cálculo MP'!M335="","",'Cálculo MP'!M335)</f>
        <v/>
      </c>
      <c r="BG325" s="72" t="str">
        <f>IF('Cálculo MP'!N335="","",'Cálculo MP'!N335)</f>
        <v/>
      </c>
      <c r="BH325" s="72" t="str">
        <f>IF('Cálculo MP'!O335="","",'Cálculo MP'!O335)</f>
        <v/>
      </c>
      <c r="BI325" s="72" t="str">
        <f>IF('Cálculo MP'!P335="","",'Cálculo MP'!P335)</f>
        <v/>
      </c>
      <c r="BJ325" s="72" t="str">
        <f>IF('Cálculo MP'!Q335="","",'Cálculo MP'!Q335)</f>
        <v/>
      </c>
      <c r="BK325" s="72" t="str">
        <f>IF('Cálculo MP'!R335="","",'Cálculo MP'!R335)</f>
        <v/>
      </c>
      <c r="BL325" s="72" t="str">
        <f>IF('Cálculo MP'!S335="","",'Cálculo MP'!S335)</f>
        <v/>
      </c>
      <c r="BM325" s="71"/>
      <c r="BN325" s="71"/>
      <c r="BO325" s="71"/>
      <c r="BP325" s="71"/>
      <c r="BQ325" s="71"/>
      <c r="BR325" s="71"/>
      <c r="BS325" s="71"/>
    </row>
    <row r="326" spans="1:71" ht="19.5" customHeight="1" x14ac:dyDescent="0.15">
      <c r="A326" s="56" t="s">
        <v>985</v>
      </c>
      <c r="B326" s="57" t="s">
        <v>986</v>
      </c>
      <c r="C326" s="58" t="s">
        <v>985</v>
      </c>
      <c r="D326" s="59" t="s">
        <v>985</v>
      </c>
      <c r="E326" s="61"/>
      <c r="F326" s="60" t="s">
        <v>95</v>
      </c>
      <c r="G326" s="61"/>
      <c r="H326" s="62"/>
      <c r="I326" s="75"/>
      <c r="J326" s="60" t="s">
        <v>95</v>
      </c>
      <c r="K326" s="64"/>
      <c r="L326" s="64"/>
      <c r="M326" s="64" t="s">
        <v>96</v>
      </c>
      <c r="N326" s="64" t="s">
        <v>97</v>
      </c>
      <c r="O326" s="65" t="s">
        <v>986</v>
      </c>
      <c r="P326" s="70" t="s">
        <v>96</v>
      </c>
      <c r="Q326" s="60" t="s">
        <v>95</v>
      </c>
      <c r="R326" s="60" t="s">
        <v>96</v>
      </c>
      <c r="S326" s="66" t="s">
        <v>96</v>
      </c>
      <c r="T326" s="67" t="s">
        <v>96</v>
      </c>
      <c r="U326" s="60" t="s">
        <v>96</v>
      </c>
      <c r="V326" s="60" t="s">
        <v>96</v>
      </c>
      <c r="W326" s="60" t="str" cm="1">
        <f t="array" ref="W326">_xlfn.LET(_xlpm.resultados,_xlfn.UNIQUE(_xlfn._xlws.FILTER(Tabla1[Proceso],(Tabla1[Metal Base]=Q326)*(Tabla1[Etiquetas]=_xlfn.TEXTJOIN(" + ",TRUE,IF((TRIM(Upload!R326:V326)="")+(LOWER(TRIM(Upload!R326:V326))="(seleccione)"),"",PROPER(TRIM(Upload!R326:V326)))))*(Tabla1[Línea2]=IFERROR(VLOOKUP(Upload!P326&amp;"*",CAT_Procesos!D:D,1,FALSE),"")))),_xlpm.cantidad,ROWS(_xlpm.resultados),IF(ISERROR(_xlpm.cantidad),"Combinación no existente",IF(_xlpm.cantidad=1,INDEX(_xlpm.resultados,1),"(seleccione)")))</f>
        <v>Combinación no existente</v>
      </c>
      <c r="X326" s="67" t="s">
        <v>96</v>
      </c>
      <c r="Y326" s="64"/>
      <c r="Z326" s="64"/>
      <c r="AA326" s="64"/>
      <c r="AB326" s="133" t="s">
        <v>96</v>
      </c>
      <c r="AC326" s="64"/>
      <c r="AD326" s="64"/>
      <c r="AE326" s="64"/>
      <c r="AF326" s="60" t="s">
        <v>96</v>
      </c>
      <c r="AG326" s="64"/>
      <c r="AH326" s="64"/>
      <c r="AI326" s="64"/>
      <c r="AJ326" s="68" t="s">
        <v>96</v>
      </c>
      <c r="AK326" s="69" t="str">
        <f t="shared" si="8"/>
        <v/>
      </c>
      <c r="AL326" s="70" t="s">
        <v>96</v>
      </c>
      <c r="AM326" s="69" t="str">
        <f t="shared" si="9"/>
        <v/>
      </c>
      <c r="AN326" s="71"/>
      <c r="AO326" s="71"/>
      <c r="AP326" s="71"/>
      <c r="AQ326" s="71"/>
      <c r="AR326" s="71" t="s">
        <v>96</v>
      </c>
      <c r="AS326" s="71"/>
      <c r="AT326" s="71" t="s">
        <v>96</v>
      </c>
      <c r="AU326" s="71"/>
      <c r="AV326" s="71" t="s">
        <v>95</v>
      </c>
      <c r="AW326" s="71"/>
      <c r="AX326" s="71"/>
      <c r="AY326" s="71"/>
      <c r="AZ326" s="71"/>
      <c r="BA326" s="71"/>
      <c r="BB326" s="70" t="s">
        <v>218</v>
      </c>
      <c r="BC326" s="70" t="s">
        <v>98</v>
      </c>
      <c r="BD326" s="72" t="str">
        <f>IF('Cálculo MP'!K336="","",'Cálculo MP'!K336)</f>
        <v/>
      </c>
      <c r="BE326" s="72" t="str">
        <f>IF('Cálculo MP'!L336="","",'Cálculo MP'!L336)</f>
        <v/>
      </c>
      <c r="BF326" s="72" t="str">
        <f>IF('Cálculo MP'!M336="","",'Cálculo MP'!M336)</f>
        <v/>
      </c>
      <c r="BG326" s="72" t="str">
        <f>IF('Cálculo MP'!N336="","",'Cálculo MP'!N336)</f>
        <v/>
      </c>
      <c r="BH326" s="72" t="str">
        <f>IF('Cálculo MP'!O336="","",'Cálculo MP'!O336)</f>
        <v/>
      </c>
      <c r="BI326" s="72" t="str">
        <f>IF('Cálculo MP'!P336="","",'Cálculo MP'!P336)</f>
        <v/>
      </c>
      <c r="BJ326" s="72" t="str">
        <f>IF('Cálculo MP'!Q336="","",'Cálculo MP'!Q336)</f>
        <v/>
      </c>
      <c r="BK326" s="72" t="str">
        <f>IF('Cálculo MP'!R336="","",'Cálculo MP'!R336)</f>
        <v/>
      </c>
      <c r="BL326" s="72" t="str">
        <f>IF('Cálculo MP'!S336="","",'Cálculo MP'!S336)</f>
        <v/>
      </c>
      <c r="BM326" s="71"/>
      <c r="BN326" s="71"/>
      <c r="BO326" s="71"/>
      <c r="BP326" s="71"/>
      <c r="BQ326" s="71"/>
      <c r="BR326" s="71"/>
      <c r="BS326" s="71"/>
    </row>
    <row r="327" spans="1:71" ht="19.5" customHeight="1" x14ac:dyDescent="0.15">
      <c r="A327" s="56" t="s">
        <v>985</v>
      </c>
      <c r="B327" s="57" t="s">
        <v>986</v>
      </c>
      <c r="C327" s="58" t="s">
        <v>985</v>
      </c>
      <c r="D327" s="59" t="s">
        <v>985</v>
      </c>
      <c r="E327" s="61"/>
      <c r="F327" s="60" t="s">
        <v>95</v>
      </c>
      <c r="G327" s="61"/>
      <c r="H327" s="62"/>
      <c r="I327" s="75"/>
      <c r="J327" s="60" t="s">
        <v>95</v>
      </c>
      <c r="K327" s="64"/>
      <c r="L327" s="64"/>
      <c r="M327" s="64" t="s">
        <v>96</v>
      </c>
      <c r="N327" s="64" t="s">
        <v>97</v>
      </c>
      <c r="O327" s="65" t="s">
        <v>986</v>
      </c>
      <c r="P327" s="70" t="s">
        <v>96</v>
      </c>
      <c r="Q327" s="60" t="s">
        <v>95</v>
      </c>
      <c r="R327" s="60" t="s">
        <v>96</v>
      </c>
      <c r="S327" s="66" t="s">
        <v>96</v>
      </c>
      <c r="T327" s="67" t="s">
        <v>96</v>
      </c>
      <c r="U327" s="60" t="s">
        <v>96</v>
      </c>
      <c r="V327" s="60" t="s">
        <v>96</v>
      </c>
      <c r="W327" s="60" t="str" cm="1">
        <f t="array" ref="W327">_xlfn.LET(_xlpm.resultados,_xlfn.UNIQUE(_xlfn._xlws.FILTER(Tabla1[Proceso],(Tabla1[Metal Base]=Q327)*(Tabla1[Etiquetas]=_xlfn.TEXTJOIN(" + ",TRUE,IF((TRIM(Upload!R327:V327)="")+(LOWER(TRIM(Upload!R327:V327))="(seleccione)"),"",PROPER(TRIM(Upload!R327:V327)))))*(Tabla1[Línea2]=IFERROR(VLOOKUP(Upload!P327&amp;"*",CAT_Procesos!D:D,1,FALSE),"")))),_xlpm.cantidad,ROWS(_xlpm.resultados),IF(ISERROR(_xlpm.cantidad),"Combinación no existente",IF(_xlpm.cantidad=1,INDEX(_xlpm.resultados,1),"(seleccione)")))</f>
        <v>Combinación no existente</v>
      </c>
      <c r="X327" s="67" t="s">
        <v>96</v>
      </c>
      <c r="Y327" s="64"/>
      <c r="Z327" s="64"/>
      <c r="AA327" s="64"/>
      <c r="AB327" s="133" t="s">
        <v>96</v>
      </c>
      <c r="AC327" s="64"/>
      <c r="AD327" s="64"/>
      <c r="AE327" s="64"/>
      <c r="AF327" s="60" t="s">
        <v>96</v>
      </c>
      <c r="AG327" s="64"/>
      <c r="AH327" s="64"/>
      <c r="AI327" s="64"/>
      <c r="AJ327" s="68" t="s">
        <v>96</v>
      </c>
      <c r="AK327" s="69" t="str">
        <f t="shared" si="8"/>
        <v/>
      </c>
      <c r="AL327" s="70" t="s">
        <v>96</v>
      </c>
      <c r="AM327" s="69" t="str">
        <f t="shared" si="9"/>
        <v/>
      </c>
      <c r="AN327" s="71"/>
      <c r="AO327" s="71"/>
      <c r="AP327" s="71"/>
      <c r="AQ327" s="71"/>
      <c r="AR327" s="71" t="s">
        <v>96</v>
      </c>
      <c r="AS327" s="71"/>
      <c r="AT327" s="71" t="s">
        <v>96</v>
      </c>
      <c r="AU327" s="71"/>
      <c r="AV327" s="71" t="s">
        <v>95</v>
      </c>
      <c r="AW327" s="71"/>
      <c r="AX327" s="71"/>
      <c r="AY327" s="71"/>
      <c r="AZ327" s="71"/>
      <c r="BA327" s="71"/>
      <c r="BB327" s="70" t="s">
        <v>218</v>
      </c>
      <c r="BC327" s="70" t="s">
        <v>98</v>
      </c>
      <c r="BD327" s="72" t="str">
        <f>IF('Cálculo MP'!K337="","",'Cálculo MP'!K337)</f>
        <v/>
      </c>
      <c r="BE327" s="72" t="str">
        <f>IF('Cálculo MP'!L337="","",'Cálculo MP'!L337)</f>
        <v/>
      </c>
      <c r="BF327" s="72" t="str">
        <f>IF('Cálculo MP'!M337="","",'Cálculo MP'!M337)</f>
        <v/>
      </c>
      <c r="BG327" s="72" t="str">
        <f>IF('Cálculo MP'!N337="","",'Cálculo MP'!N337)</f>
        <v/>
      </c>
      <c r="BH327" s="72" t="str">
        <f>IF('Cálculo MP'!O337="","",'Cálculo MP'!O337)</f>
        <v/>
      </c>
      <c r="BI327" s="72" t="str">
        <f>IF('Cálculo MP'!P337="","",'Cálculo MP'!P337)</f>
        <v/>
      </c>
      <c r="BJ327" s="72" t="str">
        <f>IF('Cálculo MP'!Q337="","",'Cálculo MP'!Q337)</f>
        <v/>
      </c>
      <c r="BK327" s="72" t="str">
        <f>IF('Cálculo MP'!R337="","",'Cálculo MP'!R337)</f>
        <v/>
      </c>
      <c r="BL327" s="72" t="str">
        <f>IF('Cálculo MP'!S337="","",'Cálculo MP'!S337)</f>
        <v/>
      </c>
      <c r="BM327" s="71"/>
      <c r="BN327" s="71"/>
      <c r="BO327" s="71"/>
      <c r="BP327" s="71"/>
      <c r="BQ327" s="71"/>
      <c r="BR327" s="71"/>
      <c r="BS327" s="71"/>
    </row>
    <row r="328" spans="1:71" ht="19.5" customHeight="1" x14ac:dyDescent="0.15">
      <c r="A328" s="56" t="s">
        <v>985</v>
      </c>
      <c r="B328" s="57" t="s">
        <v>986</v>
      </c>
      <c r="C328" s="58" t="s">
        <v>985</v>
      </c>
      <c r="D328" s="59" t="s">
        <v>985</v>
      </c>
      <c r="E328" s="61"/>
      <c r="F328" s="60" t="s">
        <v>95</v>
      </c>
      <c r="G328" s="61"/>
      <c r="H328" s="62"/>
      <c r="I328" s="75"/>
      <c r="J328" s="60" t="s">
        <v>95</v>
      </c>
      <c r="K328" s="64"/>
      <c r="L328" s="64"/>
      <c r="M328" s="64" t="s">
        <v>96</v>
      </c>
      <c r="N328" s="64" t="s">
        <v>97</v>
      </c>
      <c r="O328" s="65" t="s">
        <v>986</v>
      </c>
      <c r="P328" s="70" t="s">
        <v>96</v>
      </c>
      <c r="Q328" s="60" t="s">
        <v>95</v>
      </c>
      <c r="R328" s="60" t="s">
        <v>96</v>
      </c>
      <c r="S328" s="66" t="s">
        <v>96</v>
      </c>
      <c r="T328" s="67" t="s">
        <v>96</v>
      </c>
      <c r="U328" s="60" t="s">
        <v>96</v>
      </c>
      <c r="V328" s="60" t="s">
        <v>96</v>
      </c>
      <c r="W328" s="60" t="str" cm="1">
        <f t="array" ref="W328">_xlfn.LET(_xlpm.resultados,_xlfn.UNIQUE(_xlfn._xlws.FILTER(Tabla1[Proceso],(Tabla1[Metal Base]=Q328)*(Tabla1[Etiquetas]=_xlfn.TEXTJOIN(" + ",TRUE,IF((TRIM(Upload!R328:V328)="")+(LOWER(TRIM(Upload!R328:V328))="(seleccione)"),"",PROPER(TRIM(Upload!R328:V328)))))*(Tabla1[Línea2]=IFERROR(VLOOKUP(Upload!P328&amp;"*",CAT_Procesos!D:D,1,FALSE),"")))),_xlpm.cantidad,ROWS(_xlpm.resultados),IF(ISERROR(_xlpm.cantidad),"Combinación no existente",IF(_xlpm.cantidad=1,INDEX(_xlpm.resultados,1),"(seleccione)")))</f>
        <v>Combinación no existente</v>
      </c>
      <c r="X328" s="67" t="s">
        <v>96</v>
      </c>
      <c r="Y328" s="64"/>
      <c r="Z328" s="64"/>
      <c r="AA328" s="64"/>
      <c r="AB328" s="133" t="s">
        <v>96</v>
      </c>
      <c r="AC328" s="64"/>
      <c r="AD328" s="64"/>
      <c r="AE328" s="64"/>
      <c r="AF328" s="60" t="s">
        <v>96</v>
      </c>
      <c r="AG328" s="64"/>
      <c r="AH328" s="64"/>
      <c r="AI328" s="64"/>
      <c r="AJ328" s="68" t="s">
        <v>96</v>
      </c>
      <c r="AK328" s="69" t="str">
        <f t="shared" si="8"/>
        <v/>
      </c>
      <c r="AL328" s="70" t="s">
        <v>96</v>
      </c>
      <c r="AM328" s="69" t="str">
        <f t="shared" si="9"/>
        <v/>
      </c>
      <c r="AN328" s="71"/>
      <c r="AO328" s="71"/>
      <c r="AP328" s="71"/>
      <c r="AQ328" s="71"/>
      <c r="AR328" s="71" t="s">
        <v>96</v>
      </c>
      <c r="AS328" s="71"/>
      <c r="AT328" s="71" t="s">
        <v>96</v>
      </c>
      <c r="AU328" s="71"/>
      <c r="AV328" s="71" t="s">
        <v>95</v>
      </c>
      <c r="AW328" s="71"/>
      <c r="AX328" s="71"/>
      <c r="AY328" s="71"/>
      <c r="AZ328" s="71"/>
      <c r="BA328" s="71"/>
      <c r="BB328" s="70" t="s">
        <v>218</v>
      </c>
      <c r="BC328" s="70" t="s">
        <v>98</v>
      </c>
      <c r="BD328" s="72" t="str">
        <f>IF('Cálculo MP'!K338="","",'Cálculo MP'!K338)</f>
        <v/>
      </c>
      <c r="BE328" s="72" t="str">
        <f>IF('Cálculo MP'!L338="","",'Cálculo MP'!L338)</f>
        <v/>
      </c>
      <c r="BF328" s="72" t="str">
        <f>IF('Cálculo MP'!M338="","",'Cálculo MP'!M338)</f>
        <v/>
      </c>
      <c r="BG328" s="72" t="str">
        <f>IF('Cálculo MP'!N338="","",'Cálculo MP'!N338)</f>
        <v/>
      </c>
      <c r="BH328" s="72" t="str">
        <f>IF('Cálculo MP'!O338="","",'Cálculo MP'!O338)</f>
        <v/>
      </c>
      <c r="BI328" s="72" t="str">
        <f>IF('Cálculo MP'!P338="","",'Cálculo MP'!P338)</f>
        <v/>
      </c>
      <c r="BJ328" s="72" t="str">
        <f>IF('Cálculo MP'!Q338="","",'Cálculo MP'!Q338)</f>
        <v/>
      </c>
      <c r="BK328" s="72" t="str">
        <f>IF('Cálculo MP'!R338="","",'Cálculo MP'!R338)</f>
        <v/>
      </c>
      <c r="BL328" s="72" t="str">
        <f>IF('Cálculo MP'!S338="","",'Cálculo MP'!S338)</f>
        <v/>
      </c>
      <c r="BM328" s="71"/>
      <c r="BN328" s="71"/>
      <c r="BO328" s="71"/>
      <c r="BP328" s="71"/>
      <c r="BQ328" s="71"/>
      <c r="BR328" s="71"/>
      <c r="BS328" s="71"/>
    </row>
    <row r="329" spans="1:71" ht="19.5" customHeight="1" x14ac:dyDescent="0.15">
      <c r="A329" s="56" t="s">
        <v>985</v>
      </c>
      <c r="B329" s="57" t="s">
        <v>986</v>
      </c>
      <c r="C329" s="58" t="s">
        <v>985</v>
      </c>
      <c r="D329" s="59" t="s">
        <v>985</v>
      </c>
      <c r="E329" s="61"/>
      <c r="F329" s="60" t="s">
        <v>95</v>
      </c>
      <c r="G329" s="61"/>
      <c r="H329" s="62"/>
      <c r="I329" s="75"/>
      <c r="J329" s="60" t="s">
        <v>95</v>
      </c>
      <c r="K329" s="64"/>
      <c r="L329" s="64"/>
      <c r="M329" s="64" t="s">
        <v>96</v>
      </c>
      <c r="N329" s="64" t="s">
        <v>97</v>
      </c>
      <c r="O329" s="65" t="s">
        <v>986</v>
      </c>
      <c r="P329" s="70" t="s">
        <v>96</v>
      </c>
      <c r="Q329" s="60" t="s">
        <v>95</v>
      </c>
      <c r="R329" s="60" t="s">
        <v>96</v>
      </c>
      <c r="S329" s="66" t="s">
        <v>96</v>
      </c>
      <c r="T329" s="67" t="s">
        <v>96</v>
      </c>
      <c r="U329" s="60" t="s">
        <v>96</v>
      </c>
      <c r="V329" s="60" t="s">
        <v>96</v>
      </c>
      <c r="W329" s="60" t="str" cm="1">
        <f t="array" ref="W329">_xlfn.LET(_xlpm.resultados,_xlfn.UNIQUE(_xlfn._xlws.FILTER(Tabla1[Proceso],(Tabla1[Metal Base]=Q329)*(Tabla1[Etiquetas]=_xlfn.TEXTJOIN(" + ",TRUE,IF((TRIM(Upload!R329:V329)="")+(LOWER(TRIM(Upload!R329:V329))="(seleccione)"),"",PROPER(TRIM(Upload!R329:V329)))))*(Tabla1[Línea2]=IFERROR(VLOOKUP(Upload!P329&amp;"*",CAT_Procesos!D:D,1,FALSE),"")))),_xlpm.cantidad,ROWS(_xlpm.resultados),IF(ISERROR(_xlpm.cantidad),"Combinación no existente",IF(_xlpm.cantidad=1,INDEX(_xlpm.resultados,1),"(seleccione)")))</f>
        <v>Combinación no existente</v>
      </c>
      <c r="X329" s="67" t="s">
        <v>96</v>
      </c>
      <c r="Y329" s="64"/>
      <c r="Z329" s="64"/>
      <c r="AA329" s="64"/>
      <c r="AB329" s="133" t="s">
        <v>96</v>
      </c>
      <c r="AC329" s="64"/>
      <c r="AD329" s="64"/>
      <c r="AE329" s="64"/>
      <c r="AF329" s="60" t="s">
        <v>96</v>
      </c>
      <c r="AG329" s="64"/>
      <c r="AH329" s="64"/>
      <c r="AI329" s="64"/>
      <c r="AJ329" s="68" t="s">
        <v>96</v>
      </c>
      <c r="AK329" s="69" t="str">
        <f t="shared" si="8"/>
        <v/>
      </c>
      <c r="AL329" s="70" t="s">
        <v>96</v>
      </c>
      <c r="AM329" s="69" t="str">
        <f t="shared" si="9"/>
        <v/>
      </c>
      <c r="AN329" s="71"/>
      <c r="AO329" s="71"/>
      <c r="AP329" s="71"/>
      <c r="AQ329" s="71"/>
      <c r="AR329" s="71" t="s">
        <v>96</v>
      </c>
      <c r="AS329" s="71"/>
      <c r="AT329" s="71" t="s">
        <v>96</v>
      </c>
      <c r="AU329" s="71"/>
      <c r="AV329" s="71" t="s">
        <v>95</v>
      </c>
      <c r="AW329" s="71"/>
      <c r="AX329" s="71"/>
      <c r="AY329" s="71"/>
      <c r="AZ329" s="71"/>
      <c r="BA329" s="71"/>
      <c r="BB329" s="70" t="s">
        <v>218</v>
      </c>
      <c r="BC329" s="70" t="s">
        <v>98</v>
      </c>
      <c r="BD329" s="72" t="str">
        <f>IF('Cálculo MP'!K339="","",'Cálculo MP'!K339)</f>
        <v/>
      </c>
      <c r="BE329" s="72" t="str">
        <f>IF('Cálculo MP'!L339="","",'Cálculo MP'!L339)</f>
        <v/>
      </c>
      <c r="BF329" s="72" t="str">
        <f>IF('Cálculo MP'!M339="","",'Cálculo MP'!M339)</f>
        <v/>
      </c>
      <c r="BG329" s="72" t="str">
        <f>IF('Cálculo MP'!N339="","",'Cálculo MP'!N339)</f>
        <v/>
      </c>
      <c r="BH329" s="72" t="str">
        <f>IF('Cálculo MP'!O339="","",'Cálculo MP'!O339)</f>
        <v/>
      </c>
      <c r="BI329" s="72" t="str">
        <f>IF('Cálculo MP'!P339="","",'Cálculo MP'!P339)</f>
        <v/>
      </c>
      <c r="BJ329" s="72" t="str">
        <f>IF('Cálculo MP'!Q339="","",'Cálculo MP'!Q339)</f>
        <v/>
      </c>
      <c r="BK329" s="72" t="str">
        <f>IF('Cálculo MP'!R339="","",'Cálculo MP'!R339)</f>
        <v/>
      </c>
      <c r="BL329" s="72" t="str">
        <f>IF('Cálculo MP'!S339="","",'Cálculo MP'!S339)</f>
        <v/>
      </c>
      <c r="BM329" s="71"/>
      <c r="BN329" s="71"/>
      <c r="BO329" s="71"/>
      <c r="BP329" s="71"/>
      <c r="BQ329" s="71"/>
      <c r="BR329" s="71"/>
      <c r="BS329" s="71"/>
    </row>
    <row r="330" spans="1:71" ht="19.5" customHeight="1" x14ac:dyDescent="0.15">
      <c r="A330" s="56" t="s">
        <v>985</v>
      </c>
      <c r="B330" s="57" t="s">
        <v>986</v>
      </c>
      <c r="C330" s="58" t="s">
        <v>985</v>
      </c>
      <c r="D330" s="59" t="s">
        <v>985</v>
      </c>
      <c r="E330" s="61"/>
      <c r="F330" s="60" t="s">
        <v>95</v>
      </c>
      <c r="G330" s="61"/>
      <c r="H330" s="62"/>
      <c r="I330" s="75"/>
      <c r="J330" s="60" t="s">
        <v>95</v>
      </c>
      <c r="K330" s="64"/>
      <c r="L330" s="64"/>
      <c r="M330" s="64" t="s">
        <v>96</v>
      </c>
      <c r="N330" s="64" t="s">
        <v>97</v>
      </c>
      <c r="O330" s="65" t="s">
        <v>986</v>
      </c>
      <c r="P330" s="70" t="s">
        <v>96</v>
      </c>
      <c r="Q330" s="60" t="s">
        <v>95</v>
      </c>
      <c r="R330" s="60" t="s">
        <v>96</v>
      </c>
      <c r="S330" s="66" t="s">
        <v>96</v>
      </c>
      <c r="T330" s="67" t="s">
        <v>96</v>
      </c>
      <c r="U330" s="60" t="s">
        <v>96</v>
      </c>
      <c r="V330" s="60" t="s">
        <v>96</v>
      </c>
      <c r="W330" s="60" t="str" cm="1">
        <f t="array" ref="W330">_xlfn.LET(_xlpm.resultados,_xlfn.UNIQUE(_xlfn._xlws.FILTER(Tabla1[Proceso],(Tabla1[Metal Base]=Q330)*(Tabla1[Etiquetas]=_xlfn.TEXTJOIN(" + ",TRUE,IF((TRIM(Upload!R330:V330)="")+(LOWER(TRIM(Upload!R330:V330))="(seleccione)"),"",PROPER(TRIM(Upload!R330:V330)))))*(Tabla1[Línea2]=IFERROR(VLOOKUP(Upload!P330&amp;"*",CAT_Procesos!D:D,1,FALSE),"")))),_xlpm.cantidad,ROWS(_xlpm.resultados),IF(ISERROR(_xlpm.cantidad),"Combinación no existente",IF(_xlpm.cantidad=1,INDEX(_xlpm.resultados,1),"(seleccione)")))</f>
        <v>Combinación no existente</v>
      </c>
      <c r="X330" s="67" t="s">
        <v>96</v>
      </c>
      <c r="Y330" s="64"/>
      <c r="Z330" s="64"/>
      <c r="AA330" s="64"/>
      <c r="AB330" s="133" t="s">
        <v>96</v>
      </c>
      <c r="AC330" s="64"/>
      <c r="AD330" s="64"/>
      <c r="AE330" s="64"/>
      <c r="AF330" s="60" t="s">
        <v>96</v>
      </c>
      <c r="AG330" s="64"/>
      <c r="AH330" s="64"/>
      <c r="AI330" s="64"/>
      <c r="AJ330" s="68" t="s">
        <v>96</v>
      </c>
      <c r="AK330" s="69" t="str">
        <f t="shared" ref="AK330:AK393" si="10">IFERROR(((VALUE(TRIM(LEFT(MID(AJ330,FIND("|",AJ330)+1,99),FIND("-",MID(AJ330,FIND("|",AJ330)+1,99))-1)))+VALUE(TRIM(SUBSTITUTE(SUBSTITUTE(SUBSTITUTE(SUBSTITUTE(SUBSTITUTE(MID(MID(AJ330,FIND("|",AJ330)+1,99),FIND("-",MID(AJ330,FIND("|",AJ330)+1,99))+1,20),"µm",""),"μm",""),"mils",""),"mil",""),"",""))))/2)*IF(ISNUMBER(SEARCH("mil",MID(AJ330,FIND("|",AJ330)+1,99))),25.4,1),"")</f>
        <v/>
      </c>
      <c r="AL330" s="70" t="s">
        <v>96</v>
      </c>
      <c r="AM330" s="69" t="str">
        <f t="shared" ref="AM330:AM393" si="11">IFERROR(((VALUE(TRIM(LEFT(MID(AL330,FIND("|",AL330)+1,99),FIND("-",MID(AL330,FIND("|",AL330)+1,99))-1)))+VALUE(TRIM(SUBSTITUTE(SUBSTITUTE(SUBSTITUTE(SUBSTITUTE(SUBSTITUTE(MID(MID(AL330,FIND("|",AL330)+1,99),FIND("-",MID(AL330,FIND("|",AL330)+1,99))+1,20),"µm",""),"μm",""),"mils",""),"mil",""),"",""))))/2)*IF(ISNUMBER(SEARCH("mil",MID(AL330,FIND("|",AL330)+1,99))),25.4,1),"")</f>
        <v/>
      </c>
      <c r="AN330" s="71"/>
      <c r="AO330" s="71"/>
      <c r="AP330" s="71"/>
      <c r="AQ330" s="71"/>
      <c r="AR330" s="71" t="s">
        <v>96</v>
      </c>
      <c r="AS330" s="71"/>
      <c r="AT330" s="71" t="s">
        <v>96</v>
      </c>
      <c r="AU330" s="71"/>
      <c r="AV330" s="71" t="s">
        <v>95</v>
      </c>
      <c r="AW330" s="71"/>
      <c r="AX330" s="71"/>
      <c r="AY330" s="71"/>
      <c r="AZ330" s="71"/>
      <c r="BA330" s="71"/>
      <c r="BB330" s="70" t="s">
        <v>218</v>
      </c>
      <c r="BC330" s="70" t="s">
        <v>98</v>
      </c>
      <c r="BD330" s="72" t="str">
        <f>IF('Cálculo MP'!K340="","",'Cálculo MP'!K340)</f>
        <v/>
      </c>
      <c r="BE330" s="72" t="str">
        <f>IF('Cálculo MP'!L340="","",'Cálculo MP'!L340)</f>
        <v/>
      </c>
      <c r="BF330" s="72" t="str">
        <f>IF('Cálculo MP'!M340="","",'Cálculo MP'!M340)</f>
        <v/>
      </c>
      <c r="BG330" s="72" t="str">
        <f>IF('Cálculo MP'!N340="","",'Cálculo MP'!N340)</f>
        <v/>
      </c>
      <c r="BH330" s="72" t="str">
        <f>IF('Cálculo MP'!O340="","",'Cálculo MP'!O340)</f>
        <v/>
      </c>
      <c r="BI330" s="72" t="str">
        <f>IF('Cálculo MP'!P340="","",'Cálculo MP'!P340)</f>
        <v/>
      </c>
      <c r="BJ330" s="72" t="str">
        <f>IF('Cálculo MP'!Q340="","",'Cálculo MP'!Q340)</f>
        <v/>
      </c>
      <c r="BK330" s="72" t="str">
        <f>IF('Cálculo MP'!R340="","",'Cálculo MP'!R340)</f>
        <v/>
      </c>
      <c r="BL330" s="72" t="str">
        <f>IF('Cálculo MP'!S340="","",'Cálculo MP'!S340)</f>
        <v/>
      </c>
      <c r="BM330" s="71"/>
      <c r="BN330" s="71"/>
      <c r="BO330" s="71"/>
      <c r="BP330" s="71"/>
      <c r="BQ330" s="71"/>
      <c r="BR330" s="71"/>
      <c r="BS330" s="71"/>
    </row>
    <row r="331" spans="1:71" ht="19.5" customHeight="1" x14ac:dyDescent="0.15">
      <c r="A331" s="56" t="s">
        <v>985</v>
      </c>
      <c r="B331" s="57" t="s">
        <v>986</v>
      </c>
      <c r="C331" s="58" t="s">
        <v>985</v>
      </c>
      <c r="D331" s="59" t="s">
        <v>985</v>
      </c>
      <c r="E331" s="61"/>
      <c r="F331" s="60" t="s">
        <v>95</v>
      </c>
      <c r="G331" s="61"/>
      <c r="H331" s="62"/>
      <c r="I331" s="75"/>
      <c r="J331" s="60" t="s">
        <v>95</v>
      </c>
      <c r="K331" s="64"/>
      <c r="L331" s="64"/>
      <c r="M331" s="64" t="s">
        <v>96</v>
      </c>
      <c r="N331" s="64" t="s">
        <v>97</v>
      </c>
      <c r="O331" s="65" t="s">
        <v>986</v>
      </c>
      <c r="P331" s="70" t="s">
        <v>96</v>
      </c>
      <c r="Q331" s="60" t="s">
        <v>95</v>
      </c>
      <c r="R331" s="60" t="s">
        <v>96</v>
      </c>
      <c r="S331" s="66" t="s">
        <v>96</v>
      </c>
      <c r="T331" s="67" t="s">
        <v>96</v>
      </c>
      <c r="U331" s="60" t="s">
        <v>96</v>
      </c>
      <c r="V331" s="60" t="s">
        <v>96</v>
      </c>
      <c r="W331" s="60" t="str" cm="1">
        <f t="array" ref="W331">_xlfn.LET(_xlpm.resultados,_xlfn.UNIQUE(_xlfn._xlws.FILTER(Tabla1[Proceso],(Tabla1[Metal Base]=Q331)*(Tabla1[Etiquetas]=_xlfn.TEXTJOIN(" + ",TRUE,IF((TRIM(Upload!R331:V331)="")+(LOWER(TRIM(Upload!R331:V331))="(seleccione)"),"",PROPER(TRIM(Upload!R331:V331)))))*(Tabla1[Línea2]=IFERROR(VLOOKUP(Upload!P331&amp;"*",CAT_Procesos!D:D,1,FALSE),"")))),_xlpm.cantidad,ROWS(_xlpm.resultados),IF(ISERROR(_xlpm.cantidad),"Combinación no existente",IF(_xlpm.cantidad=1,INDEX(_xlpm.resultados,1),"(seleccione)")))</f>
        <v>Combinación no existente</v>
      </c>
      <c r="X331" s="67" t="s">
        <v>96</v>
      </c>
      <c r="Y331" s="64"/>
      <c r="Z331" s="64"/>
      <c r="AA331" s="64"/>
      <c r="AB331" s="133" t="s">
        <v>96</v>
      </c>
      <c r="AC331" s="64"/>
      <c r="AD331" s="64"/>
      <c r="AE331" s="64"/>
      <c r="AF331" s="60" t="s">
        <v>96</v>
      </c>
      <c r="AG331" s="64"/>
      <c r="AH331" s="64"/>
      <c r="AI331" s="64"/>
      <c r="AJ331" s="68" t="s">
        <v>96</v>
      </c>
      <c r="AK331" s="69" t="str">
        <f t="shared" si="10"/>
        <v/>
      </c>
      <c r="AL331" s="70" t="s">
        <v>96</v>
      </c>
      <c r="AM331" s="69" t="str">
        <f t="shared" si="11"/>
        <v/>
      </c>
      <c r="AN331" s="71"/>
      <c r="AO331" s="71"/>
      <c r="AP331" s="71"/>
      <c r="AQ331" s="71"/>
      <c r="AR331" s="71" t="s">
        <v>96</v>
      </c>
      <c r="AS331" s="71"/>
      <c r="AT331" s="71" t="s">
        <v>96</v>
      </c>
      <c r="AU331" s="71"/>
      <c r="AV331" s="71" t="s">
        <v>95</v>
      </c>
      <c r="AW331" s="71"/>
      <c r="AX331" s="71"/>
      <c r="AY331" s="71"/>
      <c r="AZ331" s="71"/>
      <c r="BA331" s="71"/>
      <c r="BB331" s="70" t="s">
        <v>218</v>
      </c>
      <c r="BC331" s="70" t="s">
        <v>98</v>
      </c>
      <c r="BD331" s="72" t="str">
        <f>IF('Cálculo MP'!K341="","",'Cálculo MP'!K341)</f>
        <v/>
      </c>
      <c r="BE331" s="72" t="str">
        <f>IF('Cálculo MP'!L341="","",'Cálculo MP'!L341)</f>
        <v/>
      </c>
      <c r="BF331" s="72" t="str">
        <f>IF('Cálculo MP'!M341="","",'Cálculo MP'!M341)</f>
        <v/>
      </c>
      <c r="BG331" s="72" t="str">
        <f>IF('Cálculo MP'!N341="","",'Cálculo MP'!N341)</f>
        <v/>
      </c>
      <c r="BH331" s="72" t="str">
        <f>IF('Cálculo MP'!O341="","",'Cálculo MP'!O341)</f>
        <v/>
      </c>
      <c r="BI331" s="72" t="str">
        <f>IF('Cálculo MP'!P341="","",'Cálculo MP'!P341)</f>
        <v/>
      </c>
      <c r="BJ331" s="72" t="str">
        <f>IF('Cálculo MP'!Q341="","",'Cálculo MP'!Q341)</f>
        <v/>
      </c>
      <c r="BK331" s="72" t="str">
        <f>IF('Cálculo MP'!R341="","",'Cálculo MP'!R341)</f>
        <v/>
      </c>
      <c r="BL331" s="72" t="str">
        <f>IF('Cálculo MP'!S341="","",'Cálculo MP'!S341)</f>
        <v/>
      </c>
      <c r="BM331" s="71"/>
      <c r="BN331" s="71"/>
      <c r="BO331" s="71"/>
      <c r="BP331" s="71"/>
      <c r="BQ331" s="71"/>
      <c r="BR331" s="71"/>
      <c r="BS331" s="71"/>
    </row>
    <row r="332" spans="1:71" ht="19.5" customHeight="1" x14ac:dyDescent="0.15">
      <c r="A332" s="56" t="s">
        <v>985</v>
      </c>
      <c r="B332" s="57" t="s">
        <v>986</v>
      </c>
      <c r="C332" s="58" t="s">
        <v>985</v>
      </c>
      <c r="D332" s="59" t="s">
        <v>985</v>
      </c>
      <c r="E332" s="61"/>
      <c r="F332" s="60" t="s">
        <v>95</v>
      </c>
      <c r="G332" s="61"/>
      <c r="H332" s="62"/>
      <c r="I332" s="75"/>
      <c r="J332" s="60" t="s">
        <v>95</v>
      </c>
      <c r="K332" s="64"/>
      <c r="L332" s="64"/>
      <c r="M332" s="64" t="s">
        <v>96</v>
      </c>
      <c r="N332" s="64" t="s">
        <v>97</v>
      </c>
      <c r="O332" s="65" t="s">
        <v>986</v>
      </c>
      <c r="P332" s="70" t="s">
        <v>96</v>
      </c>
      <c r="Q332" s="60" t="s">
        <v>95</v>
      </c>
      <c r="R332" s="60" t="s">
        <v>96</v>
      </c>
      <c r="S332" s="66" t="s">
        <v>96</v>
      </c>
      <c r="T332" s="67" t="s">
        <v>96</v>
      </c>
      <c r="U332" s="60" t="s">
        <v>96</v>
      </c>
      <c r="V332" s="60" t="s">
        <v>96</v>
      </c>
      <c r="W332" s="60" t="str" cm="1">
        <f t="array" ref="W332">_xlfn.LET(_xlpm.resultados,_xlfn.UNIQUE(_xlfn._xlws.FILTER(Tabla1[Proceso],(Tabla1[Metal Base]=Q332)*(Tabla1[Etiquetas]=_xlfn.TEXTJOIN(" + ",TRUE,IF((TRIM(Upload!R332:V332)="")+(LOWER(TRIM(Upload!R332:V332))="(seleccione)"),"",PROPER(TRIM(Upload!R332:V332)))))*(Tabla1[Línea2]=IFERROR(VLOOKUP(Upload!P332&amp;"*",CAT_Procesos!D:D,1,FALSE),"")))),_xlpm.cantidad,ROWS(_xlpm.resultados),IF(ISERROR(_xlpm.cantidad),"Combinación no existente",IF(_xlpm.cantidad=1,INDEX(_xlpm.resultados,1),"(seleccione)")))</f>
        <v>Combinación no existente</v>
      </c>
      <c r="X332" s="67" t="s">
        <v>96</v>
      </c>
      <c r="Y332" s="64"/>
      <c r="Z332" s="64"/>
      <c r="AA332" s="64"/>
      <c r="AB332" s="133" t="s">
        <v>96</v>
      </c>
      <c r="AC332" s="64"/>
      <c r="AD332" s="64"/>
      <c r="AE332" s="64"/>
      <c r="AF332" s="60" t="s">
        <v>96</v>
      </c>
      <c r="AG332" s="64"/>
      <c r="AH332" s="64"/>
      <c r="AI332" s="64"/>
      <c r="AJ332" s="68" t="s">
        <v>96</v>
      </c>
      <c r="AK332" s="69" t="str">
        <f t="shared" si="10"/>
        <v/>
      </c>
      <c r="AL332" s="70" t="s">
        <v>96</v>
      </c>
      <c r="AM332" s="69" t="str">
        <f t="shared" si="11"/>
        <v/>
      </c>
      <c r="AN332" s="71"/>
      <c r="AO332" s="71"/>
      <c r="AP332" s="71"/>
      <c r="AQ332" s="71"/>
      <c r="AR332" s="71" t="s">
        <v>96</v>
      </c>
      <c r="AS332" s="71"/>
      <c r="AT332" s="71" t="s">
        <v>96</v>
      </c>
      <c r="AU332" s="71"/>
      <c r="AV332" s="71" t="s">
        <v>95</v>
      </c>
      <c r="AW332" s="71"/>
      <c r="AX332" s="71"/>
      <c r="AY332" s="71"/>
      <c r="AZ332" s="71"/>
      <c r="BA332" s="71"/>
      <c r="BB332" s="70" t="s">
        <v>218</v>
      </c>
      <c r="BC332" s="70" t="s">
        <v>98</v>
      </c>
      <c r="BD332" s="72" t="str">
        <f>IF('Cálculo MP'!K342="","",'Cálculo MP'!K342)</f>
        <v/>
      </c>
      <c r="BE332" s="72" t="str">
        <f>IF('Cálculo MP'!L342="","",'Cálculo MP'!L342)</f>
        <v/>
      </c>
      <c r="BF332" s="72" t="str">
        <f>IF('Cálculo MP'!M342="","",'Cálculo MP'!M342)</f>
        <v/>
      </c>
      <c r="BG332" s="72" t="str">
        <f>IF('Cálculo MP'!N342="","",'Cálculo MP'!N342)</f>
        <v/>
      </c>
      <c r="BH332" s="72" t="str">
        <f>IF('Cálculo MP'!O342="","",'Cálculo MP'!O342)</f>
        <v/>
      </c>
      <c r="BI332" s="72" t="str">
        <f>IF('Cálculo MP'!P342="","",'Cálculo MP'!P342)</f>
        <v/>
      </c>
      <c r="BJ332" s="72" t="str">
        <f>IF('Cálculo MP'!Q342="","",'Cálculo MP'!Q342)</f>
        <v/>
      </c>
      <c r="BK332" s="72" t="str">
        <f>IF('Cálculo MP'!R342="","",'Cálculo MP'!R342)</f>
        <v/>
      </c>
      <c r="BL332" s="72" t="str">
        <f>IF('Cálculo MP'!S342="","",'Cálculo MP'!S342)</f>
        <v/>
      </c>
      <c r="BM332" s="71"/>
      <c r="BN332" s="71"/>
      <c r="BO332" s="71"/>
      <c r="BP332" s="71"/>
      <c r="BQ332" s="71"/>
      <c r="BR332" s="71"/>
      <c r="BS332" s="71"/>
    </row>
    <row r="333" spans="1:71" ht="19.5" customHeight="1" x14ac:dyDescent="0.15">
      <c r="A333" s="56" t="s">
        <v>985</v>
      </c>
      <c r="B333" s="57" t="s">
        <v>986</v>
      </c>
      <c r="C333" s="58" t="s">
        <v>985</v>
      </c>
      <c r="D333" s="59" t="s">
        <v>985</v>
      </c>
      <c r="E333" s="61"/>
      <c r="F333" s="60" t="s">
        <v>95</v>
      </c>
      <c r="G333" s="61"/>
      <c r="H333" s="62"/>
      <c r="I333" s="75"/>
      <c r="J333" s="60" t="s">
        <v>95</v>
      </c>
      <c r="K333" s="64"/>
      <c r="L333" s="64"/>
      <c r="M333" s="64" t="s">
        <v>96</v>
      </c>
      <c r="N333" s="64" t="s">
        <v>97</v>
      </c>
      <c r="O333" s="65" t="s">
        <v>986</v>
      </c>
      <c r="P333" s="70" t="s">
        <v>96</v>
      </c>
      <c r="Q333" s="60" t="s">
        <v>95</v>
      </c>
      <c r="R333" s="60" t="s">
        <v>96</v>
      </c>
      <c r="S333" s="66" t="s">
        <v>96</v>
      </c>
      <c r="T333" s="67" t="s">
        <v>96</v>
      </c>
      <c r="U333" s="60" t="s">
        <v>96</v>
      </c>
      <c r="V333" s="60" t="s">
        <v>96</v>
      </c>
      <c r="W333" s="60" t="str" cm="1">
        <f t="array" ref="W333">_xlfn.LET(_xlpm.resultados,_xlfn.UNIQUE(_xlfn._xlws.FILTER(Tabla1[Proceso],(Tabla1[Metal Base]=Q333)*(Tabla1[Etiquetas]=_xlfn.TEXTJOIN(" + ",TRUE,IF((TRIM(Upload!R333:V333)="")+(LOWER(TRIM(Upload!R333:V333))="(seleccione)"),"",PROPER(TRIM(Upload!R333:V333)))))*(Tabla1[Línea2]=IFERROR(VLOOKUP(Upload!P333&amp;"*",CAT_Procesos!D:D,1,FALSE),"")))),_xlpm.cantidad,ROWS(_xlpm.resultados),IF(ISERROR(_xlpm.cantidad),"Combinación no existente",IF(_xlpm.cantidad=1,INDEX(_xlpm.resultados,1),"(seleccione)")))</f>
        <v>Combinación no existente</v>
      </c>
      <c r="X333" s="67" t="s">
        <v>96</v>
      </c>
      <c r="Y333" s="64"/>
      <c r="Z333" s="64"/>
      <c r="AA333" s="64"/>
      <c r="AB333" s="133" t="s">
        <v>96</v>
      </c>
      <c r="AC333" s="64"/>
      <c r="AD333" s="64"/>
      <c r="AE333" s="64"/>
      <c r="AF333" s="60" t="s">
        <v>96</v>
      </c>
      <c r="AG333" s="64"/>
      <c r="AH333" s="64"/>
      <c r="AI333" s="64"/>
      <c r="AJ333" s="68" t="s">
        <v>96</v>
      </c>
      <c r="AK333" s="69" t="str">
        <f t="shared" si="10"/>
        <v/>
      </c>
      <c r="AL333" s="70" t="s">
        <v>96</v>
      </c>
      <c r="AM333" s="69" t="str">
        <f t="shared" si="11"/>
        <v/>
      </c>
      <c r="AN333" s="71"/>
      <c r="AO333" s="71"/>
      <c r="AP333" s="71"/>
      <c r="AQ333" s="71"/>
      <c r="AR333" s="71" t="s">
        <v>96</v>
      </c>
      <c r="AS333" s="71"/>
      <c r="AT333" s="71" t="s">
        <v>96</v>
      </c>
      <c r="AU333" s="71"/>
      <c r="AV333" s="71" t="s">
        <v>95</v>
      </c>
      <c r="AW333" s="71"/>
      <c r="AX333" s="71"/>
      <c r="AY333" s="71"/>
      <c r="AZ333" s="71"/>
      <c r="BA333" s="71"/>
      <c r="BB333" s="70" t="s">
        <v>218</v>
      </c>
      <c r="BC333" s="70" t="s">
        <v>98</v>
      </c>
      <c r="BD333" s="72" t="str">
        <f>IF('Cálculo MP'!K343="","",'Cálculo MP'!K343)</f>
        <v/>
      </c>
      <c r="BE333" s="72" t="str">
        <f>IF('Cálculo MP'!L343="","",'Cálculo MP'!L343)</f>
        <v/>
      </c>
      <c r="BF333" s="72" t="str">
        <f>IF('Cálculo MP'!M343="","",'Cálculo MP'!M343)</f>
        <v/>
      </c>
      <c r="BG333" s="72" t="str">
        <f>IF('Cálculo MP'!N343="","",'Cálculo MP'!N343)</f>
        <v/>
      </c>
      <c r="BH333" s="72" t="str">
        <f>IF('Cálculo MP'!O343="","",'Cálculo MP'!O343)</f>
        <v/>
      </c>
      <c r="BI333" s="72" t="str">
        <f>IF('Cálculo MP'!P343="","",'Cálculo MP'!P343)</f>
        <v/>
      </c>
      <c r="BJ333" s="72" t="str">
        <f>IF('Cálculo MP'!Q343="","",'Cálculo MP'!Q343)</f>
        <v/>
      </c>
      <c r="BK333" s="72" t="str">
        <f>IF('Cálculo MP'!R343="","",'Cálculo MP'!R343)</f>
        <v/>
      </c>
      <c r="BL333" s="72" t="str">
        <f>IF('Cálculo MP'!S343="","",'Cálculo MP'!S343)</f>
        <v/>
      </c>
      <c r="BM333" s="71"/>
      <c r="BN333" s="71"/>
      <c r="BO333" s="71"/>
      <c r="BP333" s="71"/>
      <c r="BQ333" s="71"/>
      <c r="BR333" s="71"/>
      <c r="BS333" s="71"/>
    </row>
    <row r="334" spans="1:71" ht="19.5" customHeight="1" x14ac:dyDescent="0.15">
      <c r="A334" s="56" t="s">
        <v>985</v>
      </c>
      <c r="B334" s="57" t="s">
        <v>986</v>
      </c>
      <c r="C334" s="58" t="s">
        <v>985</v>
      </c>
      <c r="D334" s="59" t="s">
        <v>985</v>
      </c>
      <c r="E334" s="61"/>
      <c r="F334" s="60" t="s">
        <v>95</v>
      </c>
      <c r="G334" s="61"/>
      <c r="H334" s="62"/>
      <c r="I334" s="75"/>
      <c r="J334" s="60" t="s">
        <v>95</v>
      </c>
      <c r="K334" s="64"/>
      <c r="L334" s="64"/>
      <c r="M334" s="64" t="s">
        <v>96</v>
      </c>
      <c r="N334" s="64" t="s">
        <v>97</v>
      </c>
      <c r="O334" s="65" t="s">
        <v>986</v>
      </c>
      <c r="P334" s="70" t="s">
        <v>96</v>
      </c>
      <c r="Q334" s="60" t="s">
        <v>95</v>
      </c>
      <c r="R334" s="60" t="s">
        <v>96</v>
      </c>
      <c r="S334" s="66" t="s">
        <v>96</v>
      </c>
      <c r="T334" s="67" t="s">
        <v>96</v>
      </c>
      <c r="U334" s="60" t="s">
        <v>96</v>
      </c>
      <c r="V334" s="60" t="s">
        <v>96</v>
      </c>
      <c r="W334" s="60" t="str" cm="1">
        <f t="array" ref="W334">_xlfn.LET(_xlpm.resultados,_xlfn.UNIQUE(_xlfn._xlws.FILTER(Tabla1[Proceso],(Tabla1[Metal Base]=Q334)*(Tabla1[Etiquetas]=_xlfn.TEXTJOIN(" + ",TRUE,IF((TRIM(Upload!R334:V334)="")+(LOWER(TRIM(Upload!R334:V334))="(seleccione)"),"",PROPER(TRIM(Upload!R334:V334)))))*(Tabla1[Línea2]=IFERROR(VLOOKUP(Upload!P334&amp;"*",CAT_Procesos!D:D,1,FALSE),"")))),_xlpm.cantidad,ROWS(_xlpm.resultados),IF(ISERROR(_xlpm.cantidad),"Combinación no existente",IF(_xlpm.cantidad=1,INDEX(_xlpm.resultados,1),"(seleccione)")))</f>
        <v>Combinación no existente</v>
      </c>
      <c r="X334" s="67" t="s">
        <v>96</v>
      </c>
      <c r="Y334" s="64"/>
      <c r="Z334" s="64"/>
      <c r="AA334" s="64"/>
      <c r="AB334" s="133" t="s">
        <v>96</v>
      </c>
      <c r="AC334" s="64"/>
      <c r="AD334" s="64"/>
      <c r="AE334" s="64"/>
      <c r="AF334" s="60" t="s">
        <v>96</v>
      </c>
      <c r="AG334" s="64"/>
      <c r="AH334" s="64"/>
      <c r="AI334" s="64"/>
      <c r="AJ334" s="68" t="s">
        <v>96</v>
      </c>
      <c r="AK334" s="69" t="str">
        <f t="shared" si="10"/>
        <v/>
      </c>
      <c r="AL334" s="70" t="s">
        <v>96</v>
      </c>
      <c r="AM334" s="69" t="str">
        <f t="shared" si="11"/>
        <v/>
      </c>
      <c r="AN334" s="71"/>
      <c r="AO334" s="71"/>
      <c r="AP334" s="71"/>
      <c r="AQ334" s="71"/>
      <c r="AR334" s="71" t="s">
        <v>96</v>
      </c>
      <c r="AS334" s="71"/>
      <c r="AT334" s="71" t="s">
        <v>96</v>
      </c>
      <c r="AU334" s="71"/>
      <c r="AV334" s="71" t="s">
        <v>95</v>
      </c>
      <c r="AW334" s="71"/>
      <c r="AX334" s="71"/>
      <c r="AY334" s="71"/>
      <c r="AZ334" s="71"/>
      <c r="BA334" s="71"/>
      <c r="BB334" s="70" t="s">
        <v>218</v>
      </c>
      <c r="BC334" s="70" t="s">
        <v>98</v>
      </c>
      <c r="BD334" s="72" t="str">
        <f>IF('Cálculo MP'!K344="","",'Cálculo MP'!K344)</f>
        <v/>
      </c>
      <c r="BE334" s="72" t="str">
        <f>IF('Cálculo MP'!L344="","",'Cálculo MP'!L344)</f>
        <v/>
      </c>
      <c r="BF334" s="72" t="str">
        <f>IF('Cálculo MP'!M344="","",'Cálculo MP'!M344)</f>
        <v/>
      </c>
      <c r="BG334" s="72" t="str">
        <f>IF('Cálculo MP'!N344="","",'Cálculo MP'!N344)</f>
        <v/>
      </c>
      <c r="BH334" s="72" t="str">
        <f>IF('Cálculo MP'!O344="","",'Cálculo MP'!O344)</f>
        <v/>
      </c>
      <c r="BI334" s="72" t="str">
        <f>IF('Cálculo MP'!P344="","",'Cálculo MP'!P344)</f>
        <v/>
      </c>
      <c r="BJ334" s="72" t="str">
        <f>IF('Cálculo MP'!Q344="","",'Cálculo MP'!Q344)</f>
        <v/>
      </c>
      <c r="BK334" s="72" t="str">
        <f>IF('Cálculo MP'!R344="","",'Cálculo MP'!R344)</f>
        <v/>
      </c>
      <c r="BL334" s="72" t="str">
        <f>IF('Cálculo MP'!S344="","",'Cálculo MP'!S344)</f>
        <v/>
      </c>
      <c r="BM334" s="71"/>
      <c r="BN334" s="71"/>
      <c r="BO334" s="71"/>
      <c r="BP334" s="71"/>
      <c r="BQ334" s="71"/>
      <c r="BR334" s="71"/>
      <c r="BS334" s="71"/>
    </row>
    <row r="335" spans="1:71" ht="19.5" customHeight="1" x14ac:dyDescent="0.15">
      <c r="A335" s="56" t="s">
        <v>985</v>
      </c>
      <c r="B335" s="57" t="s">
        <v>986</v>
      </c>
      <c r="C335" s="58" t="s">
        <v>985</v>
      </c>
      <c r="D335" s="59" t="s">
        <v>985</v>
      </c>
      <c r="E335" s="61"/>
      <c r="F335" s="60" t="s">
        <v>95</v>
      </c>
      <c r="G335" s="61"/>
      <c r="H335" s="62"/>
      <c r="I335" s="75"/>
      <c r="J335" s="60" t="s">
        <v>95</v>
      </c>
      <c r="K335" s="64"/>
      <c r="L335" s="64"/>
      <c r="M335" s="64" t="s">
        <v>96</v>
      </c>
      <c r="N335" s="64" t="s">
        <v>97</v>
      </c>
      <c r="O335" s="65" t="s">
        <v>986</v>
      </c>
      <c r="P335" s="70" t="s">
        <v>96</v>
      </c>
      <c r="Q335" s="60" t="s">
        <v>95</v>
      </c>
      <c r="R335" s="60" t="s">
        <v>96</v>
      </c>
      <c r="S335" s="66" t="s">
        <v>96</v>
      </c>
      <c r="T335" s="67" t="s">
        <v>96</v>
      </c>
      <c r="U335" s="60" t="s">
        <v>96</v>
      </c>
      <c r="V335" s="60" t="s">
        <v>96</v>
      </c>
      <c r="W335" s="60" t="str" cm="1">
        <f t="array" ref="W335">_xlfn.LET(_xlpm.resultados,_xlfn.UNIQUE(_xlfn._xlws.FILTER(Tabla1[Proceso],(Tabla1[Metal Base]=Q335)*(Tabla1[Etiquetas]=_xlfn.TEXTJOIN(" + ",TRUE,IF((TRIM(Upload!R335:V335)="")+(LOWER(TRIM(Upload!R335:V335))="(seleccione)"),"",PROPER(TRIM(Upload!R335:V335)))))*(Tabla1[Línea2]=IFERROR(VLOOKUP(Upload!P335&amp;"*",CAT_Procesos!D:D,1,FALSE),"")))),_xlpm.cantidad,ROWS(_xlpm.resultados),IF(ISERROR(_xlpm.cantidad),"Combinación no existente",IF(_xlpm.cantidad=1,INDEX(_xlpm.resultados,1),"(seleccione)")))</f>
        <v>Combinación no existente</v>
      </c>
      <c r="X335" s="67" t="s">
        <v>96</v>
      </c>
      <c r="Y335" s="64"/>
      <c r="Z335" s="64"/>
      <c r="AA335" s="64"/>
      <c r="AB335" s="133" t="s">
        <v>96</v>
      </c>
      <c r="AC335" s="64"/>
      <c r="AD335" s="64"/>
      <c r="AE335" s="64"/>
      <c r="AF335" s="60" t="s">
        <v>96</v>
      </c>
      <c r="AG335" s="64"/>
      <c r="AH335" s="64"/>
      <c r="AI335" s="64"/>
      <c r="AJ335" s="68" t="s">
        <v>96</v>
      </c>
      <c r="AK335" s="69" t="str">
        <f t="shared" si="10"/>
        <v/>
      </c>
      <c r="AL335" s="70" t="s">
        <v>96</v>
      </c>
      <c r="AM335" s="69" t="str">
        <f t="shared" si="11"/>
        <v/>
      </c>
      <c r="AN335" s="71"/>
      <c r="AO335" s="71"/>
      <c r="AP335" s="71"/>
      <c r="AQ335" s="71"/>
      <c r="AR335" s="71" t="s">
        <v>96</v>
      </c>
      <c r="AS335" s="71"/>
      <c r="AT335" s="71" t="s">
        <v>96</v>
      </c>
      <c r="AU335" s="71"/>
      <c r="AV335" s="71" t="s">
        <v>95</v>
      </c>
      <c r="AW335" s="71"/>
      <c r="AX335" s="71"/>
      <c r="AY335" s="71"/>
      <c r="AZ335" s="71"/>
      <c r="BA335" s="71"/>
      <c r="BB335" s="70" t="s">
        <v>218</v>
      </c>
      <c r="BC335" s="70" t="s">
        <v>98</v>
      </c>
      <c r="BD335" s="72" t="str">
        <f>IF('Cálculo MP'!K345="","",'Cálculo MP'!K345)</f>
        <v/>
      </c>
      <c r="BE335" s="72" t="str">
        <f>IF('Cálculo MP'!L345="","",'Cálculo MP'!L345)</f>
        <v/>
      </c>
      <c r="BF335" s="72" t="str">
        <f>IF('Cálculo MP'!M345="","",'Cálculo MP'!M345)</f>
        <v/>
      </c>
      <c r="BG335" s="72" t="str">
        <f>IF('Cálculo MP'!N345="","",'Cálculo MP'!N345)</f>
        <v/>
      </c>
      <c r="BH335" s="72" t="str">
        <f>IF('Cálculo MP'!O345="","",'Cálculo MP'!O345)</f>
        <v/>
      </c>
      <c r="BI335" s="72" t="str">
        <f>IF('Cálculo MP'!P345="","",'Cálculo MP'!P345)</f>
        <v/>
      </c>
      <c r="BJ335" s="72" t="str">
        <f>IF('Cálculo MP'!Q345="","",'Cálculo MP'!Q345)</f>
        <v/>
      </c>
      <c r="BK335" s="72" t="str">
        <f>IF('Cálculo MP'!R345="","",'Cálculo MP'!R345)</f>
        <v/>
      </c>
      <c r="BL335" s="72" t="str">
        <f>IF('Cálculo MP'!S345="","",'Cálculo MP'!S345)</f>
        <v/>
      </c>
      <c r="BM335" s="71"/>
      <c r="BN335" s="71"/>
      <c r="BO335" s="71"/>
      <c r="BP335" s="71"/>
      <c r="BQ335" s="71"/>
      <c r="BR335" s="71"/>
      <c r="BS335" s="71"/>
    </row>
    <row r="336" spans="1:71" ht="19.5" customHeight="1" x14ac:dyDescent="0.15">
      <c r="A336" s="56" t="s">
        <v>985</v>
      </c>
      <c r="B336" s="57" t="s">
        <v>986</v>
      </c>
      <c r="C336" s="58" t="s">
        <v>985</v>
      </c>
      <c r="D336" s="59" t="s">
        <v>985</v>
      </c>
      <c r="E336" s="61"/>
      <c r="F336" s="60" t="s">
        <v>95</v>
      </c>
      <c r="G336" s="61"/>
      <c r="H336" s="62"/>
      <c r="I336" s="75"/>
      <c r="J336" s="60" t="s">
        <v>95</v>
      </c>
      <c r="K336" s="64"/>
      <c r="L336" s="64"/>
      <c r="M336" s="64" t="s">
        <v>96</v>
      </c>
      <c r="N336" s="64" t="s">
        <v>97</v>
      </c>
      <c r="O336" s="65" t="s">
        <v>986</v>
      </c>
      <c r="P336" s="70" t="s">
        <v>96</v>
      </c>
      <c r="Q336" s="60" t="s">
        <v>95</v>
      </c>
      <c r="R336" s="60" t="s">
        <v>96</v>
      </c>
      <c r="S336" s="66" t="s">
        <v>96</v>
      </c>
      <c r="T336" s="67" t="s">
        <v>96</v>
      </c>
      <c r="U336" s="60" t="s">
        <v>96</v>
      </c>
      <c r="V336" s="60" t="s">
        <v>96</v>
      </c>
      <c r="W336" s="60" t="str" cm="1">
        <f t="array" ref="W336">_xlfn.LET(_xlpm.resultados,_xlfn.UNIQUE(_xlfn._xlws.FILTER(Tabla1[Proceso],(Tabla1[Metal Base]=Q336)*(Tabla1[Etiquetas]=_xlfn.TEXTJOIN(" + ",TRUE,IF((TRIM(Upload!R336:V336)="")+(LOWER(TRIM(Upload!R336:V336))="(seleccione)"),"",PROPER(TRIM(Upload!R336:V336)))))*(Tabla1[Línea2]=IFERROR(VLOOKUP(Upload!P336&amp;"*",CAT_Procesos!D:D,1,FALSE),"")))),_xlpm.cantidad,ROWS(_xlpm.resultados),IF(ISERROR(_xlpm.cantidad),"Combinación no existente",IF(_xlpm.cantidad=1,INDEX(_xlpm.resultados,1),"(seleccione)")))</f>
        <v>Combinación no existente</v>
      </c>
      <c r="X336" s="67" t="s">
        <v>96</v>
      </c>
      <c r="Y336" s="64"/>
      <c r="Z336" s="64"/>
      <c r="AA336" s="64"/>
      <c r="AB336" s="133" t="s">
        <v>96</v>
      </c>
      <c r="AC336" s="64"/>
      <c r="AD336" s="64"/>
      <c r="AE336" s="64"/>
      <c r="AF336" s="60" t="s">
        <v>96</v>
      </c>
      <c r="AG336" s="64"/>
      <c r="AH336" s="64"/>
      <c r="AI336" s="64"/>
      <c r="AJ336" s="68" t="s">
        <v>96</v>
      </c>
      <c r="AK336" s="69" t="str">
        <f t="shared" si="10"/>
        <v/>
      </c>
      <c r="AL336" s="70" t="s">
        <v>96</v>
      </c>
      <c r="AM336" s="69" t="str">
        <f t="shared" si="11"/>
        <v/>
      </c>
      <c r="AN336" s="71"/>
      <c r="AO336" s="71"/>
      <c r="AP336" s="71"/>
      <c r="AQ336" s="71"/>
      <c r="AR336" s="71" t="s">
        <v>96</v>
      </c>
      <c r="AS336" s="71"/>
      <c r="AT336" s="71" t="s">
        <v>96</v>
      </c>
      <c r="AU336" s="71"/>
      <c r="AV336" s="71" t="s">
        <v>95</v>
      </c>
      <c r="AW336" s="71"/>
      <c r="AX336" s="71"/>
      <c r="AY336" s="71"/>
      <c r="AZ336" s="71"/>
      <c r="BA336" s="71"/>
      <c r="BB336" s="70" t="s">
        <v>218</v>
      </c>
      <c r="BC336" s="70" t="s">
        <v>98</v>
      </c>
      <c r="BD336" s="72" t="str">
        <f>IF('Cálculo MP'!K346="","",'Cálculo MP'!K346)</f>
        <v/>
      </c>
      <c r="BE336" s="72" t="str">
        <f>IF('Cálculo MP'!L346="","",'Cálculo MP'!L346)</f>
        <v/>
      </c>
      <c r="BF336" s="72" t="str">
        <f>IF('Cálculo MP'!M346="","",'Cálculo MP'!M346)</f>
        <v/>
      </c>
      <c r="BG336" s="72" t="str">
        <f>IF('Cálculo MP'!N346="","",'Cálculo MP'!N346)</f>
        <v/>
      </c>
      <c r="BH336" s="72" t="str">
        <f>IF('Cálculo MP'!O346="","",'Cálculo MP'!O346)</f>
        <v/>
      </c>
      <c r="BI336" s="72" t="str">
        <f>IF('Cálculo MP'!P346="","",'Cálculo MP'!P346)</f>
        <v/>
      </c>
      <c r="BJ336" s="72" t="str">
        <f>IF('Cálculo MP'!Q346="","",'Cálculo MP'!Q346)</f>
        <v/>
      </c>
      <c r="BK336" s="72" t="str">
        <f>IF('Cálculo MP'!R346="","",'Cálculo MP'!R346)</f>
        <v/>
      </c>
      <c r="BL336" s="72" t="str">
        <f>IF('Cálculo MP'!S346="","",'Cálculo MP'!S346)</f>
        <v/>
      </c>
      <c r="BM336" s="71"/>
      <c r="BN336" s="71"/>
      <c r="BO336" s="71"/>
      <c r="BP336" s="71"/>
      <c r="BQ336" s="71"/>
      <c r="BR336" s="71"/>
      <c r="BS336" s="71"/>
    </row>
    <row r="337" spans="1:71" ht="19.5" customHeight="1" x14ac:dyDescent="0.15">
      <c r="A337" s="56" t="s">
        <v>985</v>
      </c>
      <c r="B337" s="57" t="s">
        <v>986</v>
      </c>
      <c r="C337" s="58" t="s">
        <v>985</v>
      </c>
      <c r="D337" s="59" t="s">
        <v>985</v>
      </c>
      <c r="E337" s="61"/>
      <c r="F337" s="60" t="s">
        <v>95</v>
      </c>
      <c r="G337" s="61"/>
      <c r="H337" s="62"/>
      <c r="I337" s="75"/>
      <c r="J337" s="60" t="s">
        <v>95</v>
      </c>
      <c r="K337" s="64"/>
      <c r="L337" s="64"/>
      <c r="M337" s="64" t="s">
        <v>96</v>
      </c>
      <c r="N337" s="64" t="s">
        <v>97</v>
      </c>
      <c r="O337" s="65" t="s">
        <v>986</v>
      </c>
      <c r="P337" s="70" t="s">
        <v>96</v>
      </c>
      <c r="Q337" s="60" t="s">
        <v>95</v>
      </c>
      <c r="R337" s="60" t="s">
        <v>96</v>
      </c>
      <c r="S337" s="66" t="s">
        <v>96</v>
      </c>
      <c r="T337" s="67" t="s">
        <v>96</v>
      </c>
      <c r="U337" s="60" t="s">
        <v>96</v>
      </c>
      <c r="V337" s="60" t="s">
        <v>96</v>
      </c>
      <c r="W337" s="60" t="str" cm="1">
        <f t="array" ref="W337">_xlfn.LET(_xlpm.resultados,_xlfn.UNIQUE(_xlfn._xlws.FILTER(Tabla1[Proceso],(Tabla1[Metal Base]=Q337)*(Tabla1[Etiquetas]=_xlfn.TEXTJOIN(" + ",TRUE,IF((TRIM(Upload!R337:V337)="")+(LOWER(TRIM(Upload!R337:V337))="(seleccione)"),"",PROPER(TRIM(Upload!R337:V337)))))*(Tabla1[Línea2]=IFERROR(VLOOKUP(Upload!P337&amp;"*",CAT_Procesos!D:D,1,FALSE),"")))),_xlpm.cantidad,ROWS(_xlpm.resultados),IF(ISERROR(_xlpm.cantidad),"Combinación no existente",IF(_xlpm.cantidad=1,INDEX(_xlpm.resultados,1),"(seleccione)")))</f>
        <v>Combinación no existente</v>
      </c>
      <c r="X337" s="67" t="s">
        <v>96</v>
      </c>
      <c r="Y337" s="64"/>
      <c r="Z337" s="64"/>
      <c r="AA337" s="64"/>
      <c r="AB337" s="133" t="s">
        <v>96</v>
      </c>
      <c r="AC337" s="64"/>
      <c r="AD337" s="64"/>
      <c r="AE337" s="64"/>
      <c r="AF337" s="60" t="s">
        <v>96</v>
      </c>
      <c r="AG337" s="64"/>
      <c r="AH337" s="64"/>
      <c r="AI337" s="64"/>
      <c r="AJ337" s="68" t="s">
        <v>96</v>
      </c>
      <c r="AK337" s="69" t="str">
        <f t="shared" si="10"/>
        <v/>
      </c>
      <c r="AL337" s="70" t="s">
        <v>96</v>
      </c>
      <c r="AM337" s="69" t="str">
        <f t="shared" si="11"/>
        <v/>
      </c>
      <c r="AN337" s="71"/>
      <c r="AO337" s="71"/>
      <c r="AP337" s="71"/>
      <c r="AQ337" s="71"/>
      <c r="AR337" s="71" t="s">
        <v>96</v>
      </c>
      <c r="AS337" s="71"/>
      <c r="AT337" s="71" t="s">
        <v>96</v>
      </c>
      <c r="AU337" s="71"/>
      <c r="AV337" s="71" t="s">
        <v>95</v>
      </c>
      <c r="AW337" s="71"/>
      <c r="AX337" s="71"/>
      <c r="AY337" s="71"/>
      <c r="AZ337" s="71"/>
      <c r="BA337" s="71"/>
      <c r="BB337" s="70" t="s">
        <v>218</v>
      </c>
      <c r="BC337" s="70" t="s">
        <v>98</v>
      </c>
      <c r="BD337" s="72" t="str">
        <f>IF('Cálculo MP'!K347="","",'Cálculo MP'!K347)</f>
        <v/>
      </c>
      <c r="BE337" s="72" t="str">
        <f>IF('Cálculo MP'!L347="","",'Cálculo MP'!L347)</f>
        <v/>
      </c>
      <c r="BF337" s="72" t="str">
        <f>IF('Cálculo MP'!M347="","",'Cálculo MP'!M347)</f>
        <v/>
      </c>
      <c r="BG337" s="72" t="str">
        <f>IF('Cálculo MP'!N347="","",'Cálculo MP'!N347)</f>
        <v/>
      </c>
      <c r="BH337" s="72" t="str">
        <f>IF('Cálculo MP'!O347="","",'Cálculo MP'!O347)</f>
        <v/>
      </c>
      <c r="BI337" s="72" t="str">
        <f>IF('Cálculo MP'!P347="","",'Cálculo MP'!P347)</f>
        <v/>
      </c>
      <c r="BJ337" s="72" t="str">
        <f>IF('Cálculo MP'!Q347="","",'Cálculo MP'!Q347)</f>
        <v/>
      </c>
      <c r="BK337" s="72" t="str">
        <f>IF('Cálculo MP'!R347="","",'Cálculo MP'!R347)</f>
        <v/>
      </c>
      <c r="BL337" s="72" t="str">
        <f>IF('Cálculo MP'!S347="","",'Cálculo MP'!S347)</f>
        <v/>
      </c>
      <c r="BM337" s="71"/>
      <c r="BN337" s="71"/>
      <c r="BO337" s="71"/>
      <c r="BP337" s="71"/>
      <c r="BQ337" s="71"/>
      <c r="BR337" s="71"/>
      <c r="BS337" s="71"/>
    </row>
    <row r="338" spans="1:71" ht="19.5" customHeight="1" x14ac:dyDescent="0.15">
      <c r="A338" s="56" t="s">
        <v>985</v>
      </c>
      <c r="B338" s="57" t="s">
        <v>986</v>
      </c>
      <c r="C338" s="58" t="s">
        <v>985</v>
      </c>
      <c r="D338" s="59" t="s">
        <v>985</v>
      </c>
      <c r="E338" s="61"/>
      <c r="F338" s="60" t="s">
        <v>95</v>
      </c>
      <c r="G338" s="61"/>
      <c r="H338" s="62"/>
      <c r="I338" s="75"/>
      <c r="J338" s="60" t="s">
        <v>95</v>
      </c>
      <c r="K338" s="64"/>
      <c r="L338" s="64"/>
      <c r="M338" s="64" t="s">
        <v>96</v>
      </c>
      <c r="N338" s="64" t="s">
        <v>97</v>
      </c>
      <c r="O338" s="65" t="s">
        <v>986</v>
      </c>
      <c r="P338" s="70" t="s">
        <v>96</v>
      </c>
      <c r="Q338" s="60" t="s">
        <v>95</v>
      </c>
      <c r="R338" s="60" t="s">
        <v>96</v>
      </c>
      <c r="S338" s="66" t="s">
        <v>96</v>
      </c>
      <c r="T338" s="67" t="s">
        <v>96</v>
      </c>
      <c r="U338" s="60" t="s">
        <v>96</v>
      </c>
      <c r="V338" s="60" t="s">
        <v>96</v>
      </c>
      <c r="W338" s="60" t="str" cm="1">
        <f t="array" ref="W338">_xlfn.LET(_xlpm.resultados,_xlfn.UNIQUE(_xlfn._xlws.FILTER(Tabla1[Proceso],(Tabla1[Metal Base]=Q338)*(Tabla1[Etiquetas]=_xlfn.TEXTJOIN(" + ",TRUE,IF((TRIM(Upload!R338:V338)="")+(LOWER(TRIM(Upload!R338:V338))="(seleccione)"),"",PROPER(TRIM(Upload!R338:V338)))))*(Tabla1[Línea2]=IFERROR(VLOOKUP(Upload!P338&amp;"*",CAT_Procesos!D:D,1,FALSE),"")))),_xlpm.cantidad,ROWS(_xlpm.resultados),IF(ISERROR(_xlpm.cantidad),"Combinación no existente",IF(_xlpm.cantidad=1,INDEX(_xlpm.resultados,1),"(seleccione)")))</f>
        <v>Combinación no existente</v>
      </c>
      <c r="X338" s="67" t="s">
        <v>96</v>
      </c>
      <c r="Y338" s="64"/>
      <c r="Z338" s="64"/>
      <c r="AA338" s="64"/>
      <c r="AB338" s="133" t="s">
        <v>96</v>
      </c>
      <c r="AC338" s="64"/>
      <c r="AD338" s="64"/>
      <c r="AE338" s="64"/>
      <c r="AF338" s="60" t="s">
        <v>96</v>
      </c>
      <c r="AG338" s="64"/>
      <c r="AH338" s="64"/>
      <c r="AI338" s="64"/>
      <c r="AJ338" s="68" t="s">
        <v>96</v>
      </c>
      <c r="AK338" s="69" t="str">
        <f t="shared" si="10"/>
        <v/>
      </c>
      <c r="AL338" s="70" t="s">
        <v>96</v>
      </c>
      <c r="AM338" s="69" t="str">
        <f t="shared" si="11"/>
        <v/>
      </c>
      <c r="AN338" s="71"/>
      <c r="AO338" s="71"/>
      <c r="AP338" s="71"/>
      <c r="AQ338" s="71"/>
      <c r="AR338" s="71" t="s">
        <v>96</v>
      </c>
      <c r="AS338" s="71"/>
      <c r="AT338" s="71" t="s">
        <v>96</v>
      </c>
      <c r="AU338" s="71"/>
      <c r="AV338" s="71" t="s">
        <v>95</v>
      </c>
      <c r="AW338" s="71"/>
      <c r="AX338" s="71"/>
      <c r="AY338" s="71"/>
      <c r="AZ338" s="71"/>
      <c r="BA338" s="71"/>
      <c r="BB338" s="70" t="s">
        <v>218</v>
      </c>
      <c r="BC338" s="70" t="s">
        <v>98</v>
      </c>
      <c r="BD338" s="72" t="str">
        <f>IF('Cálculo MP'!K348="","",'Cálculo MP'!K348)</f>
        <v/>
      </c>
      <c r="BE338" s="72" t="str">
        <f>IF('Cálculo MP'!L348="","",'Cálculo MP'!L348)</f>
        <v/>
      </c>
      <c r="BF338" s="72" t="str">
        <f>IF('Cálculo MP'!M348="","",'Cálculo MP'!M348)</f>
        <v/>
      </c>
      <c r="BG338" s="72" t="str">
        <f>IF('Cálculo MP'!N348="","",'Cálculo MP'!N348)</f>
        <v/>
      </c>
      <c r="BH338" s="72" t="str">
        <f>IF('Cálculo MP'!O348="","",'Cálculo MP'!O348)</f>
        <v/>
      </c>
      <c r="BI338" s="72" t="str">
        <f>IF('Cálculo MP'!P348="","",'Cálculo MP'!P348)</f>
        <v/>
      </c>
      <c r="BJ338" s="72" t="str">
        <f>IF('Cálculo MP'!Q348="","",'Cálculo MP'!Q348)</f>
        <v/>
      </c>
      <c r="BK338" s="72" t="str">
        <f>IF('Cálculo MP'!R348="","",'Cálculo MP'!R348)</f>
        <v/>
      </c>
      <c r="BL338" s="72" t="str">
        <f>IF('Cálculo MP'!S348="","",'Cálculo MP'!S348)</f>
        <v/>
      </c>
      <c r="BM338" s="71"/>
      <c r="BN338" s="71"/>
      <c r="BO338" s="71"/>
      <c r="BP338" s="71"/>
      <c r="BQ338" s="71"/>
      <c r="BR338" s="71"/>
      <c r="BS338" s="71"/>
    </row>
    <row r="339" spans="1:71" ht="19.5" customHeight="1" x14ac:dyDescent="0.15">
      <c r="A339" s="56" t="s">
        <v>985</v>
      </c>
      <c r="B339" s="57" t="s">
        <v>986</v>
      </c>
      <c r="C339" s="58" t="s">
        <v>985</v>
      </c>
      <c r="D339" s="59" t="s">
        <v>985</v>
      </c>
      <c r="E339" s="61"/>
      <c r="F339" s="60" t="s">
        <v>95</v>
      </c>
      <c r="G339" s="61"/>
      <c r="H339" s="62"/>
      <c r="I339" s="75"/>
      <c r="J339" s="60" t="s">
        <v>95</v>
      </c>
      <c r="K339" s="64"/>
      <c r="L339" s="64"/>
      <c r="M339" s="64" t="s">
        <v>96</v>
      </c>
      <c r="N339" s="64" t="s">
        <v>97</v>
      </c>
      <c r="O339" s="65" t="s">
        <v>986</v>
      </c>
      <c r="P339" s="70" t="s">
        <v>96</v>
      </c>
      <c r="Q339" s="60" t="s">
        <v>95</v>
      </c>
      <c r="R339" s="60" t="s">
        <v>96</v>
      </c>
      <c r="S339" s="66" t="s">
        <v>96</v>
      </c>
      <c r="T339" s="67" t="s">
        <v>96</v>
      </c>
      <c r="U339" s="60" t="s">
        <v>96</v>
      </c>
      <c r="V339" s="60" t="s">
        <v>96</v>
      </c>
      <c r="W339" s="60" t="str" cm="1">
        <f t="array" ref="W339">_xlfn.LET(_xlpm.resultados,_xlfn.UNIQUE(_xlfn._xlws.FILTER(Tabla1[Proceso],(Tabla1[Metal Base]=Q339)*(Tabla1[Etiquetas]=_xlfn.TEXTJOIN(" + ",TRUE,IF((TRIM(Upload!R339:V339)="")+(LOWER(TRIM(Upload!R339:V339))="(seleccione)"),"",PROPER(TRIM(Upload!R339:V339)))))*(Tabla1[Línea2]=IFERROR(VLOOKUP(Upload!P339&amp;"*",CAT_Procesos!D:D,1,FALSE),"")))),_xlpm.cantidad,ROWS(_xlpm.resultados),IF(ISERROR(_xlpm.cantidad),"Combinación no existente",IF(_xlpm.cantidad=1,INDEX(_xlpm.resultados,1),"(seleccione)")))</f>
        <v>Combinación no existente</v>
      </c>
      <c r="X339" s="67" t="s">
        <v>96</v>
      </c>
      <c r="Y339" s="64"/>
      <c r="Z339" s="64"/>
      <c r="AA339" s="64"/>
      <c r="AB339" s="133" t="s">
        <v>96</v>
      </c>
      <c r="AC339" s="64"/>
      <c r="AD339" s="64"/>
      <c r="AE339" s="64"/>
      <c r="AF339" s="60" t="s">
        <v>96</v>
      </c>
      <c r="AG339" s="64"/>
      <c r="AH339" s="64"/>
      <c r="AI339" s="64"/>
      <c r="AJ339" s="68" t="s">
        <v>96</v>
      </c>
      <c r="AK339" s="69" t="str">
        <f t="shared" si="10"/>
        <v/>
      </c>
      <c r="AL339" s="70" t="s">
        <v>96</v>
      </c>
      <c r="AM339" s="69" t="str">
        <f t="shared" si="11"/>
        <v/>
      </c>
      <c r="AN339" s="71"/>
      <c r="AO339" s="71"/>
      <c r="AP339" s="71"/>
      <c r="AQ339" s="71"/>
      <c r="AR339" s="71" t="s">
        <v>96</v>
      </c>
      <c r="AS339" s="71"/>
      <c r="AT339" s="71" t="s">
        <v>96</v>
      </c>
      <c r="AU339" s="71"/>
      <c r="AV339" s="71" t="s">
        <v>95</v>
      </c>
      <c r="AW339" s="71"/>
      <c r="AX339" s="71"/>
      <c r="AY339" s="71"/>
      <c r="AZ339" s="71"/>
      <c r="BA339" s="71"/>
      <c r="BB339" s="70" t="s">
        <v>218</v>
      </c>
      <c r="BC339" s="70" t="s">
        <v>98</v>
      </c>
      <c r="BD339" s="72" t="str">
        <f>IF('Cálculo MP'!K349="","",'Cálculo MP'!K349)</f>
        <v/>
      </c>
      <c r="BE339" s="72" t="str">
        <f>IF('Cálculo MP'!L349="","",'Cálculo MP'!L349)</f>
        <v/>
      </c>
      <c r="BF339" s="72" t="str">
        <f>IF('Cálculo MP'!M349="","",'Cálculo MP'!M349)</f>
        <v/>
      </c>
      <c r="BG339" s="72" t="str">
        <f>IF('Cálculo MP'!N349="","",'Cálculo MP'!N349)</f>
        <v/>
      </c>
      <c r="BH339" s="72" t="str">
        <f>IF('Cálculo MP'!O349="","",'Cálculo MP'!O349)</f>
        <v/>
      </c>
      <c r="BI339" s="72" t="str">
        <f>IF('Cálculo MP'!P349="","",'Cálculo MP'!P349)</f>
        <v/>
      </c>
      <c r="BJ339" s="72" t="str">
        <f>IF('Cálculo MP'!Q349="","",'Cálculo MP'!Q349)</f>
        <v/>
      </c>
      <c r="BK339" s="72" t="str">
        <f>IF('Cálculo MP'!R349="","",'Cálculo MP'!R349)</f>
        <v/>
      </c>
      <c r="BL339" s="72" t="str">
        <f>IF('Cálculo MP'!S349="","",'Cálculo MP'!S349)</f>
        <v/>
      </c>
      <c r="BM339" s="71"/>
      <c r="BN339" s="71"/>
      <c r="BO339" s="71"/>
      <c r="BP339" s="71"/>
      <c r="BQ339" s="71"/>
      <c r="BR339" s="71"/>
      <c r="BS339" s="71"/>
    </row>
    <row r="340" spans="1:71" ht="19.5" customHeight="1" x14ac:dyDescent="0.15">
      <c r="A340" s="56" t="s">
        <v>985</v>
      </c>
      <c r="B340" s="57" t="s">
        <v>986</v>
      </c>
      <c r="C340" s="58" t="s">
        <v>985</v>
      </c>
      <c r="D340" s="59" t="s">
        <v>985</v>
      </c>
      <c r="E340" s="61"/>
      <c r="F340" s="60" t="s">
        <v>95</v>
      </c>
      <c r="G340" s="61"/>
      <c r="H340" s="62"/>
      <c r="I340" s="75"/>
      <c r="J340" s="60" t="s">
        <v>95</v>
      </c>
      <c r="K340" s="64"/>
      <c r="L340" s="64"/>
      <c r="M340" s="64" t="s">
        <v>96</v>
      </c>
      <c r="N340" s="64" t="s">
        <v>97</v>
      </c>
      <c r="O340" s="65" t="s">
        <v>986</v>
      </c>
      <c r="P340" s="70" t="s">
        <v>96</v>
      </c>
      <c r="Q340" s="60" t="s">
        <v>95</v>
      </c>
      <c r="R340" s="60" t="s">
        <v>96</v>
      </c>
      <c r="S340" s="66" t="s">
        <v>96</v>
      </c>
      <c r="T340" s="67" t="s">
        <v>96</v>
      </c>
      <c r="U340" s="60" t="s">
        <v>96</v>
      </c>
      <c r="V340" s="60" t="s">
        <v>96</v>
      </c>
      <c r="W340" s="60" t="str" cm="1">
        <f t="array" ref="W340">_xlfn.LET(_xlpm.resultados,_xlfn.UNIQUE(_xlfn._xlws.FILTER(Tabla1[Proceso],(Tabla1[Metal Base]=Q340)*(Tabla1[Etiquetas]=_xlfn.TEXTJOIN(" + ",TRUE,IF((TRIM(Upload!R340:V340)="")+(LOWER(TRIM(Upload!R340:V340))="(seleccione)"),"",PROPER(TRIM(Upload!R340:V340)))))*(Tabla1[Línea2]=IFERROR(VLOOKUP(Upload!P340&amp;"*",CAT_Procesos!D:D,1,FALSE),"")))),_xlpm.cantidad,ROWS(_xlpm.resultados),IF(ISERROR(_xlpm.cantidad),"Combinación no existente",IF(_xlpm.cantidad=1,INDEX(_xlpm.resultados,1),"(seleccione)")))</f>
        <v>Combinación no existente</v>
      </c>
      <c r="X340" s="67" t="s">
        <v>96</v>
      </c>
      <c r="Y340" s="64"/>
      <c r="Z340" s="64"/>
      <c r="AA340" s="64"/>
      <c r="AB340" s="133" t="s">
        <v>96</v>
      </c>
      <c r="AC340" s="64"/>
      <c r="AD340" s="64"/>
      <c r="AE340" s="64"/>
      <c r="AF340" s="60" t="s">
        <v>96</v>
      </c>
      <c r="AG340" s="64"/>
      <c r="AH340" s="64"/>
      <c r="AI340" s="64"/>
      <c r="AJ340" s="68" t="s">
        <v>96</v>
      </c>
      <c r="AK340" s="69" t="str">
        <f t="shared" si="10"/>
        <v/>
      </c>
      <c r="AL340" s="70" t="s">
        <v>96</v>
      </c>
      <c r="AM340" s="69" t="str">
        <f t="shared" si="11"/>
        <v/>
      </c>
      <c r="AN340" s="71"/>
      <c r="AO340" s="71"/>
      <c r="AP340" s="71"/>
      <c r="AQ340" s="71"/>
      <c r="AR340" s="71" t="s">
        <v>96</v>
      </c>
      <c r="AS340" s="71"/>
      <c r="AT340" s="71" t="s">
        <v>96</v>
      </c>
      <c r="AU340" s="71"/>
      <c r="AV340" s="71" t="s">
        <v>95</v>
      </c>
      <c r="AW340" s="71"/>
      <c r="AX340" s="71"/>
      <c r="AY340" s="71"/>
      <c r="AZ340" s="71"/>
      <c r="BA340" s="71"/>
      <c r="BB340" s="70" t="s">
        <v>218</v>
      </c>
      <c r="BC340" s="70" t="s">
        <v>98</v>
      </c>
      <c r="BD340" s="72" t="str">
        <f>IF('Cálculo MP'!K350="","",'Cálculo MP'!K350)</f>
        <v/>
      </c>
      <c r="BE340" s="72" t="str">
        <f>IF('Cálculo MP'!L350="","",'Cálculo MP'!L350)</f>
        <v/>
      </c>
      <c r="BF340" s="72" t="str">
        <f>IF('Cálculo MP'!M350="","",'Cálculo MP'!M350)</f>
        <v/>
      </c>
      <c r="BG340" s="72" t="str">
        <f>IF('Cálculo MP'!N350="","",'Cálculo MP'!N350)</f>
        <v/>
      </c>
      <c r="BH340" s="72" t="str">
        <f>IF('Cálculo MP'!O350="","",'Cálculo MP'!O350)</f>
        <v/>
      </c>
      <c r="BI340" s="72" t="str">
        <f>IF('Cálculo MP'!P350="","",'Cálculo MP'!P350)</f>
        <v/>
      </c>
      <c r="BJ340" s="72" t="str">
        <f>IF('Cálculo MP'!Q350="","",'Cálculo MP'!Q350)</f>
        <v/>
      </c>
      <c r="BK340" s="72" t="str">
        <f>IF('Cálculo MP'!R350="","",'Cálculo MP'!R350)</f>
        <v/>
      </c>
      <c r="BL340" s="72" t="str">
        <f>IF('Cálculo MP'!S350="","",'Cálculo MP'!S350)</f>
        <v/>
      </c>
      <c r="BM340" s="71"/>
      <c r="BN340" s="71"/>
      <c r="BO340" s="71"/>
      <c r="BP340" s="71"/>
      <c r="BQ340" s="71"/>
      <c r="BR340" s="71"/>
      <c r="BS340" s="71"/>
    </row>
    <row r="341" spans="1:71" ht="19.5" customHeight="1" x14ac:dyDescent="0.15">
      <c r="A341" s="56" t="s">
        <v>985</v>
      </c>
      <c r="B341" s="57" t="s">
        <v>986</v>
      </c>
      <c r="C341" s="58" t="s">
        <v>985</v>
      </c>
      <c r="D341" s="59" t="s">
        <v>985</v>
      </c>
      <c r="E341" s="61"/>
      <c r="F341" s="60" t="s">
        <v>95</v>
      </c>
      <c r="G341" s="61"/>
      <c r="H341" s="62"/>
      <c r="I341" s="75"/>
      <c r="J341" s="60" t="s">
        <v>95</v>
      </c>
      <c r="K341" s="64"/>
      <c r="L341" s="64"/>
      <c r="M341" s="64" t="s">
        <v>96</v>
      </c>
      <c r="N341" s="64" t="s">
        <v>97</v>
      </c>
      <c r="O341" s="65" t="s">
        <v>986</v>
      </c>
      <c r="P341" s="70" t="s">
        <v>96</v>
      </c>
      <c r="Q341" s="60" t="s">
        <v>95</v>
      </c>
      <c r="R341" s="60" t="s">
        <v>96</v>
      </c>
      <c r="S341" s="66" t="s">
        <v>96</v>
      </c>
      <c r="T341" s="67" t="s">
        <v>96</v>
      </c>
      <c r="U341" s="60" t="s">
        <v>96</v>
      </c>
      <c r="V341" s="60" t="s">
        <v>96</v>
      </c>
      <c r="W341" s="60" t="str" cm="1">
        <f t="array" ref="W341">_xlfn.LET(_xlpm.resultados,_xlfn.UNIQUE(_xlfn._xlws.FILTER(Tabla1[Proceso],(Tabla1[Metal Base]=Q341)*(Tabla1[Etiquetas]=_xlfn.TEXTJOIN(" + ",TRUE,IF((TRIM(Upload!R341:V341)="")+(LOWER(TRIM(Upload!R341:V341))="(seleccione)"),"",PROPER(TRIM(Upload!R341:V341)))))*(Tabla1[Línea2]=IFERROR(VLOOKUP(Upload!P341&amp;"*",CAT_Procesos!D:D,1,FALSE),"")))),_xlpm.cantidad,ROWS(_xlpm.resultados),IF(ISERROR(_xlpm.cantidad),"Combinación no existente",IF(_xlpm.cantidad=1,INDEX(_xlpm.resultados,1),"(seleccione)")))</f>
        <v>Combinación no existente</v>
      </c>
      <c r="X341" s="67" t="s">
        <v>96</v>
      </c>
      <c r="Y341" s="64"/>
      <c r="Z341" s="64"/>
      <c r="AA341" s="64"/>
      <c r="AB341" s="133" t="s">
        <v>96</v>
      </c>
      <c r="AC341" s="64"/>
      <c r="AD341" s="64"/>
      <c r="AE341" s="64"/>
      <c r="AF341" s="60" t="s">
        <v>96</v>
      </c>
      <c r="AG341" s="64"/>
      <c r="AH341" s="64"/>
      <c r="AI341" s="64"/>
      <c r="AJ341" s="68" t="s">
        <v>96</v>
      </c>
      <c r="AK341" s="69" t="str">
        <f t="shared" si="10"/>
        <v/>
      </c>
      <c r="AL341" s="70" t="s">
        <v>96</v>
      </c>
      <c r="AM341" s="69" t="str">
        <f t="shared" si="11"/>
        <v/>
      </c>
      <c r="AN341" s="71"/>
      <c r="AO341" s="71"/>
      <c r="AP341" s="71"/>
      <c r="AQ341" s="71"/>
      <c r="AR341" s="71" t="s">
        <v>96</v>
      </c>
      <c r="AS341" s="71"/>
      <c r="AT341" s="71" t="s">
        <v>96</v>
      </c>
      <c r="AU341" s="71"/>
      <c r="AV341" s="71" t="s">
        <v>95</v>
      </c>
      <c r="AW341" s="71"/>
      <c r="AX341" s="71"/>
      <c r="AY341" s="71"/>
      <c r="AZ341" s="71"/>
      <c r="BA341" s="71"/>
      <c r="BB341" s="70" t="s">
        <v>218</v>
      </c>
      <c r="BC341" s="70" t="s">
        <v>98</v>
      </c>
      <c r="BD341" s="72" t="str">
        <f>IF('Cálculo MP'!K351="","",'Cálculo MP'!K351)</f>
        <v/>
      </c>
      <c r="BE341" s="72" t="str">
        <f>IF('Cálculo MP'!L351="","",'Cálculo MP'!L351)</f>
        <v/>
      </c>
      <c r="BF341" s="72" t="str">
        <f>IF('Cálculo MP'!M351="","",'Cálculo MP'!M351)</f>
        <v/>
      </c>
      <c r="BG341" s="72" t="str">
        <f>IF('Cálculo MP'!N351="","",'Cálculo MP'!N351)</f>
        <v/>
      </c>
      <c r="BH341" s="72" t="str">
        <f>IF('Cálculo MP'!O351="","",'Cálculo MP'!O351)</f>
        <v/>
      </c>
      <c r="BI341" s="72" t="str">
        <f>IF('Cálculo MP'!P351="","",'Cálculo MP'!P351)</f>
        <v/>
      </c>
      <c r="BJ341" s="72" t="str">
        <f>IF('Cálculo MP'!Q351="","",'Cálculo MP'!Q351)</f>
        <v/>
      </c>
      <c r="BK341" s="72" t="str">
        <f>IF('Cálculo MP'!R351="","",'Cálculo MP'!R351)</f>
        <v/>
      </c>
      <c r="BL341" s="72" t="str">
        <f>IF('Cálculo MP'!S351="","",'Cálculo MP'!S351)</f>
        <v/>
      </c>
      <c r="BM341" s="71"/>
      <c r="BN341" s="71"/>
      <c r="BO341" s="71"/>
      <c r="BP341" s="71"/>
      <c r="BQ341" s="71"/>
      <c r="BR341" s="71"/>
      <c r="BS341" s="71"/>
    </row>
    <row r="342" spans="1:71" ht="19.5" customHeight="1" x14ac:dyDescent="0.15">
      <c r="A342" s="56" t="s">
        <v>985</v>
      </c>
      <c r="B342" s="57" t="s">
        <v>986</v>
      </c>
      <c r="C342" s="58" t="s">
        <v>985</v>
      </c>
      <c r="D342" s="59" t="s">
        <v>985</v>
      </c>
      <c r="E342" s="61"/>
      <c r="F342" s="60" t="s">
        <v>95</v>
      </c>
      <c r="G342" s="61"/>
      <c r="H342" s="62"/>
      <c r="I342" s="75"/>
      <c r="J342" s="60" t="s">
        <v>95</v>
      </c>
      <c r="K342" s="64"/>
      <c r="L342" s="64"/>
      <c r="M342" s="64" t="s">
        <v>96</v>
      </c>
      <c r="N342" s="64" t="s">
        <v>97</v>
      </c>
      <c r="O342" s="65" t="s">
        <v>986</v>
      </c>
      <c r="P342" s="70" t="s">
        <v>96</v>
      </c>
      <c r="Q342" s="60" t="s">
        <v>95</v>
      </c>
      <c r="R342" s="60" t="s">
        <v>96</v>
      </c>
      <c r="S342" s="66" t="s">
        <v>96</v>
      </c>
      <c r="T342" s="67" t="s">
        <v>96</v>
      </c>
      <c r="U342" s="60" t="s">
        <v>96</v>
      </c>
      <c r="V342" s="60" t="s">
        <v>96</v>
      </c>
      <c r="W342" s="60" t="str" cm="1">
        <f t="array" ref="W342">_xlfn.LET(_xlpm.resultados,_xlfn.UNIQUE(_xlfn._xlws.FILTER(Tabla1[Proceso],(Tabla1[Metal Base]=Q342)*(Tabla1[Etiquetas]=_xlfn.TEXTJOIN(" + ",TRUE,IF((TRIM(Upload!R342:V342)="")+(LOWER(TRIM(Upload!R342:V342))="(seleccione)"),"",PROPER(TRIM(Upload!R342:V342)))))*(Tabla1[Línea2]=IFERROR(VLOOKUP(Upload!P342&amp;"*",CAT_Procesos!D:D,1,FALSE),"")))),_xlpm.cantidad,ROWS(_xlpm.resultados),IF(ISERROR(_xlpm.cantidad),"Combinación no existente",IF(_xlpm.cantidad=1,INDEX(_xlpm.resultados,1),"(seleccione)")))</f>
        <v>Combinación no existente</v>
      </c>
      <c r="X342" s="67" t="s">
        <v>96</v>
      </c>
      <c r="Y342" s="64"/>
      <c r="Z342" s="64"/>
      <c r="AA342" s="64"/>
      <c r="AB342" s="133" t="s">
        <v>96</v>
      </c>
      <c r="AC342" s="64"/>
      <c r="AD342" s="64"/>
      <c r="AE342" s="64"/>
      <c r="AF342" s="60" t="s">
        <v>96</v>
      </c>
      <c r="AG342" s="64"/>
      <c r="AH342" s="64"/>
      <c r="AI342" s="64"/>
      <c r="AJ342" s="68" t="s">
        <v>96</v>
      </c>
      <c r="AK342" s="69" t="str">
        <f t="shared" si="10"/>
        <v/>
      </c>
      <c r="AL342" s="70" t="s">
        <v>96</v>
      </c>
      <c r="AM342" s="69" t="str">
        <f t="shared" si="11"/>
        <v/>
      </c>
      <c r="AN342" s="71"/>
      <c r="AO342" s="71"/>
      <c r="AP342" s="71"/>
      <c r="AQ342" s="71"/>
      <c r="AR342" s="71" t="s">
        <v>96</v>
      </c>
      <c r="AS342" s="71"/>
      <c r="AT342" s="71" t="s">
        <v>96</v>
      </c>
      <c r="AU342" s="71"/>
      <c r="AV342" s="71" t="s">
        <v>95</v>
      </c>
      <c r="AW342" s="71"/>
      <c r="AX342" s="71"/>
      <c r="AY342" s="71"/>
      <c r="AZ342" s="71"/>
      <c r="BA342" s="71"/>
      <c r="BB342" s="70" t="s">
        <v>218</v>
      </c>
      <c r="BC342" s="70" t="s">
        <v>98</v>
      </c>
      <c r="BD342" s="72" t="str">
        <f>IF('Cálculo MP'!K352="","",'Cálculo MP'!K352)</f>
        <v/>
      </c>
      <c r="BE342" s="72" t="str">
        <f>IF('Cálculo MP'!L352="","",'Cálculo MP'!L352)</f>
        <v/>
      </c>
      <c r="BF342" s="72" t="str">
        <f>IF('Cálculo MP'!M352="","",'Cálculo MP'!M352)</f>
        <v/>
      </c>
      <c r="BG342" s="72" t="str">
        <f>IF('Cálculo MP'!N352="","",'Cálculo MP'!N352)</f>
        <v/>
      </c>
      <c r="BH342" s="72" t="str">
        <f>IF('Cálculo MP'!O352="","",'Cálculo MP'!O352)</f>
        <v/>
      </c>
      <c r="BI342" s="72" t="str">
        <f>IF('Cálculo MP'!P352="","",'Cálculo MP'!P352)</f>
        <v/>
      </c>
      <c r="BJ342" s="72" t="str">
        <f>IF('Cálculo MP'!Q352="","",'Cálculo MP'!Q352)</f>
        <v/>
      </c>
      <c r="BK342" s="72" t="str">
        <f>IF('Cálculo MP'!R352="","",'Cálculo MP'!R352)</f>
        <v/>
      </c>
      <c r="BL342" s="72" t="str">
        <f>IF('Cálculo MP'!S352="","",'Cálculo MP'!S352)</f>
        <v/>
      </c>
      <c r="BM342" s="71"/>
      <c r="BN342" s="71"/>
      <c r="BO342" s="71"/>
      <c r="BP342" s="71"/>
      <c r="BQ342" s="71"/>
      <c r="BR342" s="71"/>
      <c r="BS342" s="71"/>
    </row>
    <row r="343" spans="1:71" ht="19.5" customHeight="1" x14ac:dyDescent="0.15">
      <c r="A343" s="56" t="s">
        <v>985</v>
      </c>
      <c r="B343" s="57" t="s">
        <v>986</v>
      </c>
      <c r="C343" s="58" t="s">
        <v>985</v>
      </c>
      <c r="D343" s="59" t="s">
        <v>985</v>
      </c>
      <c r="E343" s="61"/>
      <c r="F343" s="60" t="s">
        <v>95</v>
      </c>
      <c r="G343" s="61"/>
      <c r="H343" s="62"/>
      <c r="I343" s="75"/>
      <c r="J343" s="60" t="s">
        <v>95</v>
      </c>
      <c r="K343" s="64"/>
      <c r="L343" s="64"/>
      <c r="M343" s="64" t="s">
        <v>96</v>
      </c>
      <c r="N343" s="64" t="s">
        <v>97</v>
      </c>
      <c r="O343" s="65" t="s">
        <v>986</v>
      </c>
      <c r="P343" s="70" t="s">
        <v>96</v>
      </c>
      <c r="Q343" s="60" t="s">
        <v>95</v>
      </c>
      <c r="R343" s="60" t="s">
        <v>96</v>
      </c>
      <c r="S343" s="66" t="s">
        <v>96</v>
      </c>
      <c r="T343" s="67" t="s">
        <v>96</v>
      </c>
      <c r="U343" s="60" t="s">
        <v>96</v>
      </c>
      <c r="V343" s="60" t="s">
        <v>96</v>
      </c>
      <c r="W343" s="60" t="str" cm="1">
        <f t="array" ref="W343">_xlfn.LET(_xlpm.resultados,_xlfn.UNIQUE(_xlfn._xlws.FILTER(Tabla1[Proceso],(Tabla1[Metal Base]=Q343)*(Tabla1[Etiquetas]=_xlfn.TEXTJOIN(" + ",TRUE,IF((TRIM(Upload!R343:V343)="")+(LOWER(TRIM(Upload!R343:V343))="(seleccione)"),"",PROPER(TRIM(Upload!R343:V343)))))*(Tabla1[Línea2]=IFERROR(VLOOKUP(Upload!P343&amp;"*",CAT_Procesos!D:D,1,FALSE),"")))),_xlpm.cantidad,ROWS(_xlpm.resultados),IF(ISERROR(_xlpm.cantidad),"Combinación no existente",IF(_xlpm.cantidad=1,INDEX(_xlpm.resultados,1),"(seleccione)")))</f>
        <v>Combinación no existente</v>
      </c>
      <c r="X343" s="67" t="s">
        <v>96</v>
      </c>
      <c r="Y343" s="64"/>
      <c r="Z343" s="64"/>
      <c r="AA343" s="64"/>
      <c r="AB343" s="133" t="s">
        <v>96</v>
      </c>
      <c r="AC343" s="64"/>
      <c r="AD343" s="64"/>
      <c r="AE343" s="64"/>
      <c r="AF343" s="60" t="s">
        <v>96</v>
      </c>
      <c r="AG343" s="64"/>
      <c r="AH343" s="64"/>
      <c r="AI343" s="64"/>
      <c r="AJ343" s="68" t="s">
        <v>96</v>
      </c>
      <c r="AK343" s="69" t="str">
        <f t="shared" si="10"/>
        <v/>
      </c>
      <c r="AL343" s="70" t="s">
        <v>96</v>
      </c>
      <c r="AM343" s="69" t="str">
        <f t="shared" si="11"/>
        <v/>
      </c>
      <c r="AN343" s="71"/>
      <c r="AO343" s="71"/>
      <c r="AP343" s="71"/>
      <c r="AQ343" s="71"/>
      <c r="AR343" s="71" t="s">
        <v>96</v>
      </c>
      <c r="AS343" s="71"/>
      <c r="AT343" s="71" t="s">
        <v>96</v>
      </c>
      <c r="AU343" s="71"/>
      <c r="AV343" s="71" t="s">
        <v>95</v>
      </c>
      <c r="AW343" s="71"/>
      <c r="AX343" s="71"/>
      <c r="AY343" s="71"/>
      <c r="AZ343" s="71"/>
      <c r="BA343" s="71"/>
      <c r="BB343" s="70" t="s">
        <v>218</v>
      </c>
      <c r="BC343" s="70" t="s">
        <v>98</v>
      </c>
      <c r="BD343" s="72" t="str">
        <f>IF('Cálculo MP'!K353="","",'Cálculo MP'!K353)</f>
        <v/>
      </c>
      <c r="BE343" s="72" t="str">
        <f>IF('Cálculo MP'!L353="","",'Cálculo MP'!L353)</f>
        <v/>
      </c>
      <c r="BF343" s="72" t="str">
        <f>IF('Cálculo MP'!M353="","",'Cálculo MP'!M353)</f>
        <v/>
      </c>
      <c r="BG343" s="72" t="str">
        <f>IF('Cálculo MP'!N353="","",'Cálculo MP'!N353)</f>
        <v/>
      </c>
      <c r="BH343" s="72" t="str">
        <f>IF('Cálculo MP'!O353="","",'Cálculo MP'!O353)</f>
        <v/>
      </c>
      <c r="BI343" s="72" t="str">
        <f>IF('Cálculo MP'!P353="","",'Cálculo MP'!P353)</f>
        <v/>
      </c>
      <c r="BJ343" s="72" t="str">
        <f>IF('Cálculo MP'!Q353="","",'Cálculo MP'!Q353)</f>
        <v/>
      </c>
      <c r="BK343" s="72" t="str">
        <f>IF('Cálculo MP'!R353="","",'Cálculo MP'!R353)</f>
        <v/>
      </c>
      <c r="BL343" s="72" t="str">
        <f>IF('Cálculo MP'!S353="","",'Cálculo MP'!S353)</f>
        <v/>
      </c>
      <c r="BM343" s="71"/>
      <c r="BN343" s="71"/>
      <c r="BO343" s="71"/>
      <c r="BP343" s="71"/>
      <c r="BQ343" s="71"/>
      <c r="BR343" s="71"/>
      <c r="BS343" s="71"/>
    </row>
    <row r="344" spans="1:71" ht="19.5" customHeight="1" x14ac:dyDescent="0.15">
      <c r="A344" s="56" t="s">
        <v>985</v>
      </c>
      <c r="B344" s="57" t="s">
        <v>986</v>
      </c>
      <c r="C344" s="58" t="s">
        <v>985</v>
      </c>
      <c r="D344" s="59" t="s">
        <v>985</v>
      </c>
      <c r="E344" s="61"/>
      <c r="F344" s="60" t="s">
        <v>95</v>
      </c>
      <c r="G344" s="61"/>
      <c r="H344" s="62"/>
      <c r="I344" s="75"/>
      <c r="J344" s="60" t="s">
        <v>95</v>
      </c>
      <c r="K344" s="64"/>
      <c r="L344" s="64"/>
      <c r="M344" s="64" t="s">
        <v>96</v>
      </c>
      <c r="N344" s="64" t="s">
        <v>97</v>
      </c>
      <c r="O344" s="65" t="s">
        <v>986</v>
      </c>
      <c r="P344" s="70" t="s">
        <v>96</v>
      </c>
      <c r="Q344" s="60" t="s">
        <v>95</v>
      </c>
      <c r="R344" s="60" t="s">
        <v>96</v>
      </c>
      <c r="S344" s="66" t="s">
        <v>96</v>
      </c>
      <c r="T344" s="67" t="s">
        <v>96</v>
      </c>
      <c r="U344" s="60" t="s">
        <v>96</v>
      </c>
      <c r="V344" s="60" t="s">
        <v>96</v>
      </c>
      <c r="W344" s="60" t="str" cm="1">
        <f t="array" ref="W344">_xlfn.LET(_xlpm.resultados,_xlfn.UNIQUE(_xlfn._xlws.FILTER(Tabla1[Proceso],(Tabla1[Metal Base]=Q344)*(Tabla1[Etiquetas]=_xlfn.TEXTJOIN(" + ",TRUE,IF((TRIM(Upload!R344:V344)="")+(LOWER(TRIM(Upload!R344:V344))="(seleccione)"),"",PROPER(TRIM(Upload!R344:V344)))))*(Tabla1[Línea2]=IFERROR(VLOOKUP(Upload!P344&amp;"*",CAT_Procesos!D:D,1,FALSE),"")))),_xlpm.cantidad,ROWS(_xlpm.resultados),IF(ISERROR(_xlpm.cantidad),"Combinación no existente",IF(_xlpm.cantidad=1,INDEX(_xlpm.resultados,1),"(seleccione)")))</f>
        <v>Combinación no existente</v>
      </c>
      <c r="X344" s="67" t="s">
        <v>96</v>
      </c>
      <c r="Y344" s="64"/>
      <c r="Z344" s="64"/>
      <c r="AA344" s="64"/>
      <c r="AB344" s="133" t="s">
        <v>96</v>
      </c>
      <c r="AC344" s="64"/>
      <c r="AD344" s="64"/>
      <c r="AE344" s="64"/>
      <c r="AF344" s="60" t="s">
        <v>96</v>
      </c>
      <c r="AG344" s="64"/>
      <c r="AH344" s="64"/>
      <c r="AI344" s="64"/>
      <c r="AJ344" s="68" t="s">
        <v>96</v>
      </c>
      <c r="AK344" s="69" t="str">
        <f t="shared" si="10"/>
        <v/>
      </c>
      <c r="AL344" s="70" t="s">
        <v>96</v>
      </c>
      <c r="AM344" s="69" t="str">
        <f t="shared" si="11"/>
        <v/>
      </c>
      <c r="AN344" s="71"/>
      <c r="AO344" s="71"/>
      <c r="AP344" s="71"/>
      <c r="AQ344" s="71"/>
      <c r="AR344" s="71" t="s">
        <v>96</v>
      </c>
      <c r="AS344" s="71"/>
      <c r="AT344" s="71" t="s">
        <v>96</v>
      </c>
      <c r="AU344" s="71"/>
      <c r="AV344" s="71" t="s">
        <v>95</v>
      </c>
      <c r="AW344" s="71"/>
      <c r="AX344" s="71"/>
      <c r="AY344" s="71"/>
      <c r="AZ344" s="71"/>
      <c r="BA344" s="71"/>
      <c r="BB344" s="70" t="s">
        <v>218</v>
      </c>
      <c r="BC344" s="70" t="s">
        <v>98</v>
      </c>
      <c r="BD344" s="72" t="str">
        <f>IF('Cálculo MP'!K354="","",'Cálculo MP'!K354)</f>
        <v/>
      </c>
      <c r="BE344" s="72" t="str">
        <f>IF('Cálculo MP'!L354="","",'Cálculo MP'!L354)</f>
        <v/>
      </c>
      <c r="BF344" s="72" t="str">
        <f>IF('Cálculo MP'!M354="","",'Cálculo MP'!M354)</f>
        <v/>
      </c>
      <c r="BG344" s="72" t="str">
        <f>IF('Cálculo MP'!N354="","",'Cálculo MP'!N354)</f>
        <v/>
      </c>
      <c r="BH344" s="72" t="str">
        <f>IF('Cálculo MP'!O354="","",'Cálculo MP'!O354)</f>
        <v/>
      </c>
      <c r="BI344" s="72" t="str">
        <f>IF('Cálculo MP'!P354="","",'Cálculo MP'!P354)</f>
        <v/>
      </c>
      <c r="BJ344" s="72" t="str">
        <f>IF('Cálculo MP'!Q354="","",'Cálculo MP'!Q354)</f>
        <v/>
      </c>
      <c r="BK344" s="72" t="str">
        <f>IF('Cálculo MP'!R354="","",'Cálculo MP'!R354)</f>
        <v/>
      </c>
      <c r="BL344" s="72" t="str">
        <f>IF('Cálculo MP'!S354="","",'Cálculo MP'!S354)</f>
        <v/>
      </c>
      <c r="BM344" s="71"/>
      <c r="BN344" s="71"/>
      <c r="BO344" s="71"/>
      <c r="BP344" s="71"/>
      <c r="BQ344" s="71"/>
      <c r="BR344" s="71"/>
      <c r="BS344" s="71"/>
    </row>
    <row r="345" spans="1:71" ht="19.5" customHeight="1" x14ac:dyDescent="0.15">
      <c r="A345" s="56" t="s">
        <v>985</v>
      </c>
      <c r="B345" s="57" t="s">
        <v>986</v>
      </c>
      <c r="C345" s="58" t="s">
        <v>985</v>
      </c>
      <c r="D345" s="59" t="s">
        <v>985</v>
      </c>
      <c r="E345" s="61"/>
      <c r="F345" s="60" t="s">
        <v>95</v>
      </c>
      <c r="G345" s="61"/>
      <c r="H345" s="62"/>
      <c r="I345" s="75"/>
      <c r="J345" s="60" t="s">
        <v>95</v>
      </c>
      <c r="K345" s="64"/>
      <c r="L345" s="64"/>
      <c r="M345" s="64" t="s">
        <v>96</v>
      </c>
      <c r="N345" s="64" t="s">
        <v>97</v>
      </c>
      <c r="O345" s="65" t="s">
        <v>986</v>
      </c>
      <c r="P345" s="70" t="s">
        <v>96</v>
      </c>
      <c r="Q345" s="60" t="s">
        <v>95</v>
      </c>
      <c r="R345" s="60" t="s">
        <v>96</v>
      </c>
      <c r="S345" s="66" t="s">
        <v>96</v>
      </c>
      <c r="T345" s="67" t="s">
        <v>96</v>
      </c>
      <c r="U345" s="60" t="s">
        <v>96</v>
      </c>
      <c r="V345" s="60" t="s">
        <v>96</v>
      </c>
      <c r="W345" s="60" t="str" cm="1">
        <f t="array" ref="W345">_xlfn.LET(_xlpm.resultados,_xlfn.UNIQUE(_xlfn._xlws.FILTER(Tabla1[Proceso],(Tabla1[Metal Base]=Q345)*(Tabla1[Etiquetas]=_xlfn.TEXTJOIN(" + ",TRUE,IF((TRIM(Upload!R345:V345)="")+(LOWER(TRIM(Upload!R345:V345))="(seleccione)"),"",PROPER(TRIM(Upload!R345:V345)))))*(Tabla1[Línea2]=IFERROR(VLOOKUP(Upload!P345&amp;"*",CAT_Procesos!D:D,1,FALSE),"")))),_xlpm.cantidad,ROWS(_xlpm.resultados),IF(ISERROR(_xlpm.cantidad),"Combinación no existente",IF(_xlpm.cantidad=1,INDEX(_xlpm.resultados,1),"(seleccione)")))</f>
        <v>Combinación no existente</v>
      </c>
      <c r="X345" s="67" t="s">
        <v>96</v>
      </c>
      <c r="Y345" s="64"/>
      <c r="Z345" s="64"/>
      <c r="AA345" s="64"/>
      <c r="AB345" s="133" t="s">
        <v>96</v>
      </c>
      <c r="AC345" s="64"/>
      <c r="AD345" s="64"/>
      <c r="AE345" s="64"/>
      <c r="AF345" s="60" t="s">
        <v>96</v>
      </c>
      <c r="AG345" s="64"/>
      <c r="AH345" s="64"/>
      <c r="AI345" s="64"/>
      <c r="AJ345" s="68" t="s">
        <v>96</v>
      </c>
      <c r="AK345" s="69" t="str">
        <f t="shared" si="10"/>
        <v/>
      </c>
      <c r="AL345" s="70" t="s">
        <v>96</v>
      </c>
      <c r="AM345" s="69" t="str">
        <f t="shared" si="11"/>
        <v/>
      </c>
      <c r="AN345" s="71"/>
      <c r="AO345" s="71"/>
      <c r="AP345" s="71"/>
      <c r="AQ345" s="71"/>
      <c r="AR345" s="71" t="s">
        <v>96</v>
      </c>
      <c r="AS345" s="71"/>
      <c r="AT345" s="71" t="s">
        <v>96</v>
      </c>
      <c r="AU345" s="71"/>
      <c r="AV345" s="71" t="s">
        <v>95</v>
      </c>
      <c r="AW345" s="71"/>
      <c r="AX345" s="71"/>
      <c r="AY345" s="71"/>
      <c r="AZ345" s="71"/>
      <c r="BA345" s="71"/>
      <c r="BB345" s="70" t="s">
        <v>218</v>
      </c>
      <c r="BC345" s="70" t="s">
        <v>98</v>
      </c>
      <c r="BD345" s="72" t="str">
        <f>IF('Cálculo MP'!K355="","",'Cálculo MP'!K355)</f>
        <v/>
      </c>
      <c r="BE345" s="72" t="str">
        <f>IF('Cálculo MP'!L355="","",'Cálculo MP'!L355)</f>
        <v/>
      </c>
      <c r="BF345" s="72" t="str">
        <f>IF('Cálculo MP'!M355="","",'Cálculo MP'!M355)</f>
        <v/>
      </c>
      <c r="BG345" s="72" t="str">
        <f>IF('Cálculo MP'!N355="","",'Cálculo MP'!N355)</f>
        <v/>
      </c>
      <c r="BH345" s="72" t="str">
        <f>IF('Cálculo MP'!O355="","",'Cálculo MP'!O355)</f>
        <v/>
      </c>
      <c r="BI345" s="72" t="str">
        <f>IF('Cálculo MP'!P355="","",'Cálculo MP'!P355)</f>
        <v/>
      </c>
      <c r="BJ345" s="72" t="str">
        <f>IF('Cálculo MP'!Q355="","",'Cálculo MP'!Q355)</f>
        <v/>
      </c>
      <c r="BK345" s="72" t="str">
        <f>IF('Cálculo MP'!R355="","",'Cálculo MP'!R355)</f>
        <v/>
      </c>
      <c r="BL345" s="72" t="str">
        <f>IF('Cálculo MP'!S355="","",'Cálculo MP'!S355)</f>
        <v/>
      </c>
      <c r="BM345" s="71"/>
      <c r="BN345" s="71"/>
      <c r="BO345" s="71"/>
      <c r="BP345" s="71"/>
      <c r="BQ345" s="71"/>
      <c r="BR345" s="71"/>
      <c r="BS345" s="71"/>
    </row>
    <row r="346" spans="1:71" ht="19.5" customHeight="1" x14ac:dyDescent="0.15">
      <c r="A346" s="56" t="s">
        <v>985</v>
      </c>
      <c r="B346" s="57" t="s">
        <v>986</v>
      </c>
      <c r="C346" s="58" t="s">
        <v>985</v>
      </c>
      <c r="D346" s="59" t="s">
        <v>985</v>
      </c>
      <c r="E346" s="61"/>
      <c r="F346" s="60" t="s">
        <v>95</v>
      </c>
      <c r="G346" s="61"/>
      <c r="H346" s="62"/>
      <c r="I346" s="75"/>
      <c r="J346" s="60" t="s">
        <v>95</v>
      </c>
      <c r="K346" s="64"/>
      <c r="L346" s="64"/>
      <c r="M346" s="64" t="s">
        <v>96</v>
      </c>
      <c r="N346" s="64" t="s">
        <v>97</v>
      </c>
      <c r="O346" s="65" t="s">
        <v>986</v>
      </c>
      <c r="P346" s="70" t="s">
        <v>96</v>
      </c>
      <c r="Q346" s="60" t="s">
        <v>95</v>
      </c>
      <c r="R346" s="60" t="s">
        <v>96</v>
      </c>
      <c r="S346" s="66" t="s">
        <v>96</v>
      </c>
      <c r="T346" s="67" t="s">
        <v>96</v>
      </c>
      <c r="U346" s="60" t="s">
        <v>96</v>
      </c>
      <c r="V346" s="60" t="s">
        <v>96</v>
      </c>
      <c r="W346" s="60" t="str" cm="1">
        <f t="array" ref="W346">_xlfn.LET(_xlpm.resultados,_xlfn.UNIQUE(_xlfn._xlws.FILTER(Tabla1[Proceso],(Tabla1[Metal Base]=Q346)*(Tabla1[Etiquetas]=_xlfn.TEXTJOIN(" + ",TRUE,IF((TRIM(Upload!R346:V346)="")+(LOWER(TRIM(Upload!R346:V346))="(seleccione)"),"",PROPER(TRIM(Upload!R346:V346)))))*(Tabla1[Línea2]=IFERROR(VLOOKUP(Upload!P346&amp;"*",CAT_Procesos!D:D,1,FALSE),"")))),_xlpm.cantidad,ROWS(_xlpm.resultados),IF(ISERROR(_xlpm.cantidad),"Combinación no existente",IF(_xlpm.cantidad=1,INDEX(_xlpm.resultados,1),"(seleccione)")))</f>
        <v>Combinación no existente</v>
      </c>
      <c r="X346" s="67" t="s">
        <v>96</v>
      </c>
      <c r="Y346" s="64"/>
      <c r="Z346" s="64"/>
      <c r="AA346" s="64"/>
      <c r="AB346" s="133" t="s">
        <v>96</v>
      </c>
      <c r="AC346" s="64"/>
      <c r="AD346" s="64"/>
      <c r="AE346" s="64"/>
      <c r="AF346" s="60" t="s">
        <v>96</v>
      </c>
      <c r="AG346" s="64"/>
      <c r="AH346" s="64"/>
      <c r="AI346" s="64"/>
      <c r="AJ346" s="68" t="s">
        <v>96</v>
      </c>
      <c r="AK346" s="69" t="str">
        <f t="shared" si="10"/>
        <v/>
      </c>
      <c r="AL346" s="70" t="s">
        <v>96</v>
      </c>
      <c r="AM346" s="69" t="str">
        <f t="shared" si="11"/>
        <v/>
      </c>
      <c r="AN346" s="71"/>
      <c r="AO346" s="71"/>
      <c r="AP346" s="71"/>
      <c r="AQ346" s="71"/>
      <c r="AR346" s="71" t="s">
        <v>96</v>
      </c>
      <c r="AS346" s="71"/>
      <c r="AT346" s="71" t="s">
        <v>96</v>
      </c>
      <c r="AU346" s="71"/>
      <c r="AV346" s="71" t="s">
        <v>95</v>
      </c>
      <c r="AW346" s="71"/>
      <c r="AX346" s="71"/>
      <c r="AY346" s="71"/>
      <c r="AZ346" s="71"/>
      <c r="BA346" s="71"/>
      <c r="BB346" s="70" t="s">
        <v>218</v>
      </c>
      <c r="BC346" s="70" t="s">
        <v>98</v>
      </c>
      <c r="BD346" s="72" t="str">
        <f>IF('Cálculo MP'!K356="","",'Cálculo MP'!K356)</f>
        <v/>
      </c>
      <c r="BE346" s="72" t="str">
        <f>IF('Cálculo MP'!L356="","",'Cálculo MP'!L356)</f>
        <v/>
      </c>
      <c r="BF346" s="72" t="str">
        <f>IF('Cálculo MP'!M356="","",'Cálculo MP'!M356)</f>
        <v/>
      </c>
      <c r="BG346" s="72" t="str">
        <f>IF('Cálculo MP'!N356="","",'Cálculo MP'!N356)</f>
        <v/>
      </c>
      <c r="BH346" s="72" t="str">
        <f>IF('Cálculo MP'!O356="","",'Cálculo MP'!O356)</f>
        <v/>
      </c>
      <c r="BI346" s="72" t="str">
        <f>IF('Cálculo MP'!P356="","",'Cálculo MP'!P356)</f>
        <v/>
      </c>
      <c r="BJ346" s="72" t="str">
        <f>IF('Cálculo MP'!Q356="","",'Cálculo MP'!Q356)</f>
        <v/>
      </c>
      <c r="BK346" s="72" t="str">
        <f>IF('Cálculo MP'!R356="","",'Cálculo MP'!R356)</f>
        <v/>
      </c>
      <c r="BL346" s="72" t="str">
        <f>IF('Cálculo MP'!S356="","",'Cálculo MP'!S356)</f>
        <v/>
      </c>
      <c r="BM346" s="71"/>
      <c r="BN346" s="71"/>
      <c r="BO346" s="71"/>
      <c r="BP346" s="71"/>
      <c r="BQ346" s="71"/>
      <c r="BR346" s="71"/>
      <c r="BS346" s="71"/>
    </row>
    <row r="347" spans="1:71" ht="19.5" customHeight="1" x14ac:dyDescent="0.15">
      <c r="A347" s="56" t="s">
        <v>985</v>
      </c>
      <c r="B347" s="57" t="s">
        <v>986</v>
      </c>
      <c r="C347" s="58" t="s">
        <v>985</v>
      </c>
      <c r="D347" s="59" t="s">
        <v>985</v>
      </c>
      <c r="E347" s="61"/>
      <c r="F347" s="60" t="s">
        <v>95</v>
      </c>
      <c r="G347" s="61"/>
      <c r="H347" s="62"/>
      <c r="I347" s="75"/>
      <c r="J347" s="60" t="s">
        <v>95</v>
      </c>
      <c r="K347" s="64"/>
      <c r="L347" s="64"/>
      <c r="M347" s="64" t="s">
        <v>96</v>
      </c>
      <c r="N347" s="64" t="s">
        <v>97</v>
      </c>
      <c r="O347" s="65" t="s">
        <v>986</v>
      </c>
      <c r="P347" s="70" t="s">
        <v>96</v>
      </c>
      <c r="Q347" s="60" t="s">
        <v>95</v>
      </c>
      <c r="R347" s="60" t="s">
        <v>96</v>
      </c>
      <c r="S347" s="66" t="s">
        <v>96</v>
      </c>
      <c r="T347" s="67" t="s">
        <v>96</v>
      </c>
      <c r="U347" s="60" t="s">
        <v>96</v>
      </c>
      <c r="V347" s="60" t="s">
        <v>96</v>
      </c>
      <c r="W347" s="60" t="str" cm="1">
        <f t="array" ref="W347">_xlfn.LET(_xlpm.resultados,_xlfn.UNIQUE(_xlfn._xlws.FILTER(Tabla1[Proceso],(Tabla1[Metal Base]=Q347)*(Tabla1[Etiquetas]=_xlfn.TEXTJOIN(" + ",TRUE,IF((TRIM(Upload!R347:V347)="")+(LOWER(TRIM(Upload!R347:V347))="(seleccione)"),"",PROPER(TRIM(Upload!R347:V347)))))*(Tabla1[Línea2]=IFERROR(VLOOKUP(Upload!P347&amp;"*",CAT_Procesos!D:D,1,FALSE),"")))),_xlpm.cantidad,ROWS(_xlpm.resultados),IF(ISERROR(_xlpm.cantidad),"Combinación no existente",IF(_xlpm.cantidad=1,INDEX(_xlpm.resultados,1),"(seleccione)")))</f>
        <v>Combinación no existente</v>
      </c>
      <c r="X347" s="67" t="s">
        <v>96</v>
      </c>
      <c r="Y347" s="64"/>
      <c r="Z347" s="64"/>
      <c r="AA347" s="64"/>
      <c r="AB347" s="133" t="s">
        <v>96</v>
      </c>
      <c r="AC347" s="64"/>
      <c r="AD347" s="64"/>
      <c r="AE347" s="64"/>
      <c r="AF347" s="60" t="s">
        <v>96</v>
      </c>
      <c r="AG347" s="64"/>
      <c r="AH347" s="64"/>
      <c r="AI347" s="64"/>
      <c r="AJ347" s="68" t="s">
        <v>96</v>
      </c>
      <c r="AK347" s="69" t="str">
        <f t="shared" si="10"/>
        <v/>
      </c>
      <c r="AL347" s="70" t="s">
        <v>96</v>
      </c>
      <c r="AM347" s="69" t="str">
        <f t="shared" si="11"/>
        <v/>
      </c>
      <c r="AN347" s="71"/>
      <c r="AO347" s="71"/>
      <c r="AP347" s="71"/>
      <c r="AQ347" s="71"/>
      <c r="AR347" s="71" t="s">
        <v>96</v>
      </c>
      <c r="AS347" s="71"/>
      <c r="AT347" s="71" t="s">
        <v>96</v>
      </c>
      <c r="AU347" s="71"/>
      <c r="AV347" s="71" t="s">
        <v>95</v>
      </c>
      <c r="AW347" s="71"/>
      <c r="AX347" s="71"/>
      <c r="AY347" s="71"/>
      <c r="AZ347" s="71"/>
      <c r="BA347" s="71"/>
      <c r="BB347" s="70" t="s">
        <v>218</v>
      </c>
      <c r="BC347" s="70" t="s">
        <v>98</v>
      </c>
      <c r="BD347" s="72" t="str">
        <f>IF('Cálculo MP'!K357="","",'Cálculo MP'!K357)</f>
        <v/>
      </c>
      <c r="BE347" s="72" t="str">
        <f>IF('Cálculo MP'!L357="","",'Cálculo MP'!L357)</f>
        <v/>
      </c>
      <c r="BF347" s="72" t="str">
        <f>IF('Cálculo MP'!M357="","",'Cálculo MP'!M357)</f>
        <v/>
      </c>
      <c r="BG347" s="72" t="str">
        <f>IF('Cálculo MP'!N357="","",'Cálculo MP'!N357)</f>
        <v/>
      </c>
      <c r="BH347" s="72" t="str">
        <f>IF('Cálculo MP'!O357="","",'Cálculo MP'!O357)</f>
        <v/>
      </c>
      <c r="BI347" s="72" t="str">
        <f>IF('Cálculo MP'!P357="","",'Cálculo MP'!P357)</f>
        <v/>
      </c>
      <c r="BJ347" s="72" t="str">
        <f>IF('Cálculo MP'!Q357="","",'Cálculo MP'!Q357)</f>
        <v/>
      </c>
      <c r="BK347" s="72" t="str">
        <f>IF('Cálculo MP'!R357="","",'Cálculo MP'!R357)</f>
        <v/>
      </c>
      <c r="BL347" s="72" t="str">
        <f>IF('Cálculo MP'!S357="","",'Cálculo MP'!S357)</f>
        <v/>
      </c>
      <c r="BM347" s="71"/>
      <c r="BN347" s="71"/>
      <c r="BO347" s="71"/>
      <c r="BP347" s="71"/>
      <c r="BQ347" s="71"/>
      <c r="BR347" s="71"/>
      <c r="BS347" s="71"/>
    </row>
    <row r="348" spans="1:71" ht="19.5" customHeight="1" x14ac:dyDescent="0.15">
      <c r="A348" s="56" t="s">
        <v>985</v>
      </c>
      <c r="B348" s="57" t="s">
        <v>986</v>
      </c>
      <c r="C348" s="58" t="s">
        <v>985</v>
      </c>
      <c r="D348" s="59" t="s">
        <v>985</v>
      </c>
      <c r="E348" s="61"/>
      <c r="F348" s="60" t="s">
        <v>95</v>
      </c>
      <c r="G348" s="61"/>
      <c r="H348" s="62"/>
      <c r="I348" s="75"/>
      <c r="J348" s="60" t="s">
        <v>95</v>
      </c>
      <c r="K348" s="64"/>
      <c r="L348" s="64"/>
      <c r="M348" s="64" t="s">
        <v>96</v>
      </c>
      <c r="N348" s="64" t="s">
        <v>97</v>
      </c>
      <c r="O348" s="65" t="s">
        <v>986</v>
      </c>
      <c r="P348" s="70" t="s">
        <v>96</v>
      </c>
      <c r="Q348" s="60" t="s">
        <v>95</v>
      </c>
      <c r="R348" s="60" t="s">
        <v>96</v>
      </c>
      <c r="S348" s="66" t="s">
        <v>96</v>
      </c>
      <c r="T348" s="67" t="s">
        <v>96</v>
      </c>
      <c r="U348" s="60" t="s">
        <v>96</v>
      </c>
      <c r="V348" s="60" t="s">
        <v>96</v>
      </c>
      <c r="W348" s="60" t="str" cm="1">
        <f t="array" ref="W348">_xlfn.LET(_xlpm.resultados,_xlfn.UNIQUE(_xlfn._xlws.FILTER(Tabla1[Proceso],(Tabla1[Metal Base]=Q348)*(Tabla1[Etiquetas]=_xlfn.TEXTJOIN(" + ",TRUE,IF((TRIM(Upload!R348:V348)="")+(LOWER(TRIM(Upload!R348:V348))="(seleccione)"),"",PROPER(TRIM(Upload!R348:V348)))))*(Tabla1[Línea2]=IFERROR(VLOOKUP(Upload!P348&amp;"*",CAT_Procesos!D:D,1,FALSE),"")))),_xlpm.cantidad,ROWS(_xlpm.resultados),IF(ISERROR(_xlpm.cantidad),"Combinación no existente",IF(_xlpm.cantidad=1,INDEX(_xlpm.resultados,1),"(seleccione)")))</f>
        <v>Combinación no existente</v>
      </c>
      <c r="X348" s="67" t="s">
        <v>96</v>
      </c>
      <c r="Y348" s="64"/>
      <c r="Z348" s="64"/>
      <c r="AA348" s="64"/>
      <c r="AB348" s="133" t="s">
        <v>96</v>
      </c>
      <c r="AC348" s="64"/>
      <c r="AD348" s="64"/>
      <c r="AE348" s="64"/>
      <c r="AF348" s="60" t="s">
        <v>96</v>
      </c>
      <c r="AG348" s="64"/>
      <c r="AH348" s="64"/>
      <c r="AI348" s="64"/>
      <c r="AJ348" s="68" t="s">
        <v>96</v>
      </c>
      <c r="AK348" s="69" t="str">
        <f t="shared" si="10"/>
        <v/>
      </c>
      <c r="AL348" s="70" t="s">
        <v>96</v>
      </c>
      <c r="AM348" s="69" t="str">
        <f t="shared" si="11"/>
        <v/>
      </c>
      <c r="AN348" s="71"/>
      <c r="AO348" s="71"/>
      <c r="AP348" s="71"/>
      <c r="AQ348" s="71"/>
      <c r="AR348" s="71" t="s">
        <v>96</v>
      </c>
      <c r="AS348" s="71"/>
      <c r="AT348" s="71" t="s">
        <v>96</v>
      </c>
      <c r="AU348" s="71"/>
      <c r="AV348" s="71" t="s">
        <v>95</v>
      </c>
      <c r="AW348" s="71"/>
      <c r="AX348" s="71"/>
      <c r="AY348" s="71"/>
      <c r="AZ348" s="71"/>
      <c r="BA348" s="71"/>
      <c r="BB348" s="70" t="s">
        <v>218</v>
      </c>
      <c r="BC348" s="70" t="s">
        <v>98</v>
      </c>
      <c r="BD348" s="72" t="str">
        <f>IF('Cálculo MP'!K358="","",'Cálculo MP'!K358)</f>
        <v/>
      </c>
      <c r="BE348" s="72" t="str">
        <f>IF('Cálculo MP'!L358="","",'Cálculo MP'!L358)</f>
        <v/>
      </c>
      <c r="BF348" s="72" t="str">
        <f>IF('Cálculo MP'!M358="","",'Cálculo MP'!M358)</f>
        <v/>
      </c>
      <c r="BG348" s="72" t="str">
        <f>IF('Cálculo MP'!N358="","",'Cálculo MP'!N358)</f>
        <v/>
      </c>
      <c r="BH348" s="72" t="str">
        <f>IF('Cálculo MP'!O358="","",'Cálculo MP'!O358)</f>
        <v/>
      </c>
      <c r="BI348" s="72" t="str">
        <f>IF('Cálculo MP'!P358="","",'Cálculo MP'!P358)</f>
        <v/>
      </c>
      <c r="BJ348" s="72" t="str">
        <f>IF('Cálculo MP'!Q358="","",'Cálculo MP'!Q358)</f>
        <v/>
      </c>
      <c r="BK348" s="72" t="str">
        <f>IF('Cálculo MP'!R358="","",'Cálculo MP'!R358)</f>
        <v/>
      </c>
      <c r="BL348" s="72" t="str">
        <f>IF('Cálculo MP'!S358="","",'Cálculo MP'!S358)</f>
        <v/>
      </c>
      <c r="BM348" s="71"/>
      <c r="BN348" s="71"/>
      <c r="BO348" s="71"/>
      <c r="BP348" s="71"/>
      <c r="BQ348" s="71"/>
      <c r="BR348" s="71"/>
      <c r="BS348" s="71"/>
    </row>
    <row r="349" spans="1:71" ht="19.5" customHeight="1" x14ac:dyDescent="0.15">
      <c r="A349" s="56" t="s">
        <v>985</v>
      </c>
      <c r="B349" s="57" t="s">
        <v>986</v>
      </c>
      <c r="C349" s="58" t="s">
        <v>985</v>
      </c>
      <c r="D349" s="59" t="s">
        <v>985</v>
      </c>
      <c r="E349" s="61"/>
      <c r="F349" s="60" t="s">
        <v>95</v>
      </c>
      <c r="G349" s="61"/>
      <c r="H349" s="62"/>
      <c r="I349" s="75"/>
      <c r="J349" s="60" t="s">
        <v>95</v>
      </c>
      <c r="K349" s="64"/>
      <c r="L349" s="64"/>
      <c r="M349" s="64" t="s">
        <v>96</v>
      </c>
      <c r="N349" s="64" t="s">
        <v>97</v>
      </c>
      <c r="O349" s="65" t="s">
        <v>986</v>
      </c>
      <c r="P349" s="70" t="s">
        <v>96</v>
      </c>
      <c r="Q349" s="60" t="s">
        <v>95</v>
      </c>
      <c r="R349" s="60" t="s">
        <v>96</v>
      </c>
      <c r="S349" s="66" t="s">
        <v>96</v>
      </c>
      <c r="T349" s="67" t="s">
        <v>96</v>
      </c>
      <c r="U349" s="60" t="s">
        <v>96</v>
      </c>
      <c r="V349" s="60" t="s">
        <v>96</v>
      </c>
      <c r="W349" s="60" t="str" cm="1">
        <f t="array" ref="W349">_xlfn.LET(_xlpm.resultados,_xlfn.UNIQUE(_xlfn._xlws.FILTER(Tabla1[Proceso],(Tabla1[Metal Base]=Q349)*(Tabla1[Etiquetas]=_xlfn.TEXTJOIN(" + ",TRUE,IF((TRIM(Upload!R349:V349)="")+(LOWER(TRIM(Upload!R349:V349))="(seleccione)"),"",PROPER(TRIM(Upload!R349:V349)))))*(Tabla1[Línea2]=IFERROR(VLOOKUP(Upload!P349&amp;"*",CAT_Procesos!D:D,1,FALSE),"")))),_xlpm.cantidad,ROWS(_xlpm.resultados),IF(ISERROR(_xlpm.cantidad),"Combinación no existente",IF(_xlpm.cantidad=1,INDEX(_xlpm.resultados,1),"(seleccione)")))</f>
        <v>Combinación no existente</v>
      </c>
      <c r="X349" s="67" t="s">
        <v>96</v>
      </c>
      <c r="Y349" s="64"/>
      <c r="Z349" s="64"/>
      <c r="AA349" s="64"/>
      <c r="AB349" s="133" t="s">
        <v>96</v>
      </c>
      <c r="AC349" s="64"/>
      <c r="AD349" s="64"/>
      <c r="AE349" s="64"/>
      <c r="AF349" s="60" t="s">
        <v>96</v>
      </c>
      <c r="AG349" s="64"/>
      <c r="AH349" s="64"/>
      <c r="AI349" s="64"/>
      <c r="AJ349" s="68" t="s">
        <v>96</v>
      </c>
      <c r="AK349" s="69" t="str">
        <f t="shared" si="10"/>
        <v/>
      </c>
      <c r="AL349" s="70" t="s">
        <v>96</v>
      </c>
      <c r="AM349" s="69" t="str">
        <f t="shared" si="11"/>
        <v/>
      </c>
      <c r="AN349" s="71"/>
      <c r="AO349" s="71"/>
      <c r="AP349" s="71"/>
      <c r="AQ349" s="71"/>
      <c r="AR349" s="71" t="s">
        <v>96</v>
      </c>
      <c r="AS349" s="71"/>
      <c r="AT349" s="71" t="s">
        <v>96</v>
      </c>
      <c r="AU349" s="71"/>
      <c r="AV349" s="71" t="s">
        <v>95</v>
      </c>
      <c r="AW349" s="71"/>
      <c r="AX349" s="71"/>
      <c r="AY349" s="71"/>
      <c r="AZ349" s="71"/>
      <c r="BA349" s="71"/>
      <c r="BB349" s="70" t="s">
        <v>218</v>
      </c>
      <c r="BC349" s="70" t="s">
        <v>98</v>
      </c>
      <c r="BD349" s="72" t="str">
        <f>IF('Cálculo MP'!K359="","",'Cálculo MP'!K359)</f>
        <v/>
      </c>
      <c r="BE349" s="72" t="str">
        <f>IF('Cálculo MP'!L359="","",'Cálculo MP'!L359)</f>
        <v/>
      </c>
      <c r="BF349" s="72" t="str">
        <f>IF('Cálculo MP'!M359="","",'Cálculo MP'!M359)</f>
        <v/>
      </c>
      <c r="BG349" s="72" t="str">
        <f>IF('Cálculo MP'!N359="","",'Cálculo MP'!N359)</f>
        <v/>
      </c>
      <c r="BH349" s="72" t="str">
        <f>IF('Cálculo MP'!O359="","",'Cálculo MP'!O359)</f>
        <v/>
      </c>
      <c r="BI349" s="72" t="str">
        <f>IF('Cálculo MP'!P359="","",'Cálculo MP'!P359)</f>
        <v/>
      </c>
      <c r="BJ349" s="72" t="str">
        <f>IF('Cálculo MP'!Q359="","",'Cálculo MP'!Q359)</f>
        <v/>
      </c>
      <c r="BK349" s="72" t="str">
        <f>IF('Cálculo MP'!R359="","",'Cálculo MP'!R359)</f>
        <v/>
      </c>
      <c r="BL349" s="72" t="str">
        <f>IF('Cálculo MP'!S359="","",'Cálculo MP'!S359)</f>
        <v/>
      </c>
      <c r="BM349" s="71"/>
      <c r="BN349" s="71"/>
      <c r="BO349" s="71"/>
      <c r="BP349" s="71"/>
      <c r="BQ349" s="71"/>
      <c r="BR349" s="71"/>
      <c r="BS349" s="71"/>
    </row>
    <row r="350" spans="1:71" ht="19.5" customHeight="1" x14ac:dyDescent="0.15">
      <c r="A350" s="56" t="s">
        <v>985</v>
      </c>
      <c r="B350" s="57" t="s">
        <v>986</v>
      </c>
      <c r="C350" s="58" t="s">
        <v>985</v>
      </c>
      <c r="D350" s="59" t="s">
        <v>985</v>
      </c>
      <c r="E350" s="61"/>
      <c r="F350" s="60" t="s">
        <v>95</v>
      </c>
      <c r="G350" s="61"/>
      <c r="H350" s="62"/>
      <c r="I350" s="75"/>
      <c r="J350" s="60" t="s">
        <v>95</v>
      </c>
      <c r="K350" s="64"/>
      <c r="L350" s="64"/>
      <c r="M350" s="64" t="s">
        <v>96</v>
      </c>
      <c r="N350" s="64" t="s">
        <v>97</v>
      </c>
      <c r="O350" s="65" t="s">
        <v>986</v>
      </c>
      <c r="P350" s="70" t="s">
        <v>96</v>
      </c>
      <c r="Q350" s="60" t="s">
        <v>95</v>
      </c>
      <c r="R350" s="60" t="s">
        <v>96</v>
      </c>
      <c r="S350" s="66" t="s">
        <v>96</v>
      </c>
      <c r="T350" s="67" t="s">
        <v>96</v>
      </c>
      <c r="U350" s="60" t="s">
        <v>96</v>
      </c>
      <c r="V350" s="60" t="s">
        <v>96</v>
      </c>
      <c r="W350" s="60" t="str" cm="1">
        <f t="array" ref="W350">_xlfn.LET(_xlpm.resultados,_xlfn.UNIQUE(_xlfn._xlws.FILTER(Tabla1[Proceso],(Tabla1[Metal Base]=Q350)*(Tabla1[Etiquetas]=_xlfn.TEXTJOIN(" + ",TRUE,IF((TRIM(Upload!R350:V350)="")+(LOWER(TRIM(Upload!R350:V350))="(seleccione)"),"",PROPER(TRIM(Upload!R350:V350)))))*(Tabla1[Línea2]=IFERROR(VLOOKUP(Upload!P350&amp;"*",CAT_Procesos!D:D,1,FALSE),"")))),_xlpm.cantidad,ROWS(_xlpm.resultados),IF(ISERROR(_xlpm.cantidad),"Combinación no existente",IF(_xlpm.cantidad=1,INDEX(_xlpm.resultados,1),"(seleccione)")))</f>
        <v>Combinación no existente</v>
      </c>
      <c r="X350" s="67" t="s">
        <v>96</v>
      </c>
      <c r="Y350" s="64"/>
      <c r="Z350" s="64"/>
      <c r="AA350" s="64"/>
      <c r="AB350" s="133" t="s">
        <v>96</v>
      </c>
      <c r="AC350" s="64"/>
      <c r="AD350" s="64"/>
      <c r="AE350" s="64"/>
      <c r="AF350" s="60" t="s">
        <v>96</v>
      </c>
      <c r="AG350" s="64"/>
      <c r="AH350" s="64"/>
      <c r="AI350" s="64"/>
      <c r="AJ350" s="68" t="s">
        <v>96</v>
      </c>
      <c r="AK350" s="69" t="str">
        <f t="shared" si="10"/>
        <v/>
      </c>
      <c r="AL350" s="70" t="s">
        <v>96</v>
      </c>
      <c r="AM350" s="69" t="str">
        <f t="shared" si="11"/>
        <v/>
      </c>
      <c r="AN350" s="71"/>
      <c r="AO350" s="71"/>
      <c r="AP350" s="71"/>
      <c r="AQ350" s="71"/>
      <c r="AR350" s="71" t="s">
        <v>96</v>
      </c>
      <c r="AS350" s="71"/>
      <c r="AT350" s="71" t="s">
        <v>96</v>
      </c>
      <c r="AU350" s="71"/>
      <c r="AV350" s="71" t="s">
        <v>95</v>
      </c>
      <c r="AW350" s="71"/>
      <c r="AX350" s="71"/>
      <c r="AY350" s="71"/>
      <c r="AZ350" s="71"/>
      <c r="BA350" s="71"/>
      <c r="BB350" s="70" t="s">
        <v>218</v>
      </c>
      <c r="BC350" s="70" t="s">
        <v>98</v>
      </c>
      <c r="BD350" s="72" t="str">
        <f>IF('Cálculo MP'!K360="","",'Cálculo MP'!K360)</f>
        <v/>
      </c>
      <c r="BE350" s="72" t="str">
        <f>IF('Cálculo MP'!L360="","",'Cálculo MP'!L360)</f>
        <v/>
      </c>
      <c r="BF350" s="72" t="str">
        <f>IF('Cálculo MP'!M360="","",'Cálculo MP'!M360)</f>
        <v/>
      </c>
      <c r="BG350" s="72" t="str">
        <f>IF('Cálculo MP'!N360="","",'Cálculo MP'!N360)</f>
        <v/>
      </c>
      <c r="BH350" s="72" t="str">
        <f>IF('Cálculo MP'!O360="","",'Cálculo MP'!O360)</f>
        <v/>
      </c>
      <c r="BI350" s="72" t="str">
        <f>IF('Cálculo MP'!P360="","",'Cálculo MP'!P360)</f>
        <v/>
      </c>
      <c r="BJ350" s="72" t="str">
        <f>IF('Cálculo MP'!Q360="","",'Cálculo MP'!Q360)</f>
        <v/>
      </c>
      <c r="BK350" s="72" t="str">
        <f>IF('Cálculo MP'!R360="","",'Cálculo MP'!R360)</f>
        <v/>
      </c>
      <c r="BL350" s="72" t="str">
        <f>IF('Cálculo MP'!S360="","",'Cálculo MP'!S360)</f>
        <v/>
      </c>
      <c r="BM350" s="71"/>
      <c r="BN350" s="71"/>
      <c r="BO350" s="71"/>
      <c r="BP350" s="71"/>
      <c r="BQ350" s="71"/>
      <c r="BR350" s="71"/>
      <c r="BS350" s="71"/>
    </row>
    <row r="351" spans="1:71" ht="19.5" customHeight="1" x14ac:dyDescent="0.15">
      <c r="A351" s="56" t="s">
        <v>985</v>
      </c>
      <c r="B351" s="57" t="s">
        <v>986</v>
      </c>
      <c r="C351" s="58" t="s">
        <v>985</v>
      </c>
      <c r="D351" s="59" t="s">
        <v>985</v>
      </c>
      <c r="E351" s="61"/>
      <c r="F351" s="60" t="s">
        <v>95</v>
      </c>
      <c r="G351" s="61"/>
      <c r="H351" s="62"/>
      <c r="I351" s="75"/>
      <c r="J351" s="60" t="s">
        <v>95</v>
      </c>
      <c r="K351" s="64"/>
      <c r="L351" s="64"/>
      <c r="M351" s="64" t="s">
        <v>96</v>
      </c>
      <c r="N351" s="64" t="s">
        <v>97</v>
      </c>
      <c r="O351" s="65" t="s">
        <v>986</v>
      </c>
      <c r="P351" s="70" t="s">
        <v>96</v>
      </c>
      <c r="Q351" s="60" t="s">
        <v>95</v>
      </c>
      <c r="R351" s="60" t="s">
        <v>96</v>
      </c>
      <c r="S351" s="66" t="s">
        <v>96</v>
      </c>
      <c r="T351" s="67" t="s">
        <v>96</v>
      </c>
      <c r="U351" s="60" t="s">
        <v>96</v>
      </c>
      <c r="V351" s="60" t="s">
        <v>96</v>
      </c>
      <c r="W351" s="60" t="str" cm="1">
        <f t="array" ref="W351">_xlfn.LET(_xlpm.resultados,_xlfn.UNIQUE(_xlfn._xlws.FILTER(Tabla1[Proceso],(Tabla1[Metal Base]=Q351)*(Tabla1[Etiquetas]=_xlfn.TEXTJOIN(" + ",TRUE,IF((TRIM(Upload!R351:V351)="")+(LOWER(TRIM(Upload!R351:V351))="(seleccione)"),"",PROPER(TRIM(Upload!R351:V351)))))*(Tabla1[Línea2]=IFERROR(VLOOKUP(Upload!P351&amp;"*",CAT_Procesos!D:D,1,FALSE),"")))),_xlpm.cantidad,ROWS(_xlpm.resultados),IF(ISERROR(_xlpm.cantidad),"Combinación no existente",IF(_xlpm.cantidad=1,INDEX(_xlpm.resultados,1),"(seleccione)")))</f>
        <v>Combinación no existente</v>
      </c>
      <c r="X351" s="67" t="s">
        <v>96</v>
      </c>
      <c r="Y351" s="64"/>
      <c r="Z351" s="64"/>
      <c r="AA351" s="64"/>
      <c r="AB351" s="133" t="s">
        <v>96</v>
      </c>
      <c r="AC351" s="64"/>
      <c r="AD351" s="64"/>
      <c r="AE351" s="64"/>
      <c r="AF351" s="60" t="s">
        <v>96</v>
      </c>
      <c r="AG351" s="64"/>
      <c r="AH351" s="64"/>
      <c r="AI351" s="64"/>
      <c r="AJ351" s="68" t="s">
        <v>96</v>
      </c>
      <c r="AK351" s="69" t="str">
        <f t="shared" si="10"/>
        <v/>
      </c>
      <c r="AL351" s="70" t="s">
        <v>96</v>
      </c>
      <c r="AM351" s="69" t="str">
        <f t="shared" si="11"/>
        <v/>
      </c>
      <c r="AN351" s="71"/>
      <c r="AO351" s="71"/>
      <c r="AP351" s="71"/>
      <c r="AQ351" s="71"/>
      <c r="AR351" s="71" t="s">
        <v>96</v>
      </c>
      <c r="AS351" s="71"/>
      <c r="AT351" s="71" t="s">
        <v>96</v>
      </c>
      <c r="AU351" s="71"/>
      <c r="AV351" s="71" t="s">
        <v>95</v>
      </c>
      <c r="AW351" s="71"/>
      <c r="AX351" s="71"/>
      <c r="AY351" s="71"/>
      <c r="AZ351" s="71"/>
      <c r="BA351" s="71"/>
      <c r="BB351" s="70" t="s">
        <v>218</v>
      </c>
      <c r="BC351" s="70" t="s">
        <v>98</v>
      </c>
      <c r="BD351" s="72" t="str">
        <f>IF('Cálculo MP'!K361="","",'Cálculo MP'!K361)</f>
        <v/>
      </c>
      <c r="BE351" s="72" t="str">
        <f>IF('Cálculo MP'!L361="","",'Cálculo MP'!L361)</f>
        <v/>
      </c>
      <c r="BF351" s="72" t="str">
        <f>IF('Cálculo MP'!M361="","",'Cálculo MP'!M361)</f>
        <v/>
      </c>
      <c r="BG351" s="72" t="str">
        <f>IF('Cálculo MP'!N361="","",'Cálculo MP'!N361)</f>
        <v/>
      </c>
      <c r="BH351" s="72" t="str">
        <f>IF('Cálculo MP'!O361="","",'Cálculo MP'!O361)</f>
        <v/>
      </c>
      <c r="BI351" s="72" t="str">
        <f>IF('Cálculo MP'!P361="","",'Cálculo MP'!P361)</f>
        <v/>
      </c>
      <c r="BJ351" s="72" t="str">
        <f>IF('Cálculo MP'!Q361="","",'Cálculo MP'!Q361)</f>
        <v/>
      </c>
      <c r="BK351" s="72" t="str">
        <f>IF('Cálculo MP'!R361="","",'Cálculo MP'!R361)</f>
        <v/>
      </c>
      <c r="BL351" s="72" t="str">
        <f>IF('Cálculo MP'!S361="","",'Cálculo MP'!S361)</f>
        <v/>
      </c>
      <c r="BM351" s="71"/>
      <c r="BN351" s="71"/>
      <c r="BO351" s="71"/>
      <c r="BP351" s="71"/>
      <c r="BQ351" s="71"/>
      <c r="BR351" s="71"/>
      <c r="BS351" s="71"/>
    </row>
    <row r="352" spans="1:71" ht="19.5" customHeight="1" x14ac:dyDescent="0.15">
      <c r="A352" s="56" t="s">
        <v>985</v>
      </c>
      <c r="B352" s="57" t="s">
        <v>986</v>
      </c>
      <c r="C352" s="58" t="s">
        <v>985</v>
      </c>
      <c r="D352" s="59" t="s">
        <v>985</v>
      </c>
      <c r="E352" s="61"/>
      <c r="F352" s="60" t="s">
        <v>95</v>
      </c>
      <c r="G352" s="61"/>
      <c r="H352" s="62"/>
      <c r="I352" s="75"/>
      <c r="J352" s="60" t="s">
        <v>95</v>
      </c>
      <c r="K352" s="64"/>
      <c r="L352" s="64"/>
      <c r="M352" s="64" t="s">
        <v>96</v>
      </c>
      <c r="N352" s="64" t="s">
        <v>97</v>
      </c>
      <c r="O352" s="65" t="s">
        <v>986</v>
      </c>
      <c r="P352" s="70" t="s">
        <v>96</v>
      </c>
      <c r="Q352" s="60" t="s">
        <v>95</v>
      </c>
      <c r="R352" s="60" t="s">
        <v>96</v>
      </c>
      <c r="S352" s="66" t="s">
        <v>96</v>
      </c>
      <c r="T352" s="67" t="s">
        <v>96</v>
      </c>
      <c r="U352" s="60" t="s">
        <v>96</v>
      </c>
      <c r="V352" s="60" t="s">
        <v>96</v>
      </c>
      <c r="W352" s="60" t="str" cm="1">
        <f t="array" ref="W352">_xlfn.LET(_xlpm.resultados,_xlfn.UNIQUE(_xlfn._xlws.FILTER(Tabla1[Proceso],(Tabla1[Metal Base]=Q352)*(Tabla1[Etiquetas]=_xlfn.TEXTJOIN(" + ",TRUE,IF((TRIM(Upload!R352:V352)="")+(LOWER(TRIM(Upload!R352:V352))="(seleccione)"),"",PROPER(TRIM(Upload!R352:V352)))))*(Tabla1[Línea2]=IFERROR(VLOOKUP(Upload!P352&amp;"*",CAT_Procesos!D:D,1,FALSE),"")))),_xlpm.cantidad,ROWS(_xlpm.resultados),IF(ISERROR(_xlpm.cantidad),"Combinación no existente",IF(_xlpm.cantidad=1,INDEX(_xlpm.resultados,1),"(seleccione)")))</f>
        <v>Combinación no existente</v>
      </c>
      <c r="X352" s="67" t="s">
        <v>96</v>
      </c>
      <c r="Y352" s="64"/>
      <c r="Z352" s="64"/>
      <c r="AA352" s="64"/>
      <c r="AB352" s="133" t="s">
        <v>96</v>
      </c>
      <c r="AC352" s="64"/>
      <c r="AD352" s="64"/>
      <c r="AE352" s="64"/>
      <c r="AF352" s="60" t="s">
        <v>96</v>
      </c>
      <c r="AG352" s="64"/>
      <c r="AH352" s="64"/>
      <c r="AI352" s="64"/>
      <c r="AJ352" s="68" t="s">
        <v>96</v>
      </c>
      <c r="AK352" s="69" t="str">
        <f t="shared" si="10"/>
        <v/>
      </c>
      <c r="AL352" s="70" t="s">
        <v>96</v>
      </c>
      <c r="AM352" s="69" t="str">
        <f t="shared" si="11"/>
        <v/>
      </c>
      <c r="AN352" s="71"/>
      <c r="AO352" s="71"/>
      <c r="AP352" s="71"/>
      <c r="AQ352" s="71"/>
      <c r="AR352" s="71" t="s">
        <v>96</v>
      </c>
      <c r="AS352" s="71"/>
      <c r="AT352" s="71" t="s">
        <v>96</v>
      </c>
      <c r="AU352" s="71"/>
      <c r="AV352" s="71" t="s">
        <v>95</v>
      </c>
      <c r="AW352" s="71"/>
      <c r="AX352" s="71"/>
      <c r="AY352" s="71"/>
      <c r="AZ352" s="71"/>
      <c r="BA352" s="71"/>
      <c r="BB352" s="70" t="s">
        <v>218</v>
      </c>
      <c r="BC352" s="70" t="s">
        <v>98</v>
      </c>
      <c r="BD352" s="72" t="str">
        <f>IF('Cálculo MP'!K362="","",'Cálculo MP'!K362)</f>
        <v/>
      </c>
      <c r="BE352" s="72" t="str">
        <f>IF('Cálculo MP'!L362="","",'Cálculo MP'!L362)</f>
        <v/>
      </c>
      <c r="BF352" s="72" t="str">
        <f>IF('Cálculo MP'!M362="","",'Cálculo MP'!M362)</f>
        <v/>
      </c>
      <c r="BG352" s="72" t="str">
        <f>IF('Cálculo MP'!N362="","",'Cálculo MP'!N362)</f>
        <v/>
      </c>
      <c r="BH352" s="72" t="str">
        <f>IF('Cálculo MP'!O362="","",'Cálculo MP'!O362)</f>
        <v/>
      </c>
      <c r="BI352" s="72" t="str">
        <f>IF('Cálculo MP'!P362="","",'Cálculo MP'!P362)</f>
        <v/>
      </c>
      <c r="BJ352" s="72" t="str">
        <f>IF('Cálculo MP'!Q362="","",'Cálculo MP'!Q362)</f>
        <v/>
      </c>
      <c r="BK352" s="72" t="str">
        <f>IF('Cálculo MP'!R362="","",'Cálculo MP'!R362)</f>
        <v/>
      </c>
      <c r="BL352" s="72" t="str">
        <f>IF('Cálculo MP'!S362="","",'Cálculo MP'!S362)</f>
        <v/>
      </c>
      <c r="BM352" s="71"/>
      <c r="BN352" s="71"/>
      <c r="BO352" s="71"/>
      <c r="BP352" s="71"/>
      <c r="BQ352" s="71"/>
      <c r="BR352" s="71"/>
      <c r="BS352" s="71"/>
    </row>
    <row r="353" spans="1:71" ht="19.5" customHeight="1" x14ac:dyDescent="0.15">
      <c r="A353" s="56" t="s">
        <v>985</v>
      </c>
      <c r="B353" s="57" t="s">
        <v>986</v>
      </c>
      <c r="C353" s="58" t="s">
        <v>985</v>
      </c>
      <c r="D353" s="59" t="s">
        <v>985</v>
      </c>
      <c r="E353" s="61"/>
      <c r="F353" s="60" t="s">
        <v>95</v>
      </c>
      <c r="G353" s="61"/>
      <c r="H353" s="62"/>
      <c r="I353" s="75"/>
      <c r="J353" s="60" t="s">
        <v>95</v>
      </c>
      <c r="K353" s="64"/>
      <c r="L353" s="64"/>
      <c r="M353" s="64" t="s">
        <v>96</v>
      </c>
      <c r="N353" s="64" t="s">
        <v>97</v>
      </c>
      <c r="O353" s="65" t="s">
        <v>986</v>
      </c>
      <c r="P353" s="70" t="s">
        <v>96</v>
      </c>
      <c r="Q353" s="60" t="s">
        <v>95</v>
      </c>
      <c r="R353" s="60" t="s">
        <v>96</v>
      </c>
      <c r="S353" s="66" t="s">
        <v>96</v>
      </c>
      <c r="T353" s="67" t="s">
        <v>96</v>
      </c>
      <c r="U353" s="60" t="s">
        <v>96</v>
      </c>
      <c r="V353" s="60" t="s">
        <v>96</v>
      </c>
      <c r="W353" s="60" t="str" cm="1">
        <f t="array" ref="W353">_xlfn.LET(_xlpm.resultados,_xlfn.UNIQUE(_xlfn._xlws.FILTER(Tabla1[Proceso],(Tabla1[Metal Base]=Q353)*(Tabla1[Etiquetas]=_xlfn.TEXTJOIN(" + ",TRUE,IF((TRIM(Upload!R353:V353)="")+(LOWER(TRIM(Upload!R353:V353))="(seleccione)"),"",PROPER(TRIM(Upload!R353:V353)))))*(Tabla1[Línea2]=IFERROR(VLOOKUP(Upload!P353&amp;"*",CAT_Procesos!D:D,1,FALSE),"")))),_xlpm.cantidad,ROWS(_xlpm.resultados),IF(ISERROR(_xlpm.cantidad),"Combinación no existente",IF(_xlpm.cantidad=1,INDEX(_xlpm.resultados,1),"(seleccione)")))</f>
        <v>Combinación no existente</v>
      </c>
      <c r="X353" s="67" t="s">
        <v>96</v>
      </c>
      <c r="Y353" s="64"/>
      <c r="Z353" s="64"/>
      <c r="AA353" s="64"/>
      <c r="AB353" s="133" t="s">
        <v>96</v>
      </c>
      <c r="AC353" s="64"/>
      <c r="AD353" s="64"/>
      <c r="AE353" s="64"/>
      <c r="AF353" s="60" t="s">
        <v>96</v>
      </c>
      <c r="AG353" s="64"/>
      <c r="AH353" s="64"/>
      <c r="AI353" s="64"/>
      <c r="AJ353" s="68" t="s">
        <v>96</v>
      </c>
      <c r="AK353" s="69" t="str">
        <f t="shared" si="10"/>
        <v/>
      </c>
      <c r="AL353" s="70" t="s">
        <v>96</v>
      </c>
      <c r="AM353" s="69" t="str">
        <f t="shared" si="11"/>
        <v/>
      </c>
      <c r="AN353" s="71"/>
      <c r="AO353" s="71"/>
      <c r="AP353" s="71"/>
      <c r="AQ353" s="71"/>
      <c r="AR353" s="71" t="s">
        <v>96</v>
      </c>
      <c r="AS353" s="71"/>
      <c r="AT353" s="71" t="s">
        <v>96</v>
      </c>
      <c r="AU353" s="71"/>
      <c r="AV353" s="71" t="s">
        <v>95</v>
      </c>
      <c r="AW353" s="71"/>
      <c r="AX353" s="71"/>
      <c r="AY353" s="71"/>
      <c r="AZ353" s="71"/>
      <c r="BA353" s="71"/>
      <c r="BB353" s="70" t="s">
        <v>218</v>
      </c>
      <c r="BC353" s="70" t="s">
        <v>98</v>
      </c>
      <c r="BD353" s="72" t="str">
        <f>IF('Cálculo MP'!K363="","",'Cálculo MP'!K363)</f>
        <v/>
      </c>
      <c r="BE353" s="72" t="str">
        <f>IF('Cálculo MP'!L363="","",'Cálculo MP'!L363)</f>
        <v/>
      </c>
      <c r="BF353" s="72" t="str">
        <f>IF('Cálculo MP'!M363="","",'Cálculo MP'!M363)</f>
        <v/>
      </c>
      <c r="BG353" s="72" t="str">
        <f>IF('Cálculo MP'!N363="","",'Cálculo MP'!N363)</f>
        <v/>
      </c>
      <c r="BH353" s="72" t="str">
        <f>IF('Cálculo MP'!O363="","",'Cálculo MP'!O363)</f>
        <v/>
      </c>
      <c r="BI353" s="72" t="str">
        <f>IF('Cálculo MP'!P363="","",'Cálculo MP'!P363)</f>
        <v/>
      </c>
      <c r="BJ353" s="72" t="str">
        <f>IF('Cálculo MP'!Q363="","",'Cálculo MP'!Q363)</f>
        <v/>
      </c>
      <c r="BK353" s="72" t="str">
        <f>IF('Cálculo MP'!R363="","",'Cálculo MP'!R363)</f>
        <v/>
      </c>
      <c r="BL353" s="72" t="str">
        <f>IF('Cálculo MP'!S363="","",'Cálculo MP'!S363)</f>
        <v/>
      </c>
      <c r="BM353" s="71"/>
      <c r="BN353" s="71"/>
      <c r="BO353" s="71"/>
      <c r="BP353" s="71"/>
      <c r="BQ353" s="71"/>
      <c r="BR353" s="71"/>
      <c r="BS353" s="71"/>
    </row>
    <row r="354" spans="1:71" ht="19.5" customHeight="1" x14ac:dyDescent="0.15">
      <c r="A354" s="56" t="s">
        <v>985</v>
      </c>
      <c r="B354" s="57" t="s">
        <v>986</v>
      </c>
      <c r="C354" s="58" t="s">
        <v>985</v>
      </c>
      <c r="D354" s="59" t="s">
        <v>985</v>
      </c>
      <c r="E354" s="61"/>
      <c r="F354" s="60" t="s">
        <v>95</v>
      </c>
      <c r="G354" s="61"/>
      <c r="H354" s="62"/>
      <c r="I354" s="75"/>
      <c r="J354" s="60" t="s">
        <v>95</v>
      </c>
      <c r="K354" s="64"/>
      <c r="L354" s="64"/>
      <c r="M354" s="64" t="s">
        <v>96</v>
      </c>
      <c r="N354" s="64" t="s">
        <v>97</v>
      </c>
      <c r="O354" s="65" t="s">
        <v>986</v>
      </c>
      <c r="P354" s="70" t="s">
        <v>96</v>
      </c>
      <c r="Q354" s="60" t="s">
        <v>95</v>
      </c>
      <c r="R354" s="60" t="s">
        <v>96</v>
      </c>
      <c r="S354" s="66" t="s">
        <v>96</v>
      </c>
      <c r="T354" s="67" t="s">
        <v>96</v>
      </c>
      <c r="U354" s="60" t="s">
        <v>96</v>
      </c>
      <c r="V354" s="60" t="s">
        <v>96</v>
      </c>
      <c r="W354" s="60" t="str" cm="1">
        <f t="array" ref="W354">_xlfn.LET(_xlpm.resultados,_xlfn.UNIQUE(_xlfn._xlws.FILTER(Tabla1[Proceso],(Tabla1[Metal Base]=Q354)*(Tabla1[Etiquetas]=_xlfn.TEXTJOIN(" + ",TRUE,IF((TRIM(Upload!R354:V354)="")+(LOWER(TRIM(Upload!R354:V354))="(seleccione)"),"",PROPER(TRIM(Upload!R354:V354)))))*(Tabla1[Línea2]=IFERROR(VLOOKUP(Upload!P354&amp;"*",CAT_Procesos!D:D,1,FALSE),"")))),_xlpm.cantidad,ROWS(_xlpm.resultados),IF(ISERROR(_xlpm.cantidad),"Combinación no existente",IF(_xlpm.cantidad=1,INDEX(_xlpm.resultados,1),"(seleccione)")))</f>
        <v>Combinación no existente</v>
      </c>
      <c r="X354" s="67" t="s">
        <v>96</v>
      </c>
      <c r="Y354" s="64"/>
      <c r="Z354" s="64"/>
      <c r="AA354" s="64"/>
      <c r="AB354" s="133" t="s">
        <v>96</v>
      </c>
      <c r="AC354" s="64"/>
      <c r="AD354" s="64"/>
      <c r="AE354" s="64"/>
      <c r="AF354" s="60" t="s">
        <v>96</v>
      </c>
      <c r="AG354" s="64"/>
      <c r="AH354" s="64"/>
      <c r="AI354" s="64"/>
      <c r="AJ354" s="68" t="s">
        <v>96</v>
      </c>
      <c r="AK354" s="69" t="str">
        <f t="shared" si="10"/>
        <v/>
      </c>
      <c r="AL354" s="70" t="s">
        <v>96</v>
      </c>
      <c r="AM354" s="69" t="str">
        <f t="shared" si="11"/>
        <v/>
      </c>
      <c r="AN354" s="71"/>
      <c r="AO354" s="71"/>
      <c r="AP354" s="71"/>
      <c r="AQ354" s="71"/>
      <c r="AR354" s="71" t="s">
        <v>96</v>
      </c>
      <c r="AS354" s="71"/>
      <c r="AT354" s="71" t="s">
        <v>96</v>
      </c>
      <c r="AU354" s="71"/>
      <c r="AV354" s="71" t="s">
        <v>95</v>
      </c>
      <c r="AW354" s="71"/>
      <c r="AX354" s="71"/>
      <c r="AY354" s="71"/>
      <c r="AZ354" s="71"/>
      <c r="BA354" s="71"/>
      <c r="BB354" s="70" t="s">
        <v>218</v>
      </c>
      <c r="BC354" s="70" t="s">
        <v>98</v>
      </c>
      <c r="BD354" s="72" t="str">
        <f>IF('Cálculo MP'!K364="","",'Cálculo MP'!K364)</f>
        <v/>
      </c>
      <c r="BE354" s="72" t="str">
        <f>IF('Cálculo MP'!L364="","",'Cálculo MP'!L364)</f>
        <v/>
      </c>
      <c r="BF354" s="72" t="str">
        <f>IF('Cálculo MP'!M364="","",'Cálculo MP'!M364)</f>
        <v/>
      </c>
      <c r="BG354" s="72" t="str">
        <f>IF('Cálculo MP'!N364="","",'Cálculo MP'!N364)</f>
        <v/>
      </c>
      <c r="BH354" s="72" t="str">
        <f>IF('Cálculo MP'!O364="","",'Cálculo MP'!O364)</f>
        <v/>
      </c>
      <c r="BI354" s="72" t="str">
        <f>IF('Cálculo MP'!P364="","",'Cálculo MP'!P364)</f>
        <v/>
      </c>
      <c r="BJ354" s="72" t="str">
        <f>IF('Cálculo MP'!Q364="","",'Cálculo MP'!Q364)</f>
        <v/>
      </c>
      <c r="BK354" s="72" t="str">
        <f>IF('Cálculo MP'!R364="","",'Cálculo MP'!R364)</f>
        <v/>
      </c>
      <c r="BL354" s="72" t="str">
        <f>IF('Cálculo MP'!S364="","",'Cálculo MP'!S364)</f>
        <v/>
      </c>
      <c r="BM354" s="71"/>
      <c r="BN354" s="71"/>
      <c r="BO354" s="71"/>
      <c r="BP354" s="71"/>
      <c r="BQ354" s="71"/>
      <c r="BR354" s="71"/>
      <c r="BS354" s="71"/>
    </row>
    <row r="355" spans="1:71" ht="19.5" customHeight="1" x14ac:dyDescent="0.15">
      <c r="A355" s="56" t="s">
        <v>985</v>
      </c>
      <c r="B355" s="57" t="s">
        <v>986</v>
      </c>
      <c r="C355" s="58" t="s">
        <v>985</v>
      </c>
      <c r="D355" s="59" t="s">
        <v>985</v>
      </c>
      <c r="E355" s="61"/>
      <c r="F355" s="60" t="s">
        <v>95</v>
      </c>
      <c r="G355" s="61"/>
      <c r="H355" s="62"/>
      <c r="I355" s="75"/>
      <c r="J355" s="60" t="s">
        <v>95</v>
      </c>
      <c r="K355" s="64"/>
      <c r="L355" s="64"/>
      <c r="M355" s="64" t="s">
        <v>96</v>
      </c>
      <c r="N355" s="64" t="s">
        <v>97</v>
      </c>
      <c r="O355" s="65" t="s">
        <v>986</v>
      </c>
      <c r="P355" s="70" t="s">
        <v>96</v>
      </c>
      <c r="Q355" s="60" t="s">
        <v>95</v>
      </c>
      <c r="R355" s="60" t="s">
        <v>96</v>
      </c>
      <c r="S355" s="66" t="s">
        <v>96</v>
      </c>
      <c r="T355" s="67" t="s">
        <v>96</v>
      </c>
      <c r="U355" s="60" t="s">
        <v>96</v>
      </c>
      <c r="V355" s="60" t="s">
        <v>96</v>
      </c>
      <c r="W355" s="60" t="str" cm="1">
        <f t="array" ref="W355">_xlfn.LET(_xlpm.resultados,_xlfn.UNIQUE(_xlfn._xlws.FILTER(Tabla1[Proceso],(Tabla1[Metal Base]=Q355)*(Tabla1[Etiquetas]=_xlfn.TEXTJOIN(" + ",TRUE,IF((TRIM(Upload!R355:V355)="")+(LOWER(TRIM(Upload!R355:V355))="(seleccione)"),"",PROPER(TRIM(Upload!R355:V355)))))*(Tabla1[Línea2]=IFERROR(VLOOKUP(Upload!P355&amp;"*",CAT_Procesos!D:D,1,FALSE),"")))),_xlpm.cantidad,ROWS(_xlpm.resultados),IF(ISERROR(_xlpm.cantidad),"Combinación no existente",IF(_xlpm.cantidad=1,INDEX(_xlpm.resultados,1),"(seleccione)")))</f>
        <v>Combinación no existente</v>
      </c>
      <c r="X355" s="67" t="s">
        <v>96</v>
      </c>
      <c r="Y355" s="64"/>
      <c r="Z355" s="64"/>
      <c r="AA355" s="64"/>
      <c r="AB355" s="133" t="s">
        <v>96</v>
      </c>
      <c r="AC355" s="64"/>
      <c r="AD355" s="64"/>
      <c r="AE355" s="64"/>
      <c r="AF355" s="60" t="s">
        <v>96</v>
      </c>
      <c r="AG355" s="64"/>
      <c r="AH355" s="64"/>
      <c r="AI355" s="64"/>
      <c r="AJ355" s="68" t="s">
        <v>96</v>
      </c>
      <c r="AK355" s="69" t="str">
        <f t="shared" si="10"/>
        <v/>
      </c>
      <c r="AL355" s="70" t="s">
        <v>96</v>
      </c>
      <c r="AM355" s="69" t="str">
        <f t="shared" si="11"/>
        <v/>
      </c>
      <c r="AN355" s="71"/>
      <c r="AO355" s="71"/>
      <c r="AP355" s="71"/>
      <c r="AQ355" s="71"/>
      <c r="AR355" s="71" t="s">
        <v>96</v>
      </c>
      <c r="AS355" s="71"/>
      <c r="AT355" s="71" t="s">
        <v>96</v>
      </c>
      <c r="AU355" s="71"/>
      <c r="AV355" s="71" t="s">
        <v>95</v>
      </c>
      <c r="AW355" s="71"/>
      <c r="AX355" s="71"/>
      <c r="AY355" s="71"/>
      <c r="AZ355" s="71"/>
      <c r="BA355" s="71"/>
      <c r="BB355" s="70" t="s">
        <v>218</v>
      </c>
      <c r="BC355" s="70" t="s">
        <v>98</v>
      </c>
      <c r="BD355" s="72" t="str">
        <f>IF('Cálculo MP'!K365="","",'Cálculo MP'!K365)</f>
        <v/>
      </c>
      <c r="BE355" s="72" t="str">
        <f>IF('Cálculo MP'!L365="","",'Cálculo MP'!L365)</f>
        <v/>
      </c>
      <c r="BF355" s="72" t="str">
        <f>IF('Cálculo MP'!M365="","",'Cálculo MP'!M365)</f>
        <v/>
      </c>
      <c r="BG355" s="72" t="str">
        <f>IF('Cálculo MP'!N365="","",'Cálculo MP'!N365)</f>
        <v/>
      </c>
      <c r="BH355" s="72" t="str">
        <f>IF('Cálculo MP'!O365="","",'Cálculo MP'!O365)</f>
        <v/>
      </c>
      <c r="BI355" s="72" t="str">
        <f>IF('Cálculo MP'!P365="","",'Cálculo MP'!P365)</f>
        <v/>
      </c>
      <c r="BJ355" s="72" t="str">
        <f>IF('Cálculo MP'!Q365="","",'Cálculo MP'!Q365)</f>
        <v/>
      </c>
      <c r="BK355" s="72" t="str">
        <f>IF('Cálculo MP'!R365="","",'Cálculo MP'!R365)</f>
        <v/>
      </c>
      <c r="BL355" s="72" t="str">
        <f>IF('Cálculo MP'!S365="","",'Cálculo MP'!S365)</f>
        <v/>
      </c>
      <c r="BM355" s="71"/>
      <c r="BN355" s="71"/>
      <c r="BO355" s="71"/>
      <c r="BP355" s="71"/>
      <c r="BQ355" s="71"/>
      <c r="BR355" s="71"/>
      <c r="BS355" s="71"/>
    </row>
    <row r="356" spans="1:71" ht="19.5" customHeight="1" x14ac:dyDescent="0.15">
      <c r="A356" s="56" t="s">
        <v>985</v>
      </c>
      <c r="B356" s="57" t="s">
        <v>986</v>
      </c>
      <c r="C356" s="58" t="s">
        <v>985</v>
      </c>
      <c r="D356" s="59" t="s">
        <v>985</v>
      </c>
      <c r="E356" s="61"/>
      <c r="F356" s="60" t="s">
        <v>95</v>
      </c>
      <c r="G356" s="61"/>
      <c r="H356" s="62"/>
      <c r="I356" s="75"/>
      <c r="J356" s="60" t="s">
        <v>95</v>
      </c>
      <c r="K356" s="64"/>
      <c r="L356" s="64"/>
      <c r="M356" s="64" t="s">
        <v>96</v>
      </c>
      <c r="N356" s="64" t="s">
        <v>97</v>
      </c>
      <c r="O356" s="65" t="s">
        <v>986</v>
      </c>
      <c r="P356" s="70" t="s">
        <v>96</v>
      </c>
      <c r="Q356" s="60" t="s">
        <v>95</v>
      </c>
      <c r="R356" s="60" t="s">
        <v>96</v>
      </c>
      <c r="S356" s="66" t="s">
        <v>96</v>
      </c>
      <c r="T356" s="67" t="s">
        <v>96</v>
      </c>
      <c r="U356" s="60" t="s">
        <v>96</v>
      </c>
      <c r="V356" s="60" t="s">
        <v>96</v>
      </c>
      <c r="W356" s="60" t="str" cm="1">
        <f t="array" ref="W356">_xlfn.LET(_xlpm.resultados,_xlfn.UNIQUE(_xlfn._xlws.FILTER(Tabla1[Proceso],(Tabla1[Metal Base]=Q356)*(Tabla1[Etiquetas]=_xlfn.TEXTJOIN(" + ",TRUE,IF((TRIM(Upload!R356:V356)="")+(LOWER(TRIM(Upload!R356:V356))="(seleccione)"),"",PROPER(TRIM(Upload!R356:V356)))))*(Tabla1[Línea2]=IFERROR(VLOOKUP(Upload!P356&amp;"*",CAT_Procesos!D:D,1,FALSE),"")))),_xlpm.cantidad,ROWS(_xlpm.resultados),IF(ISERROR(_xlpm.cantidad),"Combinación no existente",IF(_xlpm.cantidad=1,INDEX(_xlpm.resultados,1),"(seleccione)")))</f>
        <v>Combinación no existente</v>
      </c>
      <c r="X356" s="67" t="s">
        <v>96</v>
      </c>
      <c r="Y356" s="64"/>
      <c r="Z356" s="64"/>
      <c r="AA356" s="64"/>
      <c r="AB356" s="133" t="s">
        <v>96</v>
      </c>
      <c r="AC356" s="64"/>
      <c r="AD356" s="64"/>
      <c r="AE356" s="64"/>
      <c r="AF356" s="60" t="s">
        <v>96</v>
      </c>
      <c r="AG356" s="64"/>
      <c r="AH356" s="64"/>
      <c r="AI356" s="64"/>
      <c r="AJ356" s="68" t="s">
        <v>96</v>
      </c>
      <c r="AK356" s="69" t="str">
        <f t="shared" si="10"/>
        <v/>
      </c>
      <c r="AL356" s="70" t="s">
        <v>96</v>
      </c>
      <c r="AM356" s="69" t="str">
        <f t="shared" si="11"/>
        <v/>
      </c>
      <c r="AN356" s="71"/>
      <c r="AO356" s="71"/>
      <c r="AP356" s="71"/>
      <c r="AQ356" s="71"/>
      <c r="AR356" s="71" t="s">
        <v>96</v>
      </c>
      <c r="AS356" s="71"/>
      <c r="AT356" s="71" t="s">
        <v>96</v>
      </c>
      <c r="AU356" s="71"/>
      <c r="AV356" s="71" t="s">
        <v>95</v>
      </c>
      <c r="AW356" s="71"/>
      <c r="AX356" s="71"/>
      <c r="AY356" s="71"/>
      <c r="AZ356" s="71"/>
      <c r="BA356" s="71"/>
      <c r="BB356" s="70" t="s">
        <v>218</v>
      </c>
      <c r="BC356" s="70" t="s">
        <v>98</v>
      </c>
      <c r="BD356" s="72" t="str">
        <f>IF('Cálculo MP'!K366="","",'Cálculo MP'!K366)</f>
        <v/>
      </c>
      <c r="BE356" s="72" t="str">
        <f>IF('Cálculo MP'!L366="","",'Cálculo MP'!L366)</f>
        <v/>
      </c>
      <c r="BF356" s="72" t="str">
        <f>IF('Cálculo MP'!M366="","",'Cálculo MP'!M366)</f>
        <v/>
      </c>
      <c r="BG356" s="72" t="str">
        <f>IF('Cálculo MP'!N366="","",'Cálculo MP'!N366)</f>
        <v/>
      </c>
      <c r="BH356" s="72" t="str">
        <f>IF('Cálculo MP'!O366="","",'Cálculo MP'!O366)</f>
        <v/>
      </c>
      <c r="BI356" s="72" t="str">
        <f>IF('Cálculo MP'!P366="","",'Cálculo MP'!P366)</f>
        <v/>
      </c>
      <c r="BJ356" s="72" t="str">
        <f>IF('Cálculo MP'!Q366="","",'Cálculo MP'!Q366)</f>
        <v/>
      </c>
      <c r="BK356" s="72" t="str">
        <f>IF('Cálculo MP'!R366="","",'Cálculo MP'!R366)</f>
        <v/>
      </c>
      <c r="BL356" s="72" t="str">
        <f>IF('Cálculo MP'!S366="","",'Cálculo MP'!S366)</f>
        <v/>
      </c>
      <c r="BM356" s="71"/>
      <c r="BN356" s="71"/>
      <c r="BO356" s="71"/>
      <c r="BP356" s="71"/>
      <c r="BQ356" s="71"/>
      <c r="BR356" s="71"/>
      <c r="BS356" s="71"/>
    </row>
    <row r="357" spans="1:71" ht="19.5" customHeight="1" x14ac:dyDescent="0.15">
      <c r="A357" s="56" t="s">
        <v>985</v>
      </c>
      <c r="B357" s="57" t="s">
        <v>986</v>
      </c>
      <c r="C357" s="58" t="s">
        <v>985</v>
      </c>
      <c r="D357" s="59" t="s">
        <v>985</v>
      </c>
      <c r="E357" s="61"/>
      <c r="F357" s="60" t="s">
        <v>95</v>
      </c>
      <c r="G357" s="61"/>
      <c r="H357" s="62"/>
      <c r="I357" s="75"/>
      <c r="J357" s="60" t="s">
        <v>95</v>
      </c>
      <c r="K357" s="64"/>
      <c r="L357" s="64"/>
      <c r="M357" s="64" t="s">
        <v>96</v>
      </c>
      <c r="N357" s="64" t="s">
        <v>97</v>
      </c>
      <c r="O357" s="65" t="s">
        <v>986</v>
      </c>
      <c r="P357" s="70" t="s">
        <v>96</v>
      </c>
      <c r="Q357" s="60" t="s">
        <v>95</v>
      </c>
      <c r="R357" s="60" t="s">
        <v>96</v>
      </c>
      <c r="S357" s="66" t="s">
        <v>96</v>
      </c>
      <c r="T357" s="67" t="s">
        <v>96</v>
      </c>
      <c r="U357" s="60" t="s">
        <v>96</v>
      </c>
      <c r="V357" s="60" t="s">
        <v>96</v>
      </c>
      <c r="W357" s="60" t="str" cm="1">
        <f t="array" ref="W357">_xlfn.LET(_xlpm.resultados,_xlfn.UNIQUE(_xlfn._xlws.FILTER(Tabla1[Proceso],(Tabla1[Metal Base]=Q357)*(Tabla1[Etiquetas]=_xlfn.TEXTJOIN(" + ",TRUE,IF((TRIM(Upload!R357:V357)="")+(LOWER(TRIM(Upload!R357:V357))="(seleccione)"),"",PROPER(TRIM(Upload!R357:V357)))))*(Tabla1[Línea2]=IFERROR(VLOOKUP(Upload!P357&amp;"*",CAT_Procesos!D:D,1,FALSE),"")))),_xlpm.cantidad,ROWS(_xlpm.resultados),IF(ISERROR(_xlpm.cantidad),"Combinación no existente",IF(_xlpm.cantidad=1,INDEX(_xlpm.resultados,1),"(seleccione)")))</f>
        <v>Combinación no existente</v>
      </c>
      <c r="X357" s="67" t="s">
        <v>96</v>
      </c>
      <c r="Y357" s="64"/>
      <c r="Z357" s="64"/>
      <c r="AA357" s="64"/>
      <c r="AB357" s="133" t="s">
        <v>96</v>
      </c>
      <c r="AC357" s="64"/>
      <c r="AD357" s="64"/>
      <c r="AE357" s="64"/>
      <c r="AF357" s="60" t="s">
        <v>96</v>
      </c>
      <c r="AG357" s="64"/>
      <c r="AH357" s="64"/>
      <c r="AI357" s="64"/>
      <c r="AJ357" s="68" t="s">
        <v>96</v>
      </c>
      <c r="AK357" s="69" t="str">
        <f t="shared" si="10"/>
        <v/>
      </c>
      <c r="AL357" s="70" t="s">
        <v>96</v>
      </c>
      <c r="AM357" s="69" t="str">
        <f t="shared" si="11"/>
        <v/>
      </c>
      <c r="AN357" s="71"/>
      <c r="AO357" s="71"/>
      <c r="AP357" s="71"/>
      <c r="AQ357" s="71"/>
      <c r="AR357" s="71" t="s">
        <v>96</v>
      </c>
      <c r="AS357" s="71"/>
      <c r="AT357" s="71" t="s">
        <v>96</v>
      </c>
      <c r="AU357" s="71"/>
      <c r="AV357" s="71" t="s">
        <v>95</v>
      </c>
      <c r="AW357" s="71"/>
      <c r="AX357" s="71"/>
      <c r="AY357" s="71"/>
      <c r="AZ357" s="71"/>
      <c r="BA357" s="71"/>
      <c r="BB357" s="70" t="s">
        <v>218</v>
      </c>
      <c r="BC357" s="70" t="s">
        <v>98</v>
      </c>
      <c r="BD357" s="72" t="str">
        <f>IF('Cálculo MP'!K367="","",'Cálculo MP'!K367)</f>
        <v/>
      </c>
      <c r="BE357" s="72" t="str">
        <f>IF('Cálculo MP'!L367="","",'Cálculo MP'!L367)</f>
        <v/>
      </c>
      <c r="BF357" s="72" t="str">
        <f>IF('Cálculo MP'!M367="","",'Cálculo MP'!M367)</f>
        <v/>
      </c>
      <c r="BG357" s="72" t="str">
        <f>IF('Cálculo MP'!N367="","",'Cálculo MP'!N367)</f>
        <v/>
      </c>
      <c r="BH357" s="72" t="str">
        <f>IF('Cálculo MP'!O367="","",'Cálculo MP'!O367)</f>
        <v/>
      </c>
      <c r="BI357" s="72" t="str">
        <f>IF('Cálculo MP'!P367="","",'Cálculo MP'!P367)</f>
        <v/>
      </c>
      <c r="BJ357" s="72" t="str">
        <f>IF('Cálculo MP'!Q367="","",'Cálculo MP'!Q367)</f>
        <v/>
      </c>
      <c r="BK357" s="72" t="str">
        <f>IF('Cálculo MP'!R367="","",'Cálculo MP'!R367)</f>
        <v/>
      </c>
      <c r="BL357" s="72" t="str">
        <f>IF('Cálculo MP'!S367="","",'Cálculo MP'!S367)</f>
        <v/>
      </c>
      <c r="BM357" s="71"/>
      <c r="BN357" s="71"/>
      <c r="BO357" s="71"/>
      <c r="BP357" s="71"/>
      <c r="BQ357" s="71"/>
      <c r="BR357" s="71"/>
      <c r="BS357" s="71"/>
    </row>
    <row r="358" spans="1:71" ht="19.5" customHeight="1" x14ac:dyDescent="0.15">
      <c r="A358" s="56" t="s">
        <v>985</v>
      </c>
      <c r="B358" s="57" t="s">
        <v>986</v>
      </c>
      <c r="C358" s="58" t="s">
        <v>985</v>
      </c>
      <c r="D358" s="59" t="s">
        <v>985</v>
      </c>
      <c r="E358" s="61"/>
      <c r="F358" s="60" t="s">
        <v>95</v>
      </c>
      <c r="G358" s="61"/>
      <c r="H358" s="62"/>
      <c r="I358" s="75"/>
      <c r="J358" s="60" t="s">
        <v>95</v>
      </c>
      <c r="K358" s="64"/>
      <c r="L358" s="64"/>
      <c r="M358" s="64" t="s">
        <v>96</v>
      </c>
      <c r="N358" s="64" t="s">
        <v>97</v>
      </c>
      <c r="O358" s="65" t="s">
        <v>986</v>
      </c>
      <c r="P358" s="70" t="s">
        <v>96</v>
      </c>
      <c r="Q358" s="60" t="s">
        <v>95</v>
      </c>
      <c r="R358" s="60" t="s">
        <v>96</v>
      </c>
      <c r="S358" s="66" t="s">
        <v>96</v>
      </c>
      <c r="T358" s="67" t="s">
        <v>96</v>
      </c>
      <c r="U358" s="60" t="s">
        <v>96</v>
      </c>
      <c r="V358" s="60" t="s">
        <v>96</v>
      </c>
      <c r="W358" s="60" t="str" cm="1">
        <f t="array" ref="W358">_xlfn.LET(_xlpm.resultados,_xlfn.UNIQUE(_xlfn._xlws.FILTER(Tabla1[Proceso],(Tabla1[Metal Base]=Q358)*(Tabla1[Etiquetas]=_xlfn.TEXTJOIN(" + ",TRUE,IF((TRIM(Upload!R358:V358)="")+(LOWER(TRIM(Upload!R358:V358))="(seleccione)"),"",PROPER(TRIM(Upload!R358:V358)))))*(Tabla1[Línea2]=IFERROR(VLOOKUP(Upload!P358&amp;"*",CAT_Procesos!D:D,1,FALSE),"")))),_xlpm.cantidad,ROWS(_xlpm.resultados),IF(ISERROR(_xlpm.cantidad),"Combinación no existente",IF(_xlpm.cantidad=1,INDEX(_xlpm.resultados,1),"(seleccione)")))</f>
        <v>Combinación no existente</v>
      </c>
      <c r="X358" s="67" t="s">
        <v>96</v>
      </c>
      <c r="Y358" s="64"/>
      <c r="Z358" s="64"/>
      <c r="AA358" s="64"/>
      <c r="AB358" s="133" t="s">
        <v>96</v>
      </c>
      <c r="AC358" s="64"/>
      <c r="AD358" s="64"/>
      <c r="AE358" s="64"/>
      <c r="AF358" s="60" t="s">
        <v>96</v>
      </c>
      <c r="AG358" s="64"/>
      <c r="AH358" s="64"/>
      <c r="AI358" s="64"/>
      <c r="AJ358" s="68" t="s">
        <v>96</v>
      </c>
      <c r="AK358" s="69" t="str">
        <f t="shared" si="10"/>
        <v/>
      </c>
      <c r="AL358" s="70" t="s">
        <v>96</v>
      </c>
      <c r="AM358" s="69" t="str">
        <f t="shared" si="11"/>
        <v/>
      </c>
      <c r="AN358" s="71"/>
      <c r="AO358" s="71"/>
      <c r="AP358" s="71"/>
      <c r="AQ358" s="71"/>
      <c r="AR358" s="71" t="s">
        <v>96</v>
      </c>
      <c r="AS358" s="71"/>
      <c r="AT358" s="71" t="s">
        <v>96</v>
      </c>
      <c r="AU358" s="71"/>
      <c r="AV358" s="71" t="s">
        <v>95</v>
      </c>
      <c r="AW358" s="71"/>
      <c r="AX358" s="71"/>
      <c r="AY358" s="71"/>
      <c r="AZ358" s="71"/>
      <c r="BA358" s="71"/>
      <c r="BB358" s="70" t="s">
        <v>218</v>
      </c>
      <c r="BC358" s="70" t="s">
        <v>98</v>
      </c>
      <c r="BD358" s="72" t="str">
        <f>IF('Cálculo MP'!K368="","",'Cálculo MP'!K368)</f>
        <v/>
      </c>
      <c r="BE358" s="72" t="str">
        <f>IF('Cálculo MP'!L368="","",'Cálculo MP'!L368)</f>
        <v/>
      </c>
      <c r="BF358" s="72" t="str">
        <f>IF('Cálculo MP'!M368="","",'Cálculo MP'!M368)</f>
        <v/>
      </c>
      <c r="BG358" s="72" t="str">
        <f>IF('Cálculo MP'!N368="","",'Cálculo MP'!N368)</f>
        <v/>
      </c>
      <c r="BH358" s="72" t="str">
        <f>IF('Cálculo MP'!O368="","",'Cálculo MP'!O368)</f>
        <v/>
      </c>
      <c r="BI358" s="72" t="str">
        <f>IF('Cálculo MP'!P368="","",'Cálculo MP'!P368)</f>
        <v/>
      </c>
      <c r="BJ358" s="72" t="str">
        <f>IF('Cálculo MP'!Q368="","",'Cálculo MP'!Q368)</f>
        <v/>
      </c>
      <c r="BK358" s="72" t="str">
        <f>IF('Cálculo MP'!R368="","",'Cálculo MP'!R368)</f>
        <v/>
      </c>
      <c r="BL358" s="72" t="str">
        <f>IF('Cálculo MP'!S368="","",'Cálculo MP'!S368)</f>
        <v/>
      </c>
      <c r="BM358" s="71"/>
      <c r="BN358" s="71"/>
      <c r="BO358" s="71"/>
      <c r="BP358" s="71"/>
      <c r="BQ358" s="71"/>
      <c r="BR358" s="71"/>
      <c r="BS358" s="71"/>
    </row>
    <row r="359" spans="1:71" ht="19.5" customHeight="1" x14ac:dyDescent="0.15">
      <c r="A359" s="56" t="s">
        <v>985</v>
      </c>
      <c r="B359" s="57" t="s">
        <v>986</v>
      </c>
      <c r="C359" s="58" t="s">
        <v>985</v>
      </c>
      <c r="D359" s="59" t="s">
        <v>985</v>
      </c>
      <c r="E359" s="61"/>
      <c r="F359" s="60" t="s">
        <v>95</v>
      </c>
      <c r="G359" s="61"/>
      <c r="H359" s="62"/>
      <c r="I359" s="75"/>
      <c r="J359" s="60" t="s">
        <v>95</v>
      </c>
      <c r="K359" s="64"/>
      <c r="L359" s="64"/>
      <c r="M359" s="64" t="s">
        <v>96</v>
      </c>
      <c r="N359" s="64" t="s">
        <v>97</v>
      </c>
      <c r="O359" s="65" t="s">
        <v>986</v>
      </c>
      <c r="P359" s="70" t="s">
        <v>96</v>
      </c>
      <c r="Q359" s="60" t="s">
        <v>95</v>
      </c>
      <c r="R359" s="60" t="s">
        <v>96</v>
      </c>
      <c r="S359" s="66" t="s">
        <v>96</v>
      </c>
      <c r="T359" s="67" t="s">
        <v>96</v>
      </c>
      <c r="U359" s="60" t="s">
        <v>96</v>
      </c>
      <c r="V359" s="60" t="s">
        <v>96</v>
      </c>
      <c r="W359" s="60" t="str" cm="1">
        <f t="array" ref="W359">_xlfn.LET(_xlpm.resultados,_xlfn.UNIQUE(_xlfn._xlws.FILTER(Tabla1[Proceso],(Tabla1[Metal Base]=Q359)*(Tabla1[Etiquetas]=_xlfn.TEXTJOIN(" + ",TRUE,IF((TRIM(Upload!R359:V359)="")+(LOWER(TRIM(Upload!R359:V359))="(seleccione)"),"",PROPER(TRIM(Upload!R359:V359)))))*(Tabla1[Línea2]=IFERROR(VLOOKUP(Upload!P359&amp;"*",CAT_Procesos!D:D,1,FALSE),"")))),_xlpm.cantidad,ROWS(_xlpm.resultados),IF(ISERROR(_xlpm.cantidad),"Combinación no existente",IF(_xlpm.cantidad=1,INDEX(_xlpm.resultados,1),"(seleccione)")))</f>
        <v>Combinación no existente</v>
      </c>
      <c r="X359" s="67" t="s">
        <v>96</v>
      </c>
      <c r="Y359" s="64"/>
      <c r="Z359" s="64"/>
      <c r="AA359" s="64"/>
      <c r="AB359" s="133" t="s">
        <v>96</v>
      </c>
      <c r="AC359" s="64"/>
      <c r="AD359" s="64"/>
      <c r="AE359" s="64"/>
      <c r="AF359" s="60" t="s">
        <v>96</v>
      </c>
      <c r="AG359" s="64"/>
      <c r="AH359" s="64"/>
      <c r="AI359" s="64"/>
      <c r="AJ359" s="68" t="s">
        <v>96</v>
      </c>
      <c r="AK359" s="69" t="str">
        <f t="shared" si="10"/>
        <v/>
      </c>
      <c r="AL359" s="70" t="s">
        <v>96</v>
      </c>
      <c r="AM359" s="69" t="str">
        <f t="shared" si="11"/>
        <v/>
      </c>
      <c r="AN359" s="71"/>
      <c r="AO359" s="71"/>
      <c r="AP359" s="71"/>
      <c r="AQ359" s="71"/>
      <c r="AR359" s="71" t="s">
        <v>96</v>
      </c>
      <c r="AS359" s="71"/>
      <c r="AT359" s="71" t="s">
        <v>96</v>
      </c>
      <c r="AU359" s="71"/>
      <c r="AV359" s="71" t="s">
        <v>95</v>
      </c>
      <c r="AW359" s="71"/>
      <c r="AX359" s="71"/>
      <c r="AY359" s="71"/>
      <c r="AZ359" s="71"/>
      <c r="BA359" s="71"/>
      <c r="BB359" s="70" t="s">
        <v>218</v>
      </c>
      <c r="BC359" s="70" t="s">
        <v>98</v>
      </c>
      <c r="BD359" s="72" t="str">
        <f>IF('Cálculo MP'!K369="","",'Cálculo MP'!K369)</f>
        <v/>
      </c>
      <c r="BE359" s="72" t="str">
        <f>IF('Cálculo MP'!L369="","",'Cálculo MP'!L369)</f>
        <v/>
      </c>
      <c r="BF359" s="72" t="str">
        <f>IF('Cálculo MP'!M369="","",'Cálculo MP'!M369)</f>
        <v/>
      </c>
      <c r="BG359" s="72" t="str">
        <f>IF('Cálculo MP'!N369="","",'Cálculo MP'!N369)</f>
        <v/>
      </c>
      <c r="BH359" s="72" t="str">
        <f>IF('Cálculo MP'!O369="","",'Cálculo MP'!O369)</f>
        <v/>
      </c>
      <c r="BI359" s="72" t="str">
        <f>IF('Cálculo MP'!P369="","",'Cálculo MP'!P369)</f>
        <v/>
      </c>
      <c r="BJ359" s="72" t="str">
        <f>IF('Cálculo MP'!Q369="","",'Cálculo MP'!Q369)</f>
        <v/>
      </c>
      <c r="BK359" s="72" t="str">
        <f>IF('Cálculo MP'!R369="","",'Cálculo MP'!R369)</f>
        <v/>
      </c>
      <c r="BL359" s="72" t="str">
        <f>IF('Cálculo MP'!S369="","",'Cálculo MP'!S369)</f>
        <v/>
      </c>
      <c r="BM359" s="71"/>
      <c r="BN359" s="71"/>
      <c r="BO359" s="71"/>
      <c r="BP359" s="71"/>
      <c r="BQ359" s="71"/>
      <c r="BR359" s="71"/>
      <c r="BS359" s="71"/>
    </row>
    <row r="360" spans="1:71" ht="19.5" customHeight="1" x14ac:dyDescent="0.15">
      <c r="A360" s="56" t="s">
        <v>985</v>
      </c>
      <c r="B360" s="57" t="s">
        <v>986</v>
      </c>
      <c r="C360" s="58" t="s">
        <v>985</v>
      </c>
      <c r="D360" s="59" t="s">
        <v>985</v>
      </c>
      <c r="E360" s="61"/>
      <c r="F360" s="60" t="s">
        <v>95</v>
      </c>
      <c r="G360" s="61"/>
      <c r="H360" s="62"/>
      <c r="I360" s="75"/>
      <c r="J360" s="60" t="s">
        <v>95</v>
      </c>
      <c r="K360" s="64"/>
      <c r="L360" s="64"/>
      <c r="M360" s="64" t="s">
        <v>96</v>
      </c>
      <c r="N360" s="64" t="s">
        <v>97</v>
      </c>
      <c r="O360" s="65" t="s">
        <v>986</v>
      </c>
      <c r="P360" s="70" t="s">
        <v>96</v>
      </c>
      <c r="Q360" s="60" t="s">
        <v>95</v>
      </c>
      <c r="R360" s="60" t="s">
        <v>96</v>
      </c>
      <c r="S360" s="66" t="s">
        <v>96</v>
      </c>
      <c r="T360" s="67" t="s">
        <v>96</v>
      </c>
      <c r="U360" s="60" t="s">
        <v>96</v>
      </c>
      <c r="V360" s="60" t="s">
        <v>96</v>
      </c>
      <c r="W360" s="60" t="str" cm="1">
        <f t="array" ref="W360">_xlfn.LET(_xlpm.resultados,_xlfn.UNIQUE(_xlfn._xlws.FILTER(Tabla1[Proceso],(Tabla1[Metal Base]=Q360)*(Tabla1[Etiquetas]=_xlfn.TEXTJOIN(" + ",TRUE,IF((TRIM(Upload!R360:V360)="")+(LOWER(TRIM(Upload!R360:V360))="(seleccione)"),"",PROPER(TRIM(Upload!R360:V360)))))*(Tabla1[Línea2]=IFERROR(VLOOKUP(Upload!P360&amp;"*",CAT_Procesos!D:D,1,FALSE),"")))),_xlpm.cantidad,ROWS(_xlpm.resultados),IF(ISERROR(_xlpm.cantidad),"Combinación no existente",IF(_xlpm.cantidad=1,INDEX(_xlpm.resultados,1),"(seleccione)")))</f>
        <v>Combinación no existente</v>
      </c>
      <c r="X360" s="67" t="s">
        <v>96</v>
      </c>
      <c r="Y360" s="64"/>
      <c r="Z360" s="64"/>
      <c r="AA360" s="64"/>
      <c r="AB360" s="133" t="s">
        <v>96</v>
      </c>
      <c r="AC360" s="64"/>
      <c r="AD360" s="64"/>
      <c r="AE360" s="64"/>
      <c r="AF360" s="60" t="s">
        <v>96</v>
      </c>
      <c r="AG360" s="64"/>
      <c r="AH360" s="64"/>
      <c r="AI360" s="64"/>
      <c r="AJ360" s="68" t="s">
        <v>96</v>
      </c>
      <c r="AK360" s="69" t="str">
        <f t="shared" si="10"/>
        <v/>
      </c>
      <c r="AL360" s="70" t="s">
        <v>96</v>
      </c>
      <c r="AM360" s="69" t="str">
        <f t="shared" si="11"/>
        <v/>
      </c>
      <c r="AN360" s="71"/>
      <c r="AO360" s="71"/>
      <c r="AP360" s="71"/>
      <c r="AQ360" s="71"/>
      <c r="AR360" s="71" t="s">
        <v>96</v>
      </c>
      <c r="AS360" s="71"/>
      <c r="AT360" s="71" t="s">
        <v>96</v>
      </c>
      <c r="AU360" s="71"/>
      <c r="AV360" s="71" t="s">
        <v>95</v>
      </c>
      <c r="AW360" s="71"/>
      <c r="AX360" s="71"/>
      <c r="AY360" s="71"/>
      <c r="AZ360" s="71"/>
      <c r="BA360" s="71"/>
      <c r="BB360" s="70" t="s">
        <v>218</v>
      </c>
      <c r="BC360" s="70" t="s">
        <v>98</v>
      </c>
      <c r="BD360" s="72" t="str">
        <f>IF('Cálculo MP'!K370="","",'Cálculo MP'!K370)</f>
        <v/>
      </c>
      <c r="BE360" s="72" t="str">
        <f>IF('Cálculo MP'!L370="","",'Cálculo MP'!L370)</f>
        <v/>
      </c>
      <c r="BF360" s="72" t="str">
        <f>IF('Cálculo MP'!M370="","",'Cálculo MP'!M370)</f>
        <v/>
      </c>
      <c r="BG360" s="72" t="str">
        <f>IF('Cálculo MP'!N370="","",'Cálculo MP'!N370)</f>
        <v/>
      </c>
      <c r="BH360" s="72" t="str">
        <f>IF('Cálculo MP'!O370="","",'Cálculo MP'!O370)</f>
        <v/>
      </c>
      <c r="BI360" s="72" t="str">
        <f>IF('Cálculo MP'!P370="","",'Cálculo MP'!P370)</f>
        <v/>
      </c>
      <c r="BJ360" s="72" t="str">
        <f>IF('Cálculo MP'!Q370="","",'Cálculo MP'!Q370)</f>
        <v/>
      </c>
      <c r="BK360" s="72" t="str">
        <f>IF('Cálculo MP'!R370="","",'Cálculo MP'!R370)</f>
        <v/>
      </c>
      <c r="BL360" s="72" t="str">
        <f>IF('Cálculo MP'!S370="","",'Cálculo MP'!S370)</f>
        <v/>
      </c>
      <c r="BM360" s="71"/>
      <c r="BN360" s="71"/>
      <c r="BO360" s="71"/>
      <c r="BP360" s="71"/>
      <c r="BQ360" s="71"/>
      <c r="BR360" s="71"/>
      <c r="BS360" s="71"/>
    </row>
    <row r="361" spans="1:71" ht="19.5" customHeight="1" x14ac:dyDescent="0.15">
      <c r="A361" s="56" t="s">
        <v>985</v>
      </c>
      <c r="B361" s="57" t="s">
        <v>986</v>
      </c>
      <c r="C361" s="58" t="s">
        <v>985</v>
      </c>
      <c r="D361" s="59" t="s">
        <v>985</v>
      </c>
      <c r="E361" s="61"/>
      <c r="F361" s="60" t="s">
        <v>95</v>
      </c>
      <c r="G361" s="61"/>
      <c r="H361" s="62"/>
      <c r="I361" s="75"/>
      <c r="J361" s="60" t="s">
        <v>95</v>
      </c>
      <c r="K361" s="64"/>
      <c r="L361" s="64"/>
      <c r="M361" s="64" t="s">
        <v>96</v>
      </c>
      <c r="N361" s="64" t="s">
        <v>97</v>
      </c>
      <c r="O361" s="65" t="s">
        <v>986</v>
      </c>
      <c r="P361" s="70" t="s">
        <v>96</v>
      </c>
      <c r="Q361" s="60" t="s">
        <v>95</v>
      </c>
      <c r="R361" s="60" t="s">
        <v>96</v>
      </c>
      <c r="S361" s="66" t="s">
        <v>96</v>
      </c>
      <c r="T361" s="67" t="s">
        <v>96</v>
      </c>
      <c r="U361" s="60" t="s">
        <v>96</v>
      </c>
      <c r="V361" s="60" t="s">
        <v>96</v>
      </c>
      <c r="W361" s="60" t="str" cm="1">
        <f t="array" ref="W361">_xlfn.LET(_xlpm.resultados,_xlfn.UNIQUE(_xlfn._xlws.FILTER(Tabla1[Proceso],(Tabla1[Metal Base]=Q361)*(Tabla1[Etiquetas]=_xlfn.TEXTJOIN(" + ",TRUE,IF((TRIM(Upload!R361:V361)="")+(LOWER(TRIM(Upload!R361:V361))="(seleccione)"),"",PROPER(TRIM(Upload!R361:V361)))))*(Tabla1[Línea2]=IFERROR(VLOOKUP(Upload!P361&amp;"*",CAT_Procesos!D:D,1,FALSE),"")))),_xlpm.cantidad,ROWS(_xlpm.resultados),IF(ISERROR(_xlpm.cantidad),"Combinación no existente",IF(_xlpm.cantidad=1,INDEX(_xlpm.resultados,1),"(seleccione)")))</f>
        <v>Combinación no existente</v>
      </c>
      <c r="X361" s="67" t="s">
        <v>96</v>
      </c>
      <c r="Y361" s="64"/>
      <c r="Z361" s="64"/>
      <c r="AA361" s="64"/>
      <c r="AB361" s="133" t="s">
        <v>96</v>
      </c>
      <c r="AC361" s="64"/>
      <c r="AD361" s="64"/>
      <c r="AE361" s="64"/>
      <c r="AF361" s="60" t="s">
        <v>96</v>
      </c>
      <c r="AG361" s="64"/>
      <c r="AH361" s="64"/>
      <c r="AI361" s="64"/>
      <c r="AJ361" s="68" t="s">
        <v>96</v>
      </c>
      <c r="AK361" s="69" t="str">
        <f t="shared" si="10"/>
        <v/>
      </c>
      <c r="AL361" s="70" t="s">
        <v>96</v>
      </c>
      <c r="AM361" s="69" t="str">
        <f t="shared" si="11"/>
        <v/>
      </c>
      <c r="AN361" s="71"/>
      <c r="AO361" s="71"/>
      <c r="AP361" s="71"/>
      <c r="AQ361" s="71"/>
      <c r="AR361" s="71" t="s">
        <v>96</v>
      </c>
      <c r="AS361" s="71"/>
      <c r="AT361" s="71" t="s">
        <v>96</v>
      </c>
      <c r="AU361" s="71"/>
      <c r="AV361" s="71" t="s">
        <v>95</v>
      </c>
      <c r="AW361" s="71"/>
      <c r="AX361" s="71"/>
      <c r="AY361" s="71"/>
      <c r="AZ361" s="71"/>
      <c r="BA361" s="71"/>
      <c r="BB361" s="70" t="s">
        <v>218</v>
      </c>
      <c r="BC361" s="70" t="s">
        <v>98</v>
      </c>
      <c r="BD361" s="72" t="str">
        <f>IF('Cálculo MP'!K371="","",'Cálculo MP'!K371)</f>
        <v/>
      </c>
      <c r="BE361" s="72" t="str">
        <f>IF('Cálculo MP'!L371="","",'Cálculo MP'!L371)</f>
        <v/>
      </c>
      <c r="BF361" s="72" t="str">
        <f>IF('Cálculo MP'!M371="","",'Cálculo MP'!M371)</f>
        <v/>
      </c>
      <c r="BG361" s="72" t="str">
        <f>IF('Cálculo MP'!N371="","",'Cálculo MP'!N371)</f>
        <v/>
      </c>
      <c r="BH361" s="72" t="str">
        <f>IF('Cálculo MP'!O371="","",'Cálculo MP'!O371)</f>
        <v/>
      </c>
      <c r="BI361" s="72" t="str">
        <f>IF('Cálculo MP'!P371="","",'Cálculo MP'!P371)</f>
        <v/>
      </c>
      <c r="BJ361" s="72" t="str">
        <f>IF('Cálculo MP'!Q371="","",'Cálculo MP'!Q371)</f>
        <v/>
      </c>
      <c r="BK361" s="72" t="str">
        <f>IF('Cálculo MP'!R371="","",'Cálculo MP'!R371)</f>
        <v/>
      </c>
      <c r="BL361" s="72" t="str">
        <f>IF('Cálculo MP'!S371="","",'Cálculo MP'!S371)</f>
        <v/>
      </c>
      <c r="BM361" s="71"/>
      <c r="BN361" s="71"/>
      <c r="BO361" s="71"/>
      <c r="BP361" s="71"/>
      <c r="BQ361" s="71"/>
      <c r="BR361" s="71"/>
      <c r="BS361" s="71"/>
    </row>
    <row r="362" spans="1:71" ht="19.5" customHeight="1" x14ac:dyDescent="0.15">
      <c r="A362" s="56" t="s">
        <v>985</v>
      </c>
      <c r="B362" s="57" t="s">
        <v>986</v>
      </c>
      <c r="C362" s="58" t="s">
        <v>985</v>
      </c>
      <c r="D362" s="59" t="s">
        <v>985</v>
      </c>
      <c r="E362" s="61"/>
      <c r="F362" s="60" t="s">
        <v>95</v>
      </c>
      <c r="G362" s="61"/>
      <c r="H362" s="62"/>
      <c r="I362" s="75"/>
      <c r="J362" s="60" t="s">
        <v>95</v>
      </c>
      <c r="K362" s="64"/>
      <c r="L362" s="64"/>
      <c r="M362" s="64" t="s">
        <v>96</v>
      </c>
      <c r="N362" s="64" t="s">
        <v>97</v>
      </c>
      <c r="O362" s="65" t="s">
        <v>986</v>
      </c>
      <c r="P362" s="70" t="s">
        <v>96</v>
      </c>
      <c r="Q362" s="60" t="s">
        <v>95</v>
      </c>
      <c r="R362" s="60" t="s">
        <v>96</v>
      </c>
      <c r="S362" s="66" t="s">
        <v>96</v>
      </c>
      <c r="T362" s="67" t="s">
        <v>96</v>
      </c>
      <c r="U362" s="60" t="s">
        <v>96</v>
      </c>
      <c r="V362" s="60" t="s">
        <v>96</v>
      </c>
      <c r="W362" s="60" t="str" cm="1">
        <f t="array" ref="W362">_xlfn.LET(_xlpm.resultados,_xlfn.UNIQUE(_xlfn._xlws.FILTER(Tabla1[Proceso],(Tabla1[Metal Base]=Q362)*(Tabla1[Etiquetas]=_xlfn.TEXTJOIN(" + ",TRUE,IF((TRIM(Upload!R362:V362)="")+(LOWER(TRIM(Upload!R362:V362))="(seleccione)"),"",PROPER(TRIM(Upload!R362:V362)))))*(Tabla1[Línea2]=IFERROR(VLOOKUP(Upload!P362&amp;"*",CAT_Procesos!D:D,1,FALSE),"")))),_xlpm.cantidad,ROWS(_xlpm.resultados),IF(ISERROR(_xlpm.cantidad),"Combinación no existente",IF(_xlpm.cantidad=1,INDEX(_xlpm.resultados,1),"(seleccione)")))</f>
        <v>Combinación no existente</v>
      </c>
      <c r="X362" s="67" t="s">
        <v>96</v>
      </c>
      <c r="Y362" s="64"/>
      <c r="Z362" s="64"/>
      <c r="AA362" s="64"/>
      <c r="AB362" s="133" t="s">
        <v>96</v>
      </c>
      <c r="AC362" s="64"/>
      <c r="AD362" s="64"/>
      <c r="AE362" s="64"/>
      <c r="AF362" s="60" t="s">
        <v>96</v>
      </c>
      <c r="AG362" s="64"/>
      <c r="AH362" s="64"/>
      <c r="AI362" s="64"/>
      <c r="AJ362" s="68" t="s">
        <v>96</v>
      </c>
      <c r="AK362" s="69" t="str">
        <f t="shared" si="10"/>
        <v/>
      </c>
      <c r="AL362" s="70" t="s">
        <v>96</v>
      </c>
      <c r="AM362" s="69" t="str">
        <f t="shared" si="11"/>
        <v/>
      </c>
      <c r="AN362" s="71"/>
      <c r="AO362" s="71"/>
      <c r="AP362" s="71"/>
      <c r="AQ362" s="71"/>
      <c r="AR362" s="71" t="s">
        <v>96</v>
      </c>
      <c r="AS362" s="71"/>
      <c r="AT362" s="71" t="s">
        <v>96</v>
      </c>
      <c r="AU362" s="71"/>
      <c r="AV362" s="71" t="s">
        <v>95</v>
      </c>
      <c r="AW362" s="71"/>
      <c r="AX362" s="71"/>
      <c r="AY362" s="71"/>
      <c r="AZ362" s="71"/>
      <c r="BA362" s="71"/>
      <c r="BB362" s="70" t="s">
        <v>218</v>
      </c>
      <c r="BC362" s="70" t="s">
        <v>98</v>
      </c>
      <c r="BD362" s="72" t="str">
        <f>IF('Cálculo MP'!K372="","",'Cálculo MP'!K372)</f>
        <v/>
      </c>
      <c r="BE362" s="72" t="str">
        <f>IF('Cálculo MP'!L372="","",'Cálculo MP'!L372)</f>
        <v/>
      </c>
      <c r="BF362" s="72" t="str">
        <f>IF('Cálculo MP'!M372="","",'Cálculo MP'!M372)</f>
        <v/>
      </c>
      <c r="BG362" s="72" t="str">
        <f>IF('Cálculo MP'!N372="","",'Cálculo MP'!N372)</f>
        <v/>
      </c>
      <c r="BH362" s="72" t="str">
        <f>IF('Cálculo MP'!O372="","",'Cálculo MP'!O372)</f>
        <v/>
      </c>
      <c r="BI362" s="72" t="str">
        <f>IF('Cálculo MP'!P372="","",'Cálculo MP'!P372)</f>
        <v/>
      </c>
      <c r="BJ362" s="72" t="str">
        <f>IF('Cálculo MP'!Q372="","",'Cálculo MP'!Q372)</f>
        <v/>
      </c>
      <c r="BK362" s="72" t="str">
        <f>IF('Cálculo MP'!R372="","",'Cálculo MP'!R372)</f>
        <v/>
      </c>
      <c r="BL362" s="72" t="str">
        <f>IF('Cálculo MP'!S372="","",'Cálculo MP'!S372)</f>
        <v/>
      </c>
      <c r="BM362" s="71"/>
      <c r="BN362" s="71"/>
      <c r="BO362" s="71"/>
      <c r="BP362" s="71"/>
      <c r="BQ362" s="71"/>
      <c r="BR362" s="71"/>
      <c r="BS362" s="71"/>
    </row>
    <row r="363" spans="1:71" ht="19.5" customHeight="1" x14ac:dyDescent="0.15">
      <c r="A363" s="56" t="s">
        <v>985</v>
      </c>
      <c r="B363" s="57" t="s">
        <v>986</v>
      </c>
      <c r="C363" s="58" t="s">
        <v>985</v>
      </c>
      <c r="D363" s="59" t="s">
        <v>985</v>
      </c>
      <c r="E363" s="61"/>
      <c r="F363" s="60" t="s">
        <v>95</v>
      </c>
      <c r="G363" s="61"/>
      <c r="H363" s="62"/>
      <c r="I363" s="75"/>
      <c r="J363" s="60" t="s">
        <v>95</v>
      </c>
      <c r="K363" s="64"/>
      <c r="L363" s="64"/>
      <c r="M363" s="64" t="s">
        <v>96</v>
      </c>
      <c r="N363" s="64" t="s">
        <v>97</v>
      </c>
      <c r="O363" s="65" t="s">
        <v>986</v>
      </c>
      <c r="P363" s="70" t="s">
        <v>96</v>
      </c>
      <c r="Q363" s="60" t="s">
        <v>95</v>
      </c>
      <c r="R363" s="60" t="s">
        <v>96</v>
      </c>
      <c r="S363" s="66" t="s">
        <v>96</v>
      </c>
      <c r="T363" s="67" t="s">
        <v>96</v>
      </c>
      <c r="U363" s="60" t="s">
        <v>96</v>
      </c>
      <c r="V363" s="60" t="s">
        <v>96</v>
      </c>
      <c r="W363" s="60" t="str" cm="1">
        <f t="array" ref="W363">_xlfn.LET(_xlpm.resultados,_xlfn.UNIQUE(_xlfn._xlws.FILTER(Tabla1[Proceso],(Tabla1[Metal Base]=Q363)*(Tabla1[Etiquetas]=_xlfn.TEXTJOIN(" + ",TRUE,IF((TRIM(Upload!R363:V363)="")+(LOWER(TRIM(Upload!R363:V363))="(seleccione)"),"",PROPER(TRIM(Upload!R363:V363)))))*(Tabla1[Línea2]=IFERROR(VLOOKUP(Upload!P363&amp;"*",CAT_Procesos!D:D,1,FALSE),"")))),_xlpm.cantidad,ROWS(_xlpm.resultados),IF(ISERROR(_xlpm.cantidad),"Combinación no existente",IF(_xlpm.cantidad=1,INDEX(_xlpm.resultados,1),"(seleccione)")))</f>
        <v>Combinación no existente</v>
      </c>
      <c r="X363" s="67" t="s">
        <v>96</v>
      </c>
      <c r="Y363" s="64"/>
      <c r="Z363" s="64"/>
      <c r="AA363" s="64"/>
      <c r="AB363" s="133" t="s">
        <v>96</v>
      </c>
      <c r="AC363" s="64"/>
      <c r="AD363" s="64"/>
      <c r="AE363" s="64"/>
      <c r="AF363" s="60" t="s">
        <v>96</v>
      </c>
      <c r="AG363" s="64"/>
      <c r="AH363" s="64"/>
      <c r="AI363" s="64"/>
      <c r="AJ363" s="68" t="s">
        <v>96</v>
      </c>
      <c r="AK363" s="69" t="str">
        <f t="shared" si="10"/>
        <v/>
      </c>
      <c r="AL363" s="70" t="s">
        <v>96</v>
      </c>
      <c r="AM363" s="69" t="str">
        <f t="shared" si="11"/>
        <v/>
      </c>
      <c r="AN363" s="71"/>
      <c r="AO363" s="71"/>
      <c r="AP363" s="71"/>
      <c r="AQ363" s="71"/>
      <c r="AR363" s="71" t="s">
        <v>96</v>
      </c>
      <c r="AS363" s="71"/>
      <c r="AT363" s="71" t="s">
        <v>96</v>
      </c>
      <c r="AU363" s="71"/>
      <c r="AV363" s="71" t="s">
        <v>95</v>
      </c>
      <c r="AW363" s="71"/>
      <c r="AX363" s="71"/>
      <c r="AY363" s="71"/>
      <c r="AZ363" s="71"/>
      <c r="BA363" s="71"/>
      <c r="BB363" s="70" t="s">
        <v>218</v>
      </c>
      <c r="BC363" s="70" t="s">
        <v>98</v>
      </c>
      <c r="BD363" s="72" t="str">
        <f>IF('Cálculo MP'!K373="","",'Cálculo MP'!K373)</f>
        <v/>
      </c>
      <c r="BE363" s="72" t="str">
        <f>IF('Cálculo MP'!L373="","",'Cálculo MP'!L373)</f>
        <v/>
      </c>
      <c r="BF363" s="72" t="str">
        <f>IF('Cálculo MP'!M373="","",'Cálculo MP'!M373)</f>
        <v/>
      </c>
      <c r="BG363" s="72" t="str">
        <f>IF('Cálculo MP'!N373="","",'Cálculo MP'!N373)</f>
        <v/>
      </c>
      <c r="BH363" s="72" t="str">
        <f>IF('Cálculo MP'!O373="","",'Cálculo MP'!O373)</f>
        <v/>
      </c>
      <c r="BI363" s="72" t="str">
        <f>IF('Cálculo MP'!P373="","",'Cálculo MP'!P373)</f>
        <v/>
      </c>
      <c r="BJ363" s="72" t="str">
        <f>IF('Cálculo MP'!Q373="","",'Cálculo MP'!Q373)</f>
        <v/>
      </c>
      <c r="BK363" s="72" t="str">
        <f>IF('Cálculo MP'!R373="","",'Cálculo MP'!R373)</f>
        <v/>
      </c>
      <c r="BL363" s="72" t="str">
        <f>IF('Cálculo MP'!S373="","",'Cálculo MP'!S373)</f>
        <v/>
      </c>
      <c r="BM363" s="71"/>
      <c r="BN363" s="71"/>
      <c r="BO363" s="71"/>
      <c r="BP363" s="71"/>
      <c r="BQ363" s="71"/>
      <c r="BR363" s="71"/>
      <c r="BS363" s="71"/>
    </row>
    <row r="364" spans="1:71" ht="19.5" customHeight="1" x14ac:dyDescent="0.15">
      <c r="A364" s="56" t="s">
        <v>985</v>
      </c>
      <c r="B364" s="57" t="s">
        <v>986</v>
      </c>
      <c r="C364" s="58" t="s">
        <v>985</v>
      </c>
      <c r="D364" s="59" t="s">
        <v>985</v>
      </c>
      <c r="E364" s="61"/>
      <c r="F364" s="60" t="s">
        <v>95</v>
      </c>
      <c r="G364" s="61"/>
      <c r="H364" s="62"/>
      <c r="I364" s="75"/>
      <c r="J364" s="60" t="s">
        <v>95</v>
      </c>
      <c r="K364" s="64"/>
      <c r="L364" s="64"/>
      <c r="M364" s="64" t="s">
        <v>96</v>
      </c>
      <c r="N364" s="64" t="s">
        <v>97</v>
      </c>
      <c r="O364" s="65" t="s">
        <v>986</v>
      </c>
      <c r="P364" s="70" t="s">
        <v>96</v>
      </c>
      <c r="Q364" s="60" t="s">
        <v>95</v>
      </c>
      <c r="R364" s="60" t="s">
        <v>96</v>
      </c>
      <c r="S364" s="66" t="s">
        <v>96</v>
      </c>
      <c r="T364" s="67" t="s">
        <v>96</v>
      </c>
      <c r="U364" s="60" t="s">
        <v>96</v>
      </c>
      <c r="V364" s="60" t="s">
        <v>96</v>
      </c>
      <c r="W364" s="60" t="str" cm="1">
        <f t="array" ref="W364">_xlfn.LET(_xlpm.resultados,_xlfn.UNIQUE(_xlfn._xlws.FILTER(Tabla1[Proceso],(Tabla1[Metal Base]=Q364)*(Tabla1[Etiquetas]=_xlfn.TEXTJOIN(" + ",TRUE,IF((TRIM(Upload!R364:V364)="")+(LOWER(TRIM(Upload!R364:V364))="(seleccione)"),"",PROPER(TRIM(Upload!R364:V364)))))*(Tabla1[Línea2]=IFERROR(VLOOKUP(Upload!P364&amp;"*",CAT_Procesos!D:D,1,FALSE),"")))),_xlpm.cantidad,ROWS(_xlpm.resultados),IF(ISERROR(_xlpm.cantidad),"Combinación no existente",IF(_xlpm.cantidad=1,INDEX(_xlpm.resultados,1),"(seleccione)")))</f>
        <v>Combinación no existente</v>
      </c>
      <c r="X364" s="67" t="s">
        <v>96</v>
      </c>
      <c r="Y364" s="64"/>
      <c r="Z364" s="64"/>
      <c r="AA364" s="64"/>
      <c r="AB364" s="133" t="s">
        <v>96</v>
      </c>
      <c r="AC364" s="64"/>
      <c r="AD364" s="64"/>
      <c r="AE364" s="64"/>
      <c r="AF364" s="60" t="s">
        <v>96</v>
      </c>
      <c r="AG364" s="64"/>
      <c r="AH364" s="64"/>
      <c r="AI364" s="64"/>
      <c r="AJ364" s="68" t="s">
        <v>96</v>
      </c>
      <c r="AK364" s="69" t="str">
        <f t="shared" si="10"/>
        <v/>
      </c>
      <c r="AL364" s="70" t="s">
        <v>96</v>
      </c>
      <c r="AM364" s="69" t="str">
        <f t="shared" si="11"/>
        <v/>
      </c>
      <c r="AN364" s="71"/>
      <c r="AO364" s="71"/>
      <c r="AP364" s="71"/>
      <c r="AQ364" s="71"/>
      <c r="AR364" s="71" t="s">
        <v>96</v>
      </c>
      <c r="AS364" s="71"/>
      <c r="AT364" s="71" t="s">
        <v>96</v>
      </c>
      <c r="AU364" s="71"/>
      <c r="AV364" s="71" t="s">
        <v>95</v>
      </c>
      <c r="AW364" s="71"/>
      <c r="AX364" s="71"/>
      <c r="AY364" s="71"/>
      <c r="AZ364" s="71"/>
      <c r="BA364" s="71"/>
      <c r="BB364" s="70" t="s">
        <v>218</v>
      </c>
      <c r="BC364" s="70" t="s">
        <v>98</v>
      </c>
      <c r="BD364" s="72" t="str">
        <f>IF('Cálculo MP'!K374="","",'Cálculo MP'!K374)</f>
        <v/>
      </c>
      <c r="BE364" s="72" t="str">
        <f>IF('Cálculo MP'!L374="","",'Cálculo MP'!L374)</f>
        <v/>
      </c>
      <c r="BF364" s="72" t="str">
        <f>IF('Cálculo MP'!M374="","",'Cálculo MP'!M374)</f>
        <v/>
      </c>
      <c r="BG364" s="72" t="str">
        <f>IF('Cálculo MP'!N374="","",'Cálculo MP'!N374)</f>
        <v/>
      </c>
      <c r="BH364" s="72" t="str">
        <f>IF('Cálculo MP'!O374="","",'Cálculo MP'!O374)</f>
        <v/>
      </c>
      <c r="BI364" s="72" t="str">
        <f>IF('Cálculo MP'!P374="","",'Cálculo MP'!P374)</f>
        <v/>
      </c>
      <c r="BJ364" s="72" t="str">
        <f>IF('Cálculo MP'!Q374="","",'Cálculo MP'!Q374)</f>
        <v/>
      </c>
      <c r="BK364" s="72" t="str">
        <f>IF('Cálculo MP'!R374="","",'Cálculo MP'!R374)</f>
        <v/>
      </c>
      <c r="BL364" s="72" t="str">
        <f>IF('Cálculo MP'!S374="","",'Cálculo MP'!S374)</f>
        <v/>
      </c>
      <c r="BM364" s="71"/>
      <c r="BN364" s="71"/>
      <c r="BO364" s="71"/>
      <c r="BP364" s="71"/>
      <c r="BQ364" s="71"/>
      <c r="BR364" s="71"/>
      <c r="BS364" s="71"/>
    </row>
    <row r="365" spans="1:71" ht="19.5" customHeight="1" x14ac:dyDescent="0.15">
      <c r="A365" s="56" t="s">
        <v>985</v>
      </c>
      <c r="B365" s="57" t="s">
        <v>986</v>
      </c>
      <c r="C365" s="58" t="s">
        <v>985</v>
      </c>
      <c r="D365" s="59" t="s">
        <v>985</v>
      </c>
      <c r="E365" s="61"/>
      <c r="F365" s="60" t="s">
        <v>95</v>
      </c>
      <c r="G365" s="61"/>
      <c r="H365" s="62"/>
      <c r="I365" s="75"/>
      <c r="J365" s="60" t="s">
        <v>95</v>
      </c>
      <c r="K365" s="64"/>
      <c r="L365" s="64"/>
      <c r="M365" s="64" t="s">
        <v>96</v>
      </c>
      <c r="N365" s="64" t="s">
        <v>97</v>
      </c>
      <c r="O365" s="65" t="s">
        <v>986</v>
      </c>
      <c r="P365" s="70" t="s">
        <v>96</v>
      </c>
      <c r="Q365" s="60" t="s">
        <v>95</v>
      </c>
      <c r="R365" s="60" t="s">
        <v>96</v>
      </c>
      <c r="S365" s="66" t="s">
        <v>96</v>
      </c>
      <c r="T365" s="67" t="s">
        <v>96</v>
      </c>
      <c r="U365" s="60" t="s">
        <v>96</v>
      </c>
      <c r="V365" s="60" t="s">
        <v>96</v>
      </c>
      <c r="W365" s="60" t="str" cm="1">
        <f t="array" ref="W365">_xlfn.LET(_xlpm.resultados,_xlfn.UNIQUE(_xlfn._xlws.FILTER(Tabla1[Proceso],(Tabla1[Metal Base]=Q365)*(Tabla1[Etiquetas]=_xlfn.TEXTJOIN(" + ",TRUE,IF((TRIM(Upload!R365:V365)="")+(LOWER(TRIM(Upload!R365:V365))="(seleccione)"),"",PROPER(TRIM(Upload!R365:V365)))))*(Tabla1[Línea2]=IFERROR(VLOOKUP(Upload!P365&amp;"*",CAT_Procesos!D:D,1,FALSE),"")))),_xlpm.cantidad,ROWS(_xlpm.resultados),IF(ISERROR(_xlpm.cantidad),"Combinación no existente",IF(_xlpm.cantidad=1,INDEX(_xlpm.resultados,1),"(seleccione)")))</f>
        <v>Combinación no existente</v>
      </c>
      <c r="X365" s="67" t="s">
        <v>96</v>
      </c>
      <c r="Y365" s="64"/>
      <c r="Z365" s="64"/>
      <c r="AA365" s="64"/>
      <c r="AB365" s="133" t="s">
        <v>96</v>
      </c>
      <c r="AC365" s="64"/>
      <c r="AD365" s="64"/>
      <c r="AE365" s="64"/>
      <c r="AF365" s="60" t="s">
        <v>96</v>
      </c>
      <c r="AG365" s="64"/>
      <c r="AH365" s="64"/>
      <c r="AI365" s="64"/>
      <c r="AJ365" s="68" t="s">
        <v>96</v>
      </c>
      <c r="AK365" s="69" t="str">
        <f t="shared" si="10"/>
        <v/>
      </c>
      <c r="AL365" s="70" t="s">
        <v>96</v>
      </c>
      <c r="AM365" s="69" t="str">
        <f t="shared" si="11"/>
        <v/>
      </c>
      <c r="AN365" s="71"/>
      <c r="AO365" s="71"/>
      <c r="AP365" s="71"/>
      <c r="AQ365" s="71"/>
      <c r="AR365" s="71" t="s">
        <v>96</v>
      </c>
      <c r="AS365" s="71"/>
      <c r="AT365" s="71" t="s">
        <v>96</v>
      </c>
      <c r="AU365" s="71"/>
      <c r="AV365" s="71" t="s">
        <v>95</v>
      </c>
      <c r="AW365" s="71"/>
      <c r="AX365" s="71"/>
      <c r="AY365" s="71"/>
      <c r="AZ365" s="71"/>
      <c r="BA365" s="71"/>
      <c r="BB365" s="70" t="s">
        <v>218</v>
      </c>
      <c r="BC365" s="70" t="s">
        <v>98</v>
      </c>
      <c r="BD365" s="72" t="str">
        <f>IF('Cálculo MP'!K375="","",'Cálculo MP'!K375)</f>
        <v/>
      </c>
      <c r="BE365" s="72" t="str">
        <f>IF('Cálculo MP'!L375="","",'Cálculo MP'!L375)</f>
        <v/>
      </c>
      <c r="BF365" s="72" t="str">
        <f>IF('Cálculo MP'!M375="","",'Cálculo MP'!M375)</f>
        <v/>
      </c>
      <c r="BG365" s="72" t="str">
        <f>IF('Cálculo MP'!N375="","",'Cálculo MP'!N375)</f>
        <v/>
      </c>
      <c r="BH365" s="72" t="str">
        <f>IF('Cálculo MP'!O375="","",'Cálculo MP'!O375)</f>
        <v/>
      </c>
      <c r="BI365" s="72" t="str">
        <f>IF('Cálculo MP'!P375="","",'Cálculo MP'!P375)</f>
        <v/>
      </c>
      <c r="BJ365" s="72" t="str">
        <f>IF('Cálculo MP'!Q375="","",'Cálculo MP'!Q375)</f>
        <v/>
      </c>
      <c r="BK365" s="72" t="str">
        <f>IF('Cálculo MP'!R375="","",'Cálculo MP'!R375)</f>
        <v/>
      </c>
      <c r="BL365" s="72" t="str">
        <f>IF('Cálculo MP'!S375="","",'Cálculo MP'!S375)</f>
        <v/>
      </c>
      <c r="BM365" s="71"/>
      <c r="BN365" s="71"/>
      <c r="BO365" s="71"/>
      <c r="BP365" s="71"/>
      <c r="BQ365" s="71"/>
      <c r="BR365" s="71"/>
      <c r="BS365" s="71"/>
    </row>
    <row r="366" spans="1:71" ht="19.5" customHeight="1" x14ac:dyDescent="0.15">
      <c r="A366" s="56" t="s">
        <v>985</v>
      </c>
      <c r="B366" s="57" t="s">
        <v>986</v>
      </c>
      <c r="C366" s="58" t="s">
        <v>985</v>
      </c>
      <c r="D366" s="59" t="s">
        <v>985</v>
      </c>
      <c r="E366" s="61"/>
      <c r="F366" s="60" t="s">
        <v>95</v>
      </c>
      <c r="G366" s="61"/>
      <c r="H366" s="62"/>
      <c r="I366" s="75"/>
      <c r="J366" s="60" t="s">
        <v>95</v>
      </c>
      <c r="K366" s="64"/>
      <c r="L366" s="64"/>
      <c r="M366" s="64" t="s">
        <v>96</v>
      </c>
      <c r="N366" s="64" t="s">
        <v>97</v>
      </c>
      <c r="O366" s="65" t="s">
        <v>986</v>
      </c>
      <c r="P366" s="70" t="s">
        <v>96</v>
      </c>
      <c r="Q366" s="60" t="s">
        <v>95</v>
      </c>
      <c r="R366" s="60" t="s">
        <v>96</v>
      </c>
      <c r="S366" s="66" t="s">
        <v>96</v>
      </c>
      <c r="T366" s="67" t="s">
        <v>96</v>
      </c>
      <c r="U366" s="60" t="s">
        <v>96</v>
      </c>
      <c r="V366" s="60" t="s">
        <v>96</v>
      </c>
      <c r="W366" s="60" t="str" cm="1">
        <f t="array" ref="W366">_xlfn.LET(_xlpm.resultados,_xlfn.UNIQUE(_xlfn._xlws.FILTER(Tabla1[Proceso],(Tabla1[Metal Base]=Q366)*(Tabla1[Etiquetas]=_xlfn.TEXTJOIN(" + ",TRUE,IF((TRIM(Upload!R366:V366)="")+(LOWER(TRIM(Upload!R366:V366))="(seleccione)"),"",PROPER(TRIM(Upload!R366:V366)))))*(Tabla1[Línea2]=IFERROR(VLOOKUP(Upload!P366&amp;"*",CAT_Procesos!D:D,1,FALSE),"")))),_xlpm.cantidad,ROWS(_xlpm.resultados),IF(ISERROR(_xlpm.cantidad),"Combinación no existente",IF(_xlpm.cantidad=1,INDEX(_xlpm.resultados,1),"(seleccione)")))</f>
        <v>Combinación no existente</v>
      </c>
      <c r="X366" s="67" t="s">
        <v>96</v>
      </c>
      <c r="Y366" s="64"/>
      <c r="Z366" s="64"/>
      <c r="AA366" s="64"/>
      <c r="AB366" s="133" t="s">
        <v>96</v>
      </c>
      <c r="AC366" s="64"/>
      <c r="AD366" s="64"/>
      <c r="AE366" s="64"/>
      <c r="AF366" s="60" t="s">
        <v>96</v>
      </c>
      <c r="AG366" s="64"/>
      <c r="AH366" s="64"/>
      <c r="AI366" s="64"/>
      <c r="AJ366" s="68" t="s">
        <v>96</v>
      </c>
      <c r="AK366" s="69" t="str">
        <f t="shared" si="10"/>
        <v/>
      </c>
      <c r="AL366" s="70" t="s">
        <v>96</v>
      </c>
      <c r="AM366" s="69" t="str">
        <f t="shared" si="11"/>
        <v/>
      </c>
      <c r="AN366" s="71"/>
      <c r="AO366" s="71"/>
      <c r="AP366" s="71"/>
      <c r="AQ366" s="71"/>
      <c r="AR366" s="71" t="s">
        <v>96</v>
      </c>
      <c r="AS366" s="71"/>
      <c r="AT366" s="71" t="s">
        <v>96</v>
      </c>
      <c r="AU366" s="71"/>
      <c r="AV366" s="71" t="s">
        <v>95</v>
      </c>
      <c r="AW366" s="71"/>
      <c r="AX366" s="71"/>
      <c r="AY366" s="71"/>
      <c r="AZ366" s="71"/>
      <c r="BA366" s="71"/>
      <c r="BB366" s="70" t="s">
        <v>218</v>
      </c>
      <c r="BC366" s="70" t="s">
        <v>98</v>
      </c>
      <c r="BD366" s="72" t="str">
        <f>IF('Cálculo MP'!K376="","",'Cálculo MP'!K376)</f>
        <v/>
      </c>
      <c r="BE366" s="72" t="str">
        <f>IF('Cálculo MP'!L376="","",'Cálculo MP'!L376)</f>
        <v/>
      </c>
      <c r="BF366" s="72" t="str">
        <f>IF('Cálculo MP'!M376="","",'Cálculo MP'!M376)</f>
        <v/>
      </c>
      <c r="BG366" s="72" t="str">
        <f>IF('Cálculo MP'!N376="","",'Cálculo MP'!N376)</f>
        <v/>
      </c>
      <c r="BH366" s="72" t="str">
        <f>IF('Cálculo MP'!O376="","",'Cálculo MP'!O376)</f>
        <v/>
      </c>
      <c r="BI366" s="72" t="str">
        <f>IF('Cálculo MP'!P376="","",'Cálculo MP'!P376)</f>
        <v/>
      </c>
      <c r="BJ366" s="72" t="str">
        <f>IF('Cálculo MP'!Q376="","",'Cálculo MP'!Q376)</f>
        <v/>
      </c>
      <c r="BK366" s="72" t="str">
        <f>IF('Cálculo MP'!R376="","",'Cálculo MP'!R376)</f>
        <v/>
      </c>
      <c r="BL366" s="72" t="str">
        <f>IF('Cálculo MP'!S376="","",'Cálculo MP'!S376)</f>
        <v/>
      </c>
      <c r="BM366" s="71"/>
      <c r="BN366" s="71"/>
      <c r="BO366" s="71"/>
      <c r="BP366" s="71"/>
      <c r="BQ366" s="71"/>
      <c r="BR366" s="71"/>
      <c r="BS366" s="71"/>
    </row>
    <row r="367" spans="1:71" ht="19.5" customHeight="1" x14ac:dyDescent="0.15">
      <c r="A367" s="56" t="s">
        <v>985</v>
      </c>
      <c r="B367" s="57" t="s">
        <v>986</v>
      </c>
      <c r="C367" s="58" t="s">
        <v>985</v>
      </c>
      <c r="D367" s="59" t="s">
        <v>985</v>
      </c>
      <c r="E367" s="61"/>
      <c r="F367" s="60" t="s">
        <v>95</v>
      </c>
      <c r="G367" s="61"/>
      <c r="H367" s="62"/>
      <c r="I367" s="75"/>
      <c r="J367" s="60" t="s">
        <v>95</v>
      </c>
      <c r="K367" s="64"/>
      <c r="L367" s="64"/>
      <c r="M367" s="64" t="s">
        <v>96</v>
      </c>
      <c r="N367" s="64" t="s">
        <v>97</v>
      </c>
      <c r="O367" s="65" t="s">
        <v>986</v>
      </c>
      <c r="P367" s="70" t="s">
        <v>96</v>
      </c>
      <c r="Q367" s="60" t="s">
        <v>95</v>
      </c>
      <c r="R367" s="60" t="s">
        <v>96</v>
      </c>
      <c r="S367" s="66" t="s">
        <v>96</v>
      </c>
      <c r="T367" s="67" t="s">
        <v>96</v>
      </c>
      <c r="U367" s="60" t="s">
        <v>96</v>
      </c>
      <c r="V367" s="60" t="s">
        <v>96</v>
      </c>
      <c r="W367" s="60" t="str" cm="1">
        <f t="array" ref="W367">_xlfn.LET(_xlpm.resultados,_xlfn.UNIQUE(_xlfn._xlws.FILTER(Tabla1[Proceso],(Tabla1[Metal Base]=Q367)*(Tabla1[Etiquetas]=_xlfn.TEXTJOIN(" + ",TRUE,IF((TRIM(Upload!R367:V367)="")+(LOWER(TRIM(Upload!R367:V367))="(seleccione)"),"",PROPER(TRIM(Upload!R367:V367)))))*(Tabla1[Línea2]=IFERROR(VLOOKUP(Upload!P367&amp;"*",CAT_Procesos!D:D,1,FALSE),"")))),_xlpm.cantidad,ROWS(_xlpm.resultados),IF(ISERROR(_xlpm.cantidad),"Combinación no existente",IF(_xlpm.cantidad=1,INDEX(_xlpm.resultados,1),"(seleccione)")))</f>
        <v>Combinación no existente</v>
      </c>
      <c r="X367" s="67" t="s">
        <v>96</v>
      </c>
      <c r="Y367" s="64"/>
      <c r="Z367" s="64"/>
      <c r="AA367" s="64"/>
      <c r="AB367" s="133" t="s">
        <v>96</v>
      </c>
      <c r="AC367" s="64"/>
      <c r="AD367" s="64"/>
      <c r="AE367" s="64"/>
      <c r="AF367" s="60" t="s">
        <v>96</v>
      </c>
      <c r="AG367" s="64"/>
      <c r="AH367" s="64"/>
      <c r="AI367" s="64"/>
      <c r="AJ367" s="68" t="s">
        <v>96</v>
      </c>
      <c r="AK367" s="69" t="str">
        <f t="shared" si="10"/>
        <v/>
      </c>
      <c r="AL367" s="70" t="s">
        <v>96</v>
      </c>
      <c r="AM367" s="69" t="str">
        <f t="shared" si="11"/>
        <v/>
      </c>
      <c r="AN367" s="71"/>
      <c r="AO367" s="71"/>
      <c r="AP367" s="71"/>
      <c r="AQ367" s="71"/>
      <c r="AR367" s="71" t="s">
        <v>96</v>
      </c>
      <c r="AS367" s="71"/>
      <c r="AT367" s="71" t="s">
        <v>96</v>
      </c>
      <c r="AU367" s="71"/>
      <c r="AV367" s="71" t="s">
        <v>95</v>
      </c>
      <c r="AW367" s="71"/>
      <c r="AX367" s="71"/>
      <c r="AY367" s="71"/>
      <c r="AZ367" s="71"/>
      <c r="BA367" s="71"/>
      <c r="BB367" s="70" t="s">
        <v>218</v>
      </c>
      <c r="BC367" s="70" t="s">
        <v>98</v>
      </c>
      <c r="BD367" s="72" t="str">
        <f>IF('Cálculo MP'!K377="","",'Cálculo MP'!K377)</f>
        <v/>
      </c>
      <c r="BE367" s="72" t="str">
        <f>IF('Cálculo MP'!L377="","",'Cálculo MP'!L377)</f>
        <v/>
      </c>
      <c r="BF367" s="72" t="str">
        <f>IF('Cálculo MP'!M377="","",'Cálculo MP'!M377)</f>
        <v/>
      </c>
      <c r="BG367" s="72" t="str">
        <f>IF('Cálculo MP'!N377="","",'Cálculo MP'!N377)</f>
        <v/>
      </c>
      <c r="BH367" s="72" t="str">
        <f>IF('Cálculo MP'!O377="","",'Cálculo MP'!O377)</f>
        <v/>
      </c>
      <c r="BI367" s="72" t="str">
        <f>IF('Cálculo MP'!P377="","",'Cálculo MP'!P377)</f>
        <v/>
      </c>
      <c r="BJ367" s="72" t="str">
        <f>IF('Cálculo MP'!Q377="","",'Cálculo MP'!Q377)</f>
        <v/>
      </c>
      <c r="BK367" s="72" t="str">
        <f>IF('Cálculo MP'!R377="","",'Cálculo MP'!R377)</f>
        <v/>
      </c>
      <c r="BL367" s="72" t="str">
        <f>IF('Cálculo MP'!S377="","",'Cálculo MP'!S377)</f>
        <v/>
      </c>
      <c r="BM367" s="71"/>
      <c r="BN367" s="71"/>
      <c r="BO367" s="71"/>
      <c r="BP367" s="71"/>
      <c r="BQ367" s="71"/>
      <c r="BR367" s="71"/>
      <c r="BS367" s="71"/>
    </row>
    <row r="368" spans="1:71" ht="19.5" customHeight="1" x14ac:dyDescent="0.15">
      <c r="A368" s="56" t="s">
        <v>985</v>
      </c>
      <c r="B368" s="57" t="s">
        <v>986</v>
      </c>
      <c r="C368" s="58" t="s">
        <v>985</v>
      </c>
      <c r="D368" s="59" t="s">
        <v>985</v>
      </c>
      <c r="E368" s="61"/>
      <c r="F368" s="60" t="s">
        <v>95</v>
      </c>
      <c r="G368" s="61"/>
      <c r="H368" s="62"/>
      <c r="I368" s="75"/>
      <c r="J368" s="60" t="s">
        <v>95</v>
      </c>
      <c r="K368" s="64"/>
      <c r="L368" s="64"/>
      <c r="M368" s="64" t="s">
        <v>96</v>
      </c>
      <c r="N368" s="64" t="s">
        <v>97</v>
      </c>
      <c r="O368" s="65" t="s">
        <v>986</v>
      </c>
      <c r="P368" s="70" t="s">
        <v>96</v>
      </c>
      <c r="Q368" s="60" t="s">
        <v>95</v>
      </c>
      <c r="R368" s="60" t="s">
        <v>96</v>
      </c>
      <c r="S368" s="66" t="s">
        <v>96</v>
      </c>
      <c r="T368" s="67" t="s">
        <v>96</v>
      </c>
      <c r="U368" s="60" t="s">
        <v>96</v>
      </c>
      <c r="V368" s="60" t="s">
        <v>96</v>
      </c>
      <c r="W368" s="60" t="str" cm="1">
        <f t="array" ref="W368">_xlfn.LET(_xlpm.resultados,_xlfn.UNIQUE(_xlfn._xlws.FILTER(Tabla1[Proceso],(Tabla1[Metal Base]=Q368)*(Tabla1[Etiquetas]=_xlfn.TEXTJOIN(" + ",TRUE,IF((TRIM(Upload!R368:V368)="")+(LOWER(TRIM(Upload!R368:V368))="(seleccione)"),"",PROPER(TRIM(Upload!R368:V368)))))*(Tabla1[Línea2]=IFERROR(VLOOKUP(Upload!P368&amp;"*",CAT_Procesos!D:D,1,FALSE),"")))),_xlpm.cantidad,ROWS(_xlpm.resultados),IF(ISERROR(_xlpm.cantidad),"Combinación no existente",IF(_xlpm.cantidad=1,INDEX(_xlpm.resultados,1),"(seleccione)")))</f>
        <v>Combinación no existente</v>
      </c>
      <c r="X368" s="67" t="s">
        <v>96</v>
      </c>
      <c r="Y368" s="64"/>
      <c r="Z368" s="64"/>
      <c r="AA368" s="64"/>
      <c r="AB368" s="133" t="s">
        <v>96</v>
      </c>
      <c r="AC368" s="64"/>
      <c r="AD368" s="64"/>
      <c r="AE368" s="64"/>
      <c r="AF368" s="60" t="s">
        <v>96</v>
      </c>
      <c r="AG368" s="64"/>
      <c r="AH368" s="64"/>
      <c r="AI368" s="64"/>
      <c r="AJ368" s="68" t="s">
        <v>96</v>
      </c>
      <c r="AK368" s="69" t="str">
        <f t="shared" si="10"/>
        <v/>
      </c>
      <c r="AL368" s="70" t="s">
        <v>96</v>
      </c>
      <c r="AM368" s="69" t="str">
        <f t="shared" si="11"/>
        <v/>
      </c>
      <c r="AN368" s="71"/>
      <c r="AO368" s="71"/>
      <c r="AP368" s="71"/>
      <c r="AQ368" s="71"/>
      <c r="AR368" s="71" t="s">
        <v>96</v>
      </c>
      <c r="AS368" s="71"/>
      <c r="AT368" s="71" t="s">
        <v>96</v>
      </c>
      <c r="AU368" s="71"/>
      <c r="AV368" s="71" t="s">
        <v>95</v>
      </c>
      <c r="AW368" s="71"/>
      <c r="AX368" s="71"/>
      <c r="AY368" s="71"/>
      <c r="AZ368" s="71"/>
      <c r="BA368" s="71"/>
      <c r="BB368" s="70" t="s">
        <v>218</v>
      </c>
      <c r="BC368" s="70" t="s">
        <v>98</v>
      </c>
      <c r="BD368" s="72" t="str">
        <f>IF('Cálculo MP'!K378="","",'Cálculo MP'!K378)</f>
        <v/>
      </c>
      <c r="BE368" s="72" t="str">
        <f>IF('Cálculo MP'!L378="","",'Cálculo MP'!L378)</f>
        <v/>
      </c>
      <c r="BF368" s="72" t="str">
        <f>IF('Cálculo MP'!M378="","",'Cálculo MP'!M378)</f>
        <v/>
      </c>
      <c r="BG368" s="72" t="str">
        <f>IF('Cálculo MP'!N378="","",'Cálculo MP'!N378)</f>
        <v/>
      </c>
      <c r="BH368" s="72" t="str">
        <f>IF('Cálculo MP'!O378="","",'Cálculo MP'!O378)</f>
        <v/>
      </c>
      <c r="BI368" s="72" t="str">
        <f>IF('Cálculo MP'!P378="","",'Cálculo MP'!P378)</f>
        <v/>
      </c>
      <c r="BJ368" s="72" t="str">
        <f>IF('Cálculo MP'!Q378="","",'Cálculo MP'!Q378)</f>
        <v/>
      </c>
      <c r="BK368" s="72" t="str">
        <f>IF('Cálculo MP'!R378="","",'Cálculo MP'!R378)</f>
        <v/>
      </c>
      <c r="BL368" s="72" t="str">
        <f>IF('Cálculo MP'!S378="","",'Cálculo MP'!S378)</f>
        <v/>
      </c>
      <c r="BM368" s="71"/>
      <c r="BN368" s="71"/>
      <c r="BO368" s="71"/>
      <c r="BP368" s="71"/>
      <c r="BQ368" s="71"/>
      <c r="BR368" s="71"/>
      <c r="BS368" s="71"/>
    </row>
    <row r="369" spans="1:71" ht="19.5" customHeight="1" x14ac:dyDescent="0.15">
      <c r="A369" s="56" t="s">
        <v>985</v>
      </c>
      <c r="B369" s="57" t="s">
        <v>986</v>
      </c>
      <c r="C369" s="58" t="s">
        <v>985</v>
      </c>
      <c r="D369" s="59" t="s">
        <v>985</v>
      </c>
      <c r="E369" s="61"/>
      <c r="F369" s="60" t="s">
        <v>95</v>
      </c>
      <c r="G369" s="61"/>
      <c r="H369" s="62"/>
      <c r="I369" s="75"/>
      <c r="J369" s="60" t="s">
        <v>95</v>
      </c>
      <c r="K369" s="64"/>
      <c r="L369" s="64"/>
      <c r="M369" s="64" t="s">
        <v>96</v>
      </c>
      <c r="N369" s="64" t="s">
        <v>97</v>
      </c>
      <c r="O369" s="65" t="s">
        <v>986</v>
      </c>
      <c r="P369" s="70" t="s">
        <v>96</v>
      </c>
      <c r="Q369" s="60" t="s">
        <v>95</v>
      </c>
      <c r="R369" s="60" t="s">
        <v>96</v>
      </c>
      <c r="S369" s="66" t="s">
        <v>96</v>
      </c>
      <c r="T369" s="67" t="s">
        <v>96</v>
      </c>
      <c r="U369" s="60" t="s">
        <v>96</v>
      </c>
      <c r="V369" s="60" t="s">
        <v>96</v>
      </c>
      <c r="W369" s="60" t="str" cm="1">
        <f t="array" ref="W369">_xlfn.LET(_xlpm.resultados,_xlfn.UNIQUE(_xlfn._xlws.FILTER(Tabla1[Proceso],(Tabla1[Metal Base]=Q369)*(Tabla1[Etiquetas]=_xlfn.TEXTJOIN(" + ",TRUE,IF((TRIM(Upload!R369:V369)="")+(LOWER(TRIM(Upload!R369:V369))="(seleccione)"),"",PROPER(TRIM(Upload!R369:V369)))))*(Tabla1[Línea2]=IFERROR(VLOOKUP(Upload!P369&amp;"*",CAT_Procesos!D:D,1,FALSE),"")))),_xlpm.cantidad,ROWS(_xlpm.resultados),IF(ISERROR(_xlpm.cantidad),"Combinación no existente",IF(_xlpm.cantidad=1,INDEX(_xlpm.resultados,1),"(seleccione)")))</f>
        <v>Combinación no existente</v>
      </c>
      <c r="X369" s="67" t="s">
        <v>96</v>
      </c>
      <c r="Y369" s="64"/>
      <c r="Z369" s="64"/>
      <c r="AA369" s="64"/>
      <c r="AB369" s="133" t="s">
        <v>96</v>
      </c>
      <c r="AC369" s="64"/>
      <c r="AD369" s="64"/>
      <c r="AE369" s="64"/>
      <c r="AF369" s="60" t="s">
        <v>96</v>
      </c>
      <c r="AG369" s="64"/>
      <c r="AH369" s="64"/>
      <c r="AI369" s="64"/>
      <c r="AJ369" s="68" t="s">
        <v>96</v>
      </c>
      <c r="AK369" s="69" t="str">
        <f t="shared" si="10"/>
        <v/>
      </c>
      <c r="AL369" s="70" t="s">
        <v>96</v>
      </c>
      <c r="AM369" s="69" t="str">
        <f t="shared" si="11"/>
        <v/>
      </c>
      <c r="AN369" s="71"/>
      <c r="AO369" s="71"/>
      <c r="AP369" s="71"/>
      <c r="AQ369" s="71"/>
      <c r="AR369" s="71" t="s">
        <v>96</v>
      </c>
      <c r="AS369" s="71"/>
      <c r="AT369" s="71" t="s">
        <v>96</v>
      </c>
      <c r="AU369" s="71"/>
      <c r="AV369" s="71" t="s">
        <v>95</v>
      </c>
      <c r="AW369" s="71"/>
      <c r="AX369" s="71"/>
      <c r="AY369" s="71"/>
      <c r="AZ369" s="71"/>
      <c r="BA369" s="71"/>
      <c r="BB369" s="70" t="s">
        <v>218</v>
      </c>
      <c r="BC369" s="70" t="s">
        <v>98</v>
      </c>
      <c r="BD369" s="72" t="str">
        <f>IF('Cálculo MP'!K379="","",'Cálculo MP'!K379)</f>
        <v/>
      </c>
      <c r="BE369" s="72" t="str">
        <f>IF('Cálculo MP'!L379="","",'Cálculo MP'!L379)</f>
        <v/>
      </c>
      <c r="BF369" s="72" t="str">
        <f>IF('Cálculo MP'!M379="","",'Cálculo MP'!M379)</f>
        <v/>
      </c>
      <c r="BG369" s="72" t="str">
        <f>IF('Cálculo MP'!N379="","",'Cálculo MP'!N379)</f>
        <v/>
      </c>
      <c r="BH369" s="72" t="str">
        <f>IF('Cálculo MP'!O379="","",'Cálculo MP'!O379)</f>
        <v/>
      </c>
      <c r="BI369" s="72" t="str">
        <f>IF('Cálculo MP'!P379="","",'Cálculo MP'!P379)</f>
        <v/>
      </c>
      <c r="BJ369" s="72" t="str">
        <f>IF('Cálculo MP'!Q379="","",'Cálculo MP'!Q379)</f>
        <v/>
      </c>
      <c r="BK369" s="72" t="str">
        <f>IF('Cálculo MP'!R379="","",'Cálculo MP'!R379)</f>
        <v/>
      </c>
      <c r="BL369" s="72" t="str">
        <f>IF('Cálculo MP'!S379="","",'Cálculo MP'!S379)</f>
        <v/>
      </c>
      <c r="BM369" s="71"/>
      <c r="BN369" s="71"/>
      <c r="BO369" s="71"/>
      <c r="BP369" s="71"/>
      <c r="BQ369" s="71"/>
      <c r="BR369" s="71"/>
      <c r="BS369" s="71"/>
    </row>
    <row r="370" spans="1:71" ht="19.5" customHeight="1" x14ac:dyDescent="0.15">
      <c r="A370" s="56" t="s">
        <v>985</v>
      </c>
      <c r="B370" s="57" t="s">
        <v>986</v>
      </c>
      <c r="C370" s="58" t="s">
        <v>985</v>
      </c>
      <c r="D370" s="59" t="s">
        <v>985</v>
      </c>
      <c r="E370" s="61"/>
      <c r="F370" s="60" t="s">
        <v>95</v>
      </c>
      <c r="G370" s="61"/>
      <c r="H370" s="62"/>
      <c r="I370" s="75"/>
      <c r="J370" s="60" t="s">
        <v>95</v>
      </c>
      <c r="K370" s="64"/>
      <c r="L370" s="64"/>
      <c r="M370" s="64" t="s">
        <v>96</v>
      </c>
      <c r="N370" s="64" t="s">
        <v>97</v>
      </c>
      <c r="O370" s="65" t="s">
        <v>986</v>
      </c>
      <c r="P370" s="70" t="s">
        <v>96</v>
      </c>
      <c r="Q370" s="60" t="s">
        <v>95</v>
      </c>
      <c r="R370" s="60" t="s">
        <v>96</v>
      </c>
      <c r="S370" s="66" t="s">
        <v>96</v>
      </c>
      <c r="T370" s="67" t="s">
        <v>96</v>
      </c>
      <c r="U370" s="60" t="s">
        <v>96</v>
      </c>
      <c r="V370" s="60" t="s">
        <v>96</v>
      </c>
      <c r="W370" s="60" t="str" cm="1">
        <f t="array" ref="W370">_xlfn.LET(_xlpm.resultados,_xlfn.UNIQUE(_xlfn._xlws.FILTER(Tabla1[Proceso],(Tabla1[Metal Base]=Q370)*(Tabla1[Etiquetas]=_xlfn.TEXTJOIN(" + ",TRUE,IF((TRIM(Upload!R370:V370)="")+(LOWER(TRIM(Upload!R370:V370))="(seleccione)"),"",PROPER(TRIM(Upload!R370:V370)))))*(Tabla1[Línea2]=IFERROR(VLOOKUP(Upload!P370&amp;"*",CAT_Procesos!D:D,1,FALSE),"")))),_xlpm.cantidad,ROWS(_xlpm.resultados),IF(ISERROR(_xlpm.cantidad),"Combinación no existente",IF(_xlpm.cantidad=1,INDEX(_xlpm.resultados,1),"(seleccione)")))</f>
        <v>Combinación no existente</v>
      </c>
      <c r="X370" s="67" t="s">
        <v>96</v>
      </c>
      <c r="Y370" s="64"/>
      <c r="Z370" s="64"/>
      <c r="AA370" s="64"/>
      <c r="AB370" s="133" t="s">
        <v>96</v>
      </c>
      <c r="AC370" s="64"/>
      <c r="AD370" s="64"/>
      <c r="AE370" s="64"/>
      <c r="AF370" s="60" t="s">
        <v>96</v>
      </c>
      <c r="AG370" s="64"/>
      <c r="AH370" s="64"/>
      <c r="AI370" s="64"/>
      <c r="AJ370" s="68" t="s">
        <v>96</v>
      </c>
      <c r="AK370" s="69" t="str">
        <f t="shared" si="10"/>
        <v/>
      </c>
      <c r="AL370" s="70" t="s">
        <v>96</v>
      </c>
      <c r="AM370" s="69" t="str">
        <f t="shared" si="11"/>
        <v/>
      </c>
      <c r="AN370" s="71"/>
      <c r="AO370" s="71"/>
      <c r="AP370" s="71"/>
      <c r="AQ370" s="71"/>
      <c r="AR370" s="71" t="s">
        <v>96</v>
      </c>
      <c r="AS370" s="71"/>
      <c r="AT370" s="71" t="s">
        <v>96</v>
      </c>
      <c r="AU370" s="71"/>
      <c r="AV370" s="71" t="s">
        <v>95</v>
      </c>
      <c r="AW370" s="71"/>
      <c r="AX370" s="71"/>
      <c r="AY370" s="71"/>
      <c r="AZ370" s="71"/>
      <c r="BA370" s="71"/>
      <c r="BB370" s="70" t="s">
        <v>218</v>
      </c>
      <c r="BC370" s="70" t="s">
        <v>98</v>
      </c>
      <c r="BD370" s="72" t="str">
        <f>IF('Cálculo MP'!K380="","",'Cálculo MP'!K380)</f>
        <v/>
      </c>
      <c r="BE370" s="72" t="str">
        <f>IF('Cálculo MP'!L380="","",'Cálculo MP'!L380)</f>
        <v/>
      </c>
      <c r="BF370" s="72" t="str">
        <f>IF('Cálculo MP'!M380="","",'Cálculo MP'!M380)</f>
        <v/>
      </c>
      <c r="BG370" s="72" t="str">
        <f>IF('Cálculo MP'!N380="","",'Cálculo MP'!N380)</f>
        <v/>
      </c>
      <c r="BH370" s="72" t="str">
        <f>IF('Cálculo MP'!O380="","",'Cálculo MP'!O380)</f>
        <v/>
      </c>
      <c r="BI370" s="72" t="str">
        <f>IF('Cálculo MP'!P380="","",'Cálculo MP'!P380)</f>
        <v/>
      </c>
      <c r="BJ370" s="72" t="str">
        <f>IF('Cálculo MP'!Q380="","",'Cálculo MP'!Q380)</f>
        <v/>
      </c>
      <c r="BK370" s="72" t="str">
        <f>IF('Cálculo MP'!R380="","",'Cálculo MP'!R380)</f>
        <v/>
      </c>
      <c r="BL370" s="72" t="str">
        <f>IF('Cálculo MP'!S380="","",'Cálculo MP'!S380)</f>
        <v/>
      </c>
      <c r="BM370" s="71"/>
      <c r="BN370" s="71"/>
      <c r="BO370" s="71"/>
      <c r="BP370" s="71"/>
      <c r="BQ370" s="71"/>
      <c r="BR370" s="71"/>
      <c r="BS370" s="71"/>
    </row>
    <row r="371" spans="1:71" ht="19.5" customHeight="1" x14ac:dyDescent="0.15">
      <c r="A371" s="56" t="s">
        <v>985</v>
      </c>
      <c r="B371" s="57" t="s">
        <v>986</v>
      </c>
      <c r="C371" s="58" t="s">
        <v>985</v>
      </c>
      <c r="D371" s="59" t="s">
        <v>985</v>
      </c>
      <c r="E371" s="61"/>
      <c r="F371" s="60" t="s">
        <v>95</v>
      </c>
      <c r="G371" s="61"/>
      <c r="H371" s="62"/>
      <c r="I371" s="75"/>
      <c r="J371" s="60" t="s">
        <v>95</v>
      </c>
      <c r="K371" s="64"/>
      <c r="L371" s="64"/>
      <c r="M371" s="64" t="s">
        <v>96</v>
      </c>
      <c r="N371" s="64" t="s">
        <v>97</v>
      </c>
      <c r="O371" s="65" t="s">
        <v>986</v>
      </c>
      <c r="P371" s="70" t="s">
        <v>96</v>
      </c>
      <c r="Q371" s="60" t="s">
        <v>95</v>
      </c>
      <c r="R371" s="60" t="s">
        <v>96</v>
      </c>
      <c r="S371" s="66" t="s">
        <v>96</v>
      </c>
      <c r="T371" s="67" t="s">
        <v>96</v>
      </c>
      <c r="U371" s="60" t="s">
        <v>96</v>
      </c>
      <c r="V371" s="60" t="s">
        <v>96</v>
      </c>
      <c r="W371" s="60" t="str" cm="1">
        <f t="array" ref="W371">_xlfn.LET(_xlpm.resultados,_xlfn.UNIQUE(_xlfn._xlws.FILTER(Tabla1[Proceso],(Tabla1[Metal Base]=Q371)*(Tabla1[Etiquetas]=_xlfn.TEXTJOIN(" + ",TRUE,IF((TRIM(Upload!R371:V371)="")+(LOWER(TRIM(Upload!R371:V371))="(seleccione)"),"",PROPER(TRIM(Upload!R371:V371)))))*(Tabla1[Línea2]=IFERROR(VLOOKUP(Upload!P371&amp;"*",CAT_Procesos!D:D,1,FALSE),"")))),_xlpm.cantidad,ROWS(_xlpm.resultados),IF(ISERROR(_xlpm.cantidad),"Combinación no existente",IF(_xlpm.cantidad=1,INDEX(_xlpm.resultados,1),"(seleccione)")))</f>
        <v>Combinación no existente</v>
      </c>
      <c r="X371" s="67" t="s">
        <v>96</v>
      </c>
      <c r="Y371" s="64"/>
      <c r="Z371" s="64"/>
      <c r="AA371" s="64"/>
      <c r="AB371" s="133" t="s">
        <v>96</v>
      </c>
      <c r="AC371" s="64"/>
      <c r="AD371" s="64"/>
      <c r="AE371" s="64"/>
      <c r="AF371" s="60" t="s">
        <v>96</v>
      </c>
      <c r="AG371" s="64"/>
      <c r="AH371" s="64"/>
      <c r="AI371" s="64"/>
      <c r="AJ371" s="68" t="s">
        <v>96</v>
      </c>
      <c r="AK371" s="69" t="str">
        <f t="shared" si="10"/>
        <v/>
      </c>
      <c r="AL371" s="70" t="s">
        <v>96</v>
      </c>
      <c r="AM371" s="69" t="str">
        <f t="shared" si="11"/>
        <v/>
      </c>
      <c r="AN371" s="71"/>
      <c r="AO371" s="71"/>
      <c r="AP371" s="71"/>
      <c r="AQ371" s="71"/>
      <c r="AR371" s="71" t="s">
        <v>96</v>
      </c>
      <c r="AS371" s="71"/>
      <c r="AT371" s="71" t="s">
        <v>96</v>
      </c>
      <c r="AU371" s="71"/>
      <c r="AV371" s="71" t="s">
        <v>95</v>
      </c>
      <c r="AW371" s="71"/>
      <c r="AX371" s="71"/>
      <c r="AY371" s="71"/>
      <c r="AZ371" s="71"/>
      <c r="BA371" s="71"/>
      <c r="BB371" s="70" t="s">
        <v>218</v>
      </c>
      <c r="BC371" s="70" t="s">
        <v>98</v>
      </c>
      <c r="BD371" s="72" t="str">
        <f>IF('Cálculo MP'!K381="","",'Cálculo MP'!K381)</f>
        <v/>
      </c>
      <c r="BE371" s="72" t="str">
        <f>IF('Cálculo MP'!L381="","",'Cálculo MP'!L381)</f>
        <v/>
      </c>
      <c r="BF371" s="72" t="str">
        <f>IF('Cálculo MP'!M381="","",'Cálculo MP'!M381)</f>
        <v/>
      </c>
      <c r="BG371" s="72" t="str">
        <f>IF('Cálculo MP'!N381="","",'Cálculo MP'!N381)</f>
        <v/>
      </c>
      <c r="BH371" s="72" t="str">
        <f>IF('Cálculo MP'!O381="","",'Cálculo MP'!O381)</f>
        <v/>
      </c>
      <c r="BI371" s="72" t="str">
        <f>IF('Cálculo MP'!P381="","",'Cálculo MP'!P381)</f>
        <v/>
      </c>
      <c r="BJ371" s="72" t="str">
        <f>IF('Cálculo MP'!Q381="","",'Cálculo MP'!Q381)</f>
        <v/>
      </c>
      <c r="BK371" s="72" t="str">
        <f>IF('Cálculo MP'!R381="","",'Cálculo MP'!R381)</f>
        <v/>
      </c>
      <c r="BL371" s="72" t="str">
        <f>IF('Cálculo MP'!S381="","",'Cálculo MP'!S381)</f>
        <v/>
      </c>
      <c r="BM371" s="71"/>
      <c r="BN371" s="71"/>
      <c r="BO371" s="71"/>
      <c r="BP371" s="71"/>
      <c r="BQ371" s="71"/>
      <c r="BR371" s="71"/>
      <c r="BS371" s="71"/>
    </row>
    <row r="372" spans="1:71" ht="19.5" customHeight="1" x14ac:dyDescent="0.15">
      <c r="A372" s="56" t="s">
        <v>985</v>
      </c>
      <c r="B372" s="57" t="s">
        <v>986</v>
      </c>
      <c r="C372" s="58" t="s">
        <v>985</v>
      </c>
      <c r="D372" s="59" t="s">
        <v>985</v>
      </c>
      <c r="E372" s="61"/>
      <c r="F372" s="60" t="s">
        <v>95</v>
      </c>
      <c r="G372" s="61"/>
      <c r="H372" s="62"/>
      <c r="I372" s="75"/>
      <c r="J372" s="60" t="s">
        <v>95</v>
      </c>
      <c r="K372" s="64"/>
      <c r="L372" s="64"/>
      <c r="M372" s="64" t="s">
        <v>96</v>
      </c>
      <c r="N372" s="64" t="s">
        <v>97</v>
      </c>
      <c r="O372" s="65" t="s">
        <v>986</v>
      </c>
      <c r="P372" s="70" t="s">
        <v>96</v>
      </c>
      <c r="Q372" s="60" t="s">
        <v>95</v>
      </c>
      <c r="R372" s="60" t="s">
        <v>96</v>
      </c>
      <c r="S372" s="66" t="s">
        <v>96</v>
      </c>
      <c r="T372" s="67" t="s">
        <v>96</v>
      </c>
      <c r="U372" s="60" t="s">
        <v>96</v>
      </c>
      <c r="V372" s="60" t="s">
        <v>96</v>
      </c>
      <c r="W372" s="60" t="str" cm="1">
        <f t="array" ref="W372">_xlfn.LET(_xlpm.resultados,_xlfn.UNIQUE(_xlfn._xlws.FILTER(Tabla1[Proceso],(Tabla1[Metal Base]=Q372)*(Tabla1[Etiquetas]=_xlfn.TEXTJOIN(" + ",TRUE,IF((TRIM(Upload!R372:V372)="")+(LOWER(TRIM(Upload!R372:V372))="(seleccione)"),"",PROPER(TRIM(Upload!R372:V372)))))*(Tabla1[Línea2]=IFERROR(VLOOKUP(Upload!P372&amp;"*",CAT_Procesos!D:D,1,FALSE),"")))),_xlpm.cantidad,ROWS(_xlpm.resultados),IF(ISERROR(_xlpm.cantidad),"Combinación no existente",IF(_xlpm.cantidad=1,INDEX(_xlpm.resultados,1),"(seleccione)")))</f>
        <v>Combinación no existente</v>
      </c>
      <c r="X372" s="67" t="s">
        <v>96</v>
      </c>
      <c r="Y372" s="64"/>
      <c r="Z372" s="64"/>
      <c r="AA372" s="64"/>
      <c r="AB372" s="133" t="s">
        <v>96</v>
      </c>
      <c r="AC372" s="64"/>
      <c r="AD372" s="64"/>
      <c r="AE372" s="64"/>
      <c r="AF372" s="60" t="s">
        <v>96</v>
      </c>
      <c r="AG372" s="64"/>
      <c r="AH372" s="64"/>
      <c r="AI372" s="64"/>
      <c r="AJ372" s="68" t="s">
        <v>96</v>
      </c>
      <c r="AK372" s="69" t="str">
        <f t="shared" si="10"/>
        <v/>
      </c>
      <c r="AL372" s="70" t="s">
        <v>96</v>
      </c>
      <c r="AM372" s="69" t="str">
        <f t="shared" si="11"/>
        <v/>
      </c>
      <c r="AN372" s="71"/>
      <c r="AO372" s="71"/>
      <c r="AP372" s="71"/>
      <c r="AQ372" s="71"/>
      <c r="AR372" s="71" t="s">
        <v>96</v>
      </c>
      <c r="AS372" s="71"/>
      <c r="AT372" s="71" t="s">
        <v>96</v>
      </c>
      <c r="AU372" s="71"/>
      <c r="AV372" s="71" t="s">
        <v>95</v>
      </c>
      <c r="AW372" s="71"/>
      <c r="AX372" s="71"/>
      <c r="AY372" s="71"/>
      <c r="AZ372" s="71"/>
      <c r="BA372" s="71"/>
      <c r="BB372" s="70" t="s">
        <v>218</v>
      </c>
      <c r="BC372" s="70" t="s">
        <v>98</v>
      </c>
      <c r="BD372" s="72" t="str">
        <f>IF('Cálculo MP'!K382="","",'Cálculo MP'!K382)</f>
        <v/>
      </c>
      <c r="BE372" s="72" t="str">
        <f>IF('Cálculo MP'!L382="","",'Cálculo MP'!L382)</f>
        <v/>
      </c>
      <c r="BF372" s="72" t="str">
        <f>IF('Cálculo MP'!M382="","",'Cálculo MP'!M382)</f>
        <v/>
      </c>
      <c r="BG372" s="72" t="str">
        <f>IF('Cálculo MP'!N382="","",'Cálculo MP'!N382)</f>
        <v/>
      </c>
      <c r="BH372" s="72" t="str">
        <f>IF('Cálculo MP'!O382="","",'Cálculo MP'!O382)</f>
        <v/>
      </c>
      <c r="BI372" s="72" t="str">
        <f>IF('Cálculo MP'!P382="","",'Cálculo MP'!P382)</f>
        <v/>
      </c>
      <c r="BJ372" s="72" t="str">
        <f>IF('Cálculo MP'!Q382="","",'Cálculo MP'!Q382)</f>
        <v/>
      </c>
      <c r="BK372" s="72" t="str">
        <f>IF('Cálculo MP'!R382="","",'Cálculo MP'!R382)</f>
        <v/>
      </c>
      <c r="BL372" s="72" t="str">
        <f>IF('Cálculo MP'!S382="","",'Cálculo MP'!S382)</f>
        <v/>
      </c>
      <c r="BM372" s="71"/>
      <c r="BN372" s="71"/>
      <c r="BO372" s="71"/>
      <c r="BP372" s="71"/>
      <c r="BQ372" s="71"/>
      <c r="BR372" s="71"/>
      <c r="BS372" s="71"/>
    </row>
    <row r="373" spans="1:71" ht="19.5" customHeight="1" x14ac:dyDescent="0.15">
      <c r="A373" s="56" t="s">
        <v>985</v>
      </c>
      <c r="B373" s="57" t="s">
        <v>986</v>
      </c>
      <c r="C373" s="58" t="s">
        <v>985</v>
      </c>
      <c r="D373" s="59" t="s">
        <v>985</v>
      </c>
      <c r="E373" s="61"/>
      <c r="F373" s="60" t="s">
        <v>95</v>
      </c>
      <c r="G373" s="61"/>
      <c r="H373" s="62"/>
      <c r="I373" s="75"/>
      <c r="J373" s="60" t="s">
        <v>95</v>
      </c>
      <c r="K373" s="64"/>
      <c r="L373" s="64"/>
      <c r="M373" s="64" t="s">
        <v>96</v>
      </c>
      <c r="N373" s="64" t="s">
        <v>97</v>
      </c>
      <c r="O373" s="65" t="s">
        <v>986</v>
      </c>
      <c r="P373" s="70" t="s">
        <v>96</v>
      </c>
      <c r="Q373" s="60" t="s">
        <v>95</v>
      </c>
      <c r="R373" s="60" t="s">
        <v>96</v>
      </c>
      <c r="S373" s="66" t="s">
        <v>96</v>
      </c>
      <c r="T373" s="67" t="s">
        <v>96</v>
      </c>
      <c r="U373" s="60" t="s">
        <v>96</v>
      </c>
      <c r="V373" s="60" t="s">
        <v>96</v>
      </c>
      <c r="W373" s="60" t="str" cm="1">
        <f t="array" ref="W373">_xlfn.LET(_xlpm.resultados,_xlfn.UNIQUE(_xlfn._xlws.FILTER(Tabla1[Proceso],(Tabla1[Metal Base]=Q373)*(Tabla1[Etiquetas]=_xlfn.TEXTJOIN(" + ",TRUE,IF((TRIM(Upload!R373:V373)="")+(LOWER(TRIM(Upload!R373:V373))="(seleccione)"),"",PROPER(TRIM(Upload!R373:V373)))))*(Tabla1[Línea2]=IFERROR(VLOOKUP(Upload!P373&amp;"*",CAT_Procesos!D:D,1,FALSE),"")))),_xlpm.cantidad,ROWS(_xlpm.resultados),IF(ISERROR(_xlpm.cantidad),"Combinación no existente",IF(_xlpm.cantidad=1,INDEX(_xlpm.resultados,1),"(seleccione)")))</f>
        <v>Combinación no existente</v>
      </c>
      <c r="X373" s="67" t="s">
        <v>96</v>
      </c>
      <c r="Y373" s="64"/>
      <c r="Z373" s="64"/>
      <c r="AA373" s="64"/>
      <c r="AB373" s="133" t="s">
        <v>96</v>
      </c>
      <c r="AC373" s="64"/>
      <c r="AD373" s="64"/>
      <c r="AE373" s="64"/>
      <c r="AF373" s="60" t="s">
        <v>96</v>
      </c>
      <c r="AG373" s="64"/>
      <c r="AH373" s="64"/>
      <c r="AI373" s="64"/>
      <c r="AJ373" s="68" t="s">
        <v>96</v>
      </c>
      <c r="AK373" s="69" t="str">
        <f t="shared" si="10"/>
        <v/>
      </c>
      <c r="AL373" s="70" t="s">
        <v>96</v>
      </c>
      <c r="AM373" s="69" t="str">
        <f t="shared" si="11"/>
        <v/>
      </c>
      <c r="AN373" s="71"/>
      <c r="AO373" s="71"/>
      <c r="AP373" s="71"/>
      <c r="AQ373" s="71"/>
      <c r="AR373" s="71" t="s">
        <v>96</v>
      </c>
      <c r="AS373" s="71"/>
      <c r="AT373" s="71" t="s">
        <v>96</v>
      </c>
      <c r="AU373" s="71"/>
      <c r="AV373" s="71" t="s">
        <v>95</v>
      </c>
      <c r="AW373" s="71"/>
      <c r="AX373" s="71"/>
      <c r="AY373" s="71"/>
      <c r="AZ373" s="71"/>
      <c r="BA373" s="71"/>
      <c r="BB373" s="70" t="s">
        <v>218</v>
      </c>
      <c r="BC373" s="70" t="s">
        <v>98</v>
      </c>
      <c r="BD373" s="72" t="str">
        <f>IF('Cálculo MP'!K383="","",'Cálculo MP'!K383)</f>
        <v/>
      </c>
      <c r="BE373" s="72" t="str">
        <f>IF('Cálculo MP'!L383="","",'Cálculo MP'!L383)</f>
        <v/>
      </c>
      <c r="BF373" s="72" t="str">
        <f>IF('Cálculo MP'!M383="","",'Cálculo MP'!M383)</f>
        <v/>
      </c>
      <c r="BG373" s="72" t="str">
        <f>IF('Cálculo MP'!N383="","",'Cálculo MP'!N383)</f>
        <v/>
      </c>
      <c r="BH373" s="72" t="str">
        <f>IF('Cálculo MP'!O383="","",'Cálculo MP'!O383)</f>
        <v/>
      </c>
      <c r="BI373" s="72" t="str">
        <f>IF('Cálculo MP'!P383="","",'Cálculo MP'!P383)</f>
        <v/>
      </c>
      <c r="BJ373" s="72" t="str">
        <f>IF('Cálculo MP'!Q383="","",'Cálculo MP'!Q383)</f>
        <v/>
      </c>
      <c r="BK373" s="72" t="str">
        <f>IF('Cálculo MP'!R383="","",'Cálculo MP'!R383)</f>
        <v/>
      </c>
      <c r="BL373" s="72" t="str">
        <f>IF('Cálculo MP'!S383="","",'Cálculo MP'!S383)</f>
        <v/>
      </c>
      <c r="BM373" s="71"/>
      <c r="BN373" s="71"/>
      <c r="BO373" s="71"/>
      <c r="BP373" s="71"/>
      <c r="BQ373" s="71"/>
      <c r="BR373" s="71"/>
      <c r="BS373" s="71"/>
    </row>
    <row r="374" spans="1:71" ht="19.5" customHeight="1" x14ac:dyDescent="0.15">
      <c r="A374" s="56" t="s">
        <v>985</v>
      </c>
      <c r="B374" s="57" t="s">
        <v>986</v>
      </c>
      <c r="C374" s="58" t="s">
        <v>985</v>
      </c>
      <c r="D374" s="59" t="s">
        <v>985</v>
      </c>
      <c r="E374" s="61"/>
      <c r="F374" s="60" t="s">
        <v>95</v>
      </c>
      <c r="G374" s="61"/>
      <c r="H374" s="62"/>
      <c r="I374" s="75"/>
      <c r="J374" s="60" t="s">
        <v>95</v>
      </c>
      <c r="K374" s="64"/>
      <c r="L374" s="64"/>
      <c r="M374" s="64" t="s">
        <v>96</v>
      </c>
      <c r="N374" s="64" t="s">
        <v>97</v>
      </c>
      <c r="O374" s="65" t="s">
        <v>986</v>
      </c>
      <c r="P374" s="70" t="s">
        <v>96</v>
      </c>
      <c r="Q374" s="60" t="s">
        <v>95</v>
      </c>
      <c r="R374" s="60" t="s">
        <v>96</v>
      </c>
      <c r="S374" s="66" t="s">
        <v>96</v>
      </c>
      <c r="T374" s="67" t="s">
        <v>96</v>
      </c>
      <c r="U374" s="60" t="s">
        <v>96</v>
      </c>
      <c r="V374" s="60" t="s">
        <v>96</v>
      </c>
      <c r="W374" s="60" t="str" cm="1">
        <f t="array" ref="W374">_xlfn.LET(_xlpm.resultados,_xlfn.UNIQUE(_xlfn._xlws.FILTER(Tabla1[Proceso],(Tabla1[Metal Base]=Q374)*(Tabla1[Etiquetas]=_xlfn.TEXTJOIN(" + ",TRUE,IF((TRIM(Upload!R374:V374)="")+(LOWER(TRIM(Upload!R374:V374))="(seleccione)"),"",PROPER(TRIM(Upload!R374:V374)))))*(Tabla1[Línea2]=IFERROR(VLOOKUP(Upload!P374&amp;"*",CAT_Procesos!D:D,1,FALSE),"")))),_xlpm.cantidad,ROWS(_xlpm.resultados),IF(ISERROR(_xlpm.cantidad),"Combinación no existente",IF(_xlpm.cantidad=1,INDEX(_xlpm.resultados,1),"(seleccione)")))</f>
        <v>Combinación no existente</v>
      </c>
      <c r="X374" s="67" t="s">
        <v>96</v>
      </c>
      <c r="Y374" s="64"/>
      <c r="Z374" s="64"/>
      <c r="AA374" s="64"/>
      <c r="AB374" s="133" t="s">
        <v>96</v>
      </c>
      <c r="AC374" s="64"/>
      <c r="AD374" s="64"/>
      <c r="AE374" s="64"/>
      <c r="AF374" s="60" t="s">
        <v>96</v>
      </c>
      <c r="AG374" s="64"/>
      <c r="AH374" s="64"/>
      <c r="AI374" s="64"/>
      <c r="AJ374" s="68" t="s">
        <v>96</v>
      </c>
      <c r="AK374" s="69" t="str">
        <f t="shared" si="10"/>
        <v/>
      </c>
      <c r="AL374" s="70" t="s">
        <v>96</v>
      </c>
      <c r="AM374" s="69" t="str">
        <f t="shared" si="11"/>
        <v/>
      </c>
      <c r="AN374" s="71"/>
      <c r="AO374" s="71"/>
      <c r="AP374" s="71"/>
      <c r="AQ374" s="71"/>
      <c r="AR374" s="71" t="s">
        <v>96</v>
      </c>
      <c r="AS374" s="71"/>
      <c r="AT374" s="71" t="s">
        <v>96</v>
      </c>
      <c r="AU374" s="71"/>
      <c r="AV374" s="71" t="s">
        <v>95</v>
      </c>
      <c r="AW374" s="71"/>
      <c r="AX374" s="71"/>
      <c r="AY374" s="71"/>
      <c r="AZ374" s="71"/>
      <c r="BA374" s="71"/>
      <c r="BB374" s="70" t="s">
        <v>218</v>
      </c>
      <c r="BC374" s="70" t="s">
        <v>98</v>
      </c>
      <c r="BD374" s="72" t="str">
        <f>IF('Cálculo MP'!K384="","",'Cálculo MP'!K384)</f>
        <v/>
      </c>
      <c r="BE374" s="72" t="str">
        <f>IF('Cálculo MP'!L384="","",'Cálculo MP'!L384)</f>
        <v/>
      </c>
      <c r="BF374" s="72" t="str">
        <f>IF('Cálculo MP'!M384="","",'Cálculo MP'!M384)</f>
        <v/>
      </c>
      <c r="BG374" s="72" t="str">
        <f>IF('Cálculo MP'!N384="","",'Cálculo MP'!N384)</f>
        <v/>
      </c>
      <c r="BH374" s="72" t="str">
        <f>IF('Cálculo MP'!O384="","",'Cálculo MP'!O384)</f>
        <v/>
      </c>
      <c r="BI374" s="72" t="str">
        <f>IF('Cálculo MP'!P384="","",'Cálculo MP'!P384)</f>
        <v/>
      </c>
      <c r="BJ374" s="72" t="str">
        <f>IF('Cálculo MP'!Q384="","",'Cálculo MP'!Q384)</f>
        <v/>
      </c>
      <c r="BK374" s="72" t="str">
        <f>IF('Cálculo MP'!R384="","",'Cálculo MP'!R384)</f>
        <v/>
      </c>
      <c r="BL374" s="72" t="str">
        <f>IF('Cálculo MP'!S384="","",'Cálculo MP'!S384)</f>
        <v/>
      </c>
      <c r="BM374" s="71"/>
      <c r="BN374" s="71"/>
      <c r="BO374" s="71"/>
      <c r="BP374" s="71"/>
      <c r="BQ374" s="71"/>
      <c r="BR374" s="71"/>
      <c r="BS374" s="71"/>
    </row>
    <row r="375" spans="1:71" ht="19.5" customHeight="1" x14ac:dyDescent="0.15">
      <c r="A375" s="56" t="s">
        <v>985</v>
      </c>
      <c r="B375" s="57" t="s">
        <v>986</v>
      </c>
      <c r="C375" s="58" t="s">
        <v>985</v>
      </c>
      <c r="D375" s="59" t="s">
        <v>985</v>
      </c>
      <c r="E375" s="61"/>
      <c r="F375" s="60" t="s">
        <v>95</v>
      </c>
      <c r="G375" s="61"/>
      <c r="H375" s="62"/>
      <c r="I375" s="75"/>
      <c r="J375" s="60" t="s">
        <v>95</v>
      </c>
      <c r="K375" s="64"/>
      <c r="L375" s="64"/>
      <c r="M375" s="64" t="s">
        <v>96</v>
      </c>
      <c r="N375" s="64" t="s">
        <v>97</v>
      </c>
      <c r="O375" s="65" t="s">
        <v>986</v>
      </c>
      <c r="P375" s="70" t="s">
        <v>96</v>
      </c>
      <c r="Q375" s="60" t="s">
        <v>95</v>
      </c>
      <c r="R375" s="60" t="s">
        <v>96</v>
      </c>
      <c r="S375" s="66" t="s">
        <v>96</v>
      </c>
      <c r="T375" s="67" t="s">
        <v>96</v>
      </c>
      <c r="U375" s="60" t="s">
        <v>96</v>
      </c>
      <c r="V375" s="60" t="s">
        <v>96</v>
      </c>
      <c r="W375" s="60" t="str" cm="1">
        <f t="array" ref="W375">_xlfn.LET(_xlpm.resultados,_xlfn.UNIQUE(_xlfn._xlws.FILTER(Tabla1[Proceso],(Tabla1[Metal Base]=Q375)*(Tabla1[Etiquetas]=_xlfn.TEXTJOIN(" + ",TRUE,IF((TRIM(Upload!R375:V375)="")+(LOWER(TRIM(Upload!R375:V375))="(seleccione)"),"",PROPER(TRIM(Upload!R375:V375)))))*(Tabla1[Línea2]=IFERROR(VLOOKUP(Upload!P375&amp;"*",CAT_Procesos!D:D,1,FALSE),"")))),_xlpm.cantidad,ROWS(_xlpm.resultados),IF(ISERROR(_xlpm.cantidad),"Combinación no existente",IF(_xlpm.cantidad=1,INDEX(_xlpm.resultados,1),"(seleccione)")))</f>
        <v>Combinación no existente</v>
      </c>
      <c r="X375" s="67" t="s">
        <v>96</v>
      </c>
      <c r="Y375" s="64"/>
      <c r="Z375" s="64"/>
      <c r="AA375" s="64"/>
      <c r="AB375" s="133" t="s">
        <v>96</v>
      </c>
      <c r="AC375" s="64"/>
      <c r="AD375" s="64"/>
      <c r="AE375" s="64"/>
      <c r="AF375" s="60" t="s">
        <v>96</v>
      </c>
      <c r="AG375" s="64"/>
      <c r="AH375" s="64"/>
      <c r="AI375" s="64"/>
      <c r="AJ375" s="68" t="s">
        <v>96</v>
      </c>
      <c r="AK375" s="69" t="str">
        <f t="shared" si="10"/>
        <v/>
      </c>
      <c r="AL375" s="70" t="s">
        <v>96</v>
      </c>
      <c r="AM375" s="69" t="str">
        <f t="shared" si="11"/>
        <v/>
      </c>
      <c r="AN375" s="71"/>
      <c r="AO375" s="71"/>
      <c r="AP375" s="71"/>
      <c r="AQ375" s="71"/>
      <c r="AR375" s="71" t="s">
        <v>96</v>
      </c>
      <c r="AS375" s="71"/>
      <c r="AT375" s="71" t="s">
        <v>96</v>
      </c>
      <c r="AU375" s="71"/>
      <c r="AV375" s="71" t="s">
        <v>95</v>
      </c>
      <c r="AW375" s="71"/>
      <c r="AX375" s="71"/>
      <c r="AY375" s="71"/>
      <c r="AZ375" s="71"/>
      <c r="BA375" s="71"/>
      <c r="BB375" s="70" t="s">
        <v>218</v>
      </c>
      <c r="BC375" s="70" t="s">
        <v>98</v>
      </c>
      <c r="BD375" s="72" t="str">
        <f>IF('Cálculo MP'!K385="","",'Cálculo MP'!K385)</f>
        <v/>
      </c>
      <c r="BE375" s="72" t="str">
        <f>IF('Cálculo MP'!L385="","",'Cálculo MP'!L385)</f>
        <v/>
      </c>
      <c r="BF375" s="72" t="str">
        <f>IF('Cálculo MP'!M385="","",'Cálculo MP'!M385)</f>
        <v/>
      </c>
      <c r="BG375" s="72" t="str">
        <f>IF('Cálculo MP'!N385="","",'Cálculo MP'!N385)</f>
        <v/>
      </c>
      <c r="BH375" s="72" t="str">
        <f>IF('Cálculo MP'!O385="","",'Cálculo MP'!O385)</f>
        <v/>
      </c>
      <c r="BI375" s="72" t="str">
        <f>IF('Cálculo MP'!P385="","",'Cálculo MP'!P385)</f>
        <v/>
      </c>
      <c r="BJ375" s="72" t="str">
        <f>IF('Cálculo MP'!Q385="","",'Cálculo MP'!Q385)</f>
        <v/>
      </c>
      <c r="BK375" s="72" t="str">
        <f>IF('Cálculo MP'!R385="","",'Cálculo MP'!R385)</f>
        <v/>
      </c>
      <c r="BL375" s="72" t="str">
        <f>IF('Cálculo MP'!S385="","",'Cálculo MP'!S385)</f>
        <v/>
      </c>
      <c r="BM375" s="71"/>
      <c r="BN375" s="71"/>
      <c r="BO375" s="71"/>
      <c r="BP375" s="71"/>
      <c r="BQ375" s="71"/>
      <c r="BR375" s="71"/>
      <c r="BS375" s="71"/>
    </row>
    <row r="376" spans="1:71" ht="19.5" customHeight="1" x14ac:dyDescent="0.15">
      <c r="A376" s="56" t="s">
        <v>985</v>
      </c>
      <c r="B376" s="57" t="s">
        <v>986</v>
      </c>
      <c r="C376" s="58" t="s">
        <v>985</v>
      </c>
      <c r="D376" s="59" t="s">
        <v>985</v>
      </c>
      <c r="E376" s="61"/>
      <c r="F376" s="60" t="s">
        <v>95</v>
      </c>
      <c r="G376" s="61"/>
      <c r="H376" s="62"/>
      <c r="I376" s="75"/>
      <c r="J376" s="60" t="s">
        <v>95</v>
      </c>
      <c r="K376" s="64"/>
      <c r="L376" s="64"/>
      <c r="M376" s="64" t="s">
        <v>96</v>
      </c>
      <c r="N376" s="64" t="s">
        <v>97</v>
      </c>
      <c r="O376" s="65" t="s">
        <v>986</v>
      </c>
      <c r="P376" s="70" t="s">
        <v>96</v>
      </c>
      <c r="Q376" s="60" t="s">
        <v>95</v>
      </c>
      <c r="R376" s="60" t="s">
        <v>96</v>
      </c>
      <c r="S376" s="66" t="s">
        <v>96</v>
      </c>
      <c r="T376" s="67" t="s">
        <v>96</v>
      </c>
      <c r="U376" s="60" t="s">
        <v>96</v>
      </c>
      <c r="V376" s="60" t="s">
        <v>96</v>
      </c>
      <c r="W376" s="60" t="str" cm="1">
        <f t="array" ref="W376">_xlfn.LET(_xlpm.resultados,_xlfn.UNIQUE(_xlfn._xlws.FILTER(Tabla1[Proceso],(Tabla1[Metal Base]=Q376)*(Tabla1[Etiquetas]=_xlfn.TEXTJOIN(" + ",TRUE,IF((TRIM(Upload!R376:V376)="")+(LOWER(TRIM(Upload!R376:V376))="(seleccione)"),"",PROPER(TRIM(Upload!R376:V376)))))*(Tabla1[Línea2]=IFERROR(VLOOKUP(Upload!P376&amp;"*",CAT_Procesos!D:D,1,FALSE),"")))),_xlpm.cantidad,ROWS(_xlpm.resultados),IF(ISERROR(_xlpm.cantidad),"Combinación no existente",IF(_xlpm.cantidad=1,INDEX(_xlpm.resultados,1),"(seleccione)")))</f>
        <v>Combinación no existente</v>
      </c>
      <c r="X376" s="67" t="s">
        <v>96</v>
      </c>
      <c r="Y376" s="64"/>
      <c r="Z376" s="64"/>
      <c r="AA376" s="64"/>
      <c r="AB376" s="133" t="s">
        <v>96</v>
      </c>
      <c r="AC376" s="64"/>
      <c r="AD376" s="64"/>
      <c r="AE376" s="64"/>
      <c r="AF376" s="60" t="s">
        <v>96</v>
      </c>
      <c r="AG376" s="64"/>
      <c r="AH376" s="64"/>
      <c r="AI376" s="64"/>
      <c r="AJ376" s="68" t="s">
        <v>96</v>
      </c>
      <c r="AK376" s="69" t="str">
        <f t="shared" si="10"/>
        <v/>
      </c>
      <c r="AL376" s="70" t="s">
        <v>96</v>
      </c>
      <c r="AM376" s="69" t="str">
        <f t="shared" si="11"/>
        <v/>
      </c>
      <c r="AN376" s="71"/>
      <c r="AO376" s="71"/>
      <c r="AP376" s="71"/>
      <c r="AQ376" s="71"/>
      <c r="AR376" s="71" t="s">
        <v>96</v>
      </c>
      <c r="AS376" s="71"/>
      <c r="AT376" s="71" t="s">
        <v>96</v>
      </c>
      <c r="AU376" s="71"/>
      <c r="AV376" s="71" t="s">
        <v>95</v>
      </c>
      <c r="AW376" s="71"/>
      <c r="AX376" s="71"/>
      <c r="AY376" s="71"/>
      <c r="AZ376" s="71"/>
      <c r="BA376" s="71"/>
      <c r="BB376" s="70" t="s">
        <v>218</v>
      </c>
      <c r="BC376" s="70" t="s">
        <v>98</v>
      </c>
      <c r="BD376" s="72" t="str">
        <f>IF('Cálculo MP'!K386="","",'Cálculo MP'!K386)</f>
        <v/>
      </c>
      <c r="BE376" s="72" t="str">
        <f>IF('Cálculo MP'!L386="","",'Cálculo MP'!L386)</f>
        <v/>
      </c>
      <c r="BF376" s="72" t="str">
        <f>IF('Cálculo MP'!M386="","",'Cálculo MP'!M386)</f>
        <v/>
      </c>
      <c r="BG376" s="72" t="str">
        <f>IF('Cálculo MP'!N386="","",'Cálculo MP'!N386)</f>
        <v/>
      </c>
      <c r="BH376" s="72" t="str">
        <f>IF('Cálculo MP'!O386="","",'Cálculo MP'!O386)</f>
        <v/>
      </c>
      <c r="BI376" s="72" t="str">
        <f>IF('Cálculo MP'!P386="","",'Cálculo MP'!P386)</f>
        <v/>
      </c>
      <c r="BJ376" s="72" t="str">
        <f>IF('Cálculo MP'!Q386="","",'Cálculo MP'!Q386)</f>
        <v/>
      </c>
      <c r="BK376" s="72" t="str">
        <f>IF('Cálculo MP'!R386="","",'Cálculo MP'!R386)</f>
        <v/>
      </c>
      <c r="BL376" s="72" t="str">
        <f>IF('Cálculo MP'!S386="","",'Cálculo MP'!S386)</f>
        <v/>
      </c>
      <c r="BM376" s="71"/>
      <c r="BN376" s="71"/>
      <c r="BO376" s="71"/>
      <c r="BP376" s="71"/>
      <c r="BQ376" s="71"/>
      <c r="BR376" s="71"/>
      <c r="BS376" s="71"/>
    </row>
    <row r="377" spans="1:71" ht="19.5" customHeight="1" x14ac:dyDescent="0.15">
      <c r="A377" s="56" t="s">
        <v>985</v>
      </c>
      <c r="B377" s="57" t="s">
        <v>986</v>
      </c>
      <c r="C377" s="58" t="s">
        <v>985</v>
      </c>
      <c r="D377" s="59" t="s">
        <v>985</v>
      </c>
      <c r="E377" s="61"/>
      <c r="F377" s="60" t="s">
        <v>95</v>
      </c>
      <c r="G377" s="61"/>
      <c r="H377" s="62"/>
      <c r="I377" s="75"/>
      <c r="J377" s="60" t="s">
        <v>95</v>
      </c>
      <c r="K377" s="64"/>
      <c r="L377" s="64"/>
      <c r="M377" s="64" t="s">
        <v>96</v>
      </c>
      <c r="N377" s="64" t="s">
        <v>97</v>
      </c>
      <c r="O377" s="65" t="s">
        <v>986</v>
      </c>
      <c r="P377" s="70" t="s">
        <v>96</v>
      </c>
      <c r="Q377" s="60" t="s">
        <v>95</v>
      </c>
      <c r="R377" s="60" t="s">
        <v>96</v>
      </c>
      <c r="S377" s="66" t="s">
        <v>96</v>
      </c>
      <c r="T377" s="67" t="s">
        <v>96</v>
      </c>
      <c r="U377" s="60" t="s">
        <v>96</v>
      </c>
      <c r="V377" s="60" t="s">
        <v>96</v>
      </c>
      <c r="W377" s="60" t="str" cm="1">
        <f t="array" ref="W377">_xlfn.LET(_xlpm.resultados,_xlfn.UNIQUE(_xlfn._xlws.FILTER(Tabla1[Proceso],(Tabla1[Metal Base]=Q377)*(Tabla1[Etiquetas]=_xlfn.TEXTJOIN(" + ",TRUE,IF((TRIM(Upload!R377:V377)="")+(LOWER(TRIM(Upload!R377:V377))="(seleccione)"),"",PROPER(TRIM(Upload!R377:V377)))))*(Tabla1[Línea2]=IFERROR(VLOOKUP(Upload!P377&amp;"*",CAT_Procesos!D:D,1,FALSE),"")))),_xlpm.cantidad,ROWS(_xlpm.resultados),IF(ISERROR(_xlpm.cantidad),"Combinación no existente",IF(_xlpm.cantidad=1,INDEX(_xlpm.resultados,1),"(seleccione)")))</f>
        <v>Combinación no existente</v>
      </c>
      <c r="X377" s="67" t="s">
        <v>96</v>
      </c>
      <c r="Y377" s="64"/>
      <c r="Z377" s="64"/>
      <c r="AA377" s="64"/>
      <c r="AB377" s="133" t="s">
        <v>96</v>
      </c>
      <c r="AC377" s="64"/>
      <c r="AD377" s="64"/>
      <c r="AE377" s="64"/>
      <c r="AF377" s="60" t="s">
        <v>96</v>
      </c>
      <c r="AG377" s="64"/>
      <c r="AH377" s="64"/>
      <c r="AI377" s="64"/>
      <c r="AJ377" s="68" t="s">
        <v>96</v>
      </c>
      <c r="AK377" s="69" t="str">
        <f t="shared" si="10"/>
        <v/>
      </c>
      <c r="AL377" s="70" t="s">
        <v>96</v>
      </c>
      <c r="AM377" s="69" t="str">
        <f t="shared" si="11"/>
        <v/>
      </c>
      <c r="AN377" s="71"/>
      <c r="AO377" s="71"/>
      <c r="AP377" s="71"/>
      <c r="AQ377" s="71"/>
      <c r="AR377" s="71" t="s">
        <v>96</v>
      </c>
      <c r="AS377" s="71"/>
      <c r="AT377" s="71" t="s">
        <v>96</v>
      </c>
      <c r="AU377" s="71"/>
      <c r="AV377" s="71" t="s">
        <v>95</v>
      </c>
      <c r="AW377" s="71"/>
      <c r="AX377" s="71"/>
      <c r="AY377" s="71"/>
      <c r="AZ377" s="71"/>
      <c r="BA377" s="71"/>
      <c r="BB377" s="70" t="s">
        <v>218</v>
      </c>
      <c r="BC377" s="70" t="s">
        <v>98</v>
      </c>
      <c r="BD377" s="72" t="str">
        <f>IF('Cálculo MP'!K387="","",'Cálculo MP'!K387)</f>
        <v/>
      </c>
      <c r="BE377" s="72" t="str">
        <f>IF('Cálculo MP'!L387="","",'Cálculo MP'!L387)</f>
        <v/>
      </c>
      <c r="BF377" s="72" t="str">
        <f>IF('Cálculo MP'!M387="","",'Cálculo MP'!M387)</f>
        <v/>
      </c>
      <c r="BG377" s="72" t="str">
        <f>IF('Cálculo MP'!N387="","",'Cálculo MP'!N387)</f>
        <v/>
      </c>
      <c r="BH377" s="72" t="str">
        <f>IF('Cálculo MP'!O387="","",'Cálculo MP'!O387)</f>
        <v/>
      </c>
      <c r="BI377" s="72" t="str">
        <f>IF('Cálculo MP'!P387="","",'Cálculo MP'!P387)</f>
        <v/>
      </c>
      <c r="BJ377" s="72" t="str">
        <f>IF('Cálculo MP'!Q387="","",'Cálculo MP'!Q387)</f>
        <v/>
      </c>
      <c r="BK377" s="72" t="str">
        <f>IF('Cálculo MP'!R387="","",'Cálculo MP'!R387)</f>
        <v/>
      </c>
      <c r="BL377" s="72" t="str">
        <f>IF('Cálculo MP'!S387="","",'Cálculo MP'!S387)</f>
        <v/>
      </c>
      <c r="BM377" s="71"/>
      <c r="BN377" s="71"/>
      <c r="BO377" s="71"/>
      <c r="BP377" s="71"/>
      <c r="BQ377" s="71"/>
      <c r="BR377" s="71"/>
      <c r="BS377" s="71"/>
    </row>
    <row r="378" spans="1:71" ht="19.5" customHeight="1" x14ac:dyDescent="0.15">
      <c r="A378" s="56" t="s">
        <v>985</v>
      </c>
      <c r="B378" s="57" t="s">
        <v>986</v>
      </c>
      <c r="C378" s="58" t="s">
        <v>985</v>
      </c>
      <c r="D378" s="59" t="s">
        <v>985</v>
      </c>
      <c r="E378" s="61"/>
      <c r="F378" s="60" t="s">
        <v>95</v>
      </c>
      <c r="G378" s="61"/>
      <c r="H378" s="62"/>
      <c r="I378" s="75"/>
      <c r="J378" s="60" t="s">
        <v>95</v>
      </c>
      <c r="K378" s="64"/>
      <c r="L378" s="64"/>
      <c r="M378" s="64" t="s">
        <v>96</v>
      </c>
      <c r="N378" s="64" t="s">
        <v>97</v>
      </c>
      <c r="O378" s="65" t="s">
        <v>986</v>
      </c>
      <c r="P378" s="70" t="s">
        <v>96</v>
      </c>
      <c r="Q378" s="60" t="s">
        <v>95</v>
      </c>
      <c r="R378" s="60" t="s">
        <v>96</v>
      </c>
      <c r="S378" s="66" t="s">
        <v>96</v>
      </c>
      <c r="T378" s="67" t="s">
        <v>96</v>
      </c>
      <c r="U378" s="60" t="s">
        <v>96</v>
      </c>
      <c r="V378" s="60" t="s">
        <v>96</v>
      </c>
      <c r="W378" s="60" t="str" cm="1">
        <f t="array" ref="W378">_xlfn.LET(_xlpm.resultados,_xlfn.UNIQUE(_xlfn._xlws.FILTER(Tabla1[Proceso],(Tabla1[Metal Base]=Q378)*(Tabla1[Etiquetas]=_xlfn.TEXTJOIN(" + ",TRUE,IF((TRIM(Upload!R378:V378)="")+(LOWER(TRIM(Upload!R378:V378))="(seleccione)"),"",PROPER(TRIM(Upload!R378:V378)))))*(Tabla1[Línea2]=IFERROR(VLOOKUP(Upload!P378&amp;"*",CAT_Procesos!D:D,1,FALSE),"")))),_xlpm.cantidad,ROWS(_xlpm.resultados),IF(ISERROR(_xlpm.cantidad),"Combinación no existente",IF(_xlpm.cantidad=1,INDEX(_xlpm.resultados,1),"(seleccione)")))</f>
        <v>Combinación no existente</v>
      </c>
      <c r="X378" s="67" t="s">
        <v>96</v>
      </c>
      <c r="Y378" s="64"/>
      <c r="Z378" s="64"/>
      <c r="AA378" s="64"/>
      <c r="AB378" s="133" t="s">
        <v>96</v>
      </c>
      <c r="AC378" s="64"/>
      <c r="AD378" s="64"/>
      <c r="AE378" s="64"/>
      <c r="AF378" s="60" t="s">
        <v>96</v>
      </c>
      <c r="AG378" s="64"/>
      <c r="AH378" s="64"/>
      <c r="AI378" s="64"/>
      <c r="AJ378" s="68" t="s">
        <v>96</v>
      </c>
      <c r="AK378" s="69" t="str">
        <f t="shared" si="10"/>
        <v/>
      </c>
      <c r="AL378" s="70" t="s">
        <v>96</v>
      </c>
      <c r="AM378" s="69" t="str">
        <f t="shared" si="11"/>
        <v/>
      </c>
      <c r="AN378" s="71"/>
      <c r="AO378" s="71"/>
      <c r="AP378" s="71"/>
      <c r="AQ378" s="71"/>
      <c r="AR378" s="71" t="s">
        <v>96</v>
      </c>
      <c r="AS378" s="71"/>
      <c r="AT378" s="71" t="s">
        <v>96</v>
      </c>
      <c r="AU378" s="71"/>
      <c r="AV378" s="71" t="s">
        <v>95</v>
      </c>
      <c r="AW378" s="71"/>
      <c r="AX378" s="71"/>
      <c r="AY378" s="71"/>
      <c r="AZ378" s="71"/>
      <c r="BA378" s="71"/>
      <c r="BB378" s="70" t="s">
        <v>218</v>
      </c>
      <c r="BC378" s="70" t="s">
        <v>98</v>
      </c>
      <c r="BD378" s="72" t="str">
        <f>IF('Cálculo MP'!K388="","",'Cálculo MP'!K388)</f>
        <v/>
      </c>
      <c r="BE378" s="72" t="str">
        <f>IF('Cálculo MP'!L388="","",'Cálculo MP'!L388)</f>
        <v/>
      </c>
      <c r="BF378" s="72" t="str">
        <f>IF('Cálculo MP'!M388="","",'Cálculo MP'!M388)</f>
        <v/>
      </c>
      <c r="BG378" s="72" t="str">
        <f>IF('Cálculo MP'!N388="","",'Cálculo MP'!N388)</f>
        <v/>
      </c>
      <c r="BH378" s="72" t="str">
        <f>IF('Cálculo MP'!O388="","",'Cálculo MP'!O388)</f>
        <v/>
      </c>
      <c r="BI378" s="72" t="str">
        <f>IF('Cálculo MP'!P388="","",'Cálculo MP'!P388)</f>
        <v/>
      </c>
      <c r="BJ378" s="72" t="str">
        <f>IF('Cálculo MP'!Q388="","",'Cálculo MP'!Q388)</f>
        <v/>
      </c>
      <c r="BK378" s="72" t="str">
        <f>IF('Cálculo MP'!R388="","",'Cálculo MP'!R388)</f>
        <v/>
      </c>
      <c r="BL378" s="72" t="str">
        <f>IF('Cálculo MP'!S388="","",'Cálculo MP'!S388)</f>
        <v/>
      </c>
      <c r="BM378" s="71"/>
      <c r="BN378" s="71"/>
      <c r="BO378" s="71"/>
      <c r="BP378" s="71"/>
      <c r="BQ378" s="71"/>
      <c r="BR378" s="71"/>
      <c r="BS378" s="71"/>
    </row>
    <row r="379" spans="1:71" ht="19.5" customHeight="1" x14ac:dyDescent="0.15">
      <c r="A379" s="56" t="s">
        <v>985</v>
      </c>
      <c r="B379" s="57" t="s">
        <v>986</v>
      </c>
      <c r="C379" s="58" t="s">
        <v>985</v>
      </c>
      <c r="D379" s="59" t="s">
        <v>985</v>
      </c>
      <c r="E379" s="61"/>
      <c r="F379" s="60" t="s">
        <v>95</v>
      </c>
      <c r="G379" s="61"/>
      <c r="H379" s="62"/>
      <c r="I379" s="75"/>
      <c r="J379" s="60" t="s">
        <v>95</v>
      </c>
      <c r="K379" s="64"/>
      <c r="L379" s="64"/>
      <c r="M379" s="64" t="s">
        <v>96</v>
      </c>
      <c r="N379" s="64" t="s">
        <v>97</v>
      </c>
      <c r="O379" s="65" t="s">
        <v>986</v>
      </c>
      <c r="P379" s="70" t="s">
        <v>96</v>
      </c>
      <c r="Q379" s="60" t="s">
        <v>95</v>
      </c>
      <c r="R379" s="60" t="s">
        <v>96</v>
      </c>
      <c r="S379" s="66" t="s">
        <v>96</v>
      </c>
      <c r="T379" s="67" t="s">
        <v>96</v>
      </c>
      <c r="U379" s="60" t="s">
        <v>96</v>
      </c>
      <c r="V379" s="60" t="s">
        <v>96</v>
      </c>
      <c r="W379" s="60" t="str" cm="1">
        <f t="array" ref="W379">_xlfn.LET(_xlpm.resultados,_xlfn.UNIQUE(_xlfn._xlws.FILTER(Tabla1[Proceso],(Tabla1[Metal Base]=Q379)*(Tabla1[Etiquetas]=_xlfn.TEXTJOIN(" + ",TRUE,IF((TRIM(Upload!R379:V379)="")+(LOWER(TRIM(Upload!R379:V379))="(seleccione)"),"",PROPER(TRIM(Upload!R379:V379)))))*(Tabla1[Línea2]=IFERROR(VLOOKUP(Upload!P379&amp;"*",CAT_Procesos!D:D,1,FALSE),"")))),_xlpm.cantidad,ROWS(_xlpm.resultados),IF(ISERROR(_xlpm.cantidad),"Combinación no existente",IF(_xlpm.cantidad=1,INDEX(_xlpm.resultados,1),"(seleccione)")))</f>
        <v>Combinación no existente</v>
      </c>
      <c r="X379" s="67" t="s">
        <v>96</v>
      </c>
      <c r="Y379" s="64"/>
      <c r="Z379" s="64"/>
      <c r="AA379" s="64"/>
      <c r="AB379" s="133" t="s">
        <v>96</v>
      </c>
      <c r="AC379" s="64"/>
      <c r="AD379" s="64"/>
      <c r="AE379" s="64"/>
      <c r="AF379" s="60" t="s">
        <v>96</v>
      </c>
      <c r="AG379" s="64"/>
      <c r="AH379" s="64"/>
      <c r="AI379" s="64"/>
      <c r="AJ379" s="68" t="s">
        <v>96</v>
      </c>
      <c r="AK379" s="69" t="str">
        <f t="shared" si="10"/>
        <v/>
      </c>
      <c r="AL379" s="70" t="s">
        <v>96</v>
      </c>
      <c r="AM379" s="69" t="str">
        <f t="shared" si="11"/>
        <v/>
      </c>
      <c r="AN379" s="71"/>
      <c r="AO379" s="71"/>
      <c r="AP379" s="71"/>
      <c r="AQ379" s="71"/>
      <c r="AR379" s="71" t="s">
        <v>96</v>
      </c>
      <c r="AS379" s="71"/>
      <c r="AT379" s="71" t="s">
        <v>96</v>
      </c>
      <c r="AU379" s="71"/>
      <c r="AV379" s="71" t="s">
        <v>95</v>
      </c>
      <c r="AW379" s="71"/>
      <c r="AX379" s="71"/>
      <c r="AY379" s="71"/>
      <c r="AZ379" s="71"/>
      <c r="BA379" s="71"/>
      <c r="BB379" s="70" t="s">
        <v>218</v>
      </c>
      <c r="BC379" s="70" t="s">
        <v>98</v>
      </c>
      <c r="BD379" s="72" t="str">
        <f>IF('Cálculo MP'!K389="","",'Cálculo MP'!K389)</f>
        <v/>
      </c>
      <c r="BE379" s="72" t="str">
        <f>IF('Cálculo MP'!L389="","",'Cálculo MP'!L389)</f>
        <v/>
      </c>
      <c r="BF379" s="72" t="str">
        <f>IF('Cálculo MP'!M389="","",'Cálculo MP'!M389)</f>
        <v/>
      </c>
      <c r="BG379" s="72" t="str">
        <f>IF('Cálculo MP'!N389="","",'Cálculo MP'!N389)</f>
        <v/>
      </c>
      <c r="BH379" s="72" t="str">
        <f>IF('Cálculo MP'!O389="","",'Cálculo MP'!O389)</f>
        <v/>
      </c>
      <c r="BI379" s="72" t="str">
        <f>IF('Cálculo MP'!P389="","",'Cálculo MP'!P389)</f>
        <v/>
      </c>
      <c r="BJ379" s="72" t="str">
        <f>IF('Cálculo MP'!Q389="","",'Cálculo MP'!Q389)</f>
        <v/>
      </c>
      <c r="BK379" s="72" t="str">
        <f>IF('Cálculo MP'!R389="","",'Cálculo MP'!R389)</f>
        <v/>
      </c>
      <c r="BL379" s="72" t="str">
        <f>IF('Cálculo MP'!S389="","",'Cálculo MP'!S389)</f>
        <v/>
      </c>
      <c r="BM379" s="71"/>
      <c r="BN379" s="71"/>
      <c r="BO379" s="71"/>
      <c r="BP379" s="71"/>
      <c r="BQ379" s="71"/>
      <c r="BR379" s="71"/>
      <c r="BS379" s="71"/>
    </row>
    <row r="380" spans="1:71" ht="19.5" customHeight="1" x14ac:dyDescent="0.15">
      <c r="A380" s="56" t="s">
        <v>985</v>
      </c>
      <c r="B380" s="57" t="s">
        <v>986</v>
      </c>
      <c r="C380" s="58" t="s">
        <v>985</v>
      </c>
      <c r="D380" s="59" t="s">
        <v>985</v>
      </c>
      <c r="E380" s="61"/>
      <c r="F380" s="60" t="s">
        <v>95</v>
      </c>
      <c r="G380" s="61"/>
      <c r="H380" s="62"/>
      <c r="I380" s="75"/>
      <c r="J380" s="60" t="s">
        <v>95</v>
      </c>
      <c r="K380" s="64"/>
      <c r="L380" s="64"/>
      <c r="M380" s="64" t="s">
        <v>96</v>
      </c>
      <c r="N380" s="64" t="s">
        <v>97</v>
      </c>
      <c r="O380" s="65" t="s">
        <v>986</v>
      </c>
      <c r="P380" s="70" t="s">
        <v>96</v>
      </c>
      <c r="Q380" s="60" t="s">
        <v>95</v>
      </c>
      <c r="R380" s="60" t="s">
        <v>96</v>
      </c>
      <c r="S380" s="66" t="s">
        <v>96</v>
      </c>
      <c r="T380" s="67" t="s">
        <v>96</v>
      </c>
      <c r="U380" s="60" t="s">
        <v>96</v>
      </c>
      <c r="V380" s="60" t="s">
        <v>96</v>
      </c>
      <c r="W380" s="60" t="str" cm="1">
        <f t="array" ref="W380">_xlfn.LET(_xlpm.resultados,_xlfn.UNIQUE(_xlfn._xlws.FILTER(Tabla1[Proceso],(Tabla1[Metal Base]=Q380)*(Tabla1[Etiquetas]=_xlfn.TEXTJOIN(" + ",TRUE,IF((TRIM(Upload!R380:V380)="")+(LOWER(TRIM(Upload!R380:V380))="(seleccione)"),"",PROPER(TRIM(Upload!R380:V380)))))*(Tabla1[Línea2]=IFERROR(VLOOKUP(Upload!P380&amp;"*",CAT_Procesos!D:D,1,FALSE),"")))),_xlpm.cantidad,ROWS(_xlpm.resultados),IF(ISERROR(_xlpm.cantidad),"Combinación no existente",IF(_xlpm.cantidad=1,INDEX(_xlpm.resultados,1),"(seleccione)")))</f>
        <v>Combinación no existente</v>
      </c>
      <c r="X380" s="67" t="s">
        <v>96</v>
      </c>
      <c r="Y380" s="64"/>
      <c r="Z380" s="64"/>
      <c r="AA380" s="64"/>
      <c r="AB380" s="133" t="s">
        <v>96</v>
      </c>
      <c r="AC380" s="64"/>
      <c r="AD380" s="64"/>
      <c r="AE380" s="64"/>
      <c r="AF380" s="60" t="s">
        <v>96</v>
      </c>
      <c r="AG380" s="64"/>
      <c r="AH380" s="64"/>
      <c r="AI380" s="64"/>
      <c r="AJ380" s="68" t="s">
        <v>96</v>
      </c>
      <c r="AK380" s="69" t="str">
        <f t="shared" si="10"/>
        <v/>
      </c>
      <c r="AL380" s="70" t="s">
        <v>96</v>
      </c>
      <c r="AM380" s="69" t="str">
        <f t="shared" si="11"/>
        <v/>
      </c>
      <c r="AN380" s="71"/>
      <c r="AO380" s="71"/>
      <c r="AP380" s="71"/>
      <c r="AQ380" s="71"/>
      <c r="AR380" s="71" t="s">
        <v>96</v>
      </c>
      <c r="AS380" s="71"/>
      <c r="AT380" s="71" t="s">
        <v>96</v>
      </c>
      <c r="AU380" s="71"/>
      <c r="AV380" s="71" t="s">
        <v>95</v>
      </c>
      <c r="AW380" s="71"/>
      <c r="AX380" s="71"/>
      <c r="AY380" s="71"/>
      <c r="AZ380" s="71"/>
      <c r="BA380" s="71"/>
      <c r="BB380" s="70" t="s">
        <v>218</v>
      </c>
      <c r="BC380" s="70" t="s">
        <v>98</v>
      </c>
      <c r="BD380" s="72" t="str">
        <f>IF('Cálculo MP'!K390="","",'Cálculo MP'!K390)</f>
        <v/>
      </c>
      <c r="BE380" s="72" t="str">
        <f>IF('Cálculo MP'!L390="","",'Cálculo MP'!L390)</f>
        <v/>
      </c>
      <c r="BF380" s="72" t="str">
        <f>IF('Cálculo MP'!M390="","",'Cálculo MP'!M390)</f>
        <v/>
      </c>
      <c r="BG380" s="72" t="str">
        <f>IF('Cálculo MP'!N390="","",'Cálculo MP'!N390)</f>
        <v/>
      </c>
      <c r="BH380" s="72" t="str">
        <f>IF('Cálculo MP'!O390="","",'Cálculo MP'!O390)</f>
        <v/>
      </c>
      <c r="BI380" s="72" t="str">
        <f>IF('Cálculo MP'!P390="","",'Cálculo MP'!P390)</f>
        <v/>
      </c>
      <c r="BJ380" s="72" t="str">
        <f>IF('Cálculo MP'!Q390="","",'Cálculo MP'!Q390)</f>
        <v/>
      </c>
      <c r="BK380" s="72" t="str">
        <f>IF('Cálculo MP'!R390="","",'Cálculo MP'!R390)</f>
        <v/>
      </c>
      <c r="BL380" s="72" t="str">
        <f>IF('Cálculo MP'!S390="","",'Cálculo MP'!S390)</f>
        <v/>
      </c>
      <c r="BM380" s="71"/>
      <c r="BN380" s="71"/>
      <c r="BO380" s="71"/>
      <c r="BP380" s="71"/>
      <c r="BQ380" s="71"/>
      <c r="BR380" s="71"/>
      <c r="BS380" s="71"/>
    </row>
    <row r="381" spans="1:71" ht="19.5" customHeight="1" x14ac:dyDescent="0.15">
      <c r="A381" s="56" t="s">
        <v>985</v>
      </c>
      <c r="B381" s="57" t="s">
        <v>986</v>
      </c>
      <c r="C381" s="58" t="s">
        <v>985</v>
      </c>
      <c r="D381" s="59" t="s">
        <v>985</v>
      </c>
      <c r="E381" s="61"/>
      <c r="F381" s="60" t="s">
        <v>95</v>
      </c>
      <c r="G381" s="61"/>
      <c r="H381" s="62"/>
      <c r="I381" s="75"/>
      <c r="J381" s="60" t="s">
        <v>95</v>
      </c>
      <c r="K381" s="64"/>
      <c r="L381" s="64"/>
      <c r="M381" s="64" t="s">
        <v>96</v>
      </c>
      <c r="N381" s="64" t="s">
        <v>97</v>
      </c>
      <c r="O381" s="65" t="s">
        <v>986</v>
      </c>
      <c r="P381" s="70" t="s">
        <v>96</v>
      </c>
      <c r="Q381" s="60" t="s">
        <v>95</v>
      </c>
      <c r="R381" s="60" t="s">
        <v>96</v>
      </c>
      <c r="S381" s="66" t="s">
        <v>96</v>
      </c>
      <c r="T381" s="67" t="s">
        <v>96</v>
      </c>
      <c r="U381" s="60" t="s">
        <v>96</v>
      </c>
      <c r="V381" s="60" t="s">
        <v>96</v>
      </c>
      <c r="W381" s="60" t="str" cm="1">
        <f t="array" ref="W381">_xlfn.LET(_xlpm.resultados,_xlfn.UNIQUE(_xlfn._xlws.FILTER(Tabla1[Proceso],(Tabla1[Metal Base]=Q381)*(Tabla1[Etiquetas]=_xlfn.TEXTJOIN(" + ",TRUE,IF((TRIM(Upload!R381:V381)="")+(LOWER(TRIM(Upload!R381:V381))="(seleccione)"),"",PROPER(TRIM(Upload!R381:V381)))))*(Tabla1[Línea2]=IFERROR(VLOOKUP(Upload!P381&amp;"*",CAT_Procesos!D:D,1,FALSE),"")))),_xlpm.cantidad,ROWS(_xlpm.resultados),IF(ISERROR(_xlpm.cantidad),"Combinación no existente",IF(_xlpm.cantidad=1,INDEX(_xlpm.resultados,1),"(seleccione)")))</f>
        <v>Combinación no existente</v>
      </c>
      <c r="X381" s="67" t="s">
        <v>96</v>
      </c>
      <c r="Y381" s="64"/>
      <c r="Z381" s="64"/>
      <c r="AA381" s="64"/>
      <c r="AB381" s="133" t="s">
        <v>96</v>
      </c>
      <c r="AC381" s="64"/>
      <c r="AD381" s="64"/>
      <c r="AE381" s="64"/>
      <c r="AF381" s="60" t="s">
        <v>96</v>
      </c>
      <c r="AG381" s="64"/>
      <c r="AH381" s="64"/>
      <c r="AI381" s="64"/>
      <c r="AJ381" s="68" t="s">
        <v>96</v>
      </c>
      <c r="AK381" s="69" t="str">
        <f t="shared" si="10"/>
        <v/>
      </c>
      <c r="AL381" s="70" t="s">
        <v>96</v>
      </c>
      <c r="AM381" s="69" t="str">
        <f t="shared" si="11"/>
        <v/>
      </c>
      <c r="AN381" s="71"/>
      <c r="AO381" s="71"/>
      <c r="AP381" s="71"/>
      <c r="AQ381" s="71"/>
      <c r="AR381" s="71" t="s">
        <v>96</v>
      </c>
      <c r="AS381" s="71"/>
      <c r="AT381" s="71" t="s">
        <v>96</v>
      </c>
      <c r="AU381" s="71"/>
      <c r="AV381" s="71" t="s">
        <v>95</v>
      </c>
      <c r="AW381" s="71"/>
      <c r="AX381" s="71"/>
      <c r="AY381" s="71"/>
      <c r="AZ381" s="71"/>
      <c r="BA381" s="71"/>
      <c r="BB381" s="70" t="s">
        <v>218</v>
      </c>
      <c r="BC381" s="70" t="s">
        <v>98</v>
      </c>
      <c r="BD381" s="72" t="str">
        <f>IF('Cálculo MP'!K391="","",'Cálculo MP'!K391)</f>
        <v/>
      </c>
      <c r="BE381" s="72" t="str">
        <f>IF('Cálculo MP'!L391="","",'Cálculo MP'!L391)</f>
        <v/>
      </c>
      <c r="BF381" s="72" t="str">
        <f>IF('Cálculo MP'!M391="","",'Cálculo MP'!M391)</f>
        <v/>
      </c>
      <c r="BG381" s="72" t="str">
        <f>IF('Cálculo MP'!N391="","",'Cálculo MP'!N391)</f>
        <v/>
      </c>
      <c r="BH381" s="72" t="str">
        <f>IF('Cálculo MP'!O391="","",'Cálculo MP'!O391)</f>
        <v/>
      </c>
      <c r="BI381" s="72" t="str">
        <f>IF('Cálculo MP'!P391="","",'Cálculo MP'!P391)</f>
        <v/>
      </c>
      <c r="BJ381" s="72" t="str">
        <f>IF('Cálculo MP'!Q391="","",'Cálculo MP'!Q391)</f>
        <v/>
      </c>
      <c r="BK381" s="72" t="str">
        <f>IF('Cálculo MP'!R391="","",'Cálculo MP'!R391)</f>
        <v/>
      </c>
      <c r="BL381" s="72" t="str">
        <f>IF('Cálculo MP'!S391="","",'Cálculo MP'!S391)</f>
        <v/>
      </c>
      <c r="BM381" s="71"/>
      <c r="BN381" s="71"/>
      <c r="BO381" s="71"/>
      <c r="BP381" s="71"/>
      <c r="BQ381" s="71"/>
      <c r="BR381" s="71"/>
      <c r="BS381" s="71"/>
    </row>
    <row r="382" spans="1:71" ht="19.5" customHeight="1" x14ac:dyDescent="0.15">
      <c r="A382" s="56" t="s">
        <v>985</v>
      </c>
      <c r="B382" s="57" t="s">
        <v>986</v>
      </c>
      <c r="C382" s="58" t="s">
        <v>985</v>
      </c>
      <c r="D382" s="59" t="s">
        <v>985</v>
      </c>
      <c r="E382" s="61"/>
      <c r="F382" s="60" t="s">
        <v>95</v>
      </c>
      <c r="G382" s="61"/>
      <c r="H382" s="62"/>
      <c r="I382" s="75"/>
      <c r="J382" s="60" t="s">
        <v>95</v>
      </c>
      <c r="K382" s="64"/>
      <c r="L382" s="64"/>
      <c r="M382" s="64" t="s">
        <v>96</v>
      </c>
      <c r="N382" s="64" t="s">
        <v>97</v>
      </c>
      <c r="O382" s="65" t="s">
        <v>986</v>
      </c>
      <c r="P382" s="70" t="s">
        <v>96</v>
      </c>
      <c r="Q382" s="60" t="s">
        <v>95</v>
      </c>
      <c r="R382" s="60" t="s">
        <v>96</v>
      </c>
      <c r="S382" s="66" t="s">
        <v>96</v>
      </c>
      <c r="T382" s="67" t="s">
        <v>96</v>
      </c>
      <c r="U382" s="60" t="s">
        <v>96</v>
      </c>
      <c r="V382" s="60" t="s">
        <v>96</v>
      </c>
      <c r="W382" s="60" t="str" cm="1">
        <f t="array" ref="W382">_xlfn.LET(_xlpm.resultados,_xlfn.UNIQUE(_xlfn._xlws.FILTER(Tabla1[Proceso],(Tabla1[Metal Base]=Q382)*(Tabla1[Etiquetas]=_xlfn.TEXTJOIN(" + ",TRUE,IF((TRIM(Upload!R382:V382)="")+(LOWER(TRIM(Upload!R382:V382))="(seleccione)"),"",PROPER(TRIM(Upload!R382:V382)))))*(Tabla1[Línea2]=IFERROR(VLOOKUP(Upload!P382&amp;"*",CAT_Procesos!D:D,1,FALSE),"")))),_xlpm.cantidad,ROWS(_xlpm.resultados),IF(ISERROR(_xlpm.cantidad),"Combinación no existente",IF(_xlpm.cantidad=1,INDEX(_xlpm.resultados,1),"(seleccione)")))</f>
        <v>Combinación no existente</v>
      </c>
      <c r="X382" s="67" t="s">
        <v>96</v>
      </c>
      <c r="Y382" s="64"/>
      <c r="Z382" s="64"/>
      <c r="AA382" s="64"/>
      <c r="AB382" s="133" t="s">
        <v>96</v>
      </c>
      <c r="AC382" s="64"/>
      <c r="AD382" s="64"/>
      <c r="AE382" s="64"/>
      <c r="AF382" s="60" t="s">
        <v>96</v>
      </c>
      <c r="AG382" s="64"/>
      <c r="AH382" s="64"/>
      <c r="AI382" s="64"/>
      <c r="AJ382" s="68" t="s">
        <v>96</v>
      </c>
      <c r="AK382" s="69" t="str">
        <f t="shared" si="10"/>
        <v/>
      </c>
      <c r="AL382" s="70" t="s">
        <v>96</v>
      </c>
      <c r="AM382" s="69" t="str">
        <f t="shared" si="11"/>
        <v/>
      </c>
      <c r="AN382" s="71"/>
      <c r="AO382" s="71"/>
      <c r="AP382" s="71"/>
      <c r="AQ382" s="71"/>
      <c r="AR382" s="71" t="s">
        <v>96</v>
      </c>
      <c r="AS382" s="71"/>
      <c r="AT382" s="71" t="s">
        <v>96</v>
      </c>
      <c r="AU382" s="71"/>
      <c r="AV382" s="71" t="s">
        <v>95</v>
      </c>
      <c r="AW382" s="71"/>
      <c r="AX382" s="71"/>
      <c r="AY382" s="71"/>
      <c r="AZ382" s="71"/>
      <c r="BA382" s="71"/>
      <c r="BB382" s="70" t="s">
        <v>218</v>
      </c>
      <c r="BC382" s="70" t="s">
        <v>98</v>
      </c>
      <c r="BD382" s="72" t="str">
        <f>IF('Cálculo MP'!K392="","",'Cálculo MP'!K392)</f>
        <v/>
      </c>
      <c r="BE382" s="72" t="str">
        <f>IF('Cálculo MP'!L392="","",'Cálculo MP'!L392)</f>
        <v/>
      </c>
      <c r="BF382" s="72" t="str">
        <f>IF('Cálculo MP'!M392="","",'Cálculo MP'!M392)</f>
        <v/>
      </c>
      <c r="BG382" s="72" t="str">
        <f>IF('Cálculo MP'!N392="","",'Cálculo MP'!N392)</f>
        <v/>
      </c>
      <c r="BH382" s="72" t="str">
        <f>IF('Cálculo MP'!O392="","",'Cálculo MP'!O392)</f>
        <v/>
      </c>
      <c r="BI382" s="72" t="str">
        <f>IF('Cálculo MP'!P392="","",'Cálculo MP'!P392)</f>
        <v/>
      </c>
      <c r="BJ382" s="72" t="str">
        <f>IF('Cálculo MP'!Q392="","",'Cálculo MP'!Q392)</f>
        <v/>
      </c>
      <c r="BK382" s="72" t="str">
        <f>IF('Cálculo MP'!R392="","",'Cálculo MP'!R392)</f>
        <v/>
      </c>
      <c r="BL382" s="72" t="str">
        <f>IF('Cálculo MP'!S392="","",'Cálculo MP'!S392)</f>
        <v/>
      </c>
      <c r="BM382" s="71"/>
      <c r="BN382" s="71"/>
      <c r="BO382" s="71"/>
      <c r="BP382" s="71"/>
      <c r="BQ382" s="71"/>
      <c r="BR382" s="71"/>
      <c r="BS382" s="71"/>
    </row>
    <row r="383" spans="1:71" ht="19.5" customHeight="1" x14ac:dyDescent="0.15">
      <c r="A383" s="56" t="s">
        <v>985</v>
      </c>
      <c r="B383" s="57" t="s">
        <v>986</v>
      </c>
      <c r="C383" s="58" t="s">
        <v>985</v>
      </c>
      <c r="D383" s="59" t="s">
        <v>985</v>
      </c>
      <c r="E383" s="61"/>
      <c r="F383" s="60" t="s">
        <v>95</v>
      </c>
      <c r="G383" s="61"/>
      <c r="H383" s="62"/>
      <c r="I383" s="75"/>
      <c r="J383" s="60" t="s">
        <v>95</v>
      </c>
      <c r="K383" s="64"/>
      <c r="L383" s="64"/>
      <c r="M383" s="64" t="s">
        <v>96</v>
      </c>
      <c r="N383" s="64" t="s">
        <v>97</v>
      </c>
      <c r="O383" s="65" t="s">
        <v>986</v>
      </c>
      <c r="P383" s="70" t="s">
        <v>96</v>
      </c>
      <c r="Q383" s="60" t="s">
        <v>95</v>
      </c>
      <c r="R383" s="60" t="s">
        <v>96</v>
      </c>
      <c r="S383" s="66" t="s">
        <v>96</v>
      </c>
      <c r="T383" s="67" t="s">
        <v>96</v>
      </c>
      <c r="U383" s="60" t="s">
        <v>96</v>
      </c>
      <c r="V383" s="60" t="s">
        <v>96</v>
      </c>
      <c r="W383" s="60" t="str" cm="1">
        <f t="array" ref="W383">_xlfn.LET(_xlpm.resultados,_xlfn.UNIQUE(_xlfn._xlws.FILTER(Tabla1[Proceso],(Tabla1[Metal Base]=Q383)*(Tabla1[Etiquetas]=_xlfn.TEXTJOIN(" + ",TRUE,IF((TRIM(Upload!R383:V383)="")+(LOWER(TRIM(Upload!R383:V383))="(seleccione)"),"",PROPER(TRIM(Upload!R383:V383)))))*(Tabla1[Línea2]=IFERROR(VLOOKUP(Upload!P383&amp;"*",CAT_Procesos!D:D,1,FALSE),"")))),_xlpm.cantidad,ROWS(_xlpm.resultados),IF(ISERROR(_xlpm.cantidad),"Combinación no existente",IF(_xlpm.cantidad=1,INDEX(_xlpm.resultados,1),"(seleccione)")))</f>
        <v>Combinación no existente</v>
      </c>
      <c r="X383" s="67" t="s">
        <v>96</v>
      </c>
      <c r="Y383" s="64"/>
      <c r="Z383" s="64"/>
      <c r="AA383" s="64"/>
      <c r="AB383" s="133" t="s">
        <v>96</v>
      </c>
      <c r="AC383" s="64"/>
      <c r="AD383" s="64"/>
      <c r="AE383" s="64"/>
      <c r="AF383" s="60" t="s">
        <v>96</v>
      </c>
      <c r="AG383" s="64"/>
      <c r="AH383" s="64"/>
      <c r="AI383" s="64"/>
      <c r="AJ383" s="68" t="s">
        <v>96</v>
      </c>
      <c r="AK383" s="69" t="str">
        <f t="shared" si="10"/>
        <v/>
      </c>
      <c r="AL383" s="70" t="s">
        <v>96</v>
      </c>
      <c r="AM383" s="69" t="str">
        <f t="shared" si="11"/>
        <v/>
      </c>
      <c r="AN383" s="71"/>
      <c r="AO383" s="71"/>
      <c r="AP383" s="71"/>
      <c r="AQ383" s="71"/>
      <c r="AR383" s="71" t="s">
        <v>96</v>
      </c>
      <c r="AS383" s="71"/>
      <c r="AT383" s="71" t="s">
        <v>96</v>
      </c>
      <c r="AU383" s="71"/>
      <c r="AV383" s="71" t="s">
        <v>95</v>
      </c>
      <c r="AW383" s="71"/>
      <c r="AX383" s="71"/>
      <c r="AY383" s="71"/>
      <c r="AZ383" s="71"/>
      <c r="BA383" s="71"/>
      <c r="BB383" s="70" t="s">
        <v>218</v>
      </c>
      <c r="BC383" s="70" t="s">
        <v>98</v>
      </c>
      <c r="BD383" s="72" t="str">
        <f>IF('Cálculo MP'!K393="","",'Cálculo MP'!K393)</f>
        <v/>
      </c>
      <c r="BE383" s="72" t="str">
        <f>IF('Cálculo MP'!L393="","",'Cálculo MP'!L393)</f>
        <v/>
      </c>
      <c r="BF383" s="72" t="str">
        <f>IF('Cálculo MP'!M393="","",'Cálculo MP'!M393)</f>
        <v/>
      </c>
      <c r="BG383" s="72" t="str">
        <f>IF('Cálculo MP'!N393="","",'Cálculo MP'!N393)</f>
        <v/>
      </c>
      <c r="BH383" s="72" t="str">
        <f>IF('Cálculo MP'!O393="","",'Cálculo MP'!O393)</f>
        <v/>
      </c>
      <c r="BI383" s="72" t="str">
        <f>IF('Cálculo MP'!P393="","",'Cálculo MP'!P393)</f>
        <v/>
      </c>
      <c r="BJ383" s="72" t="str">
        <f>IF('Cálculo MP'!Q393="","",'Cálculo MP'!Q393)</f>
        <v/>
      </c>
      <c r="BK383" s="72" t="str">
        <f>IF('Cálculo MP'!R393="","",'Cálculo MP'!R393)</f>
        <v/>
      </c>
      <c r="BL383" s="72" t="str">
        <f>IF('Cálculo MP'!S393="","",'Cálculo MP'!S393)</f>
        <v/>
      </c>
      <c r="BM383" s="71"/>
      <c r="BN383" s="71"/>
      <c r="BO383" s="71"/>
      <c r="BP383" s="71"/>
      <c r="BQ383" s="71"/>
      <c r="BR383" s="71"/>
      <c r="BS383" s="71"/>
    </row>
    <row r="384" spans="1:71" ht="19.5" customHeight="1" x14ac:dyDescent="0.15">
      <c r="A384" s="56" t="s">
        <v>985</v>
      </c>
      <c r="B384" s="57" t="s">
        <v>986</v>
      </c>
      <c r="C384" s="58" t="s">
        <v>985</v>
      </c>
      <c r="D384" s="59" t="s">
        <v>985</v>
      </c>
      <c r="E384" s="61"/>
      <c r="F384" s="60" t="s">
        <v>95</v>
      </c>
      <c r="G384" s="61"/>
      <c r="H384" s="62"/>
      <c r="I384" s="75"/>
      <c r="J384" s="60" t="s">
        <v>95</v>
      </c>
      <c r="K384" s="64"/>
      <c r="L384" s="64"/>
      <c r="M384" s="64" t="s">
        <v>96</v>
      </c>
      <c r="N384" s="64" t="s">
        <v>97</v>
      </c>
      <c r="O384" s="65" t="s">
        <v>986</v>
      </c>
      <c r="P384" s="70" t="s">
        <v>96</v>
      </c>
      <c r="Q384" s="60" t="s">
        <v>95</v>
      </c>
      <c r="R384" s="60" t="s">
        <v>96</v>
      </c>
      <c r="S384" s="66" t="s">
        <v>96</v>
      </c>
      <c r="T384" s="67" t="s">
        <v>96</v>
      </c>
      <c r="U384" s="60" t="s">
        <v>96</v>
      </c>
      <c r="V384" s="60" t="s">
        <v>96</v>
      </c>
      <c r="W384" s="60" t="str" cm="1">
        <f t="array" ref="W384">_xlfn.LET(_xlpm.resultados,_xlfn.UNIQUE(_xlfn._xlws.FILTER(Tabla1[Proceso],(Tabla1[Metal Base]=Q384)*(Tabla1[Etiquetas]=_xlfn.TEXTJOIN(" + ",TRUE,IF((TRIM(Upload!R384:V384)="")+(LOWER(TRIM(Upload!R384:V384))="(seleccione)"),"",PROPER(TRIM(Upload!R384:V384)))))*(Tabla1[Línea2]=IFERROR(VLOOKUP(Upload!P384&amp;"*",CAT_Procesos!D:D,1,FALSE),"")))),_xlpm.cantidad,ROWS(_xlpm.resultados),IF(ISERROR(_xlpm.cantidad),"Combinación no existente",IF(_xlpm.cantidad=1,INDEX(_xlpm.resultados,1),"(seleccione)")))</f>
        <v>Combinación no existente</v>
      </c>
      <c r="X384" s="67" t="s">
        <v>96</v>
      </c>
      <c r="Y384" s="64"/>
      <c r="Z384" s="64"/>
      <c r="AA384" s="64"/>
      <c r="AB384" s="133" t="s">
        <v>96</v>
      </c>
      <c r="AC384" s="64"/>
      <c r="AD384" s="64"/>
      <c r="AE384" s="64"/>
      <c r="AF384" s="60" t="s">
        <v>96</v>
      </c>
      <c r="AG384" s="64"/>
      <c r="AH384" s="64"/>
      <c r="AI384" s="64"/>
      <c r="AJ384" s="68" t="s">
        <v>96</v>
      </c>
      <c r="AK384" s="69" t="str">
        <f t="shared" si="10"/>
        <v/>
      </c>
      <c r="AL384" s="70" t="s">
        <v>96</v>
      </c>
      <c r="AM384" s="69" t="str">
        <f t="shared" si="11"/>
        <v/>
      </c>
      <c r="AN384" s="71"/>
      <c r="AO384" s="71"/>
      <c r="AP384" s="71"/>
      <c r="AQ384" s="71"/>
      <c r="AR384" s="71" t="s">
        <v>96</v>
      </c>
      <c r="AS384" s="71"/>
      <c r="AT384" s="71" t="s">
        <v>96</v>
      </c>
      <c r="AU384" s="71"/>
      <c r="AV384" s="71" t="s">
        <v>95</v>
      </c>
      <c r="AW384" s="71"/>
      <c r="AX384" s="71"/>
      <c r="AY384" s="71"/>
      <c r="AZ384" s="71"/>
      <c r="BA384" s="71"/>
      <c r="BB384" s="70" t="s">
        <v>218</v>
      </c>
      <c r="BC384" s="70" t="s">
        <v>98</v>
      </c>
      <c r="BD384" s="72" t="str">
        <f>IF('Cálculo MP'!K394="","",'Cálculo MP'!K394)</f>
        <v/>
      </c>
      <c r="BE384" s="72" t="str">
        <f>IF('Cálculo MP'!L394="","",'Cálculo MP'!L394)</f>
        <v/>
      </c>
      <c r="BF384" s="72" t="str">
        <f>IF('Cálculo MP'!M394="","",'Cálculo MP'!M394)</f>
        <v/>
      </c>
      <c r="BG384" s="72" t="str">
        <f>IF('Cálculo MP'!N394="","",'Cálculo MP'!N394)</f>
        <v/>
      </c>
      <c r="BH384" s="72" t="str">
        <f>IF('Cálculo MP'!O394="","",'Cálculo MP'!O394)</f>
        <v/>
      </c>
      <c r="BI384" s="72" t="str">
        <f>IF('Cálculo MP'!P394="","",'Cálculo MP'!P394)</f>
        <v/>
      </c>
      <c r="BJ384" s="72" t="str">
        <f>IF('Cálculo MP'!Q394="","",'Cálculo MP'!Q394)</f>
        <v/>
      </c>
      <c r="BK384" s="72" t="str">
        <f>IF('Cálculo MP'!R394="","",'Cálculo MP'!R394)</f>
        <v/>
      </c>
      <c r="BL384" s="72" t="str">
        <f>IF('Cálculo MP'!S394="","",'Cálculo MP'!S394)</f>
        <v/>
      </c>
      <c r="BM384" s="71"/>
      <c r="BN384" s="71"/>
      <c r="BO384" s="71"/>
      <c r="BP384" s="71"/>
      <c r="BQ384" s="71"/>
      <c r="BR384" s="71"/>
      <c r="BS384" s="71"/>
    </row>
    <row r="385" spans="1:71" ht="19.5" customHeight="1" x14ac:dyDescent="0.15">
      <c r="A385" s="56" t="s">
        <v>985</v>
      </c>
      <c r="B385" s="57" t="s">
        <v>986</v>
      </c>
      <c r="C385" s="58" t="s">
        <v>985</v>
      </c>
      <c r="D385" s="59" t="s">
        <v>985</v>
      </c>
      <c r="E385" s="61"/>
      <c r="F385" s="60" t="s">
        <v>95</v>
      </c>
      <c r="G385" s="61"/>
      <c r="H385" s="62"/>
      <c r="I385" s="75"/>
      <c r="J385" s="60" t="s">
        <v>95</v>
      </c>
      <c r="K385" s="64"/>
      <c r="L385" s="64"/>
      <c r="M385" s="64" t="s">
        <v>96</v>
      </c>
      <c r="N385" s="64" t="s">
        <v>97</v>
      </c>
      <c r="O385" s="65" t="s">
        <v>986</v>
      </c>
      <c r="P385" s="70" t="s">
        <v>96</v>
      </c>
      <c r="Q385" s="60" t="s">
        <v>95</v>
      </c>
      <c r="R385" s="60" t="s">
        <v>96</v>
      </c>
      <c r="S385" s="66" t="s">
        <v>96</v>
      </c>
      <c r="T385" s="67" t="s">
        <v>96</v>
      </c>
      <c r="U385" s="60" t="s">
        <v>96</v>
      </c>
      <c r="V385" s="60" t="s">
        <v>96</v>
      </c>
      <c r="W385" s="60" t="str" cm="1">
        <f t="array" ref="W385">_xlfn.LET(_xlpm.resultados,_xlfn.UNIQUE(_xlfn._xlws.FILTER(Tabla1[Proceso],(Tabla1[Metal Base]=Q385)*(Tabla1[Etiquetas]=_xlfn.TEXTJOIN(" + ",TRUE,IF((TRIM(Upload!R385:V385)="")+(LOWER(TRIM(Upload!R385:V385))="(seleccione)"),"",PROPER(TRIM(Upload!R385:V385)))))*(Tabla1[Línea2]=IFERROR(VLOOKUP(Upload!P385&amp;"*",CAT_Procesos!D:D,1,FALSE),"")))),_xlpm.cantidad,ROWS(_xlpm.resultados),IF(ISERROR(_xlpm.cantidad),"Combinación no existente",IF(_xlpm.cantidad=1,INDEX(_xlpm.resultados,1),"(seleccione)")))</f>
        <v>Combinación no existente</v>
      </c>
      <c r="X385" s="67" t="s">
        <v>96</v>
      </c>
      <c r="Y385" s="64"/>
      <c r="Z385" s="64"/>
      <c r="AA385" s="64"/>
      <c r="AB385" s="133" t="s">
        <v>96</v>
      </c>
      <c r="AC385" s="64"/>
      <c r="AD385" s="64"/>
      <c r="AE385" s="64"/>
      <c r="AF385" s="60" t="s">
        <v>96</v>
      </c>
      <c r="AG385" s="64"/>
      <c r="AH385" s="64"/>
      <c r="AI385" s="64"/>
      <c r="AJ385" s="68" t="s">
        <v>96</v>
      </c>
      <c r="AK385" s="69" t="str">
        <f t="shared" si="10"/>
        <v/>
      </c>
      <c r="AL385" s="70" t="s">
        <v>96</v>
      </c>
      <c r="AM385" s="69" t="str">
        <f t="shared" si="11"/>
        <v/>
      </c>
      <c r="AN385" s="71"/>
      <c r="AO385" s="71"/>
      <c r="AP385" s="71"/>
      <c r="AQ385" s="71"/>
      <c r="AR385" s="71" t="s">
        <v>96</v>
      </c>
      <c r="AS385" s="71"/>
      <c r="AT385" s="71" t="s">
        <v>96</v>
      </c>
      <c r="AU385" s="71"/>
      <c r="AV385" s="71" t="s">
        <v>95</v>
      </c>
      <c r="AW385" s="71"/>
      <c r="AX385" s="71"/>
      <c r="AY385" s="71"/>
      <c r="AZ385" s="71"/>
      <c r="BA385" s="71"/>
      <c r="BB385" s="70" t="s">
        <v>218</v>
      </c>
      <c r="BC385" s="70" t="s">
        <v>98</v>
      </c>
      <c r="BD385" s="72" t="str">
        <f>IF('Cálculo MP'!K395="","",'Cálculo MP'!K395)</f>
        <v/>
      </c>
      <c r="BE385" s="72" t="str">
        <f>IF('Cálculo MP'!L395="","",'Cálculo MP'!L395)</f>
        <v/>
      </c>
      <c r="BF385" s="72" t="str">
        <f>IF('Cálculo MP'!M395="","",'Cálculo MP'!M395)</f>
        <v/>
      </c>
      <c r="BG385" s="72" t="str">
        <f>IF('Cálculo MP'!N395="","",'Cálculo MP'!N395)</f>
        <v/>
      </c>
      <c r="BH385" s="72" t="str">
        <f>IF('Cálculo MP'!O395="","",'Cálculo MP'!O395)</f>
        <v/>
      </c>
      <c r="BI385" s="72" t="str">
        <f>IF('Cálculo MP'!P395="","",'Cálculo MP'!P395)</f>
        <v/>
      </c>
      <c r="BJ385" s="72" t="str">
        <f>IF('Cálculo MP'!Q395="","",'Cálculo MP'!Q395)</f>
        <v/>
      </c>
      <c r="BK385" s="72" t="str">
        <f>IF('Cálculo MP'!R395="","",'Cálculo MP'!R395)</f>
        <v/>
      </c>
      <c r="BL385" s="72" t="str">
        <f>IF('Cálculo MP'!S395="","",'Cálculo MP'!S395)</f>
        <v/>
      </c>
      <c r="BM385" s="71"/>
      <c r="BN385" s="71"/>
      <c r="BO385" s="71"/>
      <c r="BP385" s="71"/>
      <c r="BQ385" s="71"/>
      <c r="BR385" s="71"/>
      <c r="BS385" s="71"/>
    </row>
    <row r="386" spans="1:71" ht="19.5" customHeight="1" x14ac:dyDescent="0.15">
      <c r="A386" s="56" t="s">
        <v>985</v>
      </c>
      <c r="B386" s="57" t="s">
        <v>986</v>
      </c>
      <c r="C386" s="58" t="s">
        <v>985</v>
      </c>
      <c r="D386" s="59" t="s">
        <v>985</v>
      </c>
      <c r="E386" s="61"/>
      <c r="F386" s="60" t="s">
        <v>95</v>
      </c>
      <c r="G386" s="61"/>
      <c r="H386" s="62"/>
      <c r="I386" s="75"/>
      <c r="J386" s="60" t="s">
        <v>95</v>
      </c>
      <c r="K386" s="64"/>
      <c r="L386" s="64"/>
      <c r="M386" s="64" t="s">
        <v>96</v>
      </c>
      <c r="N386" s="64" t="s">
        <v>97</v>
      </c>
      <c r="O386" s="65" t="s">
        <v>986</v>
      </c>
      <c r="P386" s="70" t="s">
        <v>96</v>
      </c>
      <c r="Q386" s="60" t="s">
        <v>95</v>
      </c>
      <c r="R386" s="60" t="s">
        <v>96</v>
      </c>
      <c r="S386" s="66" t="s">
        <v>96</v>
      </c>
      <c r="T386" s="67" t="s">
        <v>96</v>
      </c>
      <c r="U386" s="60" t="s">
        <v>96</v>
      </c>
      <c r="V386" s="60" t="s">
        <v>96</v>
      </c>
      <c r="W386" s="60" t="str" cm="1">
        <f t="array" ref="W386">_xlfn.LET(_xlpm.resultados,_xlfn.UNIQUE(_xlfn._xlws.FILTER(Tabla1[Proceso],(Tabla1[Metal Base]=Q386)*(Tabla1[Etiquetas]=_xlfn.TEXTJOIN(" + ",TRUE,IF((TRIM(Upload!R386:V386)="")+(LOWER(TRIM(Upload!R386:V386))="(seleccione)"),"",PROPER(TRIM(Upload!R386:V386)))))*(Tabla1[Línea2]=IFERROR(VLOOKUP(Upload!P386&amp;"*",CAT_Procesos!D:D,1,FALSE),"")))),_xlpm.cantidad,ROWS(_xlpm.resultados),IF(ISERROR(_xlpm.cantidad),"Combinación no existente",IF(_xlpm.cantidad=1,INDEX(_xlpm.resultados,1),"(seleccione)")))</f>
        <v>Combinación no existente</v>
      </c>
      <c r="X386" s="67" t="s">
        <v>96</v>
      </c>
      <c r="Y386" s="64"/>
      <c r="Z386" s="64"/>
      <c r="AA386" s="64"/>
      <c r="AB386" s="133" t="s">
        <v>96</v>
      </c>
      <c r="AC386" s="64"/>
      <c r="AD386" s="64"/>
      <c r="AE386" s="64"/>
      <c r="AF386" s="60" t="s">
        <v>96</v>
      </c>
      <c r="AG386" s="64"/>
      <c r="AH386" s="64"/>
      <c r="AI386" s="64"/>
      <c r="AJ386" s="68" t="s">
        <v>96</v>
      </c>
      <c r="AK386" s="69" t="str">
        <f t="shared" si="10"/>
        <v/>
      </c>
      <c r="AL386" s="70" t="s">
        <v>96</v>
      </c>
      <c r="AM386" s="69" t="str">
        <f t="shared" si="11"/>
        <v/>
      </c>
      <c r="AN386" s="71"/>
      <c r="AO386" s="71"/>
      <c r="AP386" s="71"/>
      <c r="AQ386" s="71"/>
      <c r="AR386" s="71" t="s">
        <v>96</v>
      </c>
      <c r="AS386" s="71"/>
      <c r="AT386" s="71" t="s">
        <v>96</v>
      </c>
      <c r="AU386" s="71"/>
      <c r="AV386" s="71" t="s">
        <v>95</v>
      </c>
      <c r="AW386" s="71"/>
      <c r="AX386" s="71"/>
      <c r="AY386" s="71"/>
      <c r="AZ386" s="71"/>
      <c r="BA386" s="71"/>
      <c r="BB386" s="70" t="s">
        <v>218</v>
      </c>
      <c r="BC386" s="70" t="s">
        <v>98</v>
      </c>
      <c r="BD386" s="72" t="str">
        <f>IF('Cálculo MP'!K396="","",'Cálculo MP'!K396)</f>
        <v/>
      </c>
      <c r="BE386" s="72" t="str">
        <f>IF('Cálculo MP'!L396="","",'Cálculo MP'!L396)</f>
        <v/>
      </c>
      <c r="BF386" s="72" t="str">
        <f>IF('Cálculo MP'!M396="","",'Cálculo MP'!M396)</f>
        <v/>
      </c>
      <c r="BG386" s="72" t="str">
        <f>IF('Cálculo MP'!N396="","",'Cálculo MP'!N396)</f>
        <v/>
      </c>
      <c r="BH386" s="72" t="str">
        <f>IF('Cálculo MP'!O396="","",'Cálculo MP'!O396)</f>
        <v/>
      </c>
      <c r="BI386" s="72" t="str">
        <f>IF('Cálculo MP'!P396="","",'Cálculo MP'!P396)</f>
        <v/>
      </c>
      <c r="BJ386" s="72" t="str">
        <f>IF('Cálculo MP'!Q396="","",'Cálculo MP'!Q396)</f>
        <v/>
      </c>
      <c r="BK386" s="72" t="str">
        <f>IF('Cálculo MP'!R396="","",'Cálculo MP'!R396)</f>
        <v/>
      </c>
      <c r="BL386" s="72" t="str">
        <f>IF('Cálculo MP'!S396="","",'Cálculo MP'!S396)</f>
        <v/>
      </c>
      <c r="BM386" s="71"/>
      <c r="BN386" s="71"/>
      <c r="BO386" s="71"/>
      <c r="BP386" s="71"/>
      <c r="BQ386" s="71"/>
      <c r="BR386" s="71"/>
      <c r="BS386" s="71"/>
    </row>
    <row r="387" spans="1:71" ht="19.5" customHeight="1" x14ac:dyDescent="0.15">
      <c r="A387" s="56" t="s">
        <v>985</v>
      </c>
      <c r="B387" s="57" t="s">
        <v>986</v>
      </c>
      <c r="C387" s="58" t="s">
        <v>985</v>
      </c>
      <c r="D387" s="59" t="s">
        <v>985</v>
      </c>
      <c r="E387" s="61"/>
      <c r="F387" s="60" t="s">
        <v>95</v>
      </c>
      <c r="G387" s="61"/>
      <c r="H387" s="62"/>
      <c r="I387" s="75"/>
      <c r="J387" s="60" t="s">
        <v>95</v>
      </c>
      <c r="K387" s="64"/>
      <c r="L387" s="64"/>
      <c r="M387" s="64" t="s">
        <v>96</v>
      </c>
      <c r="N387" s="64" t="s">
        <v>97</v>
      </c>
      <c r="O387" s="65" t="s">
        <v>986</v>
      </c>
      <c r="P387" s="70" t="s">
        <v>96</v>
      </c>
      <c r="Q387" s="60" t="s">
        <v>95</v>
      </c>
      <c r="R387" s="60" t="s">
        <v>96</v>
      </c>
      <c r="S387" s="66" t="s">
        <v>96</v>
      </c>
      <c r="T387" s="67" t="s">
        <v>96</v>
      </c>
      <c r="U387" s="60" t="s">
        <v>96</v>
      </c>
      <c r="V387" s="60" t="s">
        <v>96</v>
      </c>
      <c r="W387" s="60" t="str" cm="1">
        <f t="array" ref="W387">_xlfn.LET(_xlpm.resultados,_xlfn.UNIQUE(_xlfn._xlws.FILTER(Tabla1[Proceso],(Tabla1[Metal Base]=Q387)*(Tabla1[Etiquetas]=_xlfn.TEXTJOIN(" + ",TRUE,IF((TRIM(Upload!R387:V387)="")+(LOWER(TRIM(Upload!R387:V387))="(seleccione)"),"",PROPER(TRIM(Upload!R387:V387)))))*(Tabla1[Línea2]=IFERROR(VLOOKUP(Upload!P387&amp;"*",CAT_Procesos!D:D,1,FALSE),"")))),_xlpm.cantidad,ROWS(_xlpm.resultados),IF(ISERROR(_xlpm.cantidad),"Combinación no existente",IF(_xlpm.cantidad=1,INDEX(_xlpm.resultados,1),"(seleccione)")))</f>
        <v>Combinación no existente</v>
      </c>
      <c r="X387" s="67" t="s">
        <v>96</v>
      </c>
      <c r="Y387" s="64"/>
      <c r="Z387" s="64"/>
      <c r="AA387" s="64"/>
      <c r="AB387" s="133" t="s">
        <v>96</v>
      </c>
      <c r="AC387" s="64"/>
      <c r="AD387" s="64"/>
      <c r="AE387" s="64"/>
      <c r="AF387" s="60" t="s">
        <v>96</v>
      </c>
      <c r="AG387" s="64"/>
      <c r="AH387" s="64"/>
      <c r="AI387" s="64"/>
      <c r="AJ387" s="68" t="s">
        <v>96</v>
      </c>
      <c r="AK387" s="69" t="str">
        <f t="shared" si="10"/>
        <v/>
      </c>
      <c r="AL387" s="70" t="s">
        <v>96</v>
      </c>
      <c r="AM387" s="69" t="str">
        <f t="shared" si="11"/>
        <v/>
      </c>
      <c r="AN387" s="71"/>
      <c r="AO387" s="71"/>
      <c r="AP387" s="71"/>
      <c r="AQ387" s="71"/>
      <c r="AR387" s="71" t="s">
        <v>96</v>
      </c>
      <c r="AS387" s="71"/>
      <c r="AT387" s="71" t="s">
        <v>96</v>
      </c>
      <c r="AU387" s="71"/>
      <c r="AV387" s="71" t="s">
        <v>95</v>
      </c>
      <c r="AW387" s="71"/>
      <c r="AX387" s="71"/>
      <c r="AY387" s="71"/>
      <c r="AZ387" s="71"/>
      <c r="BA387" s="71"/>
      <c r="BB387" s="70" t="s">
        <v>218</v>
      </c>
      <c r="BC387" s="70" t="s">
        <v>98</v>
      </c>
      <c r="BD387" s="72" t="str">
        <f>IF('Cálculo MP'!K397="","",'Cálculo MP'!K397)</f>
        <v/>
      </c>
      <c r="BE387" s="72" t="str">
        <f>IF('Cálculo MP'!L397="","",'Cálculo MP'!L397)</f>
        <v/>
      </c>
      <c r="BF387" s="72" t="str">
        <f>IF('Cálculo MP'!M397="","",'Cálculo MP'!M397)</f>
        <v/>
      </c>
      <c r="BG387" s="72" t="str">
        <f>IF('Cálculo MP'!N397="","",'Cálculo MP'!N397)</f>
        <v/>
      </c>
      <c r="BH387" s="72" t="str">
        <f>IF('Cálculo MP'!O397="","",'Cálculo MP'!O397)</f>
        <v/>
      </c>
      <c r="BI387" s="72" t="str">
        <f>IF('Cálculo MP'!P397="","",'Cálculo MP'!P397)</f>
        <v/>
      </c>
      <c r="BJ387" s="72" t="str">
        <f>IF('Cálculo MP'!Q397="","",'Cálculo MP'!Q397)</f>
        <v/>
      </c>
      <c r="BK387" s="72" t="str">
        <f>IF('Cálculo MP'!R397="","",'Cálculo MP'!R397)</f>
        <v/>
      </c>
      <c r="BL387" s="72" t="str">
        <f>IF('Cálculo MP'!S397="","",'Cálculo MP'!S397)</f>
        <v/>
      </c>
      <c r="BM387" s="71"/>
      <c r="BN387" s="71"/>
      <c r="BO387" s="71"/>
      <c r="BP387" s="71"/>
      <c r="BQ387" s="71"/>
      <c r="BR387" s="71"/>
      <c r="BS387" s="71"/>
    </row>
    <row r="388" spans="1:71" ht="19.5" customHeight="1" x14ac:dyDescent="0.15">
      <c r="A388" s="56" t="s">
        <v>985</v>
      </c>
      <c r="B388" s="57" t="s">
        <v>986</v>
      </c>
      <c r="C388" s="58" t="s">
        <v>985</v>
      </c>
      <c r="D388" s="59" t="s">
        <v>985</v>
      </c>
      <c r="E388" s="61"/>
      <c r="F388" s="60" t="s">
        <v>95</v>
      </c>
      <c r="G388" s="61"/>
      <c r="H388" s="62"/>
      <c r="I388" s="75"/>
      <c r="J388" s="60" t="s">
        <v>95</v>
      </c>
      <c r="K388" s="64"/>
      <c r="L388" s="64"/>
      <c r="M388" s="64" t="s">
        <v>96</v>
      </c>
      <c r="N388" s="64" t="s">
        <v>97</v>
      </c>
      <c r="O388" s="65" t="s">
        <v>986</v>
      </c>
      <c r="P388" s="70" t="s">
        <v>96</v>
      </c>
      <c r="Q388" s="60" t="s">
        <v>95</v>
      </c>
      <c r="R388" s="60" t="s">
        <v>96</v>
      </c>
      <c r="S388" s="66" t="s">
        <v>96</v>
      </c>
      <c r="T388" s="67" t="s">
        <v>96</v>
      </c>
      <c r="U388" s="60" t="s">
        <v>96</v>
      </c>
      <c r="V388" s="60" t="s">
        <v>96</v>
      </c>
      <c r="W388" s="60" t="str" cm="1">
        <f t="array" ref="W388">_xlfn.LET(_xlpm.resultados,_xlfn.UNIQUE(_xlfn._xlws.FILTER(Tabla1[Proceso],(Tabla1[Metal Base]=Q388)*(Tabla1[Etiquetas]=_xlfn.TEXTJOIN(" + ",TRUE,IF((TRIM(Upload!R388:V388)="")+(LOWER(TRIM(Upload!R388:V388))="(seleccione)"),"",PROPER(TRIM(Upload!R388:V388)))))*(Tabla1[Línea2]=IFERROR(VLOOKUP(Upload!P388&amp;"*",CAT_Procesos!D:D,1,FALSE),"")))),_xlpm.cantidad,ROWS(_xlpm.resultados),IF(ISERROR(_xlpm.cantidad),"Combinación no existente",IF(_xlpm.cantidad=1,INDEX(_xlpm.resultados,1),"(seleccione)")))</f>
        <v>Combinación no existente</v>
      </c>
      <c r="X388" s="67" t="s">
        <v>96</v>
      </c>
      <c r="Y388" s="64"/>
      <c r="Z388" s="64"/>
      <c r="AA388" s="64"/>
      <c r="AB388" s="133" t="s">
        <v>96</v>
      </c>
      <c r="AC388" s="64"/>
      <c r="AD388" s="64"/>
      <c r="AE388" s="64"/>
      <c r="AF388" s="60" t="s">
        <v>96</v>
      </c>
      <c r="AG388" s="64"/>
      <c r="AH388" s="64"/>
      <c r="AI388" s="64"/>
      <c r="AJ388" s="68" t="s">
        <v>96</v>
      </c>
      <c r="AK388" s="69" t="str">
        <f t="shared" si="10"/>
        <v/>
      </c>
      <c r="AL388" s="70" t="s">
        <v>96</v>
      </c>
      <c r="AM388" s="69" t="str">
        <f t="shared" si="11"/>
        <v/>
      </c>
      <c r="AN388" s="71"/>
      <c r="AO388" s="71"/>
      <c r="AP388" s="71"/>
      <c r="AQ388" s="71"/>
      <c r="AR388" s="71" t="s">
        <v>96</v>
      </c>
      <c r="AS388" s="71"/>
      <c r="AT388" s="71" t="s">
        <v>96</v>
      </c>
      <c r="AU388" s="71"/>
      <c r="AV388" s="71" t="s">
        <v>95</v>
      </c>
      <c r="AW388" s="71"/>
      <c r="AX388" s="71"/>
      <c r="AY388" s="71"/>
      <c r="AZ388" s="71"/>
      <c r="BA388" s="71"/>
      <c r="BB388" s="70" t="s">
        <v>218</v>
      </c>
      <c r="BC388" s="70" t="s">
        <v>98</v>
      </c>
      <c r="BD388" s="72" t="str">
        <f>IF('Cálculo MP'!K398="","",'Cálculo MP'!K398)</f>
        <v/>
      </c>
      <c r="BE388" s="72" t="str">
        <f>IF('Cálculo MP'!L398="","",'Cálculo MP'!L398)</f>
        <v/>
      </c>
      <c r="BF388" s="72" t="str">
        <f>IF('Cálculo MP'!M398="","",'Cálculo MP'!M398)</f>
        <v/>
      </c>
      <c r="BG388" s="72" t="str">
        <f>IF('Cálculo MP'!N398="","",'Cálculo MP'!N398)</f>
        <v/>
      </c>
      <c r="BH388" s="72" t="str">
        <f>IF('Cálculo MP'!O398="","",'Cálculo MP'!O398)</f>
        <v/>
      </c>
      <c r="BI388" s="72" t="str">
        <f>IF('Cálculo MP'!P398="","",'Cálculo MP'!P398)</f>
        <v/>
      </c>
      <c r="BJ388" s="72" t="str">
        <f>IF('Cálculo MP'!Q398="","",'Cálculo MP'!Q398)</f>
        <v/>
      </c>
      <c r="BK388" s="72" t="str">
        <f>IF('Cálculo MP'!R398="","",'Cálculo MP'!R398)</f>
        <v/>
      </c>
      <c r="BL388" s="72" t="str">
        <f>IF('Cálculo MP'!S398="","",'Cálculo MP'!S398)</f>
        <v/>
      </c>
      <c r="BM388" s="71"/>
      <c r="BN388" s="71"/>
      <c r="BO388" s="71"/>
      <c r="BP388" s="71"/>
      <c r="BQ388" s="71"/>
      <c r="BR388" s="71"/>
      <c r="BS388" s="71"/>
    </row>
    <row r="389" spans="1:71" ht="19.5" customHeight="1" x14ac:dyDescent="0.15">
      <c r="A389" s="56" t="s">
        <v>985</v>
      </c>
      <c r="B389" s="57" t="s">
        <v>986</v>
      </c>
      <c r="C389" s="58" t="s">
        <v>985</v>
      </c>
      <c r="D389" s="59" t="s">
        <v>985</v>
      </c>
      <c r="E389" s="61"/>
      <c r="F389" s="60" t="s">
        <v>95</v>
      </c>
      <c r="G389" s="61"/>
      <c r="H389" s="62"/>
      <c r="I389" s="75"/>
      <c r="J389" s="60" t="s">
        <v>95</v>
      </c>
      <c r="K389" s="64"/>
      <c r="L389" s="64"/>
      <c r="M389" s="64" t="s">
        <v>96</v>
      </c>
      <c r="N389" s="64" t="s">
        <v>97</v>
      </c>
      <c r="O389" s="65" t="s">
        <v>986</v>
      </c>
      <c r="P389" s="70" t="s">
        <v>96</v>
      </c>
      <c r="Q389" s="60" t="s">
        <v>95</v>
      </c>
      <c r="R389" s="60" t="s">
        <v>96</v>
      </c>
      <c r="S389" s="66" t="s">
        <v>96</v>
      </c>
      <c r="T389" s="67" t="s">
        <v>96</v>
      </c>
      <c r="U389" s="60" t="s">
        <v>96</v>
      </c>
      <c r="V389" s="60" t="s">
        <v>96</v>
      </c>
      <c r="W389" s="60" t="str" cm="1">
        <f t="array" ref="W389">_xlfn.LET(_xlpm.resultados,_xlfn.UNIQUE(_xlfn._xlws.FILTER(Tabla1[Proceso],(Tabla1[Metal Base]=Q389)*(Tabla1[Etiquetas]=_xlfn.TEXTJOIN(" + ",TRUE,IF((TRIM(Upload!R389:V389)="")+(LOWER(TRIM(Upload!R389:V389))="(seleccione)"),"",PROPER(TRIM(Upload!R389:V389)))))*(Tabla1[Línea2]=IFERROR(VLOOKUP(Upload!P389&amp;"*",CAT_Procesos!D:D,1,FALSE),"")))),_xlpm.cantidad,ROWS(_xlpm.resultados),IF(ISERROR(_xlpm.cantidad),"Combinación no existente",IF(_xlpm.cantidad=1,INDEX(_xlpm.resultados,1),"(seleccione)")))</f>
        <v>Combinación no existente</v>
      </c>
      <c r="X389" s="67" t="s">
        <v>96</v>
      </c>
      <c r="Y389" s="64"/>
      <c r="Z389" s="64"/>
      <c r="AA389" s="64"/>
      <c r="AB389" s="133" t="s">
        <v>96</v>
      </c>
      <c r="AC389" s="64"/>
      <c r="AD389" s="64"/>
      <c r="AE389" s="64"/>
      <c r="AF389" s="60" t="s">
        <v>96</v>
      </c>
      <c r="AG389" s="64"/>
      <c r="AH389" s="64"/>
      <c r="AI389" s="64"/>
      <c r="AJ389" s="68" t="s">
        <v>96</v>
      </c>
      <c r="AK389" s="69" t="str">
        <f t="shared" si="10"/>
        <v/>
      </c>
      <c r="AL389" s="70" t="s">
        <v>96</v>
      </c>
      <c r="AM389" s="69" t="str">
        <f t="shared" si="11"/>
        <v/>
      </c>
      <c r="AN389" s="71"/>
      <c r="AO389" s="71"/>
      <c r="AP389" s="71"/>
      <c r="AQ389" s="71"/>
      <c r="AR389" s="71" t="s">
        <v>96</v>
      </c>
      <c r="AS389" s="71"/>
      <c r="AT389" s="71" t="s">
        <v>96</v>
      </c>
      <c r="AU389" s="71"/>
      <c r="AV389" s="71" t="s">
        <v>95</v>
      </c>
      <c r="AW389" s="71"/>
      <c r="AX389" s="71"/>
      <c r="AY389" s="71"/>
      <c r="AZ389" s="71"/>
      <c r="BA389" s="71"/>
      <c r="BB389" s="70" t="s">
        <v>218</v>
      </c>
      <c r="BC389" s="70" t="s">
        <v>98</v>
      </c>
      <c r="BD389" s="72" t="str">
        <f>IF('Cálculo MP'!K399="","",'Cálculo MP'!K399)</f>
        <v/>
      </c>
      <c r="BE389" s="72" t="str">
        <f>IF('Cálculo MP'!L399="","",'Cálculo MP'!L399)</f>
        <v/>
      </c>
      <c r="BF389" s="72" t="str">
        <f>IF('Cálculo MP'!M399="","",'Cálculo MP'!M399)</f>
        <v/>
      </c>
      <c r="BG389" s="72" t="str">
        <f>IF('Cálculo MP'!N399="","",'Cálculo MP'!N399)</f>
        <v/>
      </c>
      <c r="BH389" s="72" t="str">
        <f>IF('Cálculo MP'!O399="","",'Cálculo MP'!O399)</f>
        <v/>
      </c>
      <c r="BI389" s="72" t="str">
        <f>IF('Cálculo MP'!P399="","",'Cálculo MP'!P399)</f>
        <v/>
      </c>
      <c r="BJ389" s="72" t="str">
        <f>IF('Cálculo MP'!Q399="","",'Cálculo MP'!Q399)</f>
        <v/>
      </c>
      <c r="BK389" s="72" t="str">
        <f>IF('Cálculo MP'!R399="","",'Cálculo MP'!R399)</f>
        <v/>
      </c>
      <c r="BL389" s="72" t="str">
        <f>IF('Cálculo MP'!S399="","",'Cálculo MP'!S399)</f>
        <v/>
      </c>
      <c r="BM389" s="71"/>
      <c r="BN389" s="71"/>
      <c r="BO389" s="71"/>
      <c r="BP389" s="71"/>
      <c r="BQ389" s="71"/>
      <c r="BR389" s="71"/>
      <c r="BS389" s="71"/>
    </row>
    <row r="390" spans="1:71" ht="19.5" customHeight="1" x14ac:dyDescent="0.15">
      <c r="A390" s="56" t="s">
        <v>985</v>
      </c>
      <c r="B390" s="57" t="s">
        <v>986</v>
      </c>
      <c r="C390" s="58" t="s">
        <v>985</v>
      </c>
      <c r="D390" s="59" t="s">
        <v>985</v>
      </c>
      <c r="E390" s="61"/>
      <c r="F390" s="60" t="s">
        <v>95</v>
      </c>
      <c r="G390" s="61"/>
      <c r="H390" s="62"/>
      <c r="I390" s="75"/>
      <c r="J390" s="60" t="s">
        <v>95</v>
      </c>
      <c r="K390" s="64"/>
      <c r="L390" s="64"/>
      <c r="M390" s="64" t="s">
        <v>96</v>
      </c>
      <c r="N390" s="64" t="s">
        <v>97</v>
      </c>
      <c r="O390" s="65" t="s">
        <v>986</v>
      </c>
      <c r="P390" s="70" t="s">
        <v>96</v>
      </c>
      <c r="Q390" s="60" t="s">
        <v>95</v>
      </c>
      <c r="R390" s="60" t="s">
        <v>96</v>
      </c>
      <c r="S390" s="66" t="s">
        <v>96</v>
      </c>
      <c r="T390" s="67" t="s">
        <v>96</v>
      </c>
      <c r="U390" s="60" t="s">
        <v>96</v>
      </c>
      <c r="V390" s="60" t="s">
        <v>96</v>
      </c>
      <c r="W390" s="60" t="str" cm="1">
        <f t="array" ref="W390">_xlfn.LET(_xlpm.resultados,_xlfn.UNIQUE(_xlfn._xlws.FILTER(Tabla1[Proceso],(Tabla1[Metal Base]=Q390)*(Tabla1[Etiquetas]=_xlfn.TEXTJOIN(" + ",TRUE,IF((TRIM(Upload!R390:V390)="")+(LOWER(TRIM(Upload!R390:V390))="(seleccione)"),"",PROPER(TRIM(Upload!R390:V390)))))*(Tabla1[Línea2]=IFERROR(VLOOKUP(Upload!P390&amp;"*",CAT_Procesos!D:D,1,FALSE),"")))),_xlpm.cantidad,ROWS(_xlpm.resultados),IF(ISERROR(_xlpm.cantidad),"Combinación no existente",IF(_xlpm.cantidad=1,INDEX(_xlpm.resultados,1),"(seleccione)")))</f>
        <v>Combinación no existente</v>
      </c>
      <c r="X390" s="67" t="s">
        <v>96</v>
      </c>
      <c r="Y390" s="64"/>
      <c r="Z390" s="64"/>
      <c r="AA390" s="64"/>
      <c r="AB390" s="133" t="s">
        <v>96</v>
      </c>
      <c r="AC390" s="64"/>
      <c r="AD390" s="64"/>
      <c r="AE390" s="64"/>
      <c r="AF390" s="60" t="s">
        <v>96</v>
      </c>
      <c r="AG390" s="64"/>
      <c r="AH390" s="64"/>
      <c r="AI390" s="64"/>
      <c r="AJ390" s="68" t="s">
        <v>96</v>
      </c>
      <c r="AK390" s="69" t="str">
        <f t="shared" si="10"/>
        <v/>
      </c>
      <c r="AL390" s="70" t="s">
        <v>96</v>
      </c>
      <c r="AM390" s="69" t="str">
        <f t="shared" si="11"/>
        <v/>
      </c>
      <c r="AN390" s="71"/>
      <c r="AO390" s="71"/>
      <c r="AP390" s="71"/>
      <c r="AQ390" s="71"/>
      <c r="AR390" s="71" t="s">
        <v>96</v>
      </c>
      <c r="AS390" s="71"/>
      <c r="AT390" s="71" t="s">
        <v>96</v>
      </c>
      <c r="AU390" s="71"/>
      <c r="AV390" s="71" t="s">
        <v>95</v>
      </c>
      <c r="AW390" s="71"/>
      <c r="AX390" s="71"/>
      <c r="AY390" s="71"/>
      <c r="AZ390" s="71"/>
      <c r="BA390" s="71"/>
      <c r="BB390" s="70" t="s">
        <v>218</v>
      </c>
      <c r="BC390" s="70" t="s">
        <v>98</v>
      </c>
      <c r="BD390" s="72" t="str">
        <f>IF('Cálculo MP'!K400="","",'Cálculo MP'!K400)</f>
        <v/>
      </c>
      <c r="BE390" s="72" t="str">
        <f>IF('Cálculo MP'!L400="","",'Cálculo MP'!L400)</f>
        <v/>
      </c>
      <c r="BF390" s="72" t="str">
        <f>IF('Cálculo MP'!M400="","",'Cálculo MP'!M400)</f>
        <v/>
      </c>
      <c r="BG390" s="72" t="str">
        <f>IF('Cálculo MP'!N400="","",'Cálculo MP'!N400)</f>
        <v/>
      </c>
      <c r="BH390" s="72" t="str">
        <f>IF('Cálculo MP'!O400="","",'Cálculo MP'!O400)</f>
        <v/>
      </c>
      <c r="BI390" s="72" t="str">
        <f>IF('Cálculo MP'!P400="","",'Cálculo MP'!P400)</f>
        <v/>
      </c>
      <c r="BJ390" s="72" t="str">
        <f>IF('Cálculo MP'!Q400="","",'Cálculo MP'!Q400)</f>
        <v/>
      </c>
      <c r="BK390" s="72" t="str">
        <f>IF('Cálculo MP'!R400="","",'Cálculo MP'!R400)</f>
        <v/>
      </c>
      <c r="BL390" s="72" t="str">
        <f>IF('Cálculo MP'!S400="","",'Cálculo MP'!S400)</f>
        <v/>
      </c>
      <c r="BM390" s="71"/>
      <c r="BN390" s="71"/>
      <c r="BO390" s="71"/>
      <c r="BP390" s="71"/>
      <c r="BQ390" s="71"/>
      <c r="BR390" s="71"/>
      <c r="BS390" s="71"/>
    </row>
    <row r="391" spans="1:71" ht="19.5" customHeight="1" x14ac:dyDescent="0.15">
      <c r="A391" s="56" t="s">
        <v>985</v>
      </c>
      <c r="B391" s="57" t="s">
        <v>986</v>
      </c>
      <c r="C391" s="58" t="s">
        <v>985</v>
      </c>
      <c r="D391" s="59" t="s">
        <v>985</v>
      </c>
      <c r="E391" s="61"/>
      <c r="F391" s="60" t="s">
        <v>95</v>
      </c>
      <c r="G391" s="61"/>
      <c r="H391" s="62"/>
      <c r="I391" s="75"/>
      <c r="J391" s="60" t="s">
        <v>95</v>
      </c>
      <c r="K391" s="64"/>
      <c r="L391" s="64"/>
      <c r="M391" s="64" t="s">
        <v>96</v>
      </c>
      <c r="N391" s="64" t="s">
        <v>97</v>
      </c>
      <c r="O391" s="65" t="s">
        <v>986</v>
      </c>
      <c r="P391" s="70" t="s">
        <v>96</v>
      </c>
      <c r="Q391" s="60" t="s">
        <v>95</v>
      </c>
      <c r="R391" s="60" t="s">
        <v>96</v>
      </c>
      <c r="S391" s="66" t="s">
        <v>96</v>
      </c>
      <c r="T391" s="67" t="s">
        <v>96</v>
      </c>
      <c r="U391" s="60" t="s">
        <v>96</v>
      </c>
      <c r="V391" s="60" t="s">
        <v>96</v>
      </c>
      <c r="W391" s="60" t="str" cm="1">
        <f t="array" ref="W391">_xlfn.LET(_xlpm.resultados,_xlfn.UNIQUE(_xlfn._xlws.FILTER(Tabla1[Proceso],(Tabla1[Metal Base]=Q391)*(Tabla1[Etiquetas]=_xlfn.TEXTJOIN(" + ",TRUE,IF((TRIM(Upload!R391:V391)="")+(LOWER(TRIM(Upload!R391:V391))="(seleccione)"),"",PROPER(TRIM(Upload!R391:V391)))))*(Tabla1[Línea2]=IFERROR(VLOOKUP(Upload!P391&amp;"*",CAT_Procesos!D:D,1,FALSE),"")))),_xlpm.cantidad,ROWS(_xlpm.resultados),IF(ISERROR(_xlpm.cantidad),"Combinación no existente",IF(_xlpm.cantidad=1,INDEX(_xlpm.resultados,1),"(seleccione)")))</f>
        <v>Combinación no existente</v>
      </c>
      <c r="X391" s="67" t="s">
        <v>96</v>
      </c>
      <c r="Y391" s="64"/>
      <c r="Z391" s="64"/>
      <c r="AA391" s="64"/>
      <c r="AB391" s="133" t="s">
        <v>96</v>
      </c>
      <c r="AC391" s="64"/>
      <c r="AD391" s="64"/>
      <c r="AE391" s="64"/>
      <c r="AF391" s="60" t="s">
        <v>96</v>
      </c>
      <c r="AG391" s="64"/>
      <c r="AH391" s="64"/>
      <c r="AI391" s="64"/>
      <c r="AJ391" s="68" t="s">
        <v>96</v>
      </c>
      <c r="AK391" s="69" t="str">
        <f t="shared" si="10"/>
        <v/>
      </c>
      <c r="AL391" s="70" t="s">
        <v>96</v>
      </c>
      <c r="AM391" s="69" t="str">
        <f t="shared" si="11"/>
        <v/>
      </c>
      <c r="AN391" s="71"/>
      <c r="AO391" s="71"/>
      <c r="AP391" s="71"/>
      <c r="AQ391" s="71"/>
      <c r="AR391" s="71" t="s">
        <v>96</v>
      </c>
      <c r="AS391" s="71"/>
      <c r="AT391" s="71" t="s">
        <v>96</v>
      </c>
      <c r="AU391" s="71"/>
      <c r="AV391" s="71" t="s">
        <v>95</v>
      </c>
      <c r="AW391" s="71"/>
      <c r="AX391" s="71"/>
      <c r="AY391" s="71"/>
      <c r="AZ391" s="71"/>
      <c r="BA391" s="71"/>
      <c r="BB391" s="70" t="s">
        <v>218</v>
      </c>
      <c r="BC391" s="70" t="s">
        <v>98</v>
      </c>
      <c r="BD391" s="72" t="str">
        <f>IF('Cálculo MP'!K401="","",'Cálculo MP'!K401)</f>
        <v/>
      </c>
      <c r="BE391" s="72" t="str">
        <f>IF('Cálculo MP'!L401="","",'Cálculo MP'!L401)</f>
        <v/>
      </c>
      <c r="BF391" s="72" t="str">
        <f>IF('Cálculo MP'!M401="","",'Cálculo MP'!M401)</f>
        <v/>
      </c>
      <c r="BG391" s="72" t="str">
        <f>IF('Cálculo MP'!N401="","",'Cálculo MP'!N401)</f>
        <v/>
      </c>
      <c r="BH391" s="72" t="str">
        <f>IF('Cálculo MP'!O401="","",'Cálculo MP'!O401)</f>
        <v/>
      </c>
      <c r="BI391" s="72" t="str">
        <f>IF('Cálculo MP'!P401="","",'Cálculo MP'!P401)</f>
        <v/>
      </c>
      <c r="BJ391" s="72" t="str">
        <f>IF('Cálculo MP'!Q401="","",'Cálculo MP'!Q401)</f>
        <v/>
      </c>
      <c r="BK391" s="72" t="str">
        <f>IF('Cálculo MP'!R401="","",'Cálculo MP'!R401)</f>
        <v/>
      </c>
      <c r="BL391" s="72" t="str">
        <f>IF('Cálculo MP'!S401="","",'Cálculo MP'!S401)</f>
        <v/>
      </c>
      <c r="BM391" s="71"/>
      <c r="BN391" s="71"/>
      <c r="BO391" s="71"/>
      <c r="BP391" s="71"/>
      <c r="BQ391" s="71"/>
      <c r="BR391" s="71"/>
      <c r="BS391" s="71"/>
    </row>
    <row r="392" spans="1:71" ht="19.5" customHeight="1" x14ac:dyDescent="0.15">
      <c r="A392" s="56" t="s">
        <v>985</v>
      </c>
      <c r="B392" s="57" t="s">
        <v>986</v>
      </c>
      <c r="C392" s="58" t="s">
        <v>985</v>
      </c>
      <c r="D392" s="59" t="s">
        <v>985</v>
      </c>
      <c r="E392" s="61"/>
      <c r="F392" s="60" t="s">
        <v>95</v>
      </c>
      <c r="G392" s="61"/>
      <c r="H392" s="62"/>
      <c r="I392" s="75"/>
      <c r="J392" s="60" t="s">
        <v>95</v>
      </c>
      <c r="K392" s="64"/>
      <c r="L392" s="64"/>
      <c r="M392" s="64" t="s">
        <v>96</v>
      </c>
      <c r="N392" s="64" t="s">
        <v>97</v>
      </c>
      <c r="O392" s="65" t="s">
        <v>986</v>
      </c>
      <c r="P392" s="70" t="s">
        <v>96</v>
      </c>
      <c r="Q392" s="60" t="s">
        <v>95</v>
      </c>
      <c r="R392" s="60" t="s">
        <v>96</v>
      </c>
      <c r="S392" s="66" t="s">
        <v>96</v>
      </c>
      <c r="T392" s="67" t="s">
        <v>96</v>
      </c>
      <c r="U392" s="60" t="s">
        <v>96</v>
      </c>
      <c r="V392" s="60" t="s">
        <v>96</v>
      </c>
      <c r="W392" s="60" t="str" cm="1">
        <f t="array" ref="W392">_xlfn.LET(_xlpm.resultados,_xlfn.UNIQUE(_xlfn._xlws.FILTER(Tabla1[Proceso],(Tabla1[Metal Base]=Q392)*(Tabla1[Etiquetas]=_xlfn.TEXTJOIN(" + ",TRUE,IF((TRIM(Upload!R392:V392)="")+(LOWER(TRIM(Upload!R392:V392))="(seleccione)"),"",PROPER(TRIM(Upload!R392:V392)))))*(Tabla1[Línea2]=IFERROR(VLOOKUP(Upload!P392&amp;"*",CAT_Procesos!D:D,1,FALSE),"")))),_xlpm.cantidad,ROWS(_xlpm.resultados),IF(ISERROR(_xlpm.cantidad),"Combinación no existente",IF(_xlpm.cantidad=1,INDEX(_xlpm.resultados,1),"(seleccione)")))</f>
        <v>Combinación no existente</v>
      </c>
      <c r="X392" s="67" t="s">
        <v>96</v>
      </c>
      <c r="Y392" s="64"/>
      <c r="Z392" s="64"/>
      <c r="AA392" s="64"/>
      <c r="AB392" s="133" t="s">
        <v>96</v>
      </c>
      <c r="AC392" s="64"/>
      <c r="AD392" s="64"/>
      <c r="AE392" s="64"/>
      <c r="AF392" s="60" t="s">
        <v>96</v>
      </c>
      <c r="AG392" s="64"/>
      <c r="AH392" s="64"/>
      <c r="AI392" s="64"/>
      <c r="AJ392" s="68" t="s">
        <v>96</v>
      </c>
      <c r="AK392" s="69" t="str">
        <f t="shared" si="10"/>
        <v/>
      </c>
      <c r="AL392" s="70" t="s">
        <v>96</v>
      </c>
      <c r="AM392" s="69" t="str">
        <f t="shared" si="11"/>
        <v/>
      </c>
      <c r="AN392" s="71"/>
      <c r="AO392" s="71"/>
      <c r="AP392" s="71"/>
      <c r="AQ392" s="71"/>
      <c r="AR392" s="71" t="s">
        <v>96</v>
      </c>
      <c r="AS392" s="71"/>
      <c r="AT392" s="71" t="s">
        <v>96</v>
      </c>
      <c r="AU392" s="71"/>
      <c r="AV392" s="71" t="s">
        <v>95</v>
      </c>
      <c r="AW392" s="71"/>
      <c r="AX392" s="71"/>
      <c r="AY392" s="71"/>
      <c r="AZ392" s="71"/>
      <c r="BA392" s="71"/>
      <c r="BB392" s="70" t="s">
        <v>218</v>
      </c>
      <c r="BC392" s="70" t="s">
        <v>98</v>
      </c>
      <c r="BD392" s="72" t="str">
        <f>IF('Cálculo MP'!K402="","",'Cálculo MP'!K402)</f>
        <v/>
      </c>
      <c r="BE392" s="72" t="str">
        <f>IF('Cálculo MP'!L402="","",'Cálculo MP'!L402)</f>
        <v/>
      </c>
      <c r="BF392" s="72" t="str">
        <f>IF('Cálculo MP'!M402="","",'Cálculo MP'!M402)</f>
        <v/>
      </c>
      <c r="BG392" s="72" t="str">
        <f>IF('Cálculo MP'!N402="","",'Cálculo MP'!N402)</f>
        <v/>
      </c>
      <c r="BH392" s="72" t="str">
        <f>IF('Cálculo MP'!O402="","",'Cálculo MP'!O402)</f>
        <v/>
      </c>
      <c r="BI392" s="72" t="str">
        <f>IF('Cálculo MP'!P402="","",'Cálculo MP'!P402)</f>
        <v/>
      </c>
      <c r="BJ392" s="72" t="str">
        <f>IF('Cálculo MP'!Q402="","",'Cálculo MP'!Q402)</f>
        <v/>
      </c>
      <c r="BK392" s="72" t="str">
        <f>IF('Cálculo MP'!R402="","",'Cálculo MP'!R402)</f>
        <v/>
      </c>
      <c r="BL392" s="72" t="str">
        <f>IF('Cálculo MP'!S402="","",'Cálculo MP'!S402)</f>
        <v/>
      </c>
      <c r="BM392" s="71"/>
      <c r="BN392" s="71"/>
      <c r="BO392" s="71"/>
      <c r="BP392" s="71"/>
      <c r="BQ392" s="71"/>
      <c r="BR392" s="71"/>
      <c r="BS392" s="71"/>
    </row>
    <row r="393" spans="1:71" ht="19.5" customHeight="1" x14ac:dyDescent="0.15">
      <c r="A393" s="56" t="s">
        <v>985</v>
      </c>
      <c r="B393" s="57" t="s">
        <v>986</v>
      </c>
      <c r="C393" s="58" t="s">
        <v>985</v>
      </c>
      <c r="D393" s="59" t="s">
        <v>985</v>
      </c>
      <c r="E393" s="61"/>
      <c r="F393" s="60" t="s">
        <v>95</v>
      </c>
      <c r="G393" s="61"/>
      <c r="H393" s="62"/>
      <c r="I393" s="75"/>
      <c r="J393" s="60" t="s">
        <v>95</v>
      </c>
      <c r="K393" s="64"/>
      <c r="L393" s="64"/>
      <c r="M393" s="64" t="s">
        <v>96</v>
      </c>
      <c r="N393" s="64" t="s">
        <v>97</v>
      </c>
      <c r="O393" s="65" t="s">
        <v>986</v>
      </c>
      <c r="P393" s="70" t="s">
        <v>96</v>
      </c>
      <c r="Q393" s="60" t="s">
        <v>95</v>
      </c>
      <c r="R393" s="60" t="s">
        <v>96</v>
      </c>
      <c r="S393" s="66" t="s">
        <v>96</v>
      </c>
      <c r="T393" s="67" t="s">
        <v>96</v>
      </c>
      <c r="U393" s="60" t="s">
        <v>96</v>
      </c>
      <c r="V393" s="60" t="s">
        <v>96</v>
      </c>
      <c r="W393" s="60" t="str" cm="1">
        <f t="array" ref="W393">_xlfn.LET(_xlpm.resultados,_xlfn.UNIQUE(_xlfn._xlws.FILTER(Tabla1[Proceso],(Tabla1[Metal Base]=Q393)*(Tabla1[Etiquetas]=_xlfn.TEXTJOIN(" + ",TRUE,IF((TRIM(Upload!R393:V393)="")+(LOWER(TRIM(Upload!R393:V393))="(seleccione)"),"",PROPER(TRIM(Upload!R393:V393)))))*(Tabla1[Línea2]=IFERROR(VLOOKUP(Upload!P393&amp;"*",CAT_Procesos!D:D,1,FALSE),"")))),_xlpm.cantidad,ROWS(_xlpm.resultados),IF(ISERROR(_xlpm.cantidad),"Combinación no existente",IF(_xlpm.cantidad=1,INDEX(_xlpm.resultados,1),"(seleccione)")))</f>
        <v>Combinación no existente</v>
      </c>
      <c r="X393" s="67" t="s">
        <v>96</v>
      </c>
      <c r="Y393" s="64"/>
      <c r="Z393" s="64"/>
      <c r="AA393" s="64"/>
      <c r="AB393" s="133" t="s">
        <v>96</v>
      </c>
      <c r="AC393" s="64"/>
      <c r="AD393" s="64"/>
      <c r="AE393" s="64"/>
      <c r="AF393" s="60" t="s">
        <v>96</v>
      </c>
      <c r="AG393" s="64"/>
      <c r="AH393" s="64"/>
      <c r="AI393" s="64"/>
      <c r="AJ393" s="68" t="s">
        <v>96</v>
      </c>
      <c r="AK393" s="69" t="str">
        <f t="shared" si="10"/>
        <v/>
      </c>
      <c r="AL393" s="70" t="s">
        <v>96</v>
      </c>
      <c r="AM393" s="69" t="str">
        <f t="shared" si="11"/>
        <v/>
      </c>
      <c r="AN393" s="71"/>
      <c r="AO393" s="71"/>
      <c r="AP393" s="71"/>
      <c r="AQ393" s="71"/>
      <c r="AR393" s="71" t="s">
        <v>96</v>
      </c>
      <c r="AS393" s="71"/>
      <c r="AT393" s="71" t="s">
        <v>96</v>
      </c>
      <c r="AU393" s="71"/>
      <c r="AV393" s="71" t="s">
        <v>95</v>
      </c>
      <c r="AW393" s="71"/>
      <c r="AX393" s="71"/>
      <c r="AY393" s="71"/>
      <c r="AZ393" s="71"/>
      <c r="BA393" s="71"/>
      <c r="BB393" s="70" t="s">
        <v>218</v>
      </c>
      <c r="BC393" s="70" t="s">
        <v>98</v>
      </c>
      <c r="BD393" s="72" t="str">
        <f>IF('Cálculo MP'!K403="","",'Cálculo MP'!K403)</f>
        <v/>
      </c>
      <c r="BE393" s="72" t="str">
        <f>IF('Cálculo MP'!L403="","",'Cálculo MP'!L403)</f>
        <v/>
      </c>
      <c r="BF393" s="72" t="str">
        <f>IF('Cálculo MP'!M403="","",'Cálculo MP'!M403)</f>
        <v/>
      </c>
      <c r="BG393" s="72" t="str">
        <f>IF('Cálculo MP'!N403="","",'Cálculo MP'!N403)</f>
        <v/>
      </c>
      <c r="BH393" s="72" t="str">
        <f>IF('Cálculo MP'!O403="","",'Cálculo MP'!O403)</f>
        <v/>
      </c>
      <c r="BI393" s="72" t="str">
        <f>IF('Cálculo MP'!P403="","",'Cálculo MP'!P403)</f>
        <v/>
      </c>
      <c r="BJ393" s="72" t="str">
        <f>IF('Cálculo MP'!Q403="","",'Cálculo MP'!Q403)</f>
        <v/>
      </c>
      <c r="BK393" s="72" t="str">
        <f>IF('Cálculo MP'!R403="","",'Cálculo MP'!R403)</f>
        <v/>
      </c>
      <c r="BL393" s="72" t="str">
        <f>IF('Cálculo MP'!S403="","",'Cálculo MP'!S403)</f>
        <v/>
      </c>
      <c r="BM393" s="71"/>
      <c r="BN393" s="71"/>
      <c r="BO393" s="71"/>
      <c r="BP393" s="71"/>
      <c r="BQ393" s="71"/>
      <c r="BR393" s="71"/>
      <c r="BS393" s="71"/>
    </row>
    <row r="394" spans="1:71" ht="19.5" customHeight="1" x14ac:dyDescent="0.15">
      <c r="A394" s="56" t="s">
        <v>985</v>
      </c>
      <c r="B394" s="57" t="s">
        <v>986</v>
      </c>
      <c r="C394" s="58" t="s">
        <v>985</v>
      </c>
      <c r="D394" s="59" t="s">
        <v>985</v>
      </c>
      <c r="E394" s="61"/>
      <c r="F394" s="60" t="s">
        <v>95</v>
      </c>
      <c r="G394" s="61"/>
      <c r="H394" s="62"/>
      <c r="I394" s="75"/>
      <c r="J394" s="60" t="s">
        <v>95</v>
      </c>
      <c r="K394" s="64"/>
      <c r="L394" s="64"/>
      <c r="M394" s="64" t="s">
        <v>96</v>
      </c>
      <c r="N394" s="64" t="s">
        <v>97</v>
      </c>
      <c r="O394" s="65" t="s">
        <v>986</v>
      </c>
      <c r="P394" s="70" t="s">
        <v>96</v>
      </c>
      <c r="Q394" s="60" t="s">
        <v>95</v>
      </c>
      <c r="R394" s="60" t="s">
        <v>96</v>
      </c>
      <c r="S394" s="66" t="s">
        <v>96</v>
      </c>
      <c r="T394" s="67" t="s">
        <v>96</v>
      </c>
      <c r="U394" s="60" t="s">
        <v>96</v>
      </c>
      <c r="V394" s="60" t="s">
        <v>96</v>
      </c>
      <c r="W394" s="60" t="str" cm="1">
        <f t="array" ref="W394">_xlfn.LET(_xlpm.resultados,_xlfn.UNIQUE(_xlfn._xlws.FILTER(Tabla1[Proceso],(Tabla1[Metal Base]=Q394)*(Tabla1[Etiquetas]=_xlfn.TEXTJOIN(" + ",TRUE,IF((TRIM(Upload!R394:V394)="")+(LOWER(TRIM(Upload!R394:V394))="(seleccione)"),"",PROPER(TRIM(Upload!R394:V394)))))*(Tabla1[Línea2]=IFERROR(VLOOKUP(Upload!P394&amp;"*",CAT_Procesos!D:D,1,FALSE),"")))),_xlpm.cantidad,ROWS(_xlpm.resultados),IF(ISERROR(_xlpm.cantidad),"Combinación no existente",IF(_xlpm.cantidad=1,INDEX(_xlpm.resultados,1),"(seleccione)")))</f>
        <v>Combinación no existente</v>
      </c>
      <c r="X394" s="67" t="s">
        <v>96</v>
      </c>
      <c r="Y394" s="64"/>
      <c r="Z394" s="64"/>
      <c r="AA394" s="64"/>
      <c r="AB394" s="133" t="s">
        <v>96</v>
      </c>
      <c r="AC394" s="64"/>
      <c r="AD394" s="64"/>
      <c r="AE394" s="64"/>
      <c r="AF394" s="60" t="s">
        <v>96</v>
      </c>
      <c r="AG394" s="64"/>
      <c r="AH394" s="64"/>
      <c r="AI394" s="64"/>
      <c r="AJ394" s="68" t="s">
        <v>96</v>
      </c>
      <c r="AK394" s="69" t="str">
        <f t="shared" ref="AK394:AK457" si="12">IFERROR(((VALUE(TRIM(LEFT(MID(AJ394,FIND("|",AJ394)+1,99),FIND("-",MID(AJ394,FIND("|",AJ394)+1,99))-1)))+VALUE(TRIM(SUBSTITUTE(SUBSTITUTE(SUBSTITUTE(SUBSTITUTE(SUBSTITUTE(MID(MID(AJ394,FIND("|",AJ394)+1,99),FIND("-",MID(AJ394,FIND("|",AJ394)+1,99))+1,20),"µm",""),"μm",""),"mils",""),"mil",""),"",""))))/2)*IF(ISNUMBER(SEARCH("mil",MID(AJ394,FIND("|",AJ394)+1,99))),25.4,1),"")</f>
        <v/>
      </c>
      <c r="AL394" s="70" t="s">
        <v>96</v>
      </c>
      <c r="AM394" s="69" t="str">
        <f t="shared" ref="AM394:AM457" si="13">IFERROR(((VALUE(TRIM(LEFT(MID(AL394,FIND("|",AL394)+1,99),FIND("-",MID(AL394,FIND("|",AL394)+1,99))-1)))+VALUE(TRIM(SUBSTITUTE(SUBSTITUTE(SUBSTITUTE(SUBSTITUTE(SUBSTITUTE(MID(MID(AL394,FIND("|",AL394)+1,99),FIND("-",MID(AL394,FIND("|",AL394)+1,99))+1,20),"µm",""),"μm",""),"mils",""),"mil",""),"",""))))/2)*IF(ISNUMBER(SEARCH("mil",MID(AL394,FIND("|",AL394)+1,99))),25.4,1),"")</f>
        <v/>
      </c>
      <c r="AN394" s="71"/>
      <c r="AO394" s="71"/>
      <c r="AP394" s="71"/>
      <c r="AQ394" s="71"/>
      <c r="AR394" s="71" t="s">
        <v>96</v>
      </c>
      <c r="AS394" s="71"/>
      <c r="AT394" s="71" t="s">
        <v>96</v>
      </c>
      <c r="AU394" s="71"/>
      <c r="AV394" s="71" t="s">
        <v>95</v>
      </c>
      <c r="AW394" s="71"/>
      <c r="AX394" s="71"/>
      <c r="AY394" s="71"/>
      <c r="AZ394" s="71"/>
      <c r="BA394" s="71"/>
      <c r="BB394" s="70" t="s">
        <v>218</v>
      </c>
      <c r="BC394" s="70" t="s">
        <v>98</v>
      </c>
      <c r="BD394" s="72" t="str">
        <f>IF('Cálculo MP'!K404="","",'Cálculo MP'!K404)</f>
        <v/>
      </c>
      <c r="BE394" s="72" t="str">
        <f>IF('Cálculo MP'!L404="","",'Cálculo MP'!L404)</f>
        <v/>
      </c>
      <c r="BF394" s="72" t="str">
        <f>IF('Cálculo MP'!M404="","",'Cálculo MP'!M404)</f>
        <v/>
      </c>
      <c r="BG394" s="72" t="str">
        <f>IF('Cálculo MP'!N404="","",'Cálculo MP'!N404)</f>
        <v/>
      </c>
      <c r="BH394" s="72" t="str">
        <f>IF('Cálculo MP'!O404="","",'Cálculo MP'!O404)</f>
        <v/>
      </c>
      <c r="BI394" s="72" t="str">
        <f>IF('Cálculo MP'!P404="","",'Cálculo MP'!P404)</f>
        <v/>
      </c>
      <c r="BJ394" s="72" t="str">
        <f>IF('Cálculo MP'!Q404="","",'Cálculo MP'!Q404)</f>
        <v/>
      </c>
      <c r="BK394" s="72" t="str">
        <f>IF('Cálculo MP'!R404="","",'Cálculo MP'!R404)</f>
        <v/>
      </c>
      <c r="BL394" s="72" t="str">
        <f>IF('Cálculo MP'!S404="","",'Cálculo MP'!S404)</f>
        <v/>
      </c>
      <c r="BM394" s="71"/>
      <c r="BN394" s="71"/>
      <c r="BO394" s="71"/>
      <c r="BP394" s="71"/>
      <c r="BQ394" s="71"/>
      <c r="BR394" s="71"/>
      <c r="BS394" s="71"/>
    </row>
    <row r="395" spans="1:71" ht="19.5" customHeight="1" x14ac:dyDescent="0.15">
      <c r="A395" s="56" t="s">
        <v>985</v>
      </c>
      <c r="B395" s="57" t="s">
        <v>986</v>
      </c>
      <c r="C395" s="58" t="s">
        <v>985</v>
      </c>
      <c r="D395" s="59" t="s">
        <v>985</v>
      </c>
      <c r="E395" s="61"/>
      <c r="F395" s="60" t="s">
        <v>95</v>
      </c>
      <c r="G395" s="61"/>
      <c r="H395" s="62"/>
      <c r="I395" s="75"/>
      <c r="J395" s="60" t="s">
        <v>95</v>
      </c>
      <c r="K395" s="64"/>
      <c r="L395" s="64"/>
      <c r="M395" s="64" t="s">
        <v>96</v>
      </c>
      <c r="N395" s="64" t="s">
        <v>97</v>
      </c>
      <c r="O395" s="65" t="s">
        <v>986</v>
      </c>
      <c r="P395" s="70" t="s">
        <v>96</v>
      </c>
      <c r="Q395" s="60" t="s">
        <v>95</v>
      </c>
      <c r="R395" s="60" t="s">
        <v>96</v>
      </c>
      <c r="S395" s="66" t="s">
        <v>96</v>
      </c>
      <c r="T395" s="67" t="s">
        <v>96</v>
      </c>
      <c r="U395" s="60" t="s">
        <v>96</v>
      </c>
      <c r="V395" s="60" t="s">
        <v>96</v>
      </c>
      <c r="W395" s="60" t="str" cm="1">
        <f t="array" ref="W395">_xlfn.LET(_xlpm.resultados,_xlfn.UNIQUE(_xlfn._xlws.FILTER(Tabla1[Proceso],(Tabla1[Metal Base]=Q395)*(Tabla1[Etiquetas]=_xlfn.TEXTJOIN(" + ",TRUE,IF((TRIM(Upload!R395:V395)="")+(LOWER(TRIM(Upload!R395:V395))="(seleccione)"),"",PROPER(TRIM(Upload!R395:V395)))))*(Tabla1[Línea2]=IFERROR(VLOOKUP(Upload!P395&amp;"*",CAT_Procesos!D:D,1,FALSE),"")))),_xlpm.cantidad,ROWS(_xlpm.resultados),IF(ISERROR(_xlpm.cantidad),"Combinación no existente",IF(_xlpm.cantidad=1,INDEX(_xlpm.resultados,1),"(seleccione)")))</f>
        <v>Combinación no existente</v>
      </c>
      <c r="X395" s="67" t="s">
        <v>96</v>
      </c>
      <c r="Y395" s="64"/>
      <c r="Z395" s="64"/>
      <c r="AA395" s="64"/>
      <c r="AB395" s="133" t="s">
        <v>96</v>
      </c>
      <c r="AC395" s="64"/>
      <c r="AD395" s="64"/>
      <c r="AE395" s="64"/>
      <c r="AF395" s="60" t="s">
        <v>96</v>
      </c>
      <c r="AG395" s="64"/>
      <c r="AH395" s="64"/>
      <c r="AI395" s="64"/>
      <c r="AJ395" s="68" t="s">
        <v>96</v>
      </c>
      <c r="AK395" s="69" t="str">
        <f t="shared" si="12"/>
        <v/>
      </c>
      <c r="AL395" s="70" t="s">
        <v>96</v>
      </c>
      <c r="AM395" s="69" t="str">
        <f t="shared" si="13"/>
        <v/>
      </c>
      <c r="AN395" s="71"/>
      <c r="AO395" s="71"/>
      <c r="AP395" s="71"/>
      <c r="AQ395" s="71"/>
      <c r="AR395" s="71" t="s">
        <v>96</v>
      </c>
      <c r="AS395" s="71"/>
      <c r="AT395" s="71" t="s">
        <v>96</v>
      </c>
      <c r="AU395" s="71"/>
      <c r="AV395" s="71" t="s">
        <v>95</v>
      </c>
      <c r="AW395" s="71"/>
      <c r="AX395" s="71"/>
      <c r="AY395" s="71"/>
      <c r="AZ395" s="71"/>
      <c r="BA395" s="71"/>
      <c r="BB395" s="70" t="s">
        <v>218</v>
      </c>
      <c r="BC395" s="70" t="s">
        <v>98</v>
      </c>
      <c r="BD395" s="72" t="str">
        <f>IF('Cálculo MP'!K405="","",'Cálculo MP'!K405)</f>
        <v/>
      </c>
      <c r="BE395" s="72" t="str">
        <f>IF('Cálculo MP'!L405="","",'Cálculo MP'!L405)</f>
        <v/>
      </c>
      <c r="BF395" s="72" t="str">
        <f>IF('Cálculo MP'!M405="","",'Cálculo MP'!M405)</f>
        <v/>
      </c>
      <c r="BG395" s="72" t="str">
        <f>IF('Cálculo MP'!N405="","",'Cálculo MP'!N405)</f>
        <v/>
      </c>
      <c r="BH395" s="72" t="str">
        <f>IF('Cálculo MP'!O405="","",'Cálculo MP'!O405)</f>
        <v/>
      </c>
      <c r="BI395" s="72" t="str">
        <f>IF('Cálculo MP'!P405="","",'Cálculo MP'!P405)</f>
        <v/>
      </c>
      <c r="BJ395" s="72" t="str">
        <f>IF('Cálculo MP'!Q405="","",'Cálculo MP'!Q405)</f>
        <v/>
      </c>
      <c r="BK395" s="72" t="str">
        <f>IF('Cálculo MP'!R405="","",'Cálculo MP'!R405)</f>
        <v/>
      </c>
      <c r="BL395" s="72" t="str">
        <f>IF('Cálculo MP'!S405="","",'Cálculo MP'!S405)</f>
        <v/>
      </c>
      <c r="BM395" s="71"/>
      <c r="BN395" s="71"/>
      <c r="BO395" s="71"/>
      <c r="BP395" s="71"/>
      <c r="BQ395" s="71"/>
      <c r="BR395" s="71"/>
      <c r="BS395" s="71"/>
    </row>
    <row r="396" spans="1:71" ht="19.5" customHeight="1" x14ac:dyDescent="0.15">
      <c r="A396" s="56" t="s">
        <v>985</v>
      </c>
      <c r="B396" s="57" t="s">
        <v>986</v>
      </c>
      <c r="C396" s="58" t="s">
        <v>985</v>
      </c>
      <c r="D396" s="59" t="s">
        <v>985</v>
      </c>
      <c r="E396" s="61"/>
      <c r="F396" s="60" t="s">
        <v>95</v>
      </c>
      <c r="G396" s="61"/>
      <c r="H396" s="62"/>
      <c r="I396" s="75"/>
      <c r="J396" s="60" t="s">
        <v>95</v>
      </c>
      <c r="K396" s="64"/>
      <c r="L396" s="64"/>
      <c r="M396" s="64" t="s">
        <v>96</v>
      </c>
      <c r="N396" s="64" t="s">
        <v>97</v>
      </c>
      <c r="O396" s="65" t="s">
        <v>986</v>
      </c>
      <c r="P396" s="70" t="s">
        <v>96</v>
      </c>
      <c r="Q396" s="60" t="s">
        <v>95</v>
      </c>
      <c r="R396" s="60" t="s">
        <v>96</v>
      </c>
      <c r="S396" s="66" t="s">
        <v>96</v>
      </c>
      <c r="T396" s="67" t="s">
        <v>96</v>
      </c>
      <c r="U396" s="60" t="s">
        <v>96</v>
      </c>
      <c r="V396" s="60" t="s">
        <v>96</v>
      </c>
      <c r="W396" s="60" t="str" cm="1">
        <f t="array" ref="W396">_xlfn.LET(_xlpm.resultados,_xlfn.UNIQUE(_xlfn._xlws.FILTER(Tabla1[Proceso],(Tabla1[Metal Base]=Q396)*(Tabla1[Etiquetas]=_xlfn.TEXTJOIN(" + ",TRUE,IF((TRIM(Upload!R396:V396)="")+(LOWER(TRIM(Upload!R396:V396))="(seleccione)"),"",PROPER(TRIM(Upload!R396:V396)))))*(Tabla1[Línea2]=IFERROR(VLOOKUP(Upload!P396&amp;"*",CAT_Procesos!D:D,1,FALSE),"")))),_xlpm.cantidad,ROWS(_xlpm.resultados),IF(ISERROR(_xlpm.cantidad),"Combinación no existente",IF(_xlpm.cantidad=1,INDEX(_xlpm.resultados,1),"(seleccione)")))</f>
        <v>Combinación no existente</v>
      </c>
      <c r="X396" s="67" t="s">
        <v>96</v>
      </c>
      <c r="Y396" s="64"/>
      <c r="Z396" s="64"/>
      <c r="AA396" s="64"/>
      <c r="AB396" s="133" t="s">
        <v>96</v>
      </c>
      <c r="AC396" s="64"/>
      <c r="AD396" s="64"/>
      <c r="AE396" s="64"/>
      <c r="AF396" s="60" t="s">
        <v>96</v>
      </c>
      <c r="AG396" s="64"/>
      <c r="AH396" s="64"/>
      <c r="AI396" s="64"/>
      <c r="AJ396" s="68" t="s">
        <v>96</v>
      </c>
      <c r="AK396" s="69" t="str">
        <f t="shared" si="12"/>
        <v/>
      </c>
      <c r="AL396" s="70" t="s">
        <v>96</v>
      </c>
      <c r="AM396" s="69" t="str">
        <f t="shared" si="13"/>
        <v/>
      </c>
      <c r="AN396" s="71"/>
      <c r="AO396" s="71"/>
      <c r="AP396" s="71"/>
      <c r="AQ396" s="71"/>
      <c r="AR396" s="71" t="s">
        <v>96</v>
      </c>
      <c r="AS396" s="71"/>
      <c r="AT396" s="71" t="s">
        <v>96</v>
      </c>
      <c r="AU396" s="71"/>
      <c r="AV396" s="71" t="s">
        <v>95</v>
      </c>
      <c r="AW396" s="71"/>
      <c r="AX396" s="71"/>
      <c r="AY396" s="71"/>
      <c r="AZ396" s="71"/>
      <c r="BA396" s="71"/>
      <c r="BB396" s="70" t="s">
        <v>218</v>
      </c>
      <c r="BC396" s="70" t="s">
        <v>98</v>
      </c>
      <c r="BD396" s="72" t="str">
        <f>IF('Cálculo MP'!K406="","",'Cálculo MP'!K406)</f>
        <v/>
      </c>
      <c r="BE396" s="72" t="str">
        <f>IF('Cálculo MP'!L406="","",'Cálculo MP'!L406)</f>
        <v/>
      </c>
      <c r="BF396" s="72" t="str">
        <f>IF('Cálculo MP'!M406="","",'Cálculo MP'!M406)</f>
        <v/>
      </c>
      <c r="BG396" s="72" t="str">
        <f>IF('Cálculo MP'!N406="","",'Cálculo MP'!N406)</f>
        <v/>
      </c>
      <c r="BH396" s="72" t="str">
        <f>IF('Cálculo MP'!O406="","",'Cálculo MP'!O406)</f>
        <v/>
      </c>
      <c r="BI396" s="72" t="str">
        <f>IF('Cálculo MP'!P406="","",'Cálculo MP'!P406)</f>
        <v/>
      </c>
      <c r="BJ396" s="72" t="str">
        <f>IF('Cálculo MP'!Q406="","",'Cálculo MP'!Q406)</f>
        <v/>
      </c>
      <c r="BK396" s="72" t="str">
        <f>IF('Cálculo MP'!R406="","",'Cálculo MP'!R406)</f>
        <v/>
      </c>
      <c r="BL396" s="72" t="str">
        <f>IF('Cálculo MP'!S406="","",'Cálculo MP'!S406)</f>
        <v/>
      </c>
      <c r="BM396" s="71"/>
      <c r="BN396" s="71"/>
      <c r="BO396" s="71"/>
      <c r="BP396" s="71"/>
      <c r="BQ396" s="71"/>
      <c r="BR396" s="71"/>
      <c r="BS396" s="71"/>
    </row>
    <row r="397" spans="1:71" ht="19.5" customHeight="1" x14ac:dyDescent="0.15">
      <c r="A397" s="56" t="s">
        <v>985</v>
      </c>
      <c r="B397" s="57" t="s">
        <v>986</v>
      </c>
      <c r="C397" s="58" t="s">
        <v>985</v>
      </c>
      <c r="D397" s="59" t="s">
        <v>985</v>
      </c>
      <c r="E397" s="61"/>
      <c r="F397" s="60" t="s">
        <v>95</v>
      </c>
      <c r="G397" s="61"/>
      <c r="H397" s="62"/>
      <c r="I397" s="75"/>
      <c r="J397" s="60" t="s">
        <v>95</v>
      </c>
      <c r="K397" s="64"/>
      <c r="L397" s="64"/>
      <c r="M397" s="64" t="s">
        <v>96</v>
      </c>
      <c r="N397" s="64" t="s">
        <v>97</v>
      </c>
      <c r="O397" s="65" t="s">
        <v>986</v>
      </c>
      <c r="P397" s="70" t="s">
        <v>96</v>
      </c>
      <c r="Q397" s="60" t="s">
        <v>95</v>
      </c>
      <c r="R397" s="60" t="s">
        <v>96</v>
      </c>
      <c r="S397" s="66" t="s">
        <v>96</v>
      </c>
      <c r="T397" s="67" t="s">
        <v>96</v>
      </c>
      <c r="U397" s="60" t="s">
        <v>96</v>
      </c>
      <c r="V397" s="60" t="s">
        <v>96</v>
      </c>
      <c r="W397" s="60" t="str" cm="1">
        <f t="array" ref="W397">_xlfn.LET(_xlpm.resultados,_xlfn.UNIQUE(_xlfn._xlws.FILTER(Tabla1[Proceso],(Tabla1[Metal Base]=Q397)*(Tabla1[Etiquetas]=_xlfn.TEXTJOIN(" + ",TRUE,IF((TRIM(Upload!R397:V397)="")+(LOWER(TRIM(Upload!R397:V397))="(seleccione)"),"",PROPER(TRIM(Upload!R397:V397)))))*(Tabla1[Línea2]=IFERROR(VLOOKUP(Upload!P397&amp;"*",CAT_Procesos!D:D,1,FALSE),"")))),_xlpm.cantidad,ROWS(_xlpm.resultados),IF(ISERROR(_xlpm.cantidad),"Combinación no existente",IF(_xlpm.cantidad=1,INDEX(_xlpm.resultados,1),"(seleccione)")))</f>
        <v>Combinación no existente</v>
      </c>
      <c r="X397" s="67" t="s">
        <v>96</v>
      </c>
      <c r="Y397" s="64"/>
      <c r="Z397" s="64"/>
      <c r="AA397" s="64"/>
      <c r="AB397" s="133" t="s">
        <v>96</v>
      </c>
      <c r="AC397" s="64"/>
      <c r="AD397" s="64"/>
      <c r="AE397" s="64"/>
      <c r="AF397" s="60" t="s">
        <v>96</v>
      </c>
      <c r="AG397" s="64"/>
      <c r="AH397" s="64"/>
      <c r="AI397" s="64"/>
      <c r="AJ397" s="68" t="s">
        <v>96</v>
      </c>
      <c r="AK397" s="69" t="str">
        <f t="shared" si="12"/>
        <v/>
      </c>
      <c r="AL397" s="70" t="s">
        <v>96</v>
      </c>
      <c r="AM397" s="69" t="str">
        <f t="shared" si="13"/>
        <v/>
      </c>
      <c r="AN397" s="71"/>
      <c r="AO397" s="71"/>
      <c r="AP397" s="71"/>
      <c r="AQ397" s="71"/>
      <c r="AR397" s="71" t="s">
        <v>96</v>
      </c>
      <c r="AS397" s="71"/>
      <c r="AT397" s="71" t="s">
        <v>96</v>
      </c>
      <c r="AU397" s="71"/>
      <c r="AV397" s="71" t="s">
        <v>95</v>
      </c>
      <c r="AW397" s="71"/>
      <c r="AX397" s="71"/>
      <c r="AY397" s="71"/>
      <c r="AZ397" s="71"/>
      <c r="BA397" s="71"/>
      <c r="BB397" s="70" t="s">
        <v>218</v>
      </c>
      <c r="BC397" s="70" t="s">
        <v>98</v>
      </c>
      <c r="BD397" s="72" t="str">
        <f>IF('Cálculo MP'!K407="","",'Cálculo MP'!K407)</f>
        <v/>
      </c>
      <c r="BE397" s="72" t="str">
        <f>IF('Cálculo MP'!L407="","",'Cálculo MP'!L407)</f>
        <v/>
      </c>
      <c r="BF397" s="72" t="str">
        <f>IF('Cálculo MP'!M407="","",'Cálculo MP'!M407)</f>
        <v/>
      </c>
      <c r="BG397" s="72" t="str">
        <f>IF('Cálculo MP'!N407="","",'Cálculo MP'!N407)</f>
        <v/>
      </c>
      <c r="BH397" s="72" t="str">
        <f>IF('Cálculo MP'!O407="","",'Cálculo MP'!O407)</f>
        <v/>
      </c>
      <c r="BI397" s="72" t="str">
        <f>IF('Cálculo MP'!P407="","",'Cálculo MP'!P407)</f>
        <v/>
      </c>
      <c r="BJ397" s="72" t="str">
        <f>IF('Cálculo MP'!Q407="","",'Cálculo MP'!Q407)</f>
        <v/>
      </c>
      <c r="BK397" s="72" t="str">
        <f>IF('Cálculo MP'!R407="","",'Cálculo MP'!R407)</f>
        <v/>
      </c>
      <c r="BL397" s="72" t="str">
        <f>IF('Cálculo MP'!S407="","",'Cálculo MP'!S407)</f>
        <v/>
      </c>
      <c r="BM397" s="71"/>
      <c r="BN397" s="71"/>
      <c r="BO397" s="71"/>
      <c r="BP397" s="71"/>
      <c r="BQ397" s="71"/>
      <c r="BR397" s="71"/>
      <c r="BS397" s="71"/>
    </row>
    <row r="398" spans="1:71" ht="19.5" customHeight="1" x14ac:dyDescent="0.15">
      <c r="A398" s="56" t="s">
        <v>985</v>
      </c>
      <c r="B398" s="57" t="s">
        <v>986</v>
      </c>
      <c r="C398" s="58" t="s">
        <v>985</v>
      </c>
      <c r="D398" s="59" t="s">
        <v>985</v>
      </c>
      <c r="E398" s="61"/>
      <c r="F398" s="60" t="s">
        <v>95</v>
      </c>
      <c r="G398" s="61"/>
      <c r="H398" s="62"/>
      <c r="I398" s="75"/>
      <c r="J398" s="60" t="s">
        <v>95</v>
      </c>
      <c r="K398" s="64"/>
      <c r="L398" s="64"/>
      <c r="M398" s="64" t="s">
        <v>96</v>
      </c>
      <c r="N398" s="64" t="s">
        <v>97</v>
      </c>
      <c r="O398" s="65" t="s">
        <v>986</v>
      </c>
      <c r="P398" s="70" t="s">
        <v>96</v>
      </c>
      <c r="Q398" s="60" t="s">
        <v>95</v>
      </c>
      <c r="R398" s="60" t="s">
        <v>96</v>
      </c>
      <c r="S398" s="66" t="s">
        <v>96</v>
      </c>
      <c r="T398" s="67" t="s">
        <v>96</v>
      </c>
      <c r="U398" s="60" t="s">
        <v>96</v>
      </c>
      <c r="V398" s="60" t="s">
        <v>96</v>
      </c>
      <c r="W398" s="60" t="str" cm="1">
        <f t="array" ref="W398">_xlfn.LET(_xlpm.resultados,_xlfn.UNIQUE(_xlfn._xlws.FILTER(Tabla1[Proceso],(Tabla1[Metal Base]=Q398)*(Tabla1[Etiquetas]=_xlfn.TEXTJOIN(" + ",TRUE,IF((TRIM(Upload!R398:V398)="")+(LOWER(TRIM(Upload!R398:V398))="(seleccione)"),"",PROPER(TRIM(Upload!R398:V398)))))*(Tabla1[Línea2]=IFERROR(VLOOKUP(Upload!P398&amp;"*",CAT_Procesos!D:D,1,FALSE),"")))),_xlpm.cantidad,ROWS(_xlpm.resultados),IF(ISERROR(_xlpm.cantidad),"Combinación no existente",IF(_xlpm.cantidad=1,INDEX(_xlpm.resultados,1),"(seleccione)")))</f>
        <v>Combinación no existente</v>
      </c>
      <c r="X398" s="67" t="s">
        <v>96</v>
      </c>
      <c r="Y398" s="64"/>
      <c r="Z398" s="64"/>
      <c r="AA398" s="64"/>
      <c r="AB398" s="133" t="s">
        <v>96</v>
      </c>
      <c r="AC398" s="64"/>
      <c r="AD398" s="64"/>
      <c r="AE398" s="64"/>
      <c r="AF398" s="60" t="s">
        <v>96</v>
      </c>
      <c r="AG398" s="64"/>
      <c r="AH398" s="64"/>
      <c r="AI398" s="64"/>
      <c r="AJ398" s="68" t="s">
        <v>96</v>
      </c>
      <c r="AK398" s="69" t="str">
        <f t="shared" si="12"/>
        <v/>
      </c>
      <c r="AL398" s="70" t="s">
        <v>96</v>
      </c>
      <c r="AM398" s="69" t="str">
        <f t="shared" si="13"/>
        <v/>
      </c>
      <c r="AN398" s="71"/>
      <c r="AO398" s="71"/>
      <c r="AP398" s="71"/>
      <c r="AQ398" s="71"/>
      <c r="AR398" s="71" t="s">
        <v>96</v>
      </c>
      <c r="AS398" s="71"/>
      <c r="AT398" s="71" t="s">
        <v>96</v>
      </c>
      <c r="AU398" s="71"/>
      <c r="AV398" s="71" t="s">
        <v>95</v>
      </c>
      <c r="AW398" s="71"/>
      <c r="AX398" s="71"/>
      <c r="AY398" s="71"/>
      <c r="AZ398" s="71"/>
      <c r="BA398" s="71"/>
      <c r="BB398" s="70" t="s">
        <v>218</v>
      </c>
      <c r="BC398" s="70" t="s">
        <v>98</v>
      </c>
      <c r="BD398" s="72" t="str">
        <f>IF('Cálculo MP'!K408="","",'Cálculo MP'!K408)</f>
        <v/>
      </c>
      <c r="BE398" s="72" t="str">
        <f>IF('Cálculo MP'!L408="","",'Cálculo MP'!L408)</f>
        <v/>
      </c>
      <c r="BF398" s="72" t="str">
        <f>IF('Cálculo MP'!M408="","",'Cálculo MP'!M408)</f>
        <v/>
      </c>
      <c r="BG398" s="72" t="str">
        <f>IF('Cálculo MP'!N408="","",'Cálculo MP'!N408)</f>
        <v/>
      </c>
      <c r="BH398" s="72" t="str">
        <f>IF('Cálculo MP'!O408="","",'Cálculo MP'!O408)</f>
        <v/>
      </c>
      <c r="BI398" s="72" t="str">
        <f>IF('Cálculo MP'!P408="","",'Cálculo MP'!P408)</f>
        <v/>
      </c>
      <c r="BJ398" s="72" t="str">
        <f>IF('Cálculo MP'!Q408="","",'Cálculo MP'!Q408)</f>
        <v/>
      </c>
      <c r="BK398" s="72" t="str">
        <f>IF('Cálculo MP'!R408="","",'Cálculo MP'!R408)</f>
        <v/>
      </c>
      <c r="BL398" s="72" t="str">
        <f>IF('Cálculo MP'!S408="","",'Cálculo MP'!S408)</f>
        <v/>
      </c>
      <c r="BM398" s="71"/>
      <c r="BN398" s="71"/>
      <c r="BO398" s="71"/>
      <c r="BP398" s="71"/>
      <c r="BQ398" s="71"/>
      <c r="BR398" s="71"/>
      <c r="BS398" s="71"/>
    </row>
    <row r="399" spans="1:71" ht="19.5" customHeight="1" x14ac:dyDescent="0.15">
      <c r="A399" s="56" t="s">
        <v>985</v>
      </c>
      <c r="B399" s="57" t="s">
        <v>986</v>
      </c>
      <c r="C399" s="58" t="s">
        <v>985</v>
      </c>
      <c r="D399" s="59" t="s">
        <v>985</v>
      </c>
      <c r="E399" s="61"/>
      <c r="F399" s="60" t="s">
        <v>95</v>
      </c>
      <c r="G399" s="61"/>
      <c r="H399" s="62"/>
      <c r="I399" s="75"/>
      <c r="J399" s="60" t="s">
        <v>95</v>
      </c>
      <c r="K399" s="64"/>
      <c r="L399" s="64"/>
      <c r="M399" s="64" t="s">
        <v>96</v>
      </c>
      <c r="N399" s="64" t="s">
        <v>97</v>
      </c>
      <c r="O399" s="65" t="s">
        <v>986</v>
      </c>
      <c r="P399" s="70" t="s">
        <v>96</v>
      </c>
      <c r="Q399" s="60" t="s">
        <v>95</v>
      </c>
      <c r="R399" s="60" t="s">
        <v>96</v>
      </c>
      <c r="S399" s="66" t="s">
        <v>96</v>
      </c>
      <c r="T399" s="67" t="s">
        <v>96</v>
      </c>
      <c r="U399" s="60" t="s">
        <v>96</v>
      </c>
      <c r="V399" s="60" t="s">
        <v>96</v>
      </c>
      <c r="W399" s="60" t="str" cm="1">
        <f t="array" ref="W399">_xlfn.LET(_xlpm.resultados,_xlfn.UNIQUE(_xlfn._xlws.FILTER(Tabla1[Proceso],(Tabla1[Metal Base]=Q399)*(Tabla1[Etiquetas]=_xlfn.TEXTJOIN(" + ",TRUE,IF((TRIM(Upload!R399:V399)="")+(LOWER(TRIM(Upload!R399:V399))="(seleccione)"),"",PROPER(TRIM(Upload!R399:V399)))))*(Tabla1[Línea2]=IFERROR(VLOOKUP(Upload!P399&amp;"*",CAT_Procesos!D:D,1,FALSE),"")))),_xlpm.cantidad,ROWS(_xlpm.resultados),IF(ISERROR(_xlpm.cantidad),"Combinación no existente",IF(_xlpm.cantidad=1,INDEX(_xlpm.resultados,1),"(seleccione)")))</f>
        <v>Combinación no existente</v>
      </c>
      <c r="X399" s="67" t="s">
        <v>96</v>
      </c>
      <c r="Y399" s="64"/>
      <c r="Z399" s="64"/>
      <c r="AA399" s="64"/>
      <c r="AB399" s="133" t="s">
        <v>96</v>
      </c>
      <c r="AC399" s="64"/>
      <c r="AD399" s="64"/>
      <c r="AE399" s="64"/>
      <c r="AF399" s="60" t="s">
        <v>96</v>
      </c>
      <c r="AG399" s="64"/>
      <c r="AH399" s="64"/>
      <c r="AI399" s="64"/>
      <c r="AJ399" s="68" t="s">
        <v>96</v>
      </c>
      <c r="AK399" s="69" t="str">
        <f t="shared" si="12"/>
        <v/>
      </c>
      <c r="AL399" s="70" t="s">
        <v>96</v>
      </c>
      <c r="AM399" s="69" t="str">
        <f t="shared" si="13"/>
        <v/>
      </c>
      <c r="AN399" s="71"/>
      <c r="AO399" s="71"/>
      <c r="AP399" s="71"/>
      <c r="AQ399" s="71"/>
      <c r="AR399" s="71" t="s">
        <v>96</v>
      </c>
      <c r="AS399" s="71"/>
      <c r="AT399" s="71" t="s">
        <v>96</v>
      </c>
      <c r="AU399" s="71"/>
      <c r="AV399" s="71" t="s">
        <v>95</v>
      </c>
      <c r="AW399" s="71"/>
      <c r="AX399" s="71"/>
      <c r="AY399" s="71"/>
      <c r="AZ399" s="71"/>
      <c r="BA399" s="71"/>
      <c r="BB399" s="70" t="s">
        <v>218</v>
      </c>
      <c r="BC399" s="70" t="s">
        <v>98</v>
      </c>
      <c r="BD399" s="72" t="str">
        <f>IF('Cálculo MP'!K409="","",'Cálculo MP'!K409)</f>
        <v/>
      </c>
      <c r="BE399" s="72" t="str">
        <f>IF('Cálculo MP'!L409="","",'Cálculo MP'!L409)</f>
        <v/>
      </c>
      <c r="BF399" s="72" t="str">
        <f>IF('Cálculo MP'!M409="","",'Cálculo MP'!M409)</f>
        <v/>
      </c>
      <c r="BG399" s="72" t="str">
        <f>IF('Cálculo MP'!N409="","",'Cálculo MP'!N409)</f>
        <v/>
      </c>
      <c r="BH399" s="72" t="str">
        <f>IF('Cálculo MP'!O409="","",'Cálculo MP'!O409)</f>
        <v/>
      </c>
      <c r="BI399" s="72" t="str">
        <f>IF('Cálculo MP'!P409="","",'Cálculo MP'!P409)</f>
        <v/>
      </c>
      <c r="BJ399" s="72" t="str">
        <f>IF('Cálculo MP'!Q409="","",'Cálculo MP'!Q409)</f>
        <v/>
      </c>
      <c r="BK399" s="72" t="str">
        <f>IF('Cálculo MP'!R409="","",'Cálculo MP'!R409)</f>
        <v/>
      </c>
      <c r="BL399" s="72" t="str">
        <f>IF('Cálculo MP'!S409="","",'Cálculo MP'!S409)</f>
        <v/>
      </c>
      <c r="BM399" s="71"/>
      <c r="BN399" s="71"/>
      <c r="BO399" s="71"/>
      <c r="BP399" s="71"/>
      <c r="BQ399" s="71"/>
      <c r="BR399" s="71"/>
      <c r="BS399" s="71"/>
    </row>
    <row r="400" spans="1:71" ht="19.5" customHeight="1" x14ac:dyDescent="0.15">
      <c r="A400" s="56" t="s">
        <v>985</v>
      </c>
      <c r="B400" s="57" t="s">
        <v>986</v>
      </c>
      <c r="C400" s="58" t="s">
        <v>985</v>
      </c>
      <c r="D400" s="59" t="s">
        <v>985</v>
      </c>
      <c r="E400" s="61"/>
      <c r="F400" s="60" t="s">
        <v>95</v>
      </c>
      <c r="G400" s="61"/>
      <c r="H400" s="62"/>
      <c r="I400" s="75"/>
      <c r="J400" s="60" t="s">
        <v>95</v>
      </c>
      <c r="K400" s="64"/>
      <c r="L400" s="64"/>
      <c r="M400" s="64" t="s">
        <v>96</v>
      </c>
      <c r="N400" s="64" t="s">
        <v>97</v>
      </c>
      <c r="O400" s="65" t="s">
        <v>986</v>
      </c>
      <c r="P400" s="70" t="s">
        <v>96</v>
      </c>
      <c r="Q400" s="60" t="s">
        <v>95</v>
      </c>
      <c r="R400" s="60" t="s">
        <v>96</v>
      </c>
      <c r="S400" s="66" t="s">
        <v>96</v>
      </c>
      <c r="T400" s="67" t="s">
        <v>96</v>
      </c>
      <c r="U400" s="60" t="s">
        <v>96</v>
      </c>
      <c r="V400" s="60" t="s">
        <v>96</v>
      </c>
      <c r="W400" s="60" t="str" cm="1">
        <f t="array" ref="W400">_xlfn.LET(_xlpm.resultados,_xlfn.UNIQUE(_xlfn._xlws.FILTER(Tabla1[Proceso],(Tabla1[Metal Base]=Q400)*(Tabla1[Etiquetas]=_xlfn.TEXTJOIN(" + ",TRUE,IF((TRIM(Upload!R400:V400)="")+(LOWER(TRIM(Upload!R400:V400))="(seleccione)"),"",PROPER(TRIM(Upload!R400:V400)))))*(Tabla1[Línea2]=IFERROR(VLOOKUP(Upload!P400&amp;"*",CAT_Procesos!D:D,1,FALSE),"")))),_xlpm.cantidad,ROWS(_xlpm.resultados),IF(ISERROR(_xlpm.cantidad),"Combinación no existente",IF(_xlpm.cantidad=1,INDEX(_xlpm.resultados,1),"(seleccione)")))</f>
        <v>Combinación no existente</v>
      </c>
      <c r="X400" s="67" t="s">
        <v>96</v>
      </c>
      <c r="Y400" s="64"/>
      <c r="Z400" s="64"/>
      <c r="AA400" s="64"/>
      <c r="AB400" s="133" t="s">
        <v>96</v>
      </c>
      <c r="AC400" s="64"/>
      <c r="AD400" s="64"/>
      <c r="AE400" s="64"/>
      <c r="AF400" s="60" t="s">
        <v>96</v>
      </c>
      <c r="AG400" s="64"/>
      <c r="AH400" s="64"/>
      <c r="AI400" s="64"/>
      <c r="AJ400" s="68" t="s">
        <v>96</v>
      </c>
      <c r="AK400" s="69" t="str">
        <f t="shared" si="12"/>
        <v/>
      </c>
      <c r="AL400" s="70" t="s">
        <v>96</v>
      </c>
      <c r="AM400" s="69" t="str">
        <f t="shared" si="13"/>
        <v/>
      </c>
      <c r="AN400" s="71"/>
      <c r="AO400" s="71"/>
      <c r="AP400" s="71"/>
      <c r="AQ400" s="71"/>
      <c r="AR400" s="71" t="s">
        <v>96</v>
      </c>
      <c r="AS400" s="71"/>
      <c r="AT400" s="71" t="s">
        <v>96</v>
      </c>
      <c r="AU400" s="71"/>
      <c r="AV400" s="71" t="s">
        <v>95</v>
      </c>
      <c r="AW400" s="71"/>
      <c r="AX400" s="71"/>
      <c r="AY400" s="71"/>
      <c r="AZ400" s="71"/>
      <c r="BA400" s="71"/>
      <c r="BB400" s="70" t="s">
        <v>218</v>
      </c>
      <c r="BC400" s="70" t="s">
        <v>98</v>
      </c>
      <c r="BD400" s="72" t="str">
        <f>IF('Cálculo MP'!K410="","",'Cálculo MP'!K410)</f>
        <v/>
      </c>
      <c r="BE400" s="72" t="str">
        <f>IF('Cálculo MP'!L410="","",'Cálculo MP'!L410)</f>
        <v/>
      </c>
      <c r="BF400" s="72" t="str">
        <f>IF('Cálculo MP'!M410="","",'Cálculo MP'!M410)</f>
        <v/>
      </c>
      <c r="BG400" s="72" t="str">
        <f>IF('Cálculo MP'!N410="","",'Cálculo MP'!N410)</f>
        <v/>
      </c>
      <c r="BH400" s="72" t="str">
        <f>IF('Cálculo MP'!O410="","",'Cálculo MP'!O410)</f>
        <v/>
      </c>
      <c r="BI400" s="72" t="str">
        <f>IF('Cálculo MP'!P410="","",'Cálculo MP'!P410)</f>
        <v/>
      </c>
      <c r="BJ400" s="72" t="str">
        <f>IF('Cálculo MP'!Q410="","",'Cálculo MP'!Q410)</f>
        <v/>
      </c>
      <c r="BK400" s="72" t="str">
        <f>IF('Cálculo MP'!R410="","",'Cálculo MP'!R410)</f>
        <v/>
      </c>
      <c r="BL400" s="72" t="str">
        <f>IF('Cálculo MP'!S410="","",'Cálculo MP'!S410)</f>
        <v/>
      </c>
      <c r="BM400" s="71"/>
      <c r="BN400" s="71"/>
      <c r="BO400" s="71"/>
      <c r="BP400" s="71"/>
      <c r="BQ400" s="71"/>
      <c r="BR400" s="71"/>
      <c r="BS400" s="71"/>
    </row>
    <row r="401" spans="1:71" ht="19.5" customHeight="1" x14ac:dyDescent="0.15">
      <c r="A401" s="56" t="s">
        <v>985</v>
      </c>
      <c r="B401" s="57" t="s">
        <v>986</v>
      </c>
      <c r="C401" s="58" t="s">
        <v>985</v>
      </c>
      <c r="D401" s="59" t="s">
        <v>985</v>
      </c>
      <c r="E401" s="61"/>
      <c r="F401" s="60" t="s">
        <v>95</v>
      </c>
      <c r="G401" s="61"/>
      <c r="H401" s="62"/>
      <c r="I401" s="75"/>
      <c r="J401" s="60" t="s">
        <v>95</v>
      </c>
      <c r="K401" s="64"/>
      <c r="L401" s="64"/>
      <c r="M401" s="64" t="s">
        <v>96</v>
      </c>
      <c r="N401" s="64" t="s">
        <v>97</v>
      </c>
      <c r="O401" s="65" t="s">
        <v>986</v>
      </c>
      <c r="P401" s="70" t="s">
        <v>96</v>
      </c>
      <c r="Q401" s="60" t="s">
        <v>95</v>
      </c>
      <c r="R401" s="60" t="s">
        <v>96</v>
      </c>
      <c r="S401" s="66" t="s">
        <v>96</v>
      </c>
      <c r="T401" s="67" t="s">
        <v>96</v>
      </c>
      <c r="U401" s="60" t="s">
        <v>96</v>
      </c>
      <c r="V401" s="60" t="s">
        <v>96</v>
      </c>
      <c r="W401" s="60" t="str" cm="1">
        <f t="array" ref="W401">_xlfn.LET(_xlpm.resultados,_xlfn.UNIQUE(_xlfn._xlws.FILTER(Tabla1[Proceso],(Tabla1[Metal Base]=Q401)*(Tabla1[Etiquetas]=_xlfn.TEXTJOIN(" + ",TRUE,IF((TRIM(Upload!R401:V401)="")+(LOWER(TRIM(Upload!R401:V401))="(seleccione)"),"",PROPER(TRIM(Upload!R401:V401)))))*(Tabla1[Línea2]=IFERROR(VLOOKUP(Upload!P401&amp;"*",CAT_Procesos!D:D,1,FALSE),"")))),_xlpm.cantidad,ROWS(_xlpm.resultados),IF(ISERROR(_xlpm.cantidad),"Combinación no existente",IF(_xlpm.cantidad=1,INDEX(_xlpm.resultados,1),"(seleccione)")))</f>
        <v>Combinación no existente</v>
      </c>
      <c r="X401" s="67" t="s">
        <v>96</v>
      </c>
      <c r="Y401" s="64"/>
      <c r="Z401" s="64"/>
      <c r="AA401" s="64"/>
      <c r="AB401" s="133" t="s">
        <v>96</v>
      </c>
      <c r="AC401" s="64"/>
      <c r="AD401" s="64"/>
      <c r="AE401" s="64"/>
      <c r="AF401" s="60" t="s">
        <v>96</v>
      </c>
      <c r="AG401" s="64"/>
      <c r="AH401" s="64"/>
      <c r="AI401" s="64"/>
      <c r="AJ401" s="68" t="s">
        <v>96</v>
      </c>
      <c r="AK401" s="69" t="str">
        <f t="shared" si="12"/>
        <v/>
      </c>
      <c r="AL401" s="70" t="s">
        <v>96</v>
      </c>
      <c r="AM401" s="69" t="str">
        <f t="shared" si="13"/>
        <v/>
      </c>
      <c r="AN401" s="71"/>
      <c r="AO401" s="71"/>
      <c r="AP401" s="71"/>
      <c r="AQ401" s="71"/>
      <c r="AR401" s="71" t="s">
        <v>96</v>
      </c>
      <c r="AS401" s="71"/>
      <c r="AT401" s="71" t="s">
        <v>96</v>
      </c>
      <c r="AU401" s="71"/>
      <c r="AV401" s="71" t="s">
        <v>95</v>
      </c>
      <c r="AW401" s="71"/>
      <c r="AX401" s="71"/>
      <c r="AY401" s="71"/>
      <c r="AZ401" s="71"/>
      <c r="BA401" s="71"/>
      <c r="BB401" s="70" t="s">
        <v>218</v>
      </c>
      <c r="BC401" s="70" t="s">
        <v>98</v>
      </c>
      <c r="BD401" s="72" t="str">
        <f>IF('Cálculo MP'!K411="","",'Cálculo MP'!K411)</f>
        <v/>
      </c>
      <c r="BE401" s="72" t="str">
        <f>IF('Cálculo MP'!L411="","",'Cálculo MP'!L411)</f>
        <v/>
      </c>
      <c r="BF401" s="72" t="str">
        <f>IF('Cálculo MP'!M411="","",'Cálculo MP'!M411)</f>
        <v/>
      </c>
      <c r="BG401" s="72" t="str">
        <f>IF('Cálculo MP'!N411="","",'Cálculo MP'!N411)</f>
        <v/>
      </c>
      <c r="BH401" s="72" t="str">
        <f>IF('Cálculo MP'!O411="","",'Cálculo MP'!O411)</f>
        <v/>
      </c>
      <c r="BI401" s="72" t="str">
        <f>IF('Cálculo MP'!P411="","",'Cálculo MP'!P411)</f>
        <v/>
      </c>
      <c r="BJ401" s="72" t="str">
        <f>IF('Cálculo MP'!Q411="","",'Cálculo MP'!Q411)</f>
        <v/>
      </c>
      <c r="BK401" s="72" t="str">
        <f>IF('Cálculo MP'!R411="","",'Cálculo MP'!R411)</f>
        <v/>
      </c>
      <c r="BL401" s="72" t="str">
        <f>IF('Cálculo MP'!S411="","",'Cálculo MP'!S411)</f>
        <v/>
      </c>
      <c r="BM401" s="71"/>
      <c r="BN401" s="71"/>
      <c r="BO401" s="71"/>
      <c r="BP401" s="71"/>
      <c r="BQ401" s="71"/>
      <c r="BR401" s="71"/>
      <c r="BS401" s="71"/>
    </row>
    <row r="402" spans="1:71" ht="19.5" customHeight="1" x14ac:dyDescent="0.15">
      <c r="A402" s="56" t="s">
        <v>985</v>
      </c>
      <c r="B402" s="57" t="s">
        <v>986</v>
      </c>
      <c r="C402" s="58" t="s">
        <v>985</v>
      </c>
      <c r="D402" s="59" t="s">
        <v>985</v>
      </c>
      <c r="E402" s="61"/>
      <c r="F402" s="60" t="s">
        <v>95</v>
      </c>
      <c r="G402" s="61"/>
      <c r="H402" s="62"/>
      <c r="I402" s="75"/>
      <c r="J402" s="60" t="s">
        <v>95</v>
      </c>
      <c r="K402" s="64"/>
      <c r="L402" s="64"/>
      <c r="M402" s="64" t="s">
        <v>96</v>
      </c>
      <c r="N402" s="64" t="s">
        <v>97</v>
      </c>
      <c r="O402" s="65" t="s">
        <v>986</v>
      </c>
      <c r="P402" s="70" t="s">
        <v>96</v>
      </c>
      <c r="Q402" s="60" t="s">
        <v>95</v>
      </c>
      <c r="R402" s="60" t="s">
        <v>96</v>
      </c>
      <c r="S402" s="66" t="s">
        <v>96</v>
      </c>
      <c r="T402" s="67" t="s">
        <v>96</v>
      </c>
      <c r="U402" s="60" t="s">
        <v>96</v>
      </c>
      <c r="V402" s="60" t="s">
        <v>96</v>
      </c>
      <c r="W402" s="60" t="str" cm="1">
        <f t="array" ref="W402">_xlfn.LET(_xlpm.resultados,_xlfn.UNIQUE(_xlfn._xlws.FILTER(Tabla1[Proceso],(Tabla1[Metal Base]=Q402)*(Tabla1[Etiquetas]=_xlfn.TEXTJOIN(" + ",TRUE,IF((TRIM(Upload!R402:V402)="")+(LOWER(TRIM(Upload!R402:V402))="(seleccione)"),"",PROPER(TRIM(Upload!R402:V402)))))*(Tabla1[Línea2]=IFERROR(VLOOKUP(Upload!P402&amp;"*",CAT_Procesos!D:D,1,FALSE),"")))),_xlpm.cantidad,ROWS(_xlpm.resultados),IF(ISERROR(_xlpm.cantidad),"Combinación no existente",IF(_xlpm.cantidad=1,INDEX(_xlpm.resultados,1),"(seleccione)")))</f>
        <v>Combinación no existente</v>
      </c>
      <c r="X402" s="67" t="s">
        <v>96</v>
      </c>
      <c r="Y402" s="64"/>
      <c r="Z402" s="64"/>
      <c r="AA402" s="64"/>
      <c r="AB402" s="133" t="s">
        <v>96</v>
      </c>
      <c r="AC402" s="64"/>
      <c r="AD402" s="64"/>
      <c r="AE402" s="64"/>
      <c r="AF402" s="60" t="s">
        <v>96</v>
      </c>
      <c r="AG402" s="64"/>
      <c r="AH402" s="64"/>
      <c r="AI402" s="64"/>
      <c r="AJ402" s="68" t="s">
        <v>96</v>
      </c>
      <c r="AK402" s="69" t="str">
        <f t="shared" si="12"/>
        <v/>
      </c>
      <c r="AL402" s="70" t="s">
        <v>96</v>
      </c>
      <c r="AM402" s="69" t="str">
        <f t="shared" si="13"/>
        <v/>
      </c>
      <c r="AN402" s="71"/>
      <c r="AO402" s="71"/>
      <c r="AP402" s="71"/>
      <c r="AQ402" s="71"/>
      <c r="AR402" s="71" t="s">
        <v>96</v>
      </c>
      <c r="AS402" s="71"/>
      <c r="AT402" s="71" t="s">
        <v>96</v>
      </c>
      <c r="AU402" s="71"/>
      <c r="AV402" s="71" t="s">
        <v>95</v>
      </c>
      <c r="AW402" s="71"/>
      <c r="AX402" s="71"/>
      <c r="AY402" s="71"/>
      <c r="AZ402" s="71"/>
      <c r="BA402" s="71"/>
      <c r="BB402" s="70" t="s">
        <v>218</v>
      </c>
      <c r="BC402" s="70" t="s">
        <v>98</v>
      </c>
      <c r="BD402" s="72" t="str">
        <f>IF('Cálculo MP'!K412="","",'Cálculo MP'!K412)</f>
        <v/>
      </c>
      <c r="BE402" s="72" t="str">
        <f>IF('Cálculo MP'!L412="","",'Cálculo MP'!L412)</f>
        <v/>
      </c>
      <c r="BF402" s="72" t="str">
        <f>IF('Cálculo MP'!M412="","",'Cálculo MP'!M412)</f>
        <v/>
      </c>
      <c r="BG402" s="72" t="str">
        <f>IF('Cálculo MP'!N412="","",'Cálculo MP'!N412)</f>
        <v/>
      </c>
      <c r="BH402" s="72" t="str">
        <f>IF('Cálculo MP'!O412="","",'Cálculo MP'!O412)</f>
        <v/>
      </c>
      <c r="BI402" s="72" t="str">
        <f>IF('Cálculo MP'!P412="","",'Cálculo MP'!P412)</f>
        <v/>
      </c>
      <c r="BJ402" s="72" t="str">
        <f>IF('Cálculo MP'!Q412="","",'Cálculo MP'!Q412)</f>
        <v/>
      </c>
      <c r="BK402" s="72" t="str">
        <f>IF('Cálculo MP'!R412="","",'Cálculo MP'!R412)</f>
        <v/>
      </c>
      <c r="BL402" s="72" t="str">
        <f>IF('Cálculo MP'!S412="","",'Cálculo MP'!S412)</f>
        <v/>
      </c>
      <c r="BM402" s="71"/>
      <c r="BN402" s="71"/>
      <c r="BO402" s="71"/>
      <c r="BP402" s="71"/>
      <c r="BQ402" s="71"/>
      <c r="BR402" s="71"/>
      <c r="BS402" s="71"/>
    </row>
    <row r="403" spans="1:71" ht="19.5" customHeight="1" x14ac:dyDescent="0.15">
      <c r="A403" s="56" t="s">
        <v>985</v>
      </c>
      <c r="B403" s="57" t="s">
        <v>986</v>
      </c>
      <c r="C403" s="58" t="s">
        <v>985</v>
      </c>
      <c r="D403" s="59" t="s">
        <v>985</v>
      </c>
      <c r="E403" s="61"/>
      <c r="F403" s="60" t="s">
        <v>95</v>
      </c>
      <c r="G403" s="61"/>
      <c r="H403" s="62"/>
      <c r="I403" s="75"/>
      <c r="J403" s="60" t="s">
        <v>95</v>
      </c>
      <c r="K403" s="64"/>
      <c r="L403" s="64"/>
      <c r="M403" s="64" t="s">
        <v>96</v>
      </c>
      <c r="N403" s="64" t="s">
        <v>97</v>
      </c>
      <c r="O403" s="65" t="s">
        <v>986</v>
      </c>
      <c r="P403" s="70" t="s">
        <v>96</v>
      </c>
      <c r="Q403" s="60" t="s">
        <v>95</v>
      </c>
      <c r="R403" s="60" t="s">
        <v>96</v>
      </c>
      <c r="S403" s="66" t="s">
        <v>96</v>
      </c>
      <c r="T403" s="67" t="s">
        <v>96</v>
      </c>
      <c r="U403" s="60" t="s">
        <v>96</v>
      </c>
      <c r="V403" s="60" t="s">
        <v>96</v>
      </c>
      <c r="W403" s="60" t="str" cm="1">
        <f t="array" ref="W403">_xlfn.LET(_xlpm.resultados,_xlfn.UNIQUE(_xlfn._xlws.FILTER(Tabla1[Proceso],(Tabla1[Metal Base]=Q403)*(Tabla1[Etiquetas]=_xlfn.TEXTJOIN(" + ",TRUE,IF((TRIM(Upload!R403:V403)="")+(LOWER(TRIM(Upload!R403:V403))="(seleccione)"),"",PROPER(TRIM(Upload!R403:V403)))))*(Tabla1[Línea2]=IFERROR(VLOOKUP(Upload!P403&amp;"*",CAT_Procesos!D:D,1,FALSE),"")))),_xlpm.cantidad,ROWS(_xlpm.resultados),IF(ISERROR(_xlpm.cantidad),"Combinación no existente",IF(_xlpm.cantidad=1,INDEX(_xlpm.resultados,1),"(seleccione)")))</f>
        <v>Combinación no existente</v>
      </c>
      <c r="X403" s="67" t="s">
        <v>96</v>
      </c>
      <c r="Y403" s="64"/>
      <c r="Z403" s="64"/>
      <c r="AA403" s="64"/>
      <c r="AB403" s="133" t="s">
        <v>96</v>
      </c>
      <c r="AC403" s="64"/>
      <c r="AD403" s="64"/>
      <c r="AE403" s="64"/>
      <c r="AF403" s="60" t="s">
        <v>96</v>
      </c>
      <c r="AG403" s="64"/>
      <c r="AH403" s="64"/>
      <c r="AI403" s="64"/>
      <c r="AJ403" s="68" t="s">
        <v>96</v>
      </c>
      <c r="AK403" s="69" t="str">
        <f t="shared" si="12"/>
        <v/>
      </c>
      <c r="AL403" s="70" t="s">
        <v>96</v>
      </c>
      <c r="AM403" s="69" t="str">
        <f t="shared" si="13"/>
        <v/>
      </c>
      <c r="AN403" s="71"/>
      <c r="AO403" s="71"/>
      <c r="AP403" s="71"/>
      <c r="AQ403" s="71"/>
      <c r="AR403" s="71" t="s">
        <v>96</v>
      </c>
      <c r="AS403" s="71"/>
      <c r="AT403" s="71" t="s">
        <v>96</v>
      </c>
      <c r="AU403" s="71"/>
      <c r="AV403" s="71" t="s">
        <v>95</v>
      </c>
      <c r="AW403" s="71"/>
      <c r="AX403" s="71"/>
      <c r="AY403" s="71"/>
      <c r="AZ403" s="71"/>
      <c r="BA403" s="71"/>
      <c r="BB403" s="70" t="s">
        <v>218</v>
      </c>
      <c r="BC403" s="70" t="s">
        <v>98</v>
      </c>
      <c r="BD403" s="72" t="str">
        <f>IF('Cálculo MP'!K413="","",'Cálculo MP'!K413)</f>
        <v/>
      </c>
      <c r="BE403" s="72" t="str">
        <f>IF('Cálculo MP'!L413="","",'Cálculo MP'!L413)</f>
        <v/>
      </c>
      <c r="BF403" s="72" t="str">
        <f>IF('Cálculo MP'!M413="","",'Cálculo MP'!M413)</f>
        <v/>
      </c>
      <c r="BG403" s="72" t="str">
        <f>IF('Cálculo MP'!N413="","",'Cálculo MP'!N413)</f>
        <v/>
      </c>
      <c r="BH403" s="72" t="str">
        <f>IF('Cálculo MP'!O413="","",'Cálculo MP'!O413)</f>
        <v/>
      </c>
      <c r="BI403" s="72" t="str">
        <f>IF('Cálculo MP'!P413="","",'Cálculo MP'!P413)</f>
        <v/>
      </c>
      <c r="BJ403" s="72" t="str">
        <f>IF('Cálculo MP'!Q413="","",'Cálculo MP'!Q413)</f>
        <v/>
      </c>
      <c r="BK403" s="72" t="str">
        <f>IF('Cálculo MP'!R413="","",'Cálculo MP'!R413)</f>
        <v/>
      </c>
      <c r="BL403" s="72" t="str">
        <f>IF('Cálculo MP'!S413="","",'Cálculo MP'!S413)</f>
        <v/>
      </c>
      <c r="BM403" s="71"/>
      <c r="BN403" s="71"/>
      <c r="BO403" s="71"/>
      <c r="BP403" s="71"/>
      <c r="BQ403" s="71"/>
      <c r="BR403" s="71"/>
      <c r="BS403" s="71"/>
    </row>
    <row r="404" spans="1:71" ht="19.5" customHeight="1" x14ac:dyDescent="0.15">
      <c r="A404" s="56" t="s">
        <v>985</v>
      </c>
      <c r="B404" s="57" t="s">
        <v>986</v>
      </c>
      <c r="C404" s="58" t="s">
        <v>985</v>
      </c>
      <c r="D404" s="59" t="s">
        <v>985</v>
      </c>
      <c r="E404" s="61"/>
      <c r="F404" s="60" t="s">
        <v>95</v>
      </c>
      <c r="G404" s="61"/>
      <c r="H404" s="62"/>
      <c r="I404" s="75"/>
      <c r="J404" s="60" t="s">
        <v>95</v>
      </c>
      <c r="K404" s="64"/>
      <c r="L404" s="64"/>
      <c r="M404" s="64" t="s">
        <v>96</v>
      </c>
      <c r="N404" s="64" t="s">
        <v>97</v>
      </c>
      <c r="O404" s="65" t="s">
        <v>986</v>
      </c>
      <c r="P404" s="70" t="s">
        <v>96</v>
      </c>
      <c r="Q404" s="60" t="s">
        <v>95</v>
      </c>
      <c r="R404" s="60" t="s">
        <v>96</v>
      </c>
      <c r="S404" s="66" t="s">
        <v>96</v>
      </c>
      <c r="T404" s="67" t="s">
        <v>96</v>
      </c>
      <c r="U404" s="60" t="s">
        <v>96</v>
      </c>
      <c r="V404" s="60" t="s">
        <v>96</v>
      </c>
      <c r="W404" s="60" t="str" cm="1">
        <f t="array" ref="W404">_xlfn.LET(_xlpm.resultados,_xlfn.UNIQUE(_xlfn._xlws.FILTER(Tabla1[Proceso],(Tabla1[Metal Base]=Q404)*(Tabla1[Etiquetas]=_xlfn.TEXTJOIN(" + ",TRUE,IF((TRIM(Upload!R404:V404)="")+(LOWER(TRIM(Upload!R404:V404))="(seleccione)"),"",PROPER(TRIM(Upload!R404:V404)))))*(Tabla1[Línea2]=IFERROR(VLOOKUP(Upload!P404&amp;"*",CAT_Procesos!D:D,1,FALSE),"")))),_xlpm.cantidad,ROWS(_xlpm.resultados),IF(ISERROR(_xlpm.cantidad),"Combinación no existente",IF(_xlpm.cantidad=1,INDEX(_xlpm.resultados,1),"(seleccione)")))</f>
        <v>Combinación no existente</v>
      </c>
      <c r="X404" s="67" t="s">
        <v>96</v>
      </c>
      <c r="Y404" s="64"/>
      <c r="Z404" s="64"/>
      <c r="AA404" s="64"/>
      <c r="AB404" s="133" t="s">
        <v>96</v>
      </c>
      <c r="AC404" s="64"/>
      <c r="AD404" s="64"/>
      <c r="AE404" s="64"/>
      <c r="AF404" s="60" t="s">
        <v>96</v>
      </c>
      <c r="AG404" s="64"/>
      <c r="AH404" s="64"/>
      <c r="AI404" s="64"/>
      <c r="AJ404" s="68" t="s">
        <v>96</v>
      </c>
      <c r="AK404" s="69" t="str">
        <f t="shared" si="12"/>
        <v/>
      </c>
      <c r="AL404" s="70" t="s">
        <v>96</v>
      </c>
      <c r="AM404" s="69" t="str">
        <f t="shared" si="13"/>
        <v/>
      </c>
      <c r="AN404" s="71"/>
      <c r="AO404" s="71"/>
      <c r="AP404" s="71"/>
      <c r="AQ404" s="71"/>
      <c r="AR404" s="71" t="s">
        <v>96</v>
      </c>
      <c r="AS404" s="71"/>
      <c r="AT404" s="71" t="s">
        <v>96</v>
      </c>
      <c r="AU404" s="71"/>
      <c r="AV404" s="71" t="s">
        <v>95</v>
      </c>
      <c r="AW404" s="71"/>
      <c r="AX404" s="71"/>
      <c r="AY404" s="71"/>
      <c r="AZ404" s="71"/>
      <c r="BA404" s="71"/>
      <c r="BB404" s="70" t="s">
        <v>218</v>
      </c>
      <c r="BC404" s="70" t="s">
        <v>98</v>
      </c>
      <c r="BD404" s="72" t="str">
        <f>IF('Cálculo MP'!K414="","",'Cálculo MP'!K414)</f>
        <v/>
      </c>
      <c r="BE404" s="72" t="str">
        <f>IF('Cálculo MP'!L414="","",'Cálculo MP'!L414)</f>
        <v/>
      </c>
      <c r="BF404" s="72" t="str">
        <f>IF('Cálculo MP'!M414="","",'Cálculo MP'!M414)</f>
        <v/>
      </c>
      <c r="BG404" s="72" t="str">
        <f>IF('Cálculo MP'!N414="","",'Cálculo MP'!N414)</f>
        <v/>
      </c>
      <c r="BH404" s="72" t="str">
        <f>IF('Cálculo MP'!O414="","",'Cálculo MP'!O414)</f>
        <v/>
      </c>
      <c r="BI404" s="72" t="str">
        <f>IF('Cálculo MP'!P414="","",'Cálculo MP'!P414)</f>
        <v/>
      </c>
      <c r="BJ404" s="72" t="str">
        <f>IF('Cálculo MP'!Q414="","",'Cálculo MP'!Q414)</f>
        <v/>
      </c>
      <c r="BK404" s="72" t="str">
        <f>IF('Cálculo MP'!R414="","",'Cálculo MP'!R414)</f>
        <v/>
      </c>
      <c r="BL404" s="72" t="str">
        <f>IF('Cálculo MP'!S414="","",'Cálculo MP'!S414)</f>
        <v/>
      </c>
      <c r="BM404" s="71"/>
      <c r="BN404" s="71"/>
      <c r="BO404" s="71"/>
      <c r="BP404" s="71"/>
      <c r="BQ404" s="71"/>
      <c r="BR404" s="71"/>
      <c r="BS404" s="71"/>
    </row>
    <row r="405" spans="1:71" ht="19.5" customHeight="1" x14ac:dyDescent="0.15">
      <c r="A405" s="56" t="s">
        <v>985</v>
      </c>
      <c r="B405" s="57" t="s">
        <v>986</v>
      </c>
      <c r="C405" s="58" t="s">
        <v>985</v>
      </c>
      <c r="D405" s="59" t="s">
        <v>985</v>
      </c>
      <c r="E405" s="61"/>
      <c r="F405" s="60" t="s">
        <v>95</v>
      </c>
      <c r="G405" s="61"/>
      <c r="H405" s="62"/>
      <c r="I405" s="75"/>
      <c r="J405" s="60" t="s">
        <v>95</v>
      </c>
      <c r="K405" s="64"/>
      <c r="L405" s="64"/>
      <c r="M405" s="64" t="s">
        <v>96</v>
      </c>
      <c r="N405" s="64" t="s">
        <v>97</v>
      </c>
      <c r="O405" s="65" t="s">
        <v>986</v>
      </c>
      <c r="P405" s="70" t="s">
        <v>96</v>
      </c>
      <c r="Q405" s="60" t="s">
        <v>95</v>
      </c>
      <c r="R405" s="60" t="s">
        <v>96</v>
      </c>
      <c r="S405" s="66" t="s">
        <v>96</v>
      </c>
      <c r="T405" s="67" t="s">
        <v>96</v>
      </c>
      <c r="U405" s="60" t="s">
        <v>96</v>
      </c>
      <c r="V405" s="60" t="s">
        <v>96</v>
      </c>
      <c r="W405" s="60" t="str" cm="1">
        <f t="array" ref="W405">_xlfn.LET(_xlpm.resultados,_xlfn.UNIQUE(_xlfn._xlws.FILTER(Tabla1[Proceso],(Tabla1[Metal Base]=Q405)*(Tabla1[Etiquetas]=_xlfn.TEXTJOIN(" + ",TRUE,IF((TRIM(Upload!R405:V405)="")+(LOWER(TRIM(Upload!R405:V405))="(seleccione)"),"",PROPER(TRIM(Upload!R405:V405)))))*(Tabla1[Línea2]=IFERROR(VLOOKUP(Upload!P405&amp;"*",CAT_Procesos!D:D,1,FALSE),"")))),_xlpm.cantidad,ROWS(_xlpm.resultados),IF(ISERROR(_xlpm.cantidad),"Combinación no existente",IF(_xlpm.cantidad=1,INDEX(_xlpm.resultados,1),"(seleccione)")))</f>
        <v>Combinación no existente</v>
      </c>
      <c r="X405" s="67" t="s">
        <v>96</v>
      </c>
      <c r="Y405" s="64"/>
      <c r="Z405" s="64"/>
      <c r="AA405" s="64"/>
      <c r="AB405" s="133" t="s">
        <v>96</v>
      </c>
      <c r="AC405" s="64"/>
      <c r="AD405" s="64"/>
      <c r="AE405" s="64"/>
      <c r="AF405" s="60" t="s">
        <v>96</v>
      </c>
      <c r="AG405" s="64"/>
      <c r="AH405" s="64"/>
      <c r="AI405" s="64"/>
      <c r="AJ405" s="68" t="s">
        <v>96</v>
      </c>
      <c r="AK405" s="69" t="str">
        <f t="shared" si="12"/>
        <v/>
      </c>
      <c r="AL405" s="70" t="s">
        <v>96</v>
      </c>
      <c r="AM405" s="69" t="str">
        <f t="shared" si="13"/>
        <v/>
      </c>
      <c r="AN405" s="71"/>
      <c r="AO405" s="71"/>
      <c r="AP405" s="71"/>
      <c r="AQ405" s="71"/>
      <c r="AR405" s="71" t="s">
        <v>96</v>
      </c>
      <c r="AS405" s="71"/>
      <c r="AT405" s="71" t="s">
        <v>96</v>
      </c>
      <c r="AU405" s="71"/>
      <c r="AV405" s="71" t="s">
        <v>95</v>
      </c>
      <c r="AW405" s="71"/>
      <c r="AX405" s="71"/>
      <c r="AY405" s="71"/>
      <c r="AZ405" s="71"/>
      <c r="BA405" s="71"/>
      <c r="BB405" s="70" t="s">
        <v>218</v>
      </c>
      <c r="BC405" s="70" t="s">
        <v>98</v>
      </c>
      <c r="BD405" s="72" t="str">
        <f>IF('Cálculo MP'!K415="","",'Cálculo MP'!K415)</f>
        <v/>
      </c>
      <c r="BE405" s="72" t="str">
        <f>IF('Cálculo MP'!L415="","",'Cálculo MP'!L415)</f>
        <v/>
      </c>
      <c r="BF405" s="72" t="str">
        <f>IF('Cálculo MP'!M415="","",'Cálculo MP'!M415)</f>
        <v/>
      </c>
      <c r="BG405" s="72" t="str">
        <f>IF('Cálculo MP'!N415="","",'Cálculo MP'!N415)</f>
        <v/>
      </c>
      <c r="BH405" s="72" t="str">
        <f>IF('Cálculo MP'!O415="","",'Cálculo MP'!O415)</f>
        <v/>
      </c>
      <c r="BI405" s="72" t="str">
        <f>IF('Cálculo MP'!P415="","",'Cálculo MP'!P415)</f>
        <v/>
      </c>
      <c r="BJ405" s="72" t="str">
        <f>IF('Cálculo MP'!Q415="","",'Cálculo MP'!Q415)</f>
        <v/>
      </c>
      <c r="BK405" s="72" t="str">
        <f>IF('Cálculo MP'!R415="","",'Cálculo MP'!R415)</f>
        <v/>
      </c>
      <c r="BL405" s="72" t="str">
        <f>IF('Cálculo MP'!S415="","",'Cálculo MP'!S415)</f>
        <v/>
      </c>
      <c r="BM405" s="71"/>
      <c r="BN405" s="71"/>
      <c r="BO405" s="71"/>
      <c r="BP405" s="71"/>
      <c r="BQ405" s="71"/>
      <c r="BR405" s="71"/>
      <c r="BS405" s="71"/>
    </row>
    <row r="406" spans="1:71" ht="19.5" customHeight="1" x14ac:dyDescent="0.15">
      <c r="A406" s="56" t="s">
        <v>985</v>
      </c>
      <c r="B406" s="57" t="s">
        <v>986</v>
      </c>
      <c r="C406" s="58" t="s">
        <v>985</v>
      </c>
      <c r="D406" s="59" t="s">
        <v>985</v>
      </c>
      <c r="E406" s="61"/>
      <c r="F406" s="60" t="s">
        <v>95</v>
      </c>
      <c r="G406" s="61"/>
      <c r="H406" s="62"/>
      <c r="I406" s="75"/>
      <c r="J406" s="60" t="s">
        <v>95</v>
      </c>
      <c r="K406" s="64"/>
      <c r="L406" s="64"/>
      <c r="M406" s="64" t="s">
        <v>96</v>
      </c>
      <c r="N406" s="64" t="s">
        <v>97</v>
      </c>
      <c r="O406" s="65" t="s">
        <v>986</v>
      </c>
      <c r="P406" s="70" t="s">
        <v>96</v>
      </c>
      <c r="Q406" s="60" t="s">
        <v>95</v>
      </c>
      <c r="R406" s="60" t="s">
        <v>96</v>
      </c>
      <c r="S406" s="66" t="s">
        <v>96</v>
      </c>
      <c r="T406" s="67" t="s">
        <v>96</v>
      </c>
      <c r="U406" s="60" t="s">
        <v>96</v>
      </c>
      <c r="V406" s="60" t="s">
        <v>96</v>
      </c>
      <c r="W406" s="60" t="str" cm="1">
        <f t="array" ref="W406">_xlfn.LET(_xlpm.resultados,_xlfn.UNIQUE(_xlfn._xlws.FILTER(Tabla1[Proceso],(Tabla1[Metal Base]=Q406)*(Tabla1[Etiquetas]=_xlfn.TEXTJOIN(" + ",TRUE,IF((TRIM(Upload!R406:V406)="")+(LOWER(TRIM(Upload!R406:V406))="(seleccione)"),"",PROPER(TRIM(Upload!R406:V406)))))*(Tabla1[Línea2]=IFERROR(VLOOKUP(Upload!P406&amp;"*",CAT_Procesos!D:D,1,FALSE),"")))),_xlpm.cantidad,ROWS(_xlpm.resultados),IF(ISERROR(_xlpm.cantidad),"Combinación no existente",IF(_xlpm.cantidad=1,INDEX(_xlpm.resultados,1),"(seleccione)")))</f>
        <v>Combinación no existente</v>
      </c>
      <c r="X406" s="67" t="s">
        <v>96</v>
      </c>
      <c r="Y406" s="64"/>
      <c r="Z406" s="64"/>
      <c r="AA406" s="64"/>
      <c r="AB406" s="133" t="s">
        <v>96</v>
      </c>
      <c r="AC406" s="64"/>
      <c r="AD406" s="64"/>
      <c r="AE406" s="64"/>
      <c r="AF406" s="60" t="s">
        <v>96</v>
      </c>
      <c r="AG406" s="64"/>
      <c r="AH406" s="64"/>
      <c r="AI406" s="64"/>
      <c r="AJ406" s="68" t="s">
        <v>96</v>
      </c>
      <c r="AK406" s="69" t="str">
        <f t="shared" si="12"/>
        <v/>
      </c>
      <c r="AL406" s="70" t="s">
        <v>96</v>
      </c>
      <c r="AM406" s="69" t="str">
        <f t="shared" si="13"/>
        <v/>
      </c>
      <c r="AN406" s="71"/>
      <c r="AO406" s="71"/>
      <c r="AP406" s="71"/>
      <c r="AQ406" s="71"/>
      <c r="AR406" s="71" t="s">
        <v>96</v>
      </c>
      <c r="AS406" s="71"/>
      <c r="AT406" s="71" t="s">
        <v>96</v>
      </c>
      <c r="AU406" s="71"/>
      <c r="AV406" s="71" t="s">
        <v>95</v>
      </c>
      <c r="AW406" s="71"/>
      <c r="AX406" s="71"/>
      <c r="AY406" s="71"/>
      <c r="AZ406" s="71"/>
      <c r="BA406" s="71"/>
      <c r="BB406" s="70" t="s">
        <v>218</v>
      </c>
      <c r="BC406" s="70" t="s">
        <v>98</v>
      </c>
      <c r="BD406" s="72" t="str">
        <f>IF('Cálculo MP'!K416="","",'Cálculo MP'!K416)</f>
        <v/>
      </c>
      <c r="BE406" s="72" t="str">
        <f>IF('Cálculo MP'!L416="","",'Cálculo MP'!L416)</f>
        <v/>
      </c>
      <c r="BF406" s="72" t="str">
        <f>IF('Cálculo MP'!M416="","",'Cálculo MP'!M416)</f>
        <v/>
      </c>
      <c r="BG406" s="72" t="str">
        <f>IF('Cálculo MP'!N416="","",'Cálculo MP'!N416)</f>
        <v/>
      </c>
      <c r="BH406" s="72" t="str">
        <f>IF('Cálculo MP'!O416="","",'Cálculo MP'!O416)</f>
        <v/>
      </c>
      <c r="BI406" s="72" t="str">
        <f>IF('Cálculo MP'!P416="","",'Cálculo MP'!P416)</f>
        <v/>
      </c>
      <c r="BJ406" s="72" t="str">
        <f>IF('Cálculo MP'!Q416="","",'Cálculo MP'!Q416)</f>
        <v/>
      </c>
      <c r="BK406" s="72" t="str">
        <f>IF('Cálculo MP'!R416="","",'Cálculo MP'!R416)</f>
        <v/>
      </c>
      <c r="BL406" s="72" t="str">
        <f>IF('Cálculo MP'!S416="","",'Cálculo MP'!S416)</f>
        <v/>
      </c>
      <c r="BM406" s="71"/>
      <c r="BN406" s="71"/>
      <c r="BO406" s="71"/>
      <c r="BP406" s="71"/>
      <c r="BQ406" s="71"/>
      <c r="BR406" s="71"/>
      <c r="BS406" s="71"/>
    </row>
    <row r="407" spans="1:71" ht="19.5" customHeight="1" x14ac:dyDescent="0.15">
      <c r="A407" s="56" t="s">
        <v>985</v>
      </c>
      <c r="B407" s="57" t="s">
        <v>986</v>
      </c>
      <c r="C407" s="58" t="s">
        <v>985</v>
      </c>
      <c r="D407" s="59" t="s">
        <v>985</v>
      </c>
      <c r="E407" s="61"/>
      <c r="F407" s="60" t="s">
        <v>95</v>
      </c>
      <c r="G407" s="61"/>
      <c r="H407" s="62"/>
      <c r="I407" s="75"/>
      <c r="J407" s="60" t="s">
        <v>95</v>
      </c>
      <c r="K407" s="64"/>
      <c r="L407" s="64"/>
      <c r="M407" s="64" t="s">
        <v>96</v>
      </c>
      <c r="N407" s="64" t="s">
        <v>97</v>
      </c>
      <c r="O407" s="65" t="s">
        <v>986</v>
      </c>
      <c r="P407" s="70" t="s">
        <v>96</v>
      </c>
      <c r="Q407" s="60" t="s">
        <v>95</v>
      </c>
      <c r="R407" s="60" t="s">
        <v>96</v>
      </c>
      <c r="S407" s="66" t="s">
        <v>96</v>
      </c>
      <c r="T407" s="67" t="s">
        <v>96</v>
      </c>
      <c r="U407" s="60" t="s">
        <v>96</v>
      </c>
      <c r="V407" s="60" t="s">
        <v>96</v>
      </c>
      <c r="W407" s="60" t="str" cm="1">
        <f t="array" ref="W407">_xlfn.LET(_xlpm.resultados,_xlfn.UNIQUE(_xlfn._xlws.FILTER(Tabla1[Proceso],(Tabla1[Metal Base]=Q407)*(Tabla1[Etiquetas]=_xlfn.TEXTJOIN(" + ",TRUE,IF((TRIM(Upload!R407:V407)="")+(LOWER(TRIM(Upload!R407:V407))="(seleccione)"),"",PROPER(TRIM(Upload!R407:V407)))))*(Tabla1[Línea2]=IFERROR(VLOOKUP(Upload!P407&amp;"*",CAT_Procesos!D:D,1,FALSE),"")))),_xlpm.cantidad,ROWS(_xlpm.resultados),IF(ISERROR(_xlpm.cantidad),"Combinación no existente",IF(_xlpm.cantidad=1,INDEX(_xlpm.resultados,1),"(seleccione)")))</f>
        <v>Combinación no existente</v>
      </c>
      <c r="X407" s="67" t="s">
        <v>96</v>
      </c>
      <c r="Y407" s="64"/>
      <c r="Z407" s="64"/>
      <c r="AA407" s="64"/>
      <c r="AB407" s="133" t="s">
        <v>96</v>
      </c>
      <c r="AC407" s="64"/>
      <c r="AD407" s="64"/>
      <c r="AE407" s="64"/>
      <c r="AF407" s="60" t="s">
        <v>96</v>
      </c>
      <c r="AG407" s="64"/>
      <c r="AH407" s="64"/>
      <c r="AI407" s="64"/>
      <c r="AJ407" s="68" t="s">
        <v>96</v>
      </c>
      <c r="AK407" s="69" t="str">
        <f t="shared" si="12"/>
        <v/>
      </c>
      <c r="AL407" s="70" t="s">
        <v>96</v>
      </c>
      <c r="AM407" s="69" t="str">
        <f t="shared" si="13"/>
        <v/>
      </c>
      <c r="AN407" s="71"/>
      <c r="AO407" s="71"/>
      <c r="AP407" s="71"/>
      <c r="AQ407" s="71"/>
      <c r="AR407" s="71" t="s">
        <v>96</v>
      </c>
      <c r="AS407" s="71"/>
      <c r="AT407" s="71" t="s">
        <v>96</v>
      </c>
      <c r="AU407" s="71"/>
      <c r="AV407" s="71" t="s">
        <v>95</v>
      </c>
      <c r="AW407" s="71"/>
      <c r="AX407" s="71"/>
      <c r="AY407" s="71"/>
      <c r="AZ407" s="71"/>
      <c r="BA407" s="71"/>
      <c r="BB407" s="70" t="s">
        <v>218</v>
      </c>
      <c r="BC407" s="70" t="s">
        <v>98</v>
      </c>
      <c r="BD407" s="72" t="str">
        <f>IF('Cálculo MP'!K417="","",'Cálculo MP'!K417)</f>
        <v/>
      </c>
      <c r="BE407" s="72" t="str">
        <f>IF('Cálculo MP'!L417="","",'Cálculo MP'!L417)</f>
        <v/>
      </c>
      <c r="BF407" s="72" t="str">
        <f>IF('Cálculo MP'!M417="","",'Cálculo MP'!M417)</f>
        <v/>
      </c>
      <c r="BG407" s="72" t="str">
        <f>IF('Cálculo MP'!N417="","",'Cálculo MP'!N417)</f>
        <v/>
      </c>
      <c r="BH407" s="72" t="str">
        <f>IF('Cálculo MP'!O417="","",'Cálculo MP'!O417)</f>
        <v/>
      </c>
      <c r="BI407" s="72" t="str">
        <f>IF('Cálculo MP'!P417="","",'Cálculo MP'!P417)</f>
        <v/>
      </c>
      <c r="BJ407" s="72" t="str">
        <f>IF('Cálculo MP'!Q417="","",'Cálculo MP'!Q417)</f>
        <v/>
      </c>
      <c r="BK407" s="72" t="str">
        <f>IF('Cálculo MP'!R417="","",'Cálculo MP'!R417)</f>
        <v/>
      </c>
      <c r="BL407" s="72" t="str">
        <f>IF('Cálculo MP'!S417="","",'Cálculo MP'!S417)</f>
        <v/>
      </c>
      <c r="BM407" s="71"/>
      <c r="BN407" s="71"/>
      <c r="BO407" s="71"/>
      <c r="BP407" s="71"/>
      <c r="BQ407" s="71"/>
      <c r="BR407" s="71"/>
      <c r="BS407" s="71"/>
    </row>
    <row r="408" spans="1:71" ht="19.5" customHeight="1" x14ac:dyDescent="0.15">
      <c r="A408" s="56" t="s">
        <v>985</v>
      </c>
      <c r="B408" s="57" t="s">
        <v>986</v>
      </c>
      <c r="C408" s="58" t="s">
        <v>985</v>
      </c>
      <c r="D408" s="59" t="s">
        <v>985</v>
      </c>
      <c r="E408" s="61"/>
      <c r="F408" s="60" t="s">
        <v>95</v>
      </c>
      <c r="G408" s="61"/>
      <c r="H408" s="62"/>
      <c r="I408" s="75"/>
      <c r="J408" s="60" t="s">
        <v>95</v>
      </c>
      <c r="K408" s="64"/>
      <c r="L408" s="64"/>
      <c r="M408" s="64" t="s">
        <v>96</v>
      </c>
      <c r="N408" s="64" t="s">
        <v>97</v>
      </c>
      <c r="O408" s="65" t="s">
        <v>986</v>
      </c>
      <c r="P408" s="70" t="s">
        <v>96</v>
      </c>
      <c r="Q408" s="60" t="s">
        <v>95</v>
      </c>
      <c r="R408" s="60" t="s">
        <v>96</v>
      </c>
      <c r="S408" s="66" t="s">
        <v>96</v>
      </c>
      <c r="T408" s="67" t="s">
        <v>96</v>
      </c>
      <c r="U408" s="60" t="s">
        <v>96</v>
      </c>
      <c r="V408" s="60" t="s">
        <v>96</v>
      </c>
      <c r="W408" s="60" t="str" cm="1">
        <f t="array" ref="W408">_xlfn.LET(_xlpm.resultados,_xlfn.UNIQUE(_xlfn._xlws.FILTER(Tabla1[Proceso],(Tabla1[Metal Base]=Q408)*(Tabla1[Etiquetas]=_xlfn.TEXTJOIN(" + ",TRUE,IF((TRIM(Upload!R408:V408)="")+(LOWER(TRIM(Upload!R408:V408))="(seleccione)"),"",PROPER(TRIM(Upload!R408:V408)))))*(Tabla1[Línea2]=IFERROR(VLOOKUP(Upload!P408&amp;"*",CAT_Procesos!D:D,1,FALSE),"")))),_xlpm.cantidad,ROWS(_xlpm.resultados),IF(ISERROR(_xlpm.cantidad),"Combinación no existente",IF(_xlpm.cantidad=1,INDEX(_xlpm.resultados,1),"(seleccione)")))</f>
        <v>Combinación no existente</v>
      </c>
      <c r="X408" s="67" t="s">
        <v>96</v>
      </c>
      <c r="Y408" s="64"/>
      <c r="Z408" s="64"/>
      <c r="AA408" s="64"/>
      <c r="AB408" s="133" t="s">
        <v>96</v>
      </c>
      <c r="AC408" s="64"/>
      <c r="AD408" s="64"/>
      <c r="AE408" s="64"/>
      <c r="AF408" s="60" t="s">
        <v>96</v>
      </c>
      <c r="AG408" s="64"/>
      <c r="AH408" s="64"/>
      <c r="AI408" s="64"/>
      <c r="AJ408" s="68" t="s">
        <v>96</v>
      </c>
      <c r="AK408" s="69" t="str">
        <f t="shared" si="12"/>
        <v/>
      </c>
      <c r="AL408" s="70" t="s">
        <v>96</v>
      </c>
      <c r="AM408" s="69" t="str">
        <f t="shared" si="13"/>
        <v/>
      </c>
      <c r="AN408" s="71"/>
      <c r="AO408" s="71"/>
      <c r="AP408" s="71"/>
      <c r="AQ408" s="71"/>
      <c r="AR408" s="71" t="s">
        <v>96</v>
      </c>
      <c r="AS408" s="71"/>
      <c r="AT408" s="71" t="s">
        <v>96</v>
      </c>
      <c r="AU408" s="71"/>
      <c r="AV408" s="71" t="s">
        <v>95</v>
      </c>
      <c r="AW408" s="71"/>
      <c r="AX408" s="71"/>
      <c r="AY408" s="71"/>
      <c r="AZ408" s="71"/>
      <c r="BA408" s="71"/>
      <c r="BB408" s="70" t="s">
        <v>218</v>
      </c>
      <c r="BC408" s="70" t="s">
        <v>98</v>
      </c>
      <c r="BD408" s="72" t="str">
        <f>IF('Cálculo MP'!K418="","",'Cálculo MP'!K418)</f>
        <v/>
      </c>
      <c r="BE408" s="72" t="str">
        <f>IF('Cálculo MP'!L418="","",'Cálculo MP'!L418)</f>
        <v/>
      </c>
      <c r="BF408" s="72" t="str">
        <f>IF('Cálculo MP'!M418="","",'Cálculo MP'!M418)</f>
        <v/>
      </c>
      <c r="BG408" s="72" t="str">
        <f>IF('Cálculo MP'!N418="","",'Cálculo MP'!N418)</f>
        <v/>
      </c>
      <c r="BH408" s="72" t="str">
        <f>IF('Cálculo MP'!O418="","",'Cálculo MP'!O418)</f>
        <v/>
      </c>
      <c r="BI408" s="72" t="str">
        <f>IF('Cálculo MP'!P418="","",'Cálculo MP'!P418)</f>
        <v/>
      </c>
      <c r="BJ408" s="72" t="str">
        <f>IF('Cálculo MP'!Q418="","",'Cálculo MP'!Q418)</f>
        <v/>
      </c>
      <c r="BK408" s="72" t="str">
        <f>IF('Cálculo MP'!R418="","",'Cálculo MP'!R418)</f>
        <v/>
      </c>
      <c r="BL408" s="72" t="str">
        <f>IF('Cálculo MP'!S418="","",'Cálculo MP'!S418)</f>
        <v/>
      </c>
      <c r="BM408" s="71"/>
      <c r="BN408" s="71"/>
      <c r="BO408" s="71"/>
      <c r="BP408" s="71"/>
      <c r="BQ408" s="71"/>
      <c r="BR408" s="71"/>
      <c r="BS408" s="71"/>
    </row>
    <row r="409" spans="1:71" ht="19.5" customHeight="1" x14ac:dyDescent="0.15">
      <c r="A409" s="56" t="s">
        <v>985</v>
      </c>
      <c r="B409" s="57" t="s">
        <v>986</v>
      </c>
      <c r="C409" s="58" t="s">
        <v>985</v>
      </c>
      <c r="D409" s="59" t="s">
        <v>985</v>
      </c>
      <c r="E409" s="61"/>
      <c r="F409" s="60" t="s">
        <v>95</v>
      </c>
      <c r="G409" s="61"/>
      <c r="H409" s="62"/>
      <c r="I409" s="75"/>
      <c r="J409" s="60" t="s">
        <v>95</v>
      </c>
      <c r="K409" s="64"/>
      <c r="L409" s="64"/>
      <c r="M409" s="64" t="s">
        <v>96</v>
      </c>
      <c r="N409" s="64" t="s">
        <v>97</v>
      </c>
      <c r="O409" s="65" t="s">
        <v>986</v>
      </c>
      <c r="P409" s="70" t="s">
        <v>96</v>
      </c>
      <c r="Q409" s="60" t="s">
        <v>95</v>
      </c>
      <c r="R409" s="60" t="s">
        <v>96</v>
      </c>
      <c r="S409" s="66" t="s">
        <v>96</v>
      </c>
      <c r="T409" s="67" t="s">
        <v>96</v>
      </c>
      <c r="U409" s="60" t="s">
        <v>96</v>
      </c>
      <c r="V409" s="60" t="s">
        <v>96</v>
      </c>
      <c r="W409" s="60" t="str" cm="1">
        <f t="array" ref="W409">_xlfn.LET(_xlpm.resultados,_xlfn.UNIQUE(_xlfn._xlws.FILTER(Tabla1[Proceso],(Tabla1[Metal Base]=Q409)*(Tabla1[Etiquetas]=_xlfn.TEXTJOIN(" + ",TRUE,IF((TRIM(Upload!R409:V409)="")+(LOWER(TRIM(Upload!R409:V409))="(seleccione)"),"",PROPER(TRIM(Upload!R409:V409)))))*(Tabla1[Línea2]=IFERROR(VLOOKUP(Upload!P409&amp;"*",CAT_Procesos!D:D,1,FALSE),"")))),_xlpm.cantidad,ROWS(_xlpm.resultados),IF(ISERROR(_xlpm.cantidad),"Combinación no existente",IF(_xlpm.cantidad=1,INDEX(_xlpm.resultados,1),"(seleccione)")))</f>
        <v>Combinación no existente</v>
      </c>
      <c r="X409" s="67" t="s">
        <v>96</v>
      </c>
      <c r="Y409" s="64"/>
      <c r="Z409" s="64"/>
      <c r="AA409" s="64"/>
      <c r="AB409" s="133" t="s">
        <v>96</v>
      </c>
      <c r="AC409" s="64"/>
      <c r="AD409" s="64"/>
      <c r="AE409" s="64"/>
      <c r="AF409" s="60" t="s">
        <v>96</v>
      </c>
      <c r="AG409" s="64"/>
      <c r="AH409" s="64"/>
      <c r="AI409" s="64"/>
      <c r="AJ409" s="68" t="s">
        <v>96</v>
      </c>
      <c r="AK409" s="69" t="str">
        <f t="shared" si="12"/>
        <v/>
      </c>
      <c r="AL409" s="70" t="s">
        <v>96</v>
      </c>
      <c r="AM409" s="69" t="str">
        <f t="shared" si="13"/>
        <v/>
      </c>
      <c r="AN409" s="71"/>
      <c r="AO409" s="71"/>
      <c r="AP409" s="71"/>
      <c r="AQ409" s="71"/>
      <c r="AR409" s="71" t="s">
        <v>96</v>
      </c>
      <c r="AS409" s="71"/>
      <c r="AT409" s="71" t="s">
        <v>96</v>
      </c>
      <c r="AU409" s="71"/>
      <c r="AV409" s="71" t="s">
        <v>95</v>
      </c>
      <c r="AW409" s="71"/>
      <c r="AX409" s="71"/>
      <c r="AY409" s="71"/>
      <c r="AZ409" s="71"/>
      <c r="BA409" s="71"/>
      <c r="BB409" s="70" t="s">
        <v>218</v>
      </c>
      <c r="BC409" s="70" t="s">
        <v>98</v>
      </c>
      <c r="BD409" s="72" t="str">
        <f>IF('Cálculo MP'!K419="","",'Cálculo MP'!K419)</f>
        <v/>
      </c>
      <c r="BE409" s="72" t="str">
        <f>IF('Cálculo MP'!L419="","",'Cálculo MP'!L419)</f>
        <v/>
      </c>
      <c r="BF409" s="72" t="str">
        <f>IF('Cálculo MP'!M419="","",'Cálculo MP'!M419)</f>
        <v/>
      </c>
      <c r="BG409" s="72" t="str">
        <f>IF('Cálculo MP'!N419="","",'Cálculo MP'!N419)</f>
        <v/>
      </c>
      <c r="BH409" s="72" t="str">
        <f>IF('Cálculo MP'!O419="","",'Cálculo MP'!O419)</f>
        <v/>
      </c>
      <c r="BI409" s="72" t="str">
        <f>IF('Cálculo MP'!P419="","",'Cálculo MP'!P419)</f>
        <v/>
      </c>
      <c r="BJ409" s="72" t="str">
        <f>IF('Cálculo MP'!Q419="","",'Cálculo MP'!Q419)</f>
        <v/>
      </c>
      <c r="BK409" s="72" t="str">
        <f>IF('Cálculo MP'!R419="","",'Cálculo MP'!R419)</f>
        <v/>
      </c>
      <c r="BL409" s="72" t="str">
        <f>IF('Cálculo MP'!S419="","",'Cálculo MP'!S419)</f>
        <v/>
      </c>
      <c r="BM409" s="71"/>
      <c r="BN409" s="71"/>
      <c r="BO409" s="71"/>
      <c r="BP409" s="71"/>
      <c r="BQ409" s="71"/>
      <c r="BR409" s="71"/>
      <c r="BS409" s="71"/>
    </row>
    <row r="410" spans="1:71" ht="19.5" customHeight="1" x14ac:dyDescent="0.15">
      <c r="A410" s="56" t="s">
        <v>985</v>
      </c>
      <c r="B410" s="57" t="s">
        <v>986</v>
      </c>
      <c r="C410" s="58" t="s">
        <v>985</v>
      </c>
      <c r="D410" s="59" t="s">
        <v>985</v>
      </c>
      <c r="E410" s="61"/>
      <c r="F410" s="60" t="s">
        <v>95</v>
      </c>
      <c r="G410" s="61"/>
      <c r="H410" s="62"/>
      <c r="I410" s="75"/>
      <c r="J410" s="60" t="s">
        <v>95</v>
      </c>
      <c r="K410" s="64"/>
      <c r="L410" s="64"/>
      <c r="M410" s="64" t="s">
        <v>96</v>
      </c>
      <c r="N410" s="64" t="s">
        <v>97</v>
      </c>
      <c r="O410" s="65" t="s">
        <v>986</v>
      </c>
      <c r="P410" s="70" t="s">
        <v>96</v>
      </c>
      <c r="Q410" s="60" t="s">
        <v>95</v>
      </c>
      <c r="R410" s="60" t="s">
        <v>96</v>
      </c>
      <c r="S410" s="66" t="s">
        <v>96</v>
      </c>
      <c r="T410" s="67" t="s">
        <v>96</v>
      </c>
      <c r="U410" s="60" t="s">
        <v>96</v>
      </c>
      <c r="V410" s="60" t="s">
        <v>96</v>
      </c>
      <c r="W410" s="60" t="str" cm="1">
        <f t="array" ref="W410">_xlfn.LET(_xlpm.resultados,_xlfn.UNIQUE(_xlfn._xlws.FILTER(Tabla1[Proceso],(Tabla1[Metal Base]=Q410)*(Tabla1[Etiquetas]=_xlfn.TEXTJOIN(" + ",TRUE,IF((TRIM(Upload!R410:V410)="")+(LOWER(TRIM(Upload!R410:V410))="(seleccione)"),"",PROPER(TRIM(Upload!R410:V410)))))*(Tabla1[Línea2]=IFERROR(VLOOKUP(Upload!P410&amp;"*",CAT_Procesos!D:D,1,FALSE),"")))),_xlpm.cantidad,ROWS(_xlpm.resultados),IF(ISERROR(_xlpm.cantidad),"Combinación no existente",IF(_xlpm.cantidad=1,INDEX(_xlpm.resultados,1),"(seleccione)")))</f>
        <v>Combinación no existente</v>
      </c>
      <c r="X410" s="67" t="s">
        <v>96</v>
      </c>
      <c r="Y410" s="64"/>
      <c r="Z410" s="64"/>
      <c r="AA410" s="64"/>
      <c r="AB410" s="133" t="s">
        <v>96</v>
      </c>
      <c r="AC410" s="64"/>
      <c r="AD410" s="64"/>
      <c r="AE410" s="64"/>
      <c r="AF410" s="60" t="s">
        <v>96</v>
      </c>
      <c r="AG410" s="64"/>
      <c r="AH410" s="64"/>
      <c r="AI410" s="64"/>
      <c r="AJ410" s="68" t="s">
        <v>96</v>
      </c>
      <c r="AK410" s="69" t="str">
        <f t="shared" si="12"/>
        <v/>
      </c>
      <c r="AL410" s="70" t="s">
        <v>96</v>
      </c>
      <c r="AM410" s="69" t="str">
        <f t="shared" si="13"/>
        <v/>
      </c>
      <c r="AN410" s="71"/>
      <c r="AO410" s="71"/>
      <c r="AP410" s="71"/>
      <c r="AQ410" s="71"/>
      <c r="AR410" s="71" t="s">
        <v>96</v>
      </c>
      <c r="AS410" s="71"/>
      <c r="AT410" s="71" t="s">
        <v>96</v>
      </c>
      <c r="AU410" s="71"/>
      <c r="AV410" s="71" t="s">
        <v>95</v>
      </c>
      <c r="AW410" s="71"/>
      <c r="AX410" s="71"/>
      <c r="AY410" s="71"/>
      <c r="AZ410" s="71"/>
      <c r="BA410" s="71"/>
      <c r="BB410" s="70" t="s">
        <v>218</v>
      </c>
      <c r="BC410" s="70" t="s">
        <v>98</v>
      </c>
      <c r="BD410" s="72" t="str">
        <f>IF('Cálculo MP'!K420="","",'Cálculo MP'!K420)</f>
        <v/>
      </c>
      <c r="BE410" s="72" t="str">
        <f>IF('Cálculo MP'!L420="","",'Cálculo MP'!L420)</f>
        <v/>
      </c>
      <c r="BF410" s="72" t="str">
        <f>IF('Cálculo MP'!M420="","",'Cálculo MP'!M420)</f>
        <v/>
      </c>
      <c r="BG410" s="72" t="str">
        <f>IF('Cálculo MP'!N420="","",'Cálculo MP'!N420)</f>
        <v/>
      </c>
      <c r="BH410" s="72" t="str">
        <f>IF('Cálculo MP'!O420="","",'Cálculo MP'!O420)</f>
        <v/>
      </c>
      <c r="BI410" s="72" t="str">
        <f>IF('Cálculo MP'!P420="","",'Cálculo MP'!P420)</f>
        <v/>
      </c>
      <c r="BJ410" s="72" t="str">
        <f>IF('Cálculo MP'!Q420="","",'Cálculo MP'!Q420)</f>
        <v/>
      </c>
      <c r="BK410" s="72" t="str">
        <f>IF('Cálculo MP'!R420="","",'Cálculo MP'!R420)</f>
        <v/>
      </c>
      <c r="BL410" s="72" t="str">
        <f>IF('Cálculo MP'!S420="","",'Cálculo MP'!S420)</f>
        <v/>
      </c>
      <c r="BM410" s="71"/>
      <c r="BN410" s="71"/>
      <c r="BO410" s="71"/>
      <c r="BP410" s="71"/>
      <c r="BQ410" s="71"/>
      <c r="BR410" s="71"/>
      <c r="BS410" s="71"/>
    </row>
    <row r="411" spans="1:71" ht="19.5" customHeight="1" x14ac:dyDescent="0.15">
      <c r="A411" s="56" t="s">
        <v>985</v>
      </c>
      <c r="B411" s="57" t="s">
        <v>986</v>
      </c>
      <c r="C411" s="58" t="s">
        <v>985</v>
      </c>
      <c r="D411" s="59" t="s">
        <v>985</v>
      </c>
      <c r="E411" s="61"/>
      <c r="F411" s="60" t="s">
        <v>95</v>
      </c>
      <c r="G411" s="61"/>
      <c r="H411" s="62"/>
      <c r="I411" s="75"/>
      <c r="J411" s="60" t="s">
        <v>95</v>
      </c>
      <c r="K411" s="64"/>
      <c r="L411" s="64"/>
      <c r="M411" s="64" t="s">
        <v>96</v>
      </c>
      <c r="N411" s="64" t="s">
        <v>97</v>
      </c>
      <c r="O411" s="65" t="s">
        <v>986</v>
      </c>
      <c r="P411" s="70" t="s">
        <v>96</v>
      </c>
      <c r="Q411" s="60" t="s">
        <v>95</v>
      </c>
      <c r="R411" s="60" t="s">
        <v>96</v>
      </c>
      <c r="S411" s="66" t="s">
        <v>96</v>
      </c>
      <c r="T411" s="67" t="s">
        <v>96</v>
      </c>
      <c r="U411" s="60" t="s">
        <v>96</v>
      </c>
      <c r="V411" s="60" t="s">
        <v>96</v>
      </c>
      <c r="W411" s="60" t="str" cm="1">
        <f t="array" ref="W411">_xlfn.LET(_xlpm.resultados,_xlfn.UNIQUE(_xlfn._xlws.FILTER(Tabla1[Proceso],(Tabla1[Metal Base]=Q411)*(Tabla1[Etiquetas]=_xlfn.TEXTJOIN(" + ",TRUE,IF((TRIM(Upload!R411:V411)="")+(LOWER(TRIM(Upload!R411:V411))="(seleccione)"),"",PROPER(TRIM(Upload!R411:V411)))))*(Tabla1[Línea2]=IFERROR(VLOOKUP(Upload!P411&amp;"*",CAT_Procesos!D:D,1,FALSE),"")))),_xlpm.cantidad,ROWS(_xlpm.resultados),IF(ISERROR(_xlpm.cantidad),"Combinación no existente",IF(_xlpm.cantidad=1,INDEX(_xlpm.resultados,1),"(seleccione)")))</f>
        <v>Combinación no existente</v>
      </c>
      <c r="X411" s="67" t="s">
        <v>96</v>
      </c>
      <c r="Y411" s="64"/>
      <c r="Z411" s="64"/>
      <c r="AA411" s="64"/>
      <c r="AB411" s="133" t="s">
        <v>96</v>
      </c>
      <c r="AC411" s="64"/>
      <c r="AD411" s="64"/>
      <c r="AE411" s="64"/>
      <c r="AF411" s="60" t="s">
        <v>96</v>
      </c>
      <c r="AG411" s="64"/>
      <c r="AH411" s="64"/>
      <c r="AI411" s="64"/>
      <c r="AJ411" s="68" t="s">
        <v>96</v>
      </c>
      <c r="AK411" s="69" t="str">
        <f t="shared" si="12"/>
        <v/>
      </c>
      <c r="AL411" s="70" t="s">
        <v>96</v>
      </c>
      <c r="AM411" s="69" t="str">
        <f t="shared" si="13"/>
        <v/>
      </c>
      <c r="AN411" s="71"/>
      <c r="AO411" s="71"/>
      <c r="AP411" s="71"/>
      <c r="AQ411" s="71"/>
      <c r="AR411" s="71" t="s">
        <v>96</v>
      </c>
      <c r="AS411" s="71"/>
      <c r="AT411" s="71" t="s">
        <v>96</v>
      </c>
      <c r="AU411" s="71"/>
      <c r="AV411" s="71" t="s">
        <v>95</v>
      </c>
      <c r="AW411" s="71"/>
      <c r="AX411" s="71"/>
      <c r="AY411" s="71"/>
      <c r="AZ411" s="71"/>
      <c r="BA411" s="71"/>
      <c r="BB411" s="70" t="s">
        <v>218</v>
      </c>
      <c r="BC411" s="70" t="s">
        <v>98</v>
      </c>
      <c r="BD411" s="72" t="str">
        <f>IF('Cálculo MP'!K421="","",'Cálculo MP'!K421)</f>
        <v/>
      </c>
      <c r="BE411" s="72" t="str">
        <f>IF('Cálculo MP'!L421="","",'Cálculo MP'!L421)</f>
        <v/>
      </c>
      <c r="BF411" s="72" t="str">
        <f>IF('Cálculo MP'!M421="","",'Cálculo MP'!M421)</f>
        <v/>
      </c>
      <c r="BG411" s="72" t="str">
        <f>IF('Cálculo MP'!N421="","",'Cálculo MP'!N421)</f>
        <v/>
      </c>
      <c r="BH411" s="72" t="str">
        <f>IF('Cálculo MP'!O421="","",'Cálculo MP'!O421)</f>
        <v/>
      </c>
      <c r="BI411" s="72" t="str">
        <f>IF('Cálculo MP'!P421="","",'Cálculo MP'!P421)</f>
        <v/>
      </c>
      <c r="BJ411" s="72" t="str">
        <f>IF('Cálculo MP'!Q421="","",'Cálculo MP'!Q421)</f>
        <v/>
      </c>
      <c r="BK411" s="72" t="str">
        <f>IF('Cálculo MP'!R421="","",'Cálculo MP'!R421)</f>
        <v/>
      </c>
      <c r="BL411" s="72" t="str">
        <f>IF('Cálculo MP'!S421="","",'Cálculo MP'!S421)</f>
        <v/>
      </c>
      <c r="BM411" s="71"/>
      <c r="BN411" s="71"/>
      <c r="BO411" s="71"/>
      <c r="BP411" s="71"/>
      <c r="BQ411" s="71"/>
      <c r="BR411" s="71"/>
      <c r="BS411" s="71"/>
    </row>
    <row r="412" spans="1:71" ht="19.5" customHeight="1" x14ac:dyDescent="0.15">
      <c r="A412" s="56" t="s">
        <v>985</v>
      </c>
      <c r="B412" s="57" t="s">
        <v>986</v>
      </c>
      <c r="C412" s="58" t="s">
        <v>985</v>
      </c>
      <c r="D412" s="59" t="s">
        <v>985</v>
      </c>
      <c r="E412" s="61"/>
      <c r="F412" s="60" t="s">
        <v>95</v>
      </c>
      <c r="G412" s="61"/>
      <c r="H412" s="62"/>
      <c r="I412" s="75"/>
      <c r="J412" s="60" t="s">
        <v>95</v>
      </c>
      <c r="K412" s="64"/>
      <c r="L412" s="64"/>
      <c r="M412" s="64" t="s">
        <v>96</v>
      </c>
      <c r="N412" s="64" t="s">
        <v>97</v>
      </c>
      <c r="O412" s="65" t="s">
        <v>986</v>
      </c>
      <c r="P412" s="70" t="s">
        <v>96</v>
      </c>
      <c r="Q412" s="60" t="s">
        <v>95</v>
      </c>
      <c r="R412" s="60" t="s">
        <v>96</v>
      </c>
      <c r="S412" s="66" t="s">
        <v>96</v>
      </c>
      <c r="T412" s="67" t="s">
        <v>96</v>
      </c>
      <c r="U412" s="60" t="s">
        <v>96</v>
      </c>
      <c r="V412" s="60" t="s">
        <v>96</v>
      </c>
      <c r="W412" s="60" t="str" cm="1">
        <f t="array" ref="W412">_xlfn.LET(_xlpm.resultados,_xlfn.UNIQUE(_xlfn._xlws.FILTER(Tabla1[Proceso],(Tabla1[Metal Base]=Q412)*(Tabla1[Etiquetas]=_xlfn.TEXTJOIN(" + ",TRUE,IF((TRIM(Upload!R412:V412)="")+(LOWER(TRIM(Upload!R412:V412))="(seleccione)"),"",PROPER(TRIM(Upload!R412:V412)))))*(Tabla1[Línea2]=IFERROR(VLOOKUP(Upload!P412&amp;"*",CAT_Procesos!D:D,1,FALSE),"")))),_xlpm.cantidad,ROWS(_xlpm.resultados),IF(ISERROR(_xlpm.cantidad),"Combinación no existente",IF(_xlpm.cantidad=1,INDEX(_xlpm.resultados,1),"(seleccione)")))</f>
        <v>Combinación no existente</v>
      </c>
      <c r="X412" s="67" t="s">
        <v>96</v>
      </c>
      <c r="Y412" s="64"/>
      <c r="Z412" s="64"/>
      <c r="AA412" s="64"/>
      <c r="AB412" s="133" t="s">
        <v>96</v>
      </c>
      <c r="AC412" s="64"/>
      <c r="AD412" s="64"/>
      <c r="AE412" s="64"/>
      <c r="AF412" s="60" t="s">
        <v>96</v>
      </c>
      <c r="AG412" s="64"/>
      <c r="AH412" s="64"/>
      <c r="AI412" s="64"/>
      <c r="AJ412" s="68" t="s">
        <v>96</v>
      </c>
      <c r="AK412" s="69" t="str">
        <f t="shared" si="12"/>
        <v/>
      </c>
      <c r="AL412" s="70" t="s">
        <v>96</v>
      </c>
      <c r="AM412" s="69" t="str">
        <f t="shared" si="13"/>
        <v/>
      </c>
      <c r="AN412" s="71"/>
      <c r="AO412" s="71"/>
      <c r="AP412" s="71"/>
      <c r="AQ412" s="71"/>
      <c r="AR412" s="71" t="s">
        <v>96</v>
      </c>
      <c r="AS412" s="71"/>
      <c r="AT412" s="71" t="s">
        <v>96</v>
      </c>
      <c r="AU412" s="71"/>
      <c r="AV412" s="71" t="s">
        <v>95</v>
      </c>
      <c r="AW412" s="71"/>
      <c r="AX412" s="71"/>
      <c r="AY412" s="71"/>
      <c r="AZ412" s="71"/>
      <c r="BA412" s="71"/>
      <c r="BB412" s="70" t="s">
        <v>218</v>
      </c>
      <c r="BC412" s="70" t="s">
        <v>98</v>
      </c>
      <c r="BD412" s="72" t="str">
        <f>IF('Cálculo MP'!K422="","",'Cálculo MP'!K422)</f>
        <v/>
      </c>
      <c r="BE412" s="72" t="str">
        <f>IF('Cálculo MP'!L422="","",'Cálculo MP'!L422)</f>
        <v/>
      </c>
      <c r="BF412" s="72" t="str">
        <f>IF('Cálculo MP'!M422="","",'Cálculo MP'!M422)</f>
        <v/>
      </c>
      <c r="BG412" s="72" t="str">
        <f>IF('Cálculo MP'!N422="","",'Cálculo MP'!N422)</f>
        <v/>
      </c>
      <c r="BH412" s="72" t="str">
        <f>IF('Cálculo MP'!O422="","",'Cálculo MP'!O422)</f>
        <v/>
      </c>
      <c r="BI412" s="72" t="str">
        <f>IF('Cálculo MP'!P422="","",'Cálculo MP'!P422)</f>
        <v/>
      </c>
      <c r="BJ412" s="72" t="str">
        <f>IF('Cálculo MP'!Q422="","",'Cálculo MP'!Q422)</f>
        <v/>
      </c>
      <c r="BK412" s="72" t="str">
        <f>IF('Cálculo MP'!R422="","",'Cálculo MP'!R422)</f>
        <v/>
      </c>
      <c r="BL412" s="72" t="str">
        <f>IF('Cálculo MP'!S422="","",'Cálculo MP'!S422)</f>
        <v/>
      </c>
      <c r="BM412" s="71"/>
      <c r="BN412" s="71"/>
      <c r="BO412" s="71"/>
      <c r="BP412" s="71"/>
      <c r="BQ412" s="71"/>
      <c r="BR412" s="71"/>
      <c r="BS412" s="71"/>
    </row>
    <row r="413" spans="1:71" ht="19.5" customHeight="1" x14ac:dyDescent="0.15">
      <c r="A413" s="56" t="s">
        <v>985</v>
      </c>
      <c r="B413" s="57" t="s">
        <v>986</v>
      </c>
      <c r="C413" s="58" t="s">
        <v>985</v>
      </c>
      <c r="D413" s="59" t="s">
        <v>985</v>
      </c>
      <c r="E413" s="61"/>
      <c r="F413" s="60" t="s">
        <v>95</v>
      </c>
      <c r="G413" s="61"/>
      <c r="H413" s="62"/>
      <c r="I413" s="75"/>
      <c r="J413" s="60" t="s">
        <v>95</v>
      </c>
      <c r="K413" s="64"/>
      <c r="L413" s="64"/>
      <c r="M413" s="64" t="s">
        <v>96</v>
      </c>
      <c r="N413" s="64" t="s">
        <v>97</v>
      </c>
      <c r="O413" s="65" t="s">
        <v>986</v>
      </c>
      <c r="P413" s="70" t="s">
        <v>96</v>
      </c>
      <c r="Q413" s="60" t="s">
        <v>95</v>
      </c>
      <c r="R413" s="60" t="s">
        <v>96</v>
      </c>
      <c r="S413" s="66" t="s">
        <v>96</v>
      </c>
      <c r="T413" s="67" t="s">
        <v>96</v>
      </c>
      <c r="U413" s="60" t="s">
        <v>96</v>
      </c>
      <c r="V413" s="60" t="s">
        <v>96</v>
      </c>
      <c r="W413" s="60" t="str" cm="1">
        <f t="array" ref="W413">_xlfn.LET(_xlpm.resultados,_xlfn.UNIQUE(_xlfn._xlws.FILTER(Tabla1[Proceso],(Tabla1[Metal Base]=Q413)*(Tabla1[Etiquetas]=_xlfn.TEXTJOIN(" + ",TRUE,IF((TRIM(Upload!R413:V413)="")+(LOWER(TRIM(Upload!R413:V413))="(seleccione)"),"",PROPER(TRIM(Upload!R413:V413)))))*(Tabla1[Línea2]=IFERROR(VLOOKUP(Upload!P413&amp;"*",CAT_Procesos!D:D,1,FALSE),"")))),_xlpm.cantidad,ROWS(_xlpm.resultados),IF(ISERROR(_xlpm.cantidad),"Combinación no existente",IF(_xlpm.cantidad=1,INDEX(_xlpm.resultados,1),"(seleccione)")))</f>
        <v>Combinación no existente</v>
      </c>
      <c r="X413" s="67" t="s">
        <v>96</v>
      </c>
      <c r="Y413" s="64"/>
      <c r="Z413" s="64"/>
      <c r="AA413" s="64"/>
      <c r="AB413" s="133" t="s">
        <v>96</v>
      </c>
      <c r="AC413" s="64"/>
      <c r="AD413" s="64"/>
      <c r="AE413" s="64"/>
      <c r="AF413" s="60" t="s">
        <v>96</v>
      </c>
      <c r="AG413" s="64"/>
      <c r="AH413" s="64"/>
      <c r="AI413" s="64"/>
      <c r="AJ413" s="68" t="s">
        <v>96</v>
      </c>
      <c r="AK413" s="69" t="str">
        <f t="shared" si="12"/>
        <v/>
      </c>
      <c r="AL413" s="70" t="s">
        <v>96</v>
      </c>
      <c r="AM413" s="69" t="str">
        <f t="shared" si="13"/>
        <v/>
      </c>
      <c r="AN413" s="71"/>
      <c r="AO413" s="71"/>
      <c r="AP413" s="71"/>
      <c r="AQ413" s="71"/>
      <c r="AR413" s="71" t="s">
        <v>96</v>
      </c>
      <c r="AS413" s="71"/>
      <c r="AT413" s="71" t="s">
        <v>96</v>
      </c>
      <c r="AU413" s="71"/>
      <c r="AV413" s="71" t="s">
        <v>95</v>
      </c>
      <c r="AW413" s="71"/>
      <c r="AX413" s="71"/>
      <c r="AY413" s="71"/>
      <c r="AZ413" s="71"/>
      <c r="BA413" s="71"/>
      <c r="BB413" s="70" t="s">
        <v>218</v>
      </c>
      <c r="BC413" s="70" t="s">
        <v>98</v>
      </c>
      <c r="BD413" s="72" t="str">
        <f>IF('Cálculo MP'!K423="","",'Cálculo MP'!K423)</f>
        <v/>
      </c>
      <c r="BE413" s="72" t="str">
        <f>IF('Cálculo MP'!L423="","",'Cálculo MP'!L423)</f>
        <v/>
      </c>
      <c r="BF413" s="72" t="str">
        <f>IF('Cálculo MP'!M423="","",'Cálculo MP'!M423)</f>
        <v/>
      </c>
      <c r="BG413" s="72" t="str">
        <f>IF('Cálculo MP'!N423="","",'Cálculo MP'!N423)</f>
        <v/>
      </c>
      <c r="BH413" s="72" t="str">
        <f>IF('Cálculo MP'!O423="","",'Cálculo MP'!O423)</f>
        <v/>
      </c>
      <c r="BI413" s="72" t="str">
        <f>IF('Cálculo MP'!P423="","",'Cálculo MP'!P423)</f>
        <v/>
      </c>
      <c r="BJ413" s="72" t="str">
        <f>IF('Cálculo MP'!Q423="","",'Cálculo MP'!Q423)</f>
        <v/>
      </c>
      <c r="BK413" s="72" t="str">
        <f>IF('Cálculo MP'!R423="","",'Cálculo MP'!R423)</f>
        <v/>
      </c>
      <c r="BL413" s="72" t="str">
        <f>IF('Cálculo MP'!S423="","",'Cálculo MP'!S423)</f>
        <v/>
      </c>
      <c r="BM413" s="71"/>
      <c r="BN413" s="71"/>
      <c r="BO413" s="71"/>
      <c r="BP413" s="71"/>
      <c r="BQ413" s="71"/>
      <c r="BR413" s="71"/>
      <c r="BS413" s="71"/>
    </row>
    <row r="414" spans="1:71" ht="19.5" customHeight="1" x14ac:dyDescent="0.15">
      <c r="A414" s="56" t="s">
        <v>985</v>
      </c>
      <c r="B414" s="57" t="s">
        <v>986</v>
      </c>
      <c r="C414" s="58" t="s">
        <v>985</v>
      </c>
      <c r="D414" s="59" t="s">
        <v>985</v>
      </c>
      <c r="E414" s="61"/>
      <c r="F414" s="60" t="s">
        <v>95</v>
      </c>
      <c r="G414" s="61"/>
      <c r="H414" s="62"/>
      <c r="I414" s="75"/>
      <c r="J414" s="60" t="s">
        <v>95</v>
      </c>
      <c r="K414" s="64"/>
      <c r="L414" s="64"/>
      <c r="M414" s="64" t="s">
        <v>96</v>
      </c>
      <c r="N414" s="64" t="s">
        <v>97</v>
      </c>
      <c r="O414" s="65" t="s">
        <v>986</v>
      </c>
      <c r="P414" s="70" t="s">
        <v>96</v>
      </c>
      <c r="Q414" s="60" t="s">
        <v>95</v>
      </c>
      <c r="R414" s="60" t="s">
        <v>96</v>
      </c>
      <c r="S414" s="66" t="s">
        <v>96</v>
      </c>
      <c r="T414" s="67" t="s">
        <v>96</v>
      </c>
      <c r="U414" s="60" t="s">
        <v>96</v>
      </c>
      <c r="V414" s="60" t="s">
        <v>96</v>
      </c>
      <c r="W414" s="60" t="str" cm="1">
        <f t="array" ref="W414">_xlfn.LET(_xlpm.resultados,_xlfn.UNIQUE(_xlfn._xlws.FILTER(Tabla1[Proceso],(Tabla1[Metal Base]=Q414)*(Tabla1[Etiquetas]=_xlfn.TEXTJOIN(" + ",TRUE,IF((TRIM(Upload!R414:V414)="")+(LOWER(TRIM(Upload!R414:V414))="(seleccione)"),"",PROPER(TRIM(Upload!R414:V414)))))*(Tabla1[Línea2]=IFERROR(VLOOKUP(Upload!P414&amp;"*",CAT_Procesos!D:D,1,FALSE),"")))),_xlpm.cantidad,ROWS(_xlpm.resultados),IF(ISERROR(_xlpm.cantidad),"Combinación no existente",IF(_xlpm.cantidad=1,INDEX(_xlpm.resultados,1),"(seleccione)")))</f>
        <v>Combinación no existente</v>
      </c>
      <c r="X414" s="67" t="s">
        <v>96</v>
      </c>
      <c r="Y414" s="64"/>
      <c r="Z414" s="64"/>
      <c r="AA414" s="64"/>
      <c r="AB414" s="133" t="s">
        <v>96</v>
      </c>
      <c r="AC414" s="64"/>
      <c r="AD414" s="64"/>
      <c r="AE414" s="64"/>
      <c r="AF414" s="60" t="s">
        <v>96</v>
      </c>
      <c r="AG414" s="64"/>
      <c r="AH414" s="64"/>
      <c r="AI414" s="64"/>
      <c r="AJ414" s="68" t="s">
        <v>96</v>
      </c>
      <c r="AK414" s="69" t="str">
        <f t="shared" si="12"/>
        <v/>
      </c>
      <c r="AL414" s="70" t="s">
        <v>96</v>
      </c>
      <c r="AM414" s="69" t="str">
        <f t="shared" si="13"/>
        <v/>
      </c>
      <c r="AN414" s="71"/>
      <c r="AO414" s="71"/>
      <c r="AP414" s="71"/>
      <c r="AQ414" s="71"/>
      <c r="AR414" s="71" t="s">
        <v>96</v>
      </c>
      <c r="AS414" s="71"/>
      <c r="AT414" s="71" t="s">
        <v>96</v>
      </c>
      <c r="AU414" s="71"/>
      <c r="AV414" s="71" t="s">
        <v>95</v>
      </c>
      <c r="AW414" s="71"/>
      <c r="AX414" s="71"/>
      <c r="AY414" s="71"/>
      <c r="AZ414" s="71"/>
      <c r="BA414" s="71"/>
      <c r="BB414" s="70" t="s">
        <v>218</v>
      </c>
      <c r="BC414" s="70" t="s">
        <v>98</v>
      </c>
      <c r="BD414" s="72" t="str">
        <f>IF('Cálculo MP'!K424="","",'Cálculo MP'!K424)</f>
        <v/>
      </c>
      <c r="BE414" s="72" t="str">
        <f>IF('Cálculo MP'!L424="","",'Cálculo MP'!L424)</f>
        <v/>
      </c>
      <c r="BF414" s="72" t="str">
        <f>IF('Cálculo MP'!M424="","",'Cálculo MP'!M424)</f>
        <v/>
      </c>
      <c r="BG414" s="72" t="str">
        <f>IF('Cálculo MP'!N424="","",'Cálculo MP'!N424)</f>
        <v/>
      </c>
      <c r="BH414" s="72" t="str">
        <f>IF('Cálculo MP'!O424="","",'Cálculo MP'!O424)</f>
        <v/>
      </c>
      <c r="BI414" s="72" t="str">
        <f>IF('Cálculo MP'!P424="","",'Cálculo MP'!P424)</f>
        <v/>
      </c>
      <c r="BJ414" s="72" t="str">
        <f>IF('Cálculo MP'!Q424="","",'Cálculo MP'!Q424)</f>
        <v/>
      </c>
      <c r="BK414" s="72" t="str">
        <f>IF('Cálculo MP'!R424="","",'Cálculo MP'!R424)</f>
        <v/>
      </c>
      <c r="BL414" s="72" t="str">
        <f>IF('Cálculo MP'!S424="","",'Cálculo MP'!S424)</f>
        <v/>
      </c>
      <c r="BM414" s="71"/>
      <c r="BN414" s="71"/>
      <c r="BO414" s="71"/>
      <c r="BP414" s="71"/>
      <c r="BQ414" s="71"/>
      <c r="BR414" s="71"/>
      <c r="BS414" s="71"/>
    </row>
    <row r="415" spans="1:71" ht="19.5" customHeight="1" x14ac:dyDescent="0.15">
      <c r="A415" s="56" t="s">
        <v>985</v>
      </c>
      <c r="B415" s="57" t="s">
        <v>986</v>
      </c>
      <c r="C415" s="58" t="s">
        <v>985</v>
      </c>
      <c r="D415" s="59" t="s">
        <v>985</v>
      </c>
      <c r="E415" s="61"/>
      <c r="F415" s="60" t="s">
        <v>95</v>
      </c>
      <c r="G415" s="61"/>
      <c r="H415" s="62"/>
      <c r="I415" s="75"/>
      <c r="J415" s="60" t="s">
        <v>95</v>
      </c>
      <c r="K415" s="64"/>
      <c r="L415" s="64"/>
      <c r="M415" s="64" t="s">
        <v>96</v>
      </c>
      <c r="N415" s="64" t="s">
        <v>97</v>
      </c>
      <c r="O415" s="65" t="s">
        <v>986</v>
      </c>
      <c r="P415" s="70" t="s">
        <v>96</v>
      </c>
      <c r="Q415" s="60" t="s">
        <v>95</v>
      </c>
      <c r="R415" s="60" t="s">
        <v>96</v>
      </c>
      <c r="S415" s="66" t="s">
        <v>96</v>
      </c>
      <c r="T415" s="67" t="s">
        <v>96</v>
      </c>
      <c r="U415" s="60" t="s">
        <v>96</v>
      </c>
      <c r="V415" s="60" t="s">
        <v>96</v>
      </c>
      <c r="W415" s="60" t="str" cm="1">
        <f t="array" ref="W415">_xlfn.LET(_xlpm.resultados,_xlfn.UNIQUE(_xlfn._xlws.FILTER(Tabla1[Proceso],(Tabla1[Metal Base]=Q415)*(Tabla1[Etiquetas]=_xlfn.TEXTJOIN(" + ",TRUE,IF((TRIM(Upload!R415:V415)="")+(LOWER(TRIM(Upload!R415:V415))="(seleccione)"),"",PROPER(TRIM(Upload!R415:V415)))))*(Tabla1[Línea2]=IFERROR(VLOOKUP(Upload!P415&amp;"*",CAT_Procesos!D:D,1,FALSE),"")))),_xlpm.cantidad,ROWS(_xlpm.resultados),IF(ISERROR(_xlpm.cantidad),"Combinación no existente",IF(_xlpm.cantidad=1,INDEX(_xlpm.resultados,1),"(seleccione)")))</f>
        <v>Combinación no existente</v>
      </c>
      <c r="X415" s="67" t="s">
        <v>96</v>
      </c>
      <c r="Y415" s="64"/>
      <c r="Z415" s="64"/>
      <c r="AA415" s="64"/>
      <c r="AB415" s="133" t="s">
        <v>96</v>
      </c>
      <c r="AC415" s="64"/>
      <c r="AD415" s="64"/>
      <c r="AE415" s="64"/>
      <c r="AF415" s="60" t="s">
        <v>96</v>
      </c>
      <c r="AG415" s="64"/>
      <c r="AH415" s="64"/>
      <c r="AI415" s="64"/>
      <c r="AJ415" s="68" t="s">
        <v>96</v>
      </c>
      <c r="AK415" s="69" t="str">
        <f t="shared" si="12"/>
        <v/>
      </c>
      <c r="AL415" s="70" t="s">
        <v>96</v>
      </c>
      <c r="AM415" s="69" t="str">
        <f t="shared" si="13"/>
        <v/>
      </c>
      <c r="AN415" s="71"/>
      <c r="AO415" s="71"/>
      <c r="AP415" s="71"/>
      <c r="AQ415" s="71"/>
      <c r="AR415" s="71" t="s">
        <v>96</v>
      </c>
      <c r="AS415" s="71"/>
      <c r="AT415" s="71" t="s">
        <v>96</v>
      </c>
      <c r="AU415" s="71"/>
      <c r="AV415" s="71" t="s">
        <v>95</v>
      </c>
      <c r="AW415" s="71"/>
      <c r="AX415" s="71"/>
      <c r="AY415" s="71"/>
      <c r="AZ415" s="71"/>
      <c r="BA415" s="71"/>
      <c r="BB415" s="70" t="s">
        <v>218</v>
      </c>
      <c r="BC415" s="70" t="s">
        <v>98</v>
      </c>
      <c r="BD415" s="72" t="str">
        <f>IF('Cálculo MP'!K425="","",'Cálculo MP'!K425)</f>
        <v/>
      </c>
      <c r="BE415" s="72" t="str">
        <f>IF('Cálculo MP'!L425="","",'Cálculo MP'!L425)</f>
        <v/>
      </c>
      <c r="BF415" s="72" t="str">
        <f>IF('Cálculo MP'!M425="","",'Cálculo MP'!M425)</f>
        <v/>
      </c>
      <c r="BG415" s="72" t="str">
        <f>IF('Cálculo MP'!N425="","",'Cálculo MP'!N425)</f>
        <v/>
      </c>
      <c r="BH415" s="72" t="str">
        <f>IF('Cálculo MP'!O425="","",'Cálculo MP'!O425)</f>
        <v/>
      </c>
      <c r="BI415" s="72" t="str">
        <f>IF('Cálculo MP'!P425="","",'Cálculo MP'!P425)</f>
        <v/>
      </c>
      <c r="BJ415" s="72" t="str">
        <f>IF('Cálculo MP'!Q425="","",'Cálculo MP'!Q425)</f>
        <v/>
      </c>
      <c r="BK415" s="72" t="str">
        <f>IF('Cálculo MP'!R425="","",'Cálculo MP'!R425)</f>
        <v/>
      </c>
      <c r="BL415" s="72" t="str">
        <f>IF('Cálculo MP'!S425="","",'Cálculo MP'!S425)</f>
        <v/>
      </c>
      <c r="BM415" s="71"/>
      <c r="BN415" s="71"/>
      <c r="BO415" s="71"/>
      <c r="BP415" s="71"/>
      <c r="BQ415" s="71"/>
      <c r="BR415" s="71"/>
      <c r="BS415" s="71"/>
    </row>
    <row r="416" spans="1:71" ht="19.5" customHeight="1" x14ac:dyDescent="0.15">
      <c r="A416" s="56" t="s">
        <v>985</v>
      </c>
      <c r="B416" s="57" t="s">
        <v>986</v>
      </c>
      <c r="C416" s="58" t="s">
        <v>985</v>
      </c>
      <c r="D416" s="59" t="s">
        <v>985</v>
      </c>
      <c r="E416" s="61"/>
      <c r="F416" s="60" t="s">
        <v>95</v>
      </c>
      <c r="G416" s="61"/>
      <c r="H416" s="62"/>
      <c r="I416" s="75"/>
      <c r="J416" s="60" t="s">
        <v>95</v>
      </c>
      <c r="K416" s="64"/>
      <c r="L416" s="64"/>
      <c r="M416" s="64" t="s">
        <v>96</v>
      </c>
      <c r="N416" s="64" t="s">
        <v>97</v>
      </c>
      <c r="O416" s="65" t="s">
        <v>986</v>
      </c>
      <c r="P416" s="70" t="s">
        <v>96</v>
      </c>
      <c r="Q416" s="60" t="s">
        <v>95</v>
      </c>
      <c r="R416" s="60" t="s">
        <v>96</v>
      </c>
      <c r="S416" s="66" t="s">
        <v>96</v>
      </c>
      <c r="T416" s="67" t="s">
        <v>96</v>
      </c>
      <c r="U416" s="60" t="s">
        <v>96</v>
      </c>
      <c r="V416" s="60" t="s">
        <v>96</v>
      </c>
      <c r="W416" s="60" t="str" cm="1">
        <f t="array" ref="W416">_xlfn.LET(_xlpm.resultados,_xlfn.UNIQUE(_xlfn._xlws.FILTER(Tabla1[Proceso],(Tabla1[Metal Base]=Q416)*(Tabla1[Etiquetas]=_xlfn.TEXTJOIN(" + ",TRUE,IF((TRIM(Upload!R416:V416)="")+(LOWER(TRIM(Upload!R416:V416))="(seleccione)"),"",PROPER(TRIM(Upload!R416:V416)))))*(Tabla1[Línea2]=IFERROR(VLOOKUP(Upload!P416&amp;"*",CAT_Procesos!D:D,1,FALSE),"")))),_xlpm.cantidad,ROWS(_xlpm.resultados),IF(ISERROR(_xlpm.cantidad),"Combinación no existente",IF(_xlpm.cantidad=1,INDEX(_xlpm.resultados,1),"(seleccione)")))</f>
        <v>Combinación no existente</v>
      </c>
      <c r="X416" s="67" t="s">
        <v>96</v>
      </c>
      <c r="Y416" s="64"/>
      <c r="Z416" s="64"/>
      <c r="AA416" s="64"/>
      <c r="AB416" s="133" t="s">
        <v>96</v>
      </c>
      <c r="AC416" s="64"/>
      <c r="AD416" s="64"/>
      <c r="AE416" s="64"/>
      <c r="AF416" s="60" t="s">
        <v>96</v>
      </c>
      <c r="AG416" s="64"/>
      <c r="AH416" s="64"/>
      <c r="AI416" s="64"/>
      <c r="AJ416" s="68" t="s">
        <v>96</v>
      </c>
      <c r="AK416" s="69" t="str">
        <f t="shared" si="12"/>
        <v/>
      </c>
      <c r="AL416" s="70" t="s">
        <v>96</v>
      </c>
      <c r="AM416" s="69" t="str">
        <f t="shared" si="13"/>
        <v/>
      </c>
      <c r="AN416" s="71"/>
      <c r="AO416" s="71"/>
      <c r="AP416" s="71"/>
      <c r="AQ416" s="71"/>
      <c r="AR416" s="71" t="s">
        <v>96</v>
      </c>
      <c r="AS416" s="71"/>
      <c r="AT416" s="71" t="s">
        <v>96</v>
      </c>
      <c r="AU416" s="71"/>
      <c r="AV416" s="71" t="s">
        <v>95</v>
      </c>
      <c r="AW416" s="71"/>
      <c r="AX416" s="71"/>
      <c r="AY416" s="71"/>
      <c r="AZ416" s="71"/>
      <c r="BA416" s="71"/>
      <c r="BB416" s="70" t="s">
        <v>218</v>
      </c>
      <c r="BC416" s="70" t="s">
        <v>98</v>
      </c>
      <c r="BD416" s="72" t="str">
        <f>IF('Cálculo MP'!K426="","",'Cálculo MP'!K426)</f>
        <v/>
      </c>
      <c r="BE416" s="72" t="str">
        <f>IF('Cálculo MP'!L426="","",'Cálculo MP'!L426)</f>
        <v/>
      </c>
      <c r="BF416" s="72" t="str">
        <f>IF('Cálculo MP'!M426="","",'Cálculo MP'!M426)</f>
        <v/>
      </c>
      <c r="BG416" s="72" t="str">
        <f>IF('Cálculo MP'!N426="","",'Cálculo MP'!N426)</f>
        <v/>
      </c>
      <c r="BH416" s="72" t="str">
        <f>IF('Cálculo MP'!O426="","",'Cálculo MP'!O426)</f>
        <v/>
      </c>
      <c r="BI416" s="72" t="str">
        <f>IF('Cálculo MP'!P426="","",'Cálculo MP'!P426)</f>
        <v/>
      </c>
      <c r="BJ416" s="72" t="str">
        <f>IF('Cálculo MP'!Q426="","",'Cálculo MP'!Q426)</f>
        <v/>
      </c>
      <c r="BK416" s="72" t="str">
        <f>IF('Cálculo MP'!R426="","",'Cálculo MP'!R426)</f>
        <v/>
      </c>
      <c r="BL416" s="72" t="str">
        <f>IF('Cálculo MP'!S426="","",'Cálculo MP'!S426)</f>
        <v/>
      </c>
      <c r="BM416" s="71"/>
      <c r="BN416" s="71"/>
      <c r="BO416" s="71"/>
      <c r="BP416" s="71"/>
      <c r="BQ416" s="71"/>
      <c r="BR416" s="71"/>
      <c r="BS416" s="71"/>
    </row>
    <row r="417" spans="1:71" ht="19.5" customHeight="1" x14ac:dyDescent="0.15">
      <c r="A417" s="56" t="s">
        <v>985</v>
      </c>
      <c r="B417" s="57" t="s">
        <v>986</v>
      </c>
      <c r="C417" s="58" t="s">
        <v>985</v>
      </c>
      <c r="D417" s="59" t="s">
        <v>985</v>
      </c>
      <c r="E417" s="61"/>
      <c r="F417" s="60" t="s">
        <v>95</v>
      </c>
      <c r="G417" s="61"/>
      <c r="H417" s="62"/>
      <c r="I417" s="75"/>
      <c r="J417" s="60" t="s">
        <v>95</v>
      </c>
      <c r="K417" s="64"/>
      <c r="L417" s="64"/>
      <c r="M417" s="64" t="s">
        <v>96</v>
      </c>
      <c r="N417" s="64" t="s">
        <v>97</v>
      </c>
      <c r="O417" s="65" t="s">
        <v>986</v>
      </c>
      <c r="P417" s="70" t="s">
        <v>96</v>
      </c>
      <c r="Q417" s="60" t="s">
        <v>95</v>
      </c>
      <c r="R417" s="60" t="s">
        <v>96</v>
      </c>
      <c r="S417" s="66" t="s">
        <v>96</v>
      </c>
      <c r="T417" s="67" t="s">
        <v>96</v>
      </c>
      <c r="U417" s="60" t="s">
        <v>96</v>
      </c>
      <c r="V417" s="60" t="s">
        <v>96</v>
      </c>
      <c r="W417" s="60" t="str" cm="1">
        <f t="array" ref="W417">_xlfn.LET(_xlpm.resultados,_xlfn.UNIQUE(_xlfn._xlws.FILTER(Tabla1[Proceso],(Tabla1[Metal Base]=Q417)*(Tabla1[Etiquetas]=_xlfn.TEXTJOIN(" + ",TRUE,IF((TRIM(Upload!R417:V417)="")+(LOWER(TRIM(Upload!R417:V417))="(seleccione)"),"",PROPER(TRIM(Upload!R417:V417)))))*(Tabla1[Línea2]=IFERROR(VLOOKUP(Upload!P417&amp;"*",CAT_Procesos!D:D,1,FALSE),"")))),_xlpm.cantidad,ROWS(_xlpm.resultados),IF(ISERROR(_xlpm.cantidad),"Combinación no existente",IF(_xlpm.cantidad=1,INDEX(_xlpm.resultados,1),"(seleccione)")))</f>
        <v>Combinación no existente</v>
      </c>
      <c r="X417" s="67" t="s">
        <v>96</v>
      </c>
      <c r="Y417" s="64"/>
      <c r="Z417" s="64"/>
      <c r="AA417" s="64"/>
      <c r="AB417" s="133" t="s">
        <v>96</v>
      </c>
      <c r="AC417" s="64"/>
      <c r="AD417" s="64"/>
      <c r="AE417" s="64"/>
      <c r="AF417" s="60" t="s">
        <v>96</v>
      </c>
      <c r="AG417" s="64"/>
      <c r="AH417" s="64"/>
      <c r="AI417" s="64"/>
      <c r="AJ417" s="68" t="s">
        <v>96</v>
      </c>
      <c r="AK417" s="69" t="str">
        <f t="shared" si="12"/>
        <v/>
      </c>
      <c r="AL417" s="70" t="s">
        <v>96</v>
      </c>
      <c r="AM417" s="69" t="str">
        <f t="shared" si="13"/>
        <v/>
      </c>
      <c r="AN417" s="71"/>
      <c r="AO417" s="71"/>
      <c r="AP417" s="71"/>
      <c r="AQ417" s="71"/>
      <c r="AR417" s="71" t="s">
        <v>96</v>
      </c>
      <c r="AS417" s="71"/>
      <c r="AT417" s="71" t="s">
        <v>96</v>
      </c>
      <c r="AU417" s="71"/>
      <c r="AV417" s="71" t="s">
        <v>95</v>
      </c>
      <c r="AW417" s="71"/>
      <c r="AX417" s="71"/>
      <c r="AY417" s="71"/>
      <c r="AZ417" s="71"/>
      <c r="BA417" s="71"/>
      <c r="BB417" s="70" t="s">
        <v>218</v>
      </c>
      <c r="BC417" s="70" t="s">
        <v>98</v>
      </c>
      <c r="BD417" s="72" t="str">
        <f>IF('Cálculo MP'!K427="","",'Cálculo MP'!K427)</f>
        <v/>
      </c>
      <c r="BE417" s="72" t="str">
        <f>IF('Cálculo MP'!L427="","",'Cálculo MP'!L427)</f>
        <v/>
      </c>
      <c r="BF417" s="72" t="str">
        <f>IF('Cálculo MP'!M427="","",'Cálculo MP'!M427)</f>
        <v/>
      </c>
      <c r="BG417" s="72" t="str">
        <f>IF('Cálculo MP'!N427="","",'Cálculo MP'!N427)</f>
        <v/>
      </c>
      <c r="BH417" s="72" t="str">
        <f>IF('Cálculo MP'!O427="","",'Cálculo MP'!O427)</f>
        <v/>
      </c>
      <c r="BI417" s="72" t="str">
        <f>IF('Cálculo MP'!P427="","",'Cálculo MP'!P427)</f>
        <v/>
      </c>
      <c r="BJ417" s="72" t="str">
        <f>IF('Cálculo MP'!Q427="","",'Cálculo MP'!Q427)</f>
        <v/>
      </c>
      <c r="BK417" s="72" t="str">
        <f>IF('Cálculo MP'!R427="","",'Cálculo MP'!R427)</f>
        <v/>
      </c>
      <c r="BL417" s="72" t="str">
        <f>IF('Cálculo MP'!S427="","",'Cálculo MP'!S427)</f>
        <v/>
      </c>
      <c r="BM417" s="71"/>
      <c r="BN417" s="71"/>
      <c r="BO417" s="71"/>
      <c r="BP417" s="71"/>
      <c r="BQ417" s="71"/>
      <c r="BR417" s="71"/>
      <c r="BS417" s="71"/>
    </row>
    <row r="418" spans="1:71" ht="19.5" customHeight="1" x14ac:dyDescent="0.15">
      <c r="A418" s="56" t="s">
        <v>985</v>
      </c>
      <c r="B418" s="57" t="s">
        <v>986</v>
      </c>
      <c r="C418" s="58" t="s">
        <v>985</v>
      </c>
      <c r="D418" s="59" t="s">
        <v>985</v>
      </c>
      <c r="E418" s="61"/>
      <c r="F418" s="60" t="s">
        <v>95</v>
      </c>
      <c r="G418" s="61"/>
      <c r="H418" s="62"/>
      <c r="I418" s="75"/>
      <c r="J418" s="60" t="s">
        <v>95</v>
      </c>
      <c r="K418" s="64"/>
      <c r="L418" s="64"/>
      <c r="M418" s="64" t="s">
        <v>96</v>
      </c>
      <c r="N418" s="64" t="s">
        <v>97</v>
      </c>
      <c r="O418" s="65" t="s">
        <v>986</v>
      </c>
      <c r="P418" s="70" t="s">
        <v>96</v>
      </c>
      <c r="Q418" s="60" t="s">
        <v>95</v>
      </c>
      <c r="R418" s="60" t="s">
        <v>96</v>
      </c>
      <c r="S418" s="66" t="s">
        <v>96</v>
      </c>
      <c r="T418" s="67" t="s">
        <v>96</v>
      </c>
      <c r="U418" s="60" t="s">
        <v>96</v>
      </c>
      <c r="V418" s="60" t="s">
        <v>96</v>
      </c>
      <c r="W418" s="60" t="str" cm="1">
        <f t="array" ref="W418">_xlfn.LET(_xlpm.resultados,_xlfn.UNIQUE(_xlfn._xlws.FILTER(Tabla1[Proceso],(Tabla1[Metal Base]=Q418)*(Tabla1[Etiquetas]=_xlfn.TEXTJOIN(" + ",TRUE,IF((TRIM(Upload!R418:V418)="")+(LOWER(TRIM(Upload!R418:V418))="(seleccione)"),"",PROPER(TRIM(Upload!R418:V418)))))*(Tabla1[Línea2]=IFERROR(VLOOKUP(Upload!P418&amp;"*",CAT_Procesos!D:D,1,FALSE),"")))),_xlpm.cantidad,ROWS(_xlpm.resultados),IF(ISERROR(_xlpm.cantidad),"Combinación no existente",IF(_xlpm.cantidad=1,INDEX(_xlpm.resultados,1),"(seleccione)")))</f>
        <v>Combinación no existente</v>
      </c>
      <c r="X418" s="67" t="s">
        <v>96</v>
      </c>
      <c r="Y418" s="64"/>
      <c r="Z418" s="64"/>
      <c r="AA418" s="64"/>
      <c r="AB418" s="133" t="s">
        <v>96</v>
      </c>
      <c r="AC418" s="64"/>
      <c r="AD418" s="64"/>
      <c r="AE418" s="64"/>
      <c r="AF418" s="60" t="s">
        <v>96</v>
      </c>
      <c r="AG418" s="64"/>
      <c r="AH418" s="64"/>
      <c r="AI418" s="64"/>
      <c r="AJ418" s="68" t="s">
        <v>96</v>
      </c>
      <c r="AK418" s="69" t="str">
        <f t="shared" si="12"/>
        <v/>
      </c>
      <c r="AL418" s="70" t="s">
        <v>96</v>
      </c>
      <c r="AM418" s="69" t="str">
        <f t="shared" si="13"/>
        <v/>
      </c>
      <c r="AN418" s="71"/>
      <c r="AO418" s="71"/>
      <c r="AP418" s="71"/>
      <c r="AQ418" s="71"/>
      <c r="AR418" s="71" t="s">
        <v>96</v>
      </c>
      <c r="AS418" s="71"/>
      <c r="AT418" s="71" t="s">
        <v>96</v>
      </c>
      <c r="AU418" s="71"/>
      <c r="AV418" s="71" t="s">
        <v>95</v>
      </c>
      <c r="AW418" s="71"/>
      <c r="AX418" s="71"/>
      <c r="AY418" s="71"/>
      <c r="AZ418" s="71"/>
      <c r="BA418" s="71"/>
      <c r="BB418" s="70" t="s">
        <v>218</v>
      </c>
      <c r="BC418" s="70" t="s">
        <v>98</v>
      </c>
      <c r="BD418" s="72" t="str">
        <f>IF('Cálculo MP'!K428="","",'Cálculo MP'!K428)</f>
        <v/>
      </c>
      <c r="BE418" s="72" t="str">
        <f>IF('Cálculo MP'!L428="","",'Cálculo MP'!L428)</f>
        <v/>
      </c>
      <c r="BF418" s="72" t="str">
        <f>IF('Cálculo MP'!M428="","",'Cálculo MP'!M428)</f>
        <v/>
      </c>
      <c r="BG418" s="72" t="str">
        <f>IF('Cálculo MP'!N428="","",'Cálculo MP'!N428)</f>
        <v/>
      </c>
      <c r="BH418" s="72" t="str">
        <f>IF('Cálculo MP'!O428="","",'Cálculo MP'!O428)</f>
        <v/>
      </c>
      <c r="BI418" s="72" t="str">
        <f>IF('Cálculo MP'!P428="","",'Cálculo MP'!P428)</f>
        <v/>
      </c>
      <c r="BJ418" s="72" t="str">
        <f>IF('Cálculo MP'!Q428="","",'Cálculo MP'!Q428)</f>
        <v/>
      </c>
      <c r="BK418" s="72" t="str">
        <f>IF('Cálculo MP'!R428="","",'Cálculo MP'!R428)</f>
        <v/>
      </c>
      <c r="BL418" s="72" t="str">
        <f>IF('Cálculo MP'!S428="","",'Cálculo MP'!S428)</f>
        <v/>
      </c>
      <c r="BM418" s="71"/>
      <c r="BN418" s="71"/>
      <c r="BO418" s="71"/>
      <c r="BP418" s="71"/>
      <c r="BQ418" s="71"/>
      <c r="BR418" s="71"/>
      <c r="BS418" s="71"/>
    </row>
    <row r="419" spans="1:71" ht="19.5" customHeight="1" x14ac:dyDescent="0.15">
      <c r="A419" s="56" t="s">
        <v>985</v>
      </c>
      <c r="B419" s="57" t="s">
        <v>986</v>
      </c>
      <c r="C419" s="58" t="s">
        <v>985</v>
      </c>
      <c r="D419" s="59" t="s">
        <v>985</v>
      </c>
      <c r="E419" s="61"/>
      <c r="F419" s="60" t="s">
        <v>95</v>
      </c>
      <c r="G419" s="61"/>
      <c r="H419" s="62"/>
      <c r="I419" s="75"/>
      <c r="J419" s="60" t="s">
        <v>95</v>
      </c>
      <c r="K419" s="64"/>
      <c r="L419" s="64"/>
      <c r="M419" s="64" t="s">
        <v>96</v>
      </c>
      <c r="N419" s="64" t="s">
        <v>97</v>
      </c>
      <c r="O419" s="65" t="s">
        <v>986</v>
      </c>
      <c r="P419" s="70" t="s">
        <v>96</v>
      </c>
      <c r="Q419" s="60" t="s">
        <v>95</v>
      </c>
      <c r="R419" s="60" t="s">
        <v>96</v>
      </c>
      <c r="S419" s="66" t="s">
        <v>96</v>
      </c>
      <c r="T419" s="67" t="s">
        <v>96</v>
      </c>
      <c r="U419" s="60" t="s">
        <v>96</v>
      </c>
      <c r="V419" s="60" t="s">
        <v>96</v>
      </c>
      <c r="W419" s="60" t="str" cm="1">
        <f t="array" ref="W419">_xlfn.LET(_xlpm.resultados,_xlfn.UNIQUE(_xlfn._xlws.FILTER(Tabla1[Proceso],(Tabla1[Metal Base]=Q419)*(Tabla1[Etiquetas]=_xlfn.TEXTJOIN(" + ",TRUE,IF((TRIM(Upload!R419:V419)="")+(LOWER(TRIM(Upload!R419:V419))="(seleccione)"),"",PROPER(TRIM(Upload!R419:V419)))))*(Tabla1[Línea2]=IFERROR(VLOOKUP(Upload!P419&amp;"*",CAT_Procesos!D:D,1,FALSE),"")))),_xlpm.cantidad,ROWS(_xlpm.resultados),IF(ISERROR(_xlpm.cantidad),"Combinación no existente",IF(_xlpm.cantidad=1,INDEX(_xlpm.resultados,1),"(seleccione)")))</f>
        <v>Combinación no existente</v>
      </c>
      <c r="X419" s="67" t="s">
        <v>96</v>
      </c>
      <c r="Y419" s="64"/>
      <c r="Z419" s="64"/>
      <c r="AA419" s="64"/>
      <c r="AB419" s="133" t="s">
        <v>96</v>
      </c>
      <c r="AC419" s="64"/>
      <c r="AD419" s="64"/>
      <c r="AE419" s="64"/>
      <c r="AF419" s="60" t="s">
        <v>96</v>
      </c>
      <c r="AG419" s="64"/>
      <c r="AH419" s="64"/>
      <c r="AI419" s="64"/>
      <c r="AJ419" s="68" t="s">
        <v>96</v>
      </c>
      <c r="AK419" s="69" t="str">
        <f t="shared" si="12"/>
        <v/>
      </c>
      <c r="AL419" s="70" t="s">
        <v>96</v>
      </c>
      <c r="AM419" s="69" t="str">
        <f t="shared" si="13"/>
        <v/>
      </c>
      <c r="AN419" s="71"/>
      <c r="AO419" s="71"/>
      <c r="AP419" s="71"/>
      <c r="AQ419" s="71"/>
      <c r="AR419" s="71" t="s">
        <v>96</v>
      </c>
      <c r="AS419" s="71"/>
      <c r="AT419" s="71" t="s">
        <v>96</v>
      </c>
      <c r="AU419" s="71"/>
      <c r="AV419" s="71" t="s">
        <v>95</v>
      </c>
      <c r="AW419" s="71"/>
      <c r="AX419" s="71"/>
      <c r="AY419" s="71"/>
      <c r="AZ419" s="71"/>
      <c r="BA419" s="71"/>
      <c r="BB419" s="70" t="s">
        <v>218</v>
      </c>
      <c r="BC419" s="70" t="s">
        <v>98</v>
      </c>
      <c r="BD419" s="72" t="str">
        <f>IF('Cálculo MP'!K429="","",'Cálculo MP'!K429)</f>
        <v/>
      </c>
      <c r="BE419" s="72" t="str">
        <f>IF('Cálculo MP'!L429="","",'Cálculo MP'!L429)</f>
        <v/>
      </c>
      <c r="BF419" s="72" t="str">
        <f>IF('Cálculo MP'!M429="","",'Cálculo MP'!M429)</f>
        <v/>
      </c>
      <c r="BG419" s="72" t="str">
        <f>IF('Cálculo MP'!N429="","",'Cálculo MP'!N429)</f>
        <v/>
      </c>
      <c r="BH419" s="72" t="str">
        <f>IF('Cálculo MP'!O429="","",'Cálculo MP'!O429)</f>
        <v/>
      </c>
      <c r="BI419" s="72" t="str">
        <f>IF('Cálculo MP'!P429="","",'Cálculo MP'!P429)</f>
        <v/>
      </c>
      <c r="BJ419" s="72" t="str">
        <f>IF('Cálculo MP'!Q429="","",'Cálculo MP'!Q429)</f>
        <v/>
      </c>
      <c r="BK419" s="72" t="str">
        <f>IF('Cálculo MP'!R429="","",'Cálculo MP'!R429)</f>
        <v/>
      </c>
      <c r="BL419" s="72" t="str">
        <f>IF('Cálculo MP'!S429="","",'Cálculo MP'!S429)</f>
        <v/>
      </c>
      <c r="BM419" s="71"/>
      <c r="BN419" s="71"/>
      <c r="BO419" s="71"/>
      <c r="BP419" s="71"/>
      <c r="BQ419" s="71"/>
      <c r="BR419" s="71"/>
      <c r="BS419" s="71"/>
    </row>
    <row r="420" spans="1:71" ht="19.5" customHeight="1" x14ac:dyDescent="0.15">
      <c r="A420" s="56" t="s">
        <v>985</v>
      </c>
      <c r="B420" s="57" t="s">
        <v>986</v>
      </c>
      <c r="C420" s="58" t="s">
        <v>985</v>
      </c>
      <c r="D420" s="59" t="s">
        <v>985</v>
      </c>
      <c r="E420" s="61"/>
      <c r="F420" s="60" t="s">
        <v>95</v>
      </c>
      <c r="G420" s="61"/>
      <c r="H420" s="62"/>
      <c r="I420" s="75"/>
      <c r="J420" s="60" t="s">
        <v>95</v>
      </c>
      <c r="K420" s="64"/>
      <c r="L420" s="64"/>
      <c r="M420" s="64" t="s">
        <v>96</v>
      </c>
      <c r="N420" s="64" t="s">
        <v>97</v>
      </c>
      <c r="O420" s="65" t="s">
        <v>986</v>
      </c>
      <c r="P420" s="70" t="s">
        <v>96</v>
      </c>
      <c r="Q420" s="60" t="s">
        <v>95</v>
      </c>
      <c r="R420" s="60" t="s">
        <v>96</v>
      </c>
      <c r="S420" s="66" t="s">
        <v>96</v>
      </c>
      <c r="T420" s="67" t="s">
        <v>96</v>
      </c>
      <c r="U420" s="60" t="s">
        <v>96</v>
      </c>
      <c r="V420" s="60" t="s">
        <v>96</v>
      </c>
      <c r="W420" s="60" t="str" cm="1">
        <f t="array" ref="W420">_xlfn.LET(_xlpm.resultados,_xlfn.UNIQUE(_xlfn._xlws.FILTER(Tabla1[Proceso],(Tabla1[Metal Base]=Q420)*(Tabla1[Etiquetas]=_xlfn.TEXTJOIN(" + ",TRUE,IF((TRIM(Upload!R420:V420)="")+(LOWER(TRIM(Upload!R420:V420))="(seleccione)"),"",PROPER(TRIM(Upload!R420:V420)))))*(Tabla1[Línea2]=IFERROR(VLOOKUP(Upload!P420&amp;"*",CAT_Procesos!D:D,1,FALSE),"")))),_xlpm.cantidad,ROWS(_xlpm.resultados),IF(ISERROR(_xlpm.cantidad),"Combinación no existente",IF(_xlpm.cantidad=1,INDEX(_xlpm.resultados,1),"(seleccione)")))</f>
        <v>Combinación no existente</v>
      </c>
      <c r="X420" s="67" t="s">
        <v>96</v>
      </c>
      <c r="Y420" s="64"/>
      <c r="Z420" s="64"/>
      <c r="AA420" s="64"/>
      <c r="AB420" s="133" t="s">
        <v>96</v>
      </c>
      <c r="AC420" s="64"/>
      <c r="AD420" s="64"/>
      <c r="AE420" s="64"/>
      <c r="AF420" s="60" t="s">
        <v>96</v>
      </c>
      <c r="AG420" s="64"/>
      <c r="AH420" s="64"/>
      <c r="AI420" s="64"/>
      <c r="AJ420" s="68" t="s">
        <v>96</v>
      </c>
      <c r="AK420" s="69" t="str">
        <f t="shared" si="12"/>
        <v/>
      </c>
      <c r="AL420" s="70" t="s">
        <v>96</v>
      </c>
      <c r="AM420" s="69" t="str">
        <f t="shared" si="13"/>
        <v/>
      </c>
      <c r="AN420" s="71"/>
      <c r="AO420" s="71"/>
      <c r="AP420" s="71"/>
      <c r="AQ420" s="71"/>
      <c r="AR420" s="71" t="s">
        <v>96</v>
      </c>
      <c r="AS420" s="71"/>
      <c r="AT420" s="71" t="s">
        <v>96</v>
      </c>
      <c r="AU420" s="71"/>
      <c r="AV420" s="71" t="s">
        <v>95</v>
      </c>
      <c r="AW420" s="71"/>
      <c r="AX420" s="71"/>
      <c r="AY420" s="71"/>
      <c r="AZ420" s="71"/>
      <c r="BA420" s="71"/>
      <c r="BB420" s="70" t="s">
        <v>218</v>
      </c>
      <c r="BC420" s="70" t="s">
        <v>98</v>
      </c>
      <c r="BD420" s="72" t="str">
        <f>IF('Cálculo MP'!K430="","",'Cálculo MP'!K430)</f>
        <v/>
      </c>
      <c r="BE420" s="72" t="str">
        <f>IF('Cálculo MP'!L430="","",'Cálculo MP'!L430)</f>
        <v/>
      </c>
      <c r="BF420" s="72" t="str">
        <f>IF('Cálculo MP'!M430="","",'Cálculo MP'!M430)</f>
        <v/>
      </c>
      <c r="BG420" s="72" t="str">
        <f>IF('Cálculo MP'!N430="","",'Cálculo MP'!N430)</f>
        <v/>
      </c>
      <c r="BH420" s="72" t="str">
        <f>IF('Cálculo MP'!O430="","",'Cálculo MP'!O430)</f>
        <v/>
      </c>
      <c r="BI420" s="72" t="str">
        <f>IF('Cálculo MP'!P430="","",'Cálculo MP'!P430)</f>
        <v/>
      </c>
      <c r="BJ420" s="72" t="str">
        <f>IF('Cálculo MP'!Q430="","",'Cálculo MP'!Q430)</f>
        <v/>
      </c>
      <c r="BK420" s="72" t="str">
        <f>IF('Cálculo MP'!R430="","",'Cálculo MP'!R430)</f>
        <v/>
      </c>
      <c r="BL420" s="72" t="str">
        <f>IF('Cálculo MP'!S430="","",'Cálculo MP'!S430)</f>
        <v/>
      </c>
      <c r="BM420" s="71"/>
      <c r="BN420" s="71"/>
      <c r="BO420" s="71"/>
      <c r="BP420" s="71"/>
      <c r="BQ420" s="71"/>
      <c r="BR420" s="71"/>
      <c r="BS420" s="71"/>
    </row>
    <row r="421" spans="1:71" ht="19.5" customHeight="1" x14ac:dyDescent="0.15">
      <c r="A421" s="56" t="s">
        <v>985</v>
      </c>
      <c r="B421" s="57" t="s">
        <v>986</v>
      </c>
      <c r="C421" s="58" t="s">
        <v>985</v>
      </c>
      <c r="D421" s="59" t="s">
        <v>985</v>
      </c>
      <c r="E421" s="61"/>
      <c r="F421" s="60" t="s">
        <v>95</v>
      </c>
      <c r="G421" s="61"/>
      <c r="H421" s="62"/>
      <c r="I421" s="75"/>
      <c r="J421" s="60" t="s">
        <v>95</v>
      </c>
      <c r="K421" s="64"/>
      <c r="L421" s="64"/>
      <c r="M421" s="64" t="s">
        <v>96</v>
      </c>
      <c r="N421" s="64" t="s">
        <v>97</v>
      </c>
      <c r="O421" s="65" t="s">
        <v>986</v>
      </c>
      <c r="P421" s="70" t="s">
        <v>96</v>
      </c>
      <c r="Q421" s="60" t="s">
        <v>95</v>
      </c>
      <c r="R421" s="60" t="s">
        <v>96</v>
      </c>
      <c r="S421" s="66" t="s">
        <v>96</v>
      </c>
      <c r="T421" s="67" t="s">
        <v>96</v>
      </c>
      <c r="U421" s="60" t="s">
        <v>96</v>
      </c>
      <c r="V421" s="60" t="s">
        <v>96</v>
      </c>
      <c r="W421" s="60" t="str" cm="1">
        <f t="array" ref="W421">_xlfn.LET(_xlpm.resultados,_xlfn.UNIQUE(_xlfn._xlws.FILTER(Tabla1[Proceso],(Tabla1[Metal Base]=Q421)*(Tabla1[Etiquetas]=_xlfn.TEXTJOIN(" + ",TRUE,IF((TRIM(Upload!R421:V421)="")+(LOWER(TRIM(Upload!R421:V421))="(seleccione)"),"",PROPER(TRIM(Upload!R421:V421)))))*(Tabla1[Línea2]=IFERROR(VLOOKUP(Upload!P421&amp;"*",CAT_Procesos!D:D,1,FALSE),"")))),_xlpm.cantidad,ROWS(_xlpm.resultados),IF(ISERROR(_xlpm.cantidad),"Combinación no existente",IF(_xlpm.cantidad=1,INDEX(_xlpm.resultados,1),"(seleccione)")))</f>
        <v>Combinación no existente</v>
      </c>
      <c r="X421" s="67" t="s">
        <v>96</v>
      </c>
      <c r="Y421" s="64"/>
      <c r="Z421" s="64"/>
      <c r="AA421" s="64"/>
      <c r="AB421" s="133" t="s">
        <v>96</v>
      </c>
      <c r="AC421" s="64"/>
      <c r="AD421" s="64"/>
      <c r="AE421" s="64"/>
      <c r="AF421" s="60" t="s">
        <v>96</v>
      </c>
      <c r="AG421" s="64"/>
      <c r="AH421" s="64"/>
      <c r="AI421" s="64"/>
      <c r="AJ421" s="68" t="s">
        <v>96</v>
      </c>
      <c r="AK421" s="69" t="str">
        <f t="shared" si="12"/>
        <v/>
      </c>
      <c r="AL421" s="70" t="s">
        <v>96</v>
      </c>
      <c r="AM421" s="69" t="str">
        <f t="shared" si="13"/>
        <v/>
      </c>
      <c r="AN421" s="71"/>
      <c r="AO421" s="71"/>
      <c r="AP421" s="71"/>
      <c r="AQ421" s="71"/>
      <c r="AR421" s="71" t="s">
        <v>96</v>
      </c>
      <c r="AS421" s="71"/>
      <c r="AT421" s="71" t="s">
        <v>96</v>
      </c>
      <c r="AU421" s="71"/>
      <c r="AV421" s="71" t="s">
        <v>95</v>
      </c>
      <c r="AW421" s="71"/>
      <c r="AX421" s="71"/>
      <c r="AY421" s="71"/>
      <c r="AZ421" s="71"/>
      <c r="BA421" s="71"/>
      <c r="BB421" s="70" t="s">
        <v>218</v>
      </c>
      <c r="BC421" s="70" t="s">
        <v>98</v>
      </c>
      <c r="BD421" s="72" t="str">
        <f>IF('Cálculo MP'!K431="","",'Cálculo MP'!K431)</f>
        <v/>
      </c>
      <c r="BE421" s="72" t="str">
        <f>IF('Cálculo MP'!L431="","",'Cálculo MP'!L431)</f>
        <v/>
      </c>
      <c r="BF421" s="72" t="str">
        <f>IF('Cálculo MP'!M431="","",'Cálculo MP'!M431)</f>
        <v/>
      </c>
      <c r="BG421" s="72" t="str">
        <f>IF('Cálculo MP'!N431="","",'Cálculo MP'!N431)</f>
        <v/>
      </c>
      <c r="BH421" s="72" t="str">
        <f>IF('Cálculo MP'!O431="","",'Cálculo MP'!O431)</f>
        <v/>
      </c>
      <c r="BI421" s="72" t="str">
        <f>IF('Cálculo MP'!P431="","",'Cálculo MP'!P431)</f>
        <v/>
      </c>
      <c r="BJ421" s="72" t="str">
        <f>IF('Cálculo MP'!Q431="","",'Cálculo MP'!Q431)</f>
        <v/>
      </c>
      <c r="BK421" s="72" t="str">
        <f>IF('Cálculo MP'!R431="","",'Cálculo MP'!R431)</f>
        <v/>
      </c>
      <c r="BL421" s="72" t="str">
        <f>IF('Cálculo MP'!S431="","",'Cálculo MP'!S431)</f>
        <v/>
      </c>
      <c r="BM421" s="71"/>
      <c r="BN421" s="71"/>
      <c r="BO421" s="71"/>
      <c r="BP421" s="71"/>
      <c r="BQ421" s="71"/>
      <c r="BR421" s="71"/>
      <c r="BS421" s="71"/>
    </row>
    <row r="422" spans="1:71" ht="19.5" customHeight="1" x14ac:dyDescent="0.15">
      <c r="A422" s="56" t="s">
        <v>985</v>
      </c>
      <c r="B422" s="57" t="s">
        <v>986</v>
      </c>
      <c r="C422" s="58" t="s">
        <v>985</v>
      </c>
      <c r="D422" s="59" t="s">
        <v>985</v>
      </c>
      <c r="E422" s="61"/>
      <c r="F422" s="60" t="s">
        <v>95</v>
      </c>
      <c r="G422" s="61"/>
      <c r="H422" s="62"/>
      <c r="I422" s="75"/>
      <c r="J422" s="60" t="s">
        <v>95</v>
      </c>
      <c r="K422" s="64"/>
      <c r="L422" s="64"/>
      <c r="M422" s="64" t="s">
        <v>96</v>
      </c>
      <c r="N422" s="64" t="s">
        <v>97</v>
      </c>
      <c r="O422" s="65" t="s">
        <v>986</v>
      </c>
      <c r="P422" s="70" t="s">
        <v>96</v>
      </c>
      <c r="Q422" s="60" t="s">
        <v>95</v>
      </c>
      <c r="R422" s="60" t="s">
        <v>96</v>
      </c>
      <c r="S422" s="66" t="s">
        <v>96</v>
      </c>
      <c r="T422" s="67" t="s">
        <v>96</v>
      </c>
      <c r="U422" s="60" t="s">
        <v>96</v>
      </c>
      <c r="V422" s="60" t="s">
        <v>96</v>
      </c>
      <c r="W422" s="60" t="str" cm="1">
        <f t="array" ref="W422">_xlfn.LET(_xlpm.resultados,_xlfn.UNIQUE(_xlfn._xlws.FILTER(Tabla1[Proceso],(Tabla1[Metal Base]=Q422)*(Tabla1[Etiquetas]=_xlfn.TEXTJOIN(" + ",TRUE,IF((TRIM(Upload!R422:V422)="")+(LOWER(TRIM(Upload!R422:V422))="(seleccione)"),"",PROPER(TRIM(Upload!R422:V422)))))*(Tabla1[Línea2]=IFERROR(VLOOKUP(Upload!P422&amp;"*",CAT_Procesos!D:D,1,FALSE),"")))),_xlpm.cantidad,ROWS(_xlpm.resultados),IF(ISERROR(_xlpm.cantidad),"Combinación no existente",IF(_xlpm.cantidad=1,INDEX(_xlpm.resultados,1),"(seleccione)")))</f>
        <v>Combinación no existente</v>
      </c>
      <c r="X422" s="67" t="s">
        <v>96</v>
      </c>
      <c r="Y422" s="64"/>
      <c r="Z422" s="64"/>
      <c r="AA422" s="64"/>
      <c r="AB422" s="133" t="s">
        <v>96</v>
      </c>
      <c r="AC422" s="64"/>
      <c r="AD422" s="64"/>
      <c r="AE422" s="64"/>
      <c r="AF422" s="60" t="s">
        <v>96</v>
      </c>
      <c r="AG422" s="64"/>
      <c r="AH422" s="64"/>
      <c r="AI422" s="64"/>
      <c r="AJ422" s="68" t="s">
        <v>96</v>
      </c>
      <c r="AK422" s="69" t="str">
        <f t="shared" si="12"/>
        <v/>
      </c>
      <c r="AL422" s="70" t="s">
        <v>96</v>
      </c>
      <c r="AM422" s="69" t="str">
        <f t="shared" si="13"/>
        <v/>
      </c>
      <c r="AN422" s="71"/>
      <c r="AO422" s="71"/>
      <c r="AP422" s="71"/>
      <c r="AQ422" s="71"/>
      <c r="AR422" s="71" t="s">
        <v>96</v>
      </c>
      <c r="AS422" s="71"/>
      <c r="AT422" s="71" t="s">
        <v>96</v>
      </c>
      <c r="AU422" s="71"/>
      <c r="AV422" s="71" t="s">
        <v>95</v>
      </c>
      <c r="AW422" s="71"/>
      <c r="AX422" s="71"/>
      <c r="AY422" s="71"/>
      <c r="AZ422" s="71"/>
      <c r="BA422" s="71"/>
      <c r="BB422" s="70" t="s">
        <v>218</v>
      </c>
      <c r="BC422" s="70" t="s">
        <v>98</v>
      </c>
      <c r="BD422" s="72" t="str">
        <f>IF('Cálculo MP'!K432="","",'Cálculo MP'!K432)</f>
        <v/>
      </c>
      <c r="BE422" s="72" t="str">
        <f>IF('Cálculo MP'!L432="","",'Cálculo MP'!L432)</f>
        <v/>
      </c>
      <c r="BF422" s="72" t="str">
        <f>IF('Cálculo MP'!M432="","",'Cálculo MP'!M432)</f>
        <v/>
      </c>
      <c r="BG422" s="72" t="str">
        <f>IF('Cálculo MP'!N432="","",'Cálculo MP'!N432)</f>
        <v/>
      </c>
      <c r="BH422" s="72" t="str">
        <f>IF('Cálculo MP'!O432="","",'Cálculo MP'!O432)</f>
        <v/>
      </c>
      <c r="BI422" s="72" t="str">
        <f>IF('Cálculo MP'!P432="","",'Cálculo MP'!P432)</f>
        <v/>
      </c>
      <c r="BJ422" s="72" t="str">
        <f>IF('Cálculo MP'!Q432="","",'Cálculo MP'!Q432)</f>
        <v/>
      </c>
      <c r="BK422" s="72" t="str">
        <f>IF('Cálculo MP'!R432="","",'Cálculo MP'!R432)</f>
        <v/>
      </c>
      <c r="BL422" s="72" t="str">
        <f>IF('Cálculo MP'!S432="","",'Cálculo MP'!S432)</f>
        <v/>
      </c>
      <c r="BM422" s="71"/>
      <c r="BN422" s="71"/>
      <c r="BO422" s="71"/>
      <c r="BP422" s="71"/>
      <c r="BQ422" s="71"/>
      <c r="BR422" s="71"/>
      <c r="BS422" s="71"/>
    </row>
    <row r="423" spans="1:71" ht="19.5" customHeight="1" x14ac:dyDescent="0.15">
      <c r="A423" s="56" t="s">
        <v>985</v>
      </c>
      <c r="B423" s="57" t="s">
        <v>986</v>
      </c>
      <c r="C423" s="58" t="s">
        <v>985</v>
      </c>
      <c r="D423" s="59" t="s">
        <v>985</v>
      </c>
      <c r="E423" s="61"/>
      <c r="F423" s="60" t="s">
        <v>95</v>
      </c>
      <c r="G423" s="61"/>
      <c r="H423" s="62"/>
      <c r="I423" s="75"/>
      <c r="J423" s="60" t="s">
        <v>95</v>
      </c>
      <c r="K423" s="64"/>
      <c r="L423" s="64"/>
      <c r="M423" s="64" t="s">
        <v>96</v>
      </c>
      <c r="N423" s="64" t="s">
        <v>97</v>
      </c>
      <c r="O423" s="65" t="s">
        <v>986</v>
      </c>
      <c r="P423" s="70" t="s">
        <v>96</v>
      </c>
      <c r="Q423" s="60" t="s">
        <v>95</v>
      </c>
      <c r="R423" s="60" t="s">
        <v>96</v>
      </c>
      <c r="S423" s="66" t="s">
        <v>96</v>
      </c>
      <c r="T423" s="67" t="s">
        <v>96</v>
      </c>
      <c r="U423" s="60" t="s">
        <v>96</v>
      </c>
      <c r="V423" s="60" t="s">
        <v>96</v>
      </c>
      <c r="W423" s="60" t="str" cm="1">
        <f t="array" ref="W423">_xlfn.LET(_xlpm.resultados,_xlfn.UNIQUE(_xlfn._xlws.FILTER(Tabla1[Proceso],(Tabla1[Metal Base]=Q423)*(Tabla1[Etiquetas]=_xlfn.TEXTJOIN(" + ",TRUE,IF((TRIM(Upload!R423:V423)="")+(LOWER(TRIM(Upload!R423:V423))="(seleccione)"),"",PROPER(TRIM(Upload!R423:V423)))))*(Tabla1[Línea2]=IFERROR(VLOOKUP(Upload!P423&amp;"*",CAT_Procesos!D:D,1,FALSE),"")))),_xlpm.cantidad,ROWS(_xlpm.resultados),IF(ISERROR(_xlpm.cantidad),"Combinación no existente",IF(_xlpm.cantidad=1,INDEX(_xlpm.resultados,1),"(seleccione)")))</f>
        <v>Combinación no existente</v>
      </c>
      <c r="X423" s="67" t="s">
        <v>96</v>
      </c>
      <c r="Y423" s="64"/>
      <c r="Z423" s="64"/>
      <c r="AA423" s="64"/>
      <c r="AB423" s="133" t="s">
        <v>96</v>
      </c>
      <c r="AC423" s="64"/>
      <c r="AD423" s="64"/>
      <c r="AE423" s="64"/>
      <c r="AF423" s="60" t="s">
        <v>96</v>
      </c>
      <c r="AG423" s="64"/>
      <c r="AH423" s="64"/>
      <c r="AI423" s="64"/>
      <c r="AJ423" s="68" t="s">
        <v>96</v>
      </c>
      <c r="AK423" s="69" t="str">
        <f t="shared" si="12"/>
        <v/>
      </c>
      <c r="AL423" s="70" t="s">
        <v>96</v>
      </c>
      <c r="AM423" s="69" t="str">
        <f t="shared" si="13"/>
        <v/>
      </c>
      <c r="AN423" s="71"/>
      <c r="AO423" s="71"/>
      <c r="AP423" s="71"/>
      <c r="AQ423" s="71"/>
      <c r="AR423" s="71" t="s">
        <v>96</v>
      </c>
      <c r="AS423" s="71"/>
      <c r="AT423" s="71" t="s">
        <v>96</v>
      </c>
      <c r="AU423" s="71"/>
      <c r="AV423" s="71" t="s">
        <v>95</v>
      </c>
      <c r="AW423" s="71"/>
      <c r="AX423" s="71"/>
      <c r="AY423" s="71"/>
      <c r="AZ423" s="71"/>
      <c r="BA423" s="71"/>
      <c r="BB423" s="70" t="s">
        <v>218</v>
      </c>
      <c r="BC423" s="70" t="s">
        <v>98</v>
      </c>
      <c r="BD423" s="72" t="str">
        <f>IF('Cálculo MP'!K433="","",'Cálculo MP'!K433)</f>
        <v/>
      </c>
      <c r="BE423" s="72" t="str">
        <f>IF('Cálculo MP'!L433="","",'Cálculo MP'!L433)</f>
        <v/>
      </c>
      <c r="BF423" s="72" t="str">
        <f>IF('Cálculo MP'!M433="","",'Cálculo MP'!M433)</f>
        <v/>
      </c>
      <c r="BG423" s="72" t="str">
        <f>IF('Cálculo MP'!N433="","",'Cálculo MP'!N433)</f>
        <v/>
      </c>
      <c r="BH423" s="72" t="str">
        <f>IF('Cálculo MP'!O433="","",'Cálculo MP'!O433)</f>
        <v/>
      </c>
      <c r="BI423" s="72" t="str">
        <f>IF('Cálculo MP'!P433="","",'Cálculo MP'!P433)</f>
        <v/>
      </c>
      <c r="BJ423" s="72" t="str">
        <f>IF('Cálculo MP'!Q433="","",'Cálculo MP'!Q433)</f>
        <v/>
      </c>
      <c r="BK423" s="72" t="str">
        <f>IF('Cálculo MP'!R433="","",'Cálculo MP'!R433)</f>
        <v/>
      </c>
      <c r="BL423" s="72" t="str">
        <f>IF('Cálculo MP'!S433="","",'Cálculo MP'!S433)</f>
        <v/>
      </c>
      <c r="BM423" s="71"/>
      <c r="BN423" s="71"/>
      <c r="BO423" s="71"/>
      <c r="BP423" s="71"/>
      <c r="BQ423" s="71"/>
      <c r="BR423" s="71"/>
      <c r="BS423" s="71"/>
    </row>
    <row r="424" spans="1:71" ht="19.5" customHeight="1" x14ac:dyDescent="0.15">
      <c r="A424" s="56" t="s">
        <v>985</v>
      </c>
      <c r="B424" s="57" t="s">
        <v>986</v>
      </c>
      <c r="C424" s="58" t="s">
        <v>985</v>
      </c>
      <c r="D424" s="59" t="s">
        <v>985</v>
      </c>
      <c r="E424" s="61"/>
      <c r="F424" s="60" t="s">
        <v>95</v>
      </c>
      <c r="G424" s="61"/>
      <c r="H424" s="62"/>
      <c r="I424" s="75"/>
      <c r="J424" s="60" t="s">
        <v>95</v>
      </c>
      <c r="K424" s="64"/>
      <c r="L424" s="64"/>
      <c r="M424" s="64" t="s">
        <v>96</v>
      </c>
      <c r="N424" s="64" t="s">
        <v>97</v>
      </c>
      <c r="O424" s="65" t="s">
        <v>986</v>
      </c>
      <c r="P424" s="70" t="s">
        <v>96</v>
      </c>
      <c r="Q424" s="60" t="s">
        <v>95</v>
      </c>
      <c r="R424" s="60" t="s">
        <v>96</v>
      </c>
      <c r="S424" s="66" t="s">
        <v>96</v>
      </c>
      <c r="T424" s="67" t="s">
        <v>96</v>
      </c>
      <c r="U424" s="60" t="s">
        <v>96</v>
      </c>
      <c r="V424" s="60" t="s">
        <v>96</v>
      </c>
      <c r="W424" s="60" t="str" cm="1">
        <f t="array" ref="W424">_xlfn.LET(_xlpm.resultados,_xlfn.UNIQUE(_xlfn._xlws.FILTER(Tabla1[Proceso],(Tabla1[Metal Base]=Q424)*(Tabla1[Etiquetas]=_xlfn.TEXTJOIN(" + ",TRUE,IF((TRIM(Upload!R424:V424)="")+(LOWER(TRIM(Upload!R424:V424))="(seleccione)"),"",PROPER(TRIM(Upload!R424:V424)))))*(Tabla1[Línea2]=IFERROR(VLOOKUP(Upload!P424&amp;"*",CAT_Procesos!D:D,1,FALSE),"")))),_xlpm.cantidad,ROWS(_xlpm.resultados),IF(ISERROR(_xlpm.cantidad),"Combinación no existente",IF(_xlpm.cantidad=1,INDEX(_xlpm.resultados,1),"(seleccione)")))</f>
        <v>Combinación no existente</v>
      </c>
      <c r="X424" s="67" t="s">
        <v>96</v>
      </c>
      <c r="Y424" s="64"/>
      <c r="Z424" s="64"/>
      <c r="AA424" s="64"/>
      <c r="AB424" s="133" t="s">
        <v>96</v>
      </c>
      <c r="AC424" s="64"/>
      <c r="AD424" s="64"/>
      <c r="AE424" s="64"/>
      <c r="AF424" s="60" t="s">
        <v>96</v>
      </c>
      <c r="AG424" s="64"/>
      <c r="AH424" s="64"/>
      <c r="AI424" s="64"/>
      <c r="AJ424" s="68" t="s">
        <v>96</v>
      </c>
      <c r="AK424" s="69" t="str">
        <f t="shared" si="12"/>
        <v/>
      </c>
      <c r="AL424" s="70" t="s">
        <v>96</v>
      </c>
      <c r="AM424" s="69" t="str">
        <f t="shared" si="13"/>
        <v/>
      </c>
      <c r="AN424" s="71"/>
      <c r="AO424" s="71"/>
      <c r="AP424" s="71"/>
      <c r="AQ424" s="71"/>
      <c r="AR424" s="71" t="s">
        <v>96</v>
      </c>
      <c r="AS424" s="71"/>
      <c r="AT424" s="71" t="s">
        <v>96</v>
      </c>
      <c r="AU424" s="71"/>
      <c r="AV424" s="71" t="s">
        <v>95</v>
      </c>
      <c r="AW424" s="71"/>
      <c r="AX424" s="71"/>
      <c r="AY424" s="71"/>
      <c r="AZ424" s="71"/>
      <c r="BA424" s="71"/>
      <c r="BB424" s="70" t="s">
        <v>218</v>
      </c>
      <c r="BC424" s="70" t="s">
        <v>98</v>
      </c>
      <c r="BD424" s="72" t="str">
        <f>IF('Cálculo MP'!K434="","",'Cálculo MP'!K434)</f>
        <v/>
      </c>
      <c r="BE424" s="72" t="str">
        <f>IF('Cálculo MP'!L434="","",'Cálculo MP'!L434)</f>
        <v/>
      </c>
      <c r="BF424" s="72" t="str">
        <f>IF('Cálculo MP'!M434="","",'Cálculo MP'!M434)</f>
        <v/>
      </c>
      <c r="BG424" s="72" t="str">
        <f>IF('Cálculo MP'!N434="","",'Cálculo MP'!N434)</f>
        <v/>
      </c>
      <c r="BH424" s="72" t="str">
        <f>IF('Cálculo MP'!O434="","",'Cálculo MP'!O434)</f>
        <v/>
      </c>
      <c r="BI424" s="72" t="str">
        <f>IF('Cálculo MP'!P434="","",'Cálculo MP'!P434)</f>
        <v/>
      </c>
      <c r="BJ424" s="72" t="str">
        <f>IF('Cálculo MP'!Q434="","",'Cálculo MP'!Q434)</f>
        <v/>
      </c>
      <c r="BK424" s="72" t="str">
        <f>IF('Cálculo MP'!R434="","",'Cálculo MP'!R434)</f>
        <v/>
      </c>
      <c r="BL424" s="72" t="str">
        <f>IF('Cálculo MP'!S434="","",'Cálculo MP'!S434)</f>
        <v/>
      </c>
      <c r="BM424" s="71"/>
      <c r="BN424" s="71"/>
      <c r="BO424" s="71"/>
      <c r="BP424" s="71"/>
      <c r="BQ424" s="71"/>
      <c r="BR424" s="71"/>
      <c r="BS424" s="71"/>
    </row>
    <row r="425" spans="1:71" ht="19.5" customHeight="1" x14ac:dyDescent="0.15">
      <c r="A425" s="56" t="s">
        <v>985</v>
      </c>
      <c r="B425" s="57" t="s">
        <v>986</v>
      </c>
      <c r="C425" s="58" t="s">
        <v>985</v>
      </c>
      <c r="D425" s="59" t="s">
        <v>985</v>
      </c>
      <c r="E425" s="61"/>
      <c r="F425" s="60" t="s">
        <v>95</v>
      </c>
      <c r="G425" s="61"/>
      <c r="H425" s="62"/>
      <c r="I425" s="75"/>
      <c r="J425" s="60" t="s">
        <v>95</v>
      </c>
      <c r="K425" s="64"/>
      <c r="L425" s="64"/>
      <c r="M425" s="64" t="s">
        <v>96</v>
      </c>
      <c r="N425" s="64" t="s">
        <v>97</v>
      </c>
      <c r="O425" s="65" t="s">
        <v>986</v>
      </c>
      <c r="P425" s="70" t="s">
        <v>96</v>
      </c>
      <c r="Q425" s="60" t="s">
        <v>95</v>
      </c>
      <c r="R425" s="60" t="s">
        <v>96</v>
      </c>
      <c r="S425" s="66" t="s">
        <v>96</v>
      </c>
      <c r="T425" s="67" t="s">
        <v>96</v>
      </c>
      <c r="U425" s="60" t="s">
        <v>96</v>
      </c>
      <c r="V425" s="60" t="s">
        <v>96</v>
      </c>
      <c r="W425" s="60" t="str" cm="1">
        <f t="array" ref="W425">_xlfn.LET(_xlpm.resultados,_xlfn.UNIQUE(_xlfn._xlws.FILTER(Tabla1[Proceso],(Tabla1[Metal Base]=Q425)*(Tabla1[Etiquetas]=_xlfn.TEXTJOIN(" + ",TRUE,IF((TRIM(Upload!R425:V425)="")+(LOWER(TRIM(Upload!R425:V425))="(seleccione)"),"",PROPER(TRIM(Upload!R425:V425)))))*(Tabla1[Línea2]=IFERROR(VLOOKUP(Upload!P425&amp;"*",CAT_Procesos!D:D,1,FALSE),"")))),_xlpm.cantidad,ROWS(_xlpm.resultados),IF(ISERROR(_xlpm.cantidad),"Combinación no existente",IF(_xlpm.cantidad=1,INDEX(_xlpm.resultados,1),"(seleccione)")))</f>
        <v>Combinación no existente</v>
      </c>
      <c r="X425" s="67" t="s">
        <v>96</v>
      </c>
      <c r="Y425" s="64"/>
      <c r="Z425" s="64"/>
      <c r="AA425" s="64"/>
      <c r="AB425" s="133" t="s">
        <v>96</v>
      </c>
      <c r="AC425" s="64"/>
      <c r="AD425" s="64"/>
      <c r="AE425" s="64"/>
      <c r="AF425" s="60" t="s">
        <v>96</v>
      </c>
      <c r="AG425" s="64"/>
      <c r="AH425" s="64"/>
      <c r="AI425" s="64"/>
      <c r="AJ425" s="68" t="s">
        <v>96</v>
      </c>
      <c r="AK425" s="69" t="str">
        <f t="shared" si="12"/>
        <v/>
      </c>
      <c r="AL425" s="70" t="s">
        <v>96</v>
      </c>
      <c r="AM425" s="69" t="str">
        <f t="shared" si="13"/>
        <v/>
      </c>
      <c r="AN425" s="71"/>
      <c r="AO425" s="71"/>
      <c r="AP425" s="71"/>
      <c r="AQ425" s="71"/>
      <c r="AR425" s="71" t="s">
        <v>96</v>
      </c>
      <c r="AS425" s="71"/>
      <c r="AT425" s="71" t="s">
        <v>96</v>
      </c>
      <c r="AU425" s="71"/>
      <c r="AV425" s="71" t="s">
        <v>95</v>
      </c>
      <c r="AW425" s="71"/>
      <c r="AX425" s="71"/>
      <c r="AY425" s="71"/>
      <c r="AZ425" s="71"/>
      <c r="BA425" s="71"/>
      <c r="BB425" s="70" t="s">
        <v>218</v>
      </c>
      <c r="BC425" s="70" t="s">
        <v>98</v>
      </c>
      <c r="BD425" s="72" t="str">
        <f>IF('Cálculo MP'!K435="","",'Cálculo MP'!K435)</f>
        <v/>
      </c>
      <c r="BE425" s="72" t="str">
        <f>IF('Cálculo MP'!L435="","",'Cálculo MP'!L435)</f>
        <v/>
      </c>
      <c r="BF425" s="72" t="str">
        <f>IF('Cálculo MP'!M435="","",'Cálculo MP'!M435)</f>
        <v/>
      </c>
      <c r="BG425" s="72" t="str">
        <f>IF('Cálculo MP'!N435="","",'Cálculo MP'!N435)</f>
        <v/>
      </c>
      <c r="BH425" s="72" t="str">
        <f>IF('Cálculo MP'!O435="","",'Cálculo MP'!O435)</f>
        <v/>
      </c>
      <c r="BI425" s="72" t="str">
        <f>IF('Cálculo MP'!P435="","",'Cálculo MP'!P435)</f>
        <v/>
      </c>
      <c r="BJ425" s="72" t="str">
        <f>IF('Cálculo MP'!Q435="","",'Cálculo MP'!Q435)</f>
        <v/>
      </c>
      <c r="BK425" s="72" t="str">
        <f>IF('Cálculo MP'!R435="","",'Cálculo MP'!R435)</f>
        <v/>
      </c>
      <c r="BL425" s="72" t="str">
        <f>IF('Cálculo MP'!S435="","",'Cálculo MP'!S435)</f>
        <v/>
      </c>
      <c r="BM425" s="71"/>
      <c r="BN425" s="71"/>
      <c r="BO425" s="71"/>
      <c r="BP425" s="71"/>
      <c r="BQ425" s="71"/>
      <c r="BR425" s="71"/>
      <c r="BS425" s="71"/>
    </row>
    <row r="426" spans="1:71" ht="19.5" customHeight="1" x14ac:dyDescent="0.15">
      <c r="A426" s="56" t="s">
        <v>985</v>
      </c>
      <c r="B426" s="57" t="s">
        <v>986</v>
      </c>
      <c r="C426" s="58" t="s">
        <v>985</v>
      </c>
      <c r="D426" s="59" t="s">
        <v>985</v>
      </c>
      <c r="E426" s="61"/>
      <c r="F426" s="60" t="s">
        <v>95</v>
      </c>
      <c r="G426" s="61"/>
      <c r="H426" s="62"/>
      <c r="I426" s="75"/>
      <c r="J426" s="60" t="s">
        <v>95</v>
      </c>
      <c r="K426" s="64"/>
      <c r="L426" s="64"/>
      <c r="M426" s="64" t="s">
        <v>96</v>
      </c>
      <c r="N426" s="64" t="s">
        <v>97</v>
      </c>
      <c r="O426" s="65" t="s">
        <v>986</v>
      </c>
      <c r="P426" s="70" t="s">
        <v>96</v>
      </c>
      <c r="Q426" s="60" t="s">
        <v>95</v>
      </c>
      <c r="R426" s="60" t="s">
        <v>96</v>
      </c>
      <c r="S426" s="66" t="s">
        <v>96</v>
      </c>
      <c r="T426" s="67" t="s">
        <v>96</v>
      </c>
      <c r="U426" s="60" t="s">
        <v>96</v>
      </c>
      <c r="V426" s="60" t="s">
        <v>96</v>
      </c>
      <c r="W426" s="60" t="str" cm="1">
        <f t="array" ref="W426">_xlfn.LET(_xlpm.resultados,_xlfn.UNIQUE(_xlfn._xlws.FILTER(Tabla1[Proceso],(Tabla1[Metal Base]=Q426)*(Tabla1[Etiquetas]=_xlfn.TEXTJOIN(" + ",TRUE,IF((TRIM(Upload!R426:V426)="")+(LOWER(TRIM(Upload!R426:V426))="(seleccione)"),"",PROPER(TRIM(Upload!R426:V426)))))*(Tabla1[Línea2]=IFERROR(VLOOKUP(Upload!P426&amp;"*",CAT_Procesos!D:D,1,FALSE),"")))),_xlpm.cantidad,ROWS(_xlpm.resultados),IF(ISERROR(_xlpm.cantidad),"Combinación no existente",IF(_xlpm.cantidad=1,INDEX(_xlpm.resultados,1),"(seleccione)")))</f>
        <v>Combinación no existente</v>
      </c>
      <c r="X426" s="67" t="s">
        <v>96</v>
      </c>
      <c r="Y426" s="64"/>
      <c r="Z426" s="64"/>
      <c r="AA426" s="64"/>
      <c r="AB426" s="133" t="s">
        <v>96</v>
      </c>
      <c r="AC426" s="64"/>
      <c r="AD426" s="64"/>
      <c r="AE426" s="64"/>
      <c r="AF426" s="60" t="s">
        <v>96</v>
      </c>
      <c r="AG426" s="64"/>
      <c r="AH426" s="64"/>
      <c r="AI426" s="64"/>
      <c r="AJ426" s="68" t="s">
        <v>96</v>
      </c>
      <c r="AK426" s="69" t="str">
        <f t="shared" si="12"/>
        <v/>
      </c>
      <c r="AL426" s="70" t="s">
        <v>96</v>
      </c>
      <c r="AM426" s="69" t="str">
        <f t="shared" si="13"/>
        <v/>
      </c>
      <c r="AN426" s="71"/>
      <c r="AO426" s="71"/>
      <c r="AP426" s="71"/>
      <c r="AQ426" s="71"/>
      <c r="AR426" s="71" t="s">
        <v>96</v>
      </c>
      <c r="AS426" s="71"/>
      <c r="AT426" s="71" t="s">
        <v>96</v>
      </c>
      <c r="AU426" s="71"/>
      <c r="AV426" s="71" t="s">
        <v>95</v>
      </c>
      <c r="AW426" s="71"/>
      <c r="AX426" s="71"/>
      <c r="AY426" s="71"/>
      <c r="AZ426" s="71"/>
      <c r="BA426" s="71"/>
      <c r="BB426" s="70" t="s">
        <v>218</v>
      </c>
      <c r="BC426" s="70" t="s">
        <v>98</v>
      </c>
      <c r="BD426" s="72" t="str">
        <f>IF('Cálculo MP'!K436="","",'Cálculo MP'!K436)</f>
        <v/>
      </c>
      <c r="BE426" s="72" t="str">
        <f>IF('Cálculo MP'!L436="","",'Cálculo MP'!L436)</f>
        <v/>
      </c>
      <c r="BF426" s="72" t="str">
        <f>IF('Cálculo MP'!M436="","",'Cálculo MP'!M436)</f>
        <v/>
      </c>
      <c r="BG426" s="72" t="str">
        <f>IF('Cálculo MP'!N436="","",'Cálculo MP'!N436)</f>
        <v/>
      </c>
      <c r="BH426" s="72" t="str">
        <f>IF('Cálculo MP'!O436="","",'Cálculo MP'!O436)</f>
        <v/>
      </c>
      <c r="BI426" s="72" t="str">
        <f>IF('Cálculo MP'!P436="","",'Cálculo MP'!P436)</f>
        <v/>
      </c>
      <c r="BJ426" s="72" t="str">
        <f>IF('Cálculo MP'!Q436="","",'Cálculo MP'!Q436)</f>
        <v/>
      </c>
      <c r="BK426" s="72" t="str">
        <f>IF('Cálculo MP'!R436="","",'Cálculo MP'!R436)</f>
        <v/>
      </c>
      <c r="BL426" s="72" t="str">
        <f>IF('Cálculo MP'!S436="","",'Cálculo MP'!S436)</f>
        <v/>
      </c>
      <c r="BM426" s="71"/>
      <c r="BN426" s="71"/>
      <c r="BO426" s="71"/>
      <c r="BP426" s="71"/>
      <c r="BQ426" s="71"/>
      <c r="BR426" s="71"/>
      <c r="BS426" s="71"/>
    </row>
    <row r="427" spans="1:71" ht="19.5" customHeight="1" x14ac:dyDescent="0.15">
      <c r="A427" s="56" t="s">
        <v>985</v>
      </c>
      <c r="B427" s="57" t="s">
        <v>986</v>
      </c>
      <c r="C427" s="58" t="s">
        <v>985</v>
      </c>
      <c r="D427" s="59" t="s">
        <v>985</v>
      </c>
      <c r="E427" s="61"/>
      <c r="F427" s="60" t="s">
        <v>95</v>
      </c>
      <c r="G427" s="61"/>
      <c r="H427" s="62"/>
      <c r="I427" s="75"/>
      <c r="J427" s="60" t="s">
        <v>95</v>
      </c>
      <c r="K427" s="64"/>
      <c r="L427" s="64"/>
      <c r="M427" s="64" t="s">
        <v>96</v>
      </c>
      <c r="N427" s="64" t="s">
        <v>97</v>
      </c>
      <c r="O427" s="65" t="s">
        <v>986</v>
      </c>
      <c r="P427" s="70" t="s">
        <v>96</v>
      </c>
      <c r="Q427" s="60" t="s">
        <v>95</v>
      </c>
      <c r="R427" s="60" t="s">
        <v>96</v>
      </c>
      <c r="S427" s="66" t="s">
        <v>96</v>
      </c>
      <c r="T427" s="67" t="s">
        <v>96</v>
      </c>
      <c r="U427" s="60" t="s">
        <v>96</v>
      </c>
      <c r="V427" s="60" t="s">
        <v>96</v>
      </c>
      <c r="W427" s="60" t="str" cm="1">
        <f t="array" ref="W427">_xlfn.LET(_xlpm.resultados,_xlfn.UNIQUE(_xlfn._xlws.FILTER(Tabla1[Proceso],(Tabla1[Metal Base]=Q427)*(Tabla1[Etiquetas]=_xlfn.TEXTJOIN(" + ",TRUE,IF((TRIM(Upload!R427:V427)="")+(LOWER(TRIM(Upload!R427:V427))="(seleccione)"),"",PROPER(TRIM(Upload!R427:V427)))))*(Tabla1[Línea2]=IFERROR(VLOOKUP(Upload!P427&amp;"*",CAT_Procesos!D:D,1,FALSE),"")))),_xlpm.cantidad,ROWS(_xlpm.resultados),IF(ISERROR(_xlpm.cantidad),"Combinación no existente",IF(_xlpm.cantidad=1,INDEX(_xlpm.resultados,1),"(seleccione)")))</f>
        <v>Combinación no existente</v>
      </c>
      <c r="X427" s="67" t="s">
        <v>96</v>
      </c>
      <c r="Y427" s="64"/>
      <c r="Z427" s="64"/>
      <c r="AA427" s="64"/>
      <c r="AB427" s="133" t="s">
        <v>96</v>
      </c>
      <c r="AC427" s="64"/>
      <c r="AD427" s="64"/>
      <c r="AE427" s="64"/>
      <c r="AF427" s="60" t="s">
        <v>96</v>
      </c>
      <c r="AG427" s="64"/>
      <c r="AH427" s="64"/>
      <c r="AI427" s="64"/>
      <c r="AJ427" s="68" t="s">
        <v>96</v>
      </c>
      <c r="AK427" s="69" t="str">
        <f t="shared" si="12"/>
        <v/>
      </c>
      <c r="AL427" s="70" t="s">
        <v>96</v>
      </c>
      <c r="AM427" s="69" t="str">
        <f t="shared" si="13"/>
        <v/>
      </c>
      <c r="AN427" s="71"/>
      <c r="AO427" s="71"/>
      <c r="AP427" s="71"/>
      <c r="AQ427" s="71"/>
      <c r="AR427" s="71" t="s">
        <v>96</v>
      </c>
      <c r="AS427" s="71"/>
      <c r="AT427" s="71" t="s">
        <v>96</v>
      </c>
      <c r="AU427" s="71"/>
      <c r="AV427" s="71" t="s">
        <v>95</v>
      </c>
      <c r="AW427" s="71"/>
      <c r="AX427" s="71"/>
      <c r="AY427" s="71"/>
      <c r="AZ427" s="71"/>
      <c r="BA427" s="71"/>
      <c r="BB427" s="70" t="s">
        <v>218</v>
      </c>
      <c r="BC427" s="70" t="s">
        <v>98</v>
      </c>
      <c r="BD427" s="72" t="str">
        <f>IF('Cálculo MP'!K437="","",'Cálculo MP'!K437)</f>
        <v/>
      </c>
      <c r="BE427" s="72" t="str">
        <f>IF('Cálculo MP'!L437="","",'Cálculo MP'!L437)</f>
        <v/>
      </c>
      <c r="BF427" s="72" t="str">
        <f>IF('Cálculo MP'!M437="","",'Cálculo MP'!M437)</f>
        <v/>
      </c>
      <c r="BG427" s="72" t="str">
        <f>IF('Cálculo MP'!N437="","",'Cálculo MP'!N437)</f>
        <v/>
      </c>
      <c r="BH427" s="72" t="str">
        <f>IF('Cálculo MP'!O437="","",'Cálculo MP'!O437)</f>
        <v/>
      </c>
      <c r="BI427" s="72" t="str">
        <f>IF('Cálculo MP'!P437="","",'Cálculo MP'!P437)</f>
        <v/>
      </c>
      <c r="BJ427" s="72" t="str">
        <f>IF('Cálculo MP'!Q437="","",'Cálculo MP'!Q437)</f>
        <v/>
      </c>
      <c r="BK427" s="72" t="str">
        <f>IF('Cálculo MP'!R437="","",'Cálculo MP'!R437)</f>
        <v/>
      </c>
      <c r="BL427" s="72" t="str">
        <f>IF('Cálculo MP'!S437="","",'Cálculo MP'!S437)</f>
        <v/>
      </c>
      <c r="BM427" s="71"/>
      <c r="BN427" s="71"/>
      <c r="BO427" s="71"/>
      <c r="BP427" s="71"/>
      <c r="BQ427" s="71"/>
      <c r="BR427" s="71"/>
      <c r="BS427" s="71"/>
    </row>
    <row r="428" spans="1:71" ht="19.5" customHeight="1" x14ac:dyDescent="0.15">
      <c r="A428" s="56" t="s">
        <v>985</v>
      </c>
      <c r="B428" s="57" t="s">
        <v>986</v>
      </c>
      <c r="C428" s="58" t="s">
        <v>985</v>
      </c>
      <c r="D428" s="59" t="s">
        <v>985</v>
      </c>
      <c r="E428" s="61"/>
      <c r="F428" s="60" t="s">
        <v>95</v>
      </c>
      <c r="G428" s="61"/>
      <c r="H428" s="62"/>
      <c r="I428" s="75"/>
      <c r="J428" s="60" t="s">
        <v>95</v>
      </c>
      <c r="K428" s="64"/>
      <c r="L428" s="64"/>
      <c r="M428" s="64" t="s">
        <v>96</v>
      </c>
      <c r="N428" s="64" t="s">
        <v>97</v>
      </c>
      <c r="O428" s="65" t="s">
        <v>986</v>
      </c>
      <c r="P428" s="70" t="s">
        <v>96</v>
      </c>
      <c r="Q428" s="60" t="s">
        <v>95</v>
      </c>
      <c r="R428" s="60" t="s">
        <v>96</v>
      </c>
      <c r="S428" s="66" t="s">
        <v>96</v>
      </c>
      <c r="T428" s="67" t="s">
        <v>96</v>
      </c>
      <c r="U428" s="60" t="s">
        <v>96</v>
      </c>
      <c r="V428" s="60" t="s">
        <v>96</v>
      </c>
      <c r="W428" s="60" t="str" cm="1">
        <f t="array" ref="W428">_xlfn.LET(_xlpm.resultados,_xlfn.UNIQUE(_xlfn._xlws.FILTER(Tabla1[Proceso],(Tabla1[Metal Base]=Q428)*(Tabla1[Etiquetas]=_xlfn.TEXTJOIN(" + ",TRUE,IF((TRIM(Upload!R428:V428)="")+(LOWER(TRIM(Upload!R428:V428))="(seleccione)"),"",PROPER(TRIM(Upload!R428:V428)))))*(Tabla1[Línea2]=IFERROR(VLOOKUP(Upload!P428&amp;"*",CAT_Procesos!D:D,1,FALSE),"")))),_xlpm.cantidad,ROWS(_xlpm.resultados),IF(ISERROR(_xlpm.cantidad),"Combinación no existente",IF(_xlpm.cantidad=1,INDEX(_xlpm.resultados,1),"(seleccione)")))</f>
        <v>Combinación no existente</v>
      </c>
      <c r="X428" s="67" t="s">
        <v>96</v>
      </c>
      <c r="Y428" s="64"/>
      <c r="Z428" s="64"/>
      <c r="AA428" s="64"/>
      <c r="AB428" s="133" t="s">
        <v>96</v>
      </c>
      <c r="AC428" s="64"/>
      <c r="AD428" s="64"/>
      <c r="AE428" s="64"/>
      <c r="AF428" s="60" t="s">
        <v>96</v>
      </c>
      <c r="AG428" s="64"/>
      <c r="AH428" s="64"/>
      <c r="AI428" s="64"/>
      <c r="AJ428" s="68" t="s">
        <v>96</v>
      </c>
      <c r="AK428" s="69" t="str">
        <f t="shared" si="12"/>
        <v/>
      </c>
      <c r="AL428" s="70" t="s">
        <v>96</v>
      </c>
      <c r="AM428" s="69" t="str">
        <f t="shared" si="13"/>
        <v/>
      </c>
      <c r="AN428" s="71"/>
      <c r="AO428" s="71"/>
      <c r="AP428" s="71"/>
      <c r="AQ428" s="71"/>
      <c r="AR428" s="71" t="s">
        <v>96</v>
      </c>
      <c r="AS428" s="71"/>
      <c r="AT428" s="71" t="s">
        <v>96</v>
      </c>
      <c r="AU428" s="71"/>
      <c r="AV428" s="71" t="s">
        <v>95</v>
      </c>
      <c r="AW428" s="71"/>
      <c r="AX428" s="71"/>
      <c r="AY428" s="71"/>
      <c r="AZ428" s="71"/>
      <c r="BA428" s="71"/>
      <c r="BB428" s="70" t="s">
        <v>218</v>
      </c>
      <c r="BC428" s="70" t="s">
        <v>98</v>
      </c>
      <c r="BD428" s="72" t="str">
        <f>IF('Cálculo MP'!K438="","",'Cálculo MP'!K438)</f>
        <v/>
      </c>
      <c r="BE428" s="72" t="str">
        <f>IF('Cálculo MP'!L438="","",'Cálculo MP'!L438)</f>
        <v/>
      </c>
      <c r="BF428" s="72" t="str">
        <f>IF('Cálculo MP'!M438="","",'Cálculo MP'!M438)</f>
        <v/>
      </c>
      <c r="BG428" s="72" t="str">
        <f>IF('Cálculo MP'!N438="","",'Cálculo MP'!N438)</f>
        <v/>
      </c>
      <c r="BH428" s="72" t="str">
        <f>IF('Cálculo MP'!O438="","",'Cálculo MP'!O438)</f>
        <v/>
      </c>
      <c r="BI428" s="72" t="str">
        <f>IF('Cálculo MP'!P438="","",'Cálculo MP'!P438)</f>
        <v/>
      </c>
      <c r="BJ428" s="72" t="str">
        <f>IF('Cálculo MP'!Q438="","",'Cálculo MP'!Q438)</f>
        <v/>
      </c>
      <c r="BK428" s="72" t="str">
        <f>IF('Cálculo MP'!R438="","",'Cálculo MP'!R438)</f>
        <v/>
      </c>
      <c r="BL428" s="72" t="str">
        <f>IF('Cálculo MP'!S438="","",'Cálculo MP'!S438)</f>
        <v/>
      </c>
      <c r="BM428" s="71"/>
      <c r="BN428" s="71"/>
      <c r="BO428" s="71"/>
      <c r="BP428" s="71"/>
      <c r="BQ428" s="71"/>
      <c r="BR428" s="71"/>
      <c r="BS428" s="71"/>
    </row>
    <row r="429" spans="1:71" ht="19.5" customHeight="1" x14ac:dyDescent="0.15">
      <c r="A429" s="56" t="s">
        <v>985</v>
      </c>
      <c r="B429" s="57" t="s">
        <v>986</v>
      </c>
      <c r="C429" s="58" t="s">
        <v>985</v>
      </c>
      <c r="D429" s="59" t="s">
        <v>985</v>
      </c>
      <c r="E429" s="61"/>
      <c r="F429" s="60" t="s">
        <v>95</v>
      </c>
      <c r="G429" s="61"/>
      <c r="H429" s="62"/>
      <c r="I429" s="75"/>
      <c r="J429" s="60" t="s">
        <v>95</v>
      </c>
      <c r="K429" s="64"/>
      <c r="L429" s="64"/>
      <c r="M429" s="64" t="s">
        <v>96</v>
      </c>
      <c r="N429" s="64" t="s">
        <v>97</v>
      </c>
      <c r="O429" s="65" t="s">
        <v>986</v>
      </c>
      <c r="P429" s="70" t="s">
        <v>96</v>
      </c>
      <c r="Q429" s="60" t="s">
        <v>95</v>
      </c>
      <c r="R429" s="60" t="s">
        <v>96</v>
      </c>
      <c r="S429" s="66" t="s">
        <v>96</v>
      </c>
      <c r="T429" s="67" t="s">
        <v>96</v>
      </c>
      <c r="U429" s="60" t="s">
        <v>96</v>
      </c>
      <c r="V429" s="60" t="s">
        <v>96</v>
      </c>
      <c r="W429" s="60" t="str" cm="1">
        <f t="array" ref="W429">_xlfn.LET(_xlpm.resultados,_xlfn.UNIQUE(_xlfn._xlws.FILTER(Tabla1[Proceso],(Tabla1[Metal Base]=Q429)*(Tabla1[Etiquetas]=_xlfn.TEXTJOIN(" + ",TRUE,IF((TRIM(Upload!R429:V429)="")+(LOWER(TRIM(Upload!R429:V429))="(seleccione)"),"",PROPER(TRIM(Upload!R429:V429)))))*(Tabla1[Línea2]=IFERROR(VLOOKUP(Upload!P429&amp;"*",CAT_Procesos!D:D,1,FALSE),"")))),_xlpm.cantidad,ROWS(_xlpm.resultados),IF(ISERROR(_xlpm.cantidad),"Combinación no existente",IF(_xlpm.cantidad=1,INDEX(_xlpm.resultados,1),"(seleccione)")))</f>
        <v>Combinación no existente</v>
      </c>
      <c r="X429" s="67" t="s">
        <v>96</v>
      </c>
      <c r="Y429" s="64"/>
      <c r="Z429" s="64"/>
      <c r="AA429" s="64"/>
      <c r="AB429" s="133" t="s">
        <v>96</v>
      </c>
      <c r="AC429" s="64"/>
      <c r="AD429" s="64"/>
      <c r="AE429" s="64"/>
      <c r="AF429" s="60" t="s">
        <v>96</v>
      </c>
      <c r="AG429" s="64"/>
      <c r="AH429" s="64"/>
      <c r="AI429" s="64"/>
      <c r="AJ429" s="68" t="s">
        <v>96</v>
      </c>
      <c r="AK429" s="69" t="str">
        <f t="shared" si="12"/>
        <v/>
      </c>
      <c r="AL429" s="70" t="s">
        <v>96</v>
      </c>
      <c r="AM429" s="69" t="str">
        <f t="shared" si="13"/>
        <v/>
      </c>
      <c r="AN429" s="71"/>
      <c r="AO429" s="71"/>
      <c r="AP429" s="71"/>
      <c r="AQ429" s="71"/>
      <c r="AR429" s="71" t="s">
        <v>96</v>
      </c>
      <c r="AS429" s="71"/>
      <c r="AT429" s="71" t="s">
        <v>96</v>
      </c>
      <c r="AU429" s="71"/>
      <c r="AV429" s="71" t="s">
        <v>95</v>
      </c>
      <c r="AW429" s="71"/>
      <c r="AX429" s="71"/>
      <c r="AY429" s="71"/>
      <c r="AZ429" s="71"/>
      <c r="BA429" s="71"/>
      <c r="BB429" s="70" t="s">
        <v>218</v>
      </c>
      <c r="BC429" s="70" t="s">
        <v>98</v>
      </c>
      <c r="BD429" s="72" t="str">
        <f>IF('Cálculo MP'!K439="","",'Cálculo MP'!K439)</f>
        <v/>
      </c>
      <c r="BE429" s="72" t="str">
        <f>IF('Cálculo MP'!L439="","",'Cálculo MP'!L439)</f>
        <v/>
      </c>
      <c r="BF429" s="72" t="str">
        <f>IF('Cálculo MP'!M439="","",'Cálculo MP'!M439)</f>
        <v/>
      </c>
      <c r="BG429" s="72" t="str">
        <f>IF('Cálculo MP'!N439="","",'Cálculo MP'!N439)</f>
        <v/>
      </c>
      <c r="BH429" s="72" t="str">
        <f>IF('Cálculo MP'!O439="","",'Cálculo MP'!O439)</f>
        <v/>
      </c>
      <c r="BI429" s="72" t="str">
        <f>IF('Cálculo MP'!P439="","",'Cálculo MP'!P439)</f>
        <v/>
      </c>
      <c r="BJ429" s="72" t="str">
        <f>IF('Cálculo MP'!Q439="","",'Cálculo MP'!Q439)</f>
        <v/>
      </c>
      <c r="BK429" s="72" t="str">
        <f>IF('Cálculo MP'!R439="","",'Cálculo MP'!R439)</f>
        <v/>
      </c>
      <c r="BL429" s="72" t="str">
        <f>IF('Cálculo MP'!S439="","",'Cálculo MP'!S439)</f>
        <v/>
      </c>
      <c r="BM429" s="71"/>
      <c r="BN429" s="71"/>
      <c r="BO429" s="71"/>
      <c r="BP429" s="71"/>
      <c r="BQ429" s="71"/>
      <c r="BR429" s="71"/>
      <c r="BS429" s="71"/>
    </row>
    <row r="430" spans="1:71" ht="19.5" customHeight="1" x14ac:dyDescent="0.15">
      <c r="A430" s="56" t="s">
        <v>985</v>
      </c>
      <c r="B430" s="57" t="s">
        <v>986</v>
      </c>
      <c r="C430" s="58" t="s">
        <v>985</v>
      </c>
      <c r="D430" s="59" t="s">
        <v>985</v>
      </c>
      <c r="E430" s="61"/>
      <c r="F430" s="60" t="s">
        <v>95</v>
      </c>
      <c r="G430" s="61"/>
      <c r="H430" s="62"/>
      <c r="I430" s="75"/>
      <c r="J430" s="60" t="s">
        <v>95</v>
      </c>
      <c r="K430" s="64"/>
      <c r="L430" s="64"/>
      <c r="M430" s="64" t="s">
        <v>96</v>
      </c>
      <c r="N430" s="64" t="s">
        <v>97</v>
      </c>
      <c r="O430" s="65" t="s">
        <v>986</v>
      </c>
      <c r="P430" s="70" t="s">
        <v>96</v>
      </c>
      <c r="Q430" s="60" t="s">
        <v>95</v>
      </c>
      <c r="R430" s="60" t="s">
        <v>96</v>
      </c>
      <c r="S430" s="66" t="s">
        <v>96</v>
      </c>
      <c r="T430" s="67" t="s">
        <v>96</v>
      </c>
      <c r="U430" s="60" t="s">
        <v>96</v>
      </c>
      <c r="V430" s="60" t="s">
        <v>96</v>
      </c>
      <c r="W430" s="60" t="str" cm="1">
        <f t="array" ref="W430">_xlfn.LET(_xlpm.resultados,_xlfn.UNIQUE(_xlfn._xlws.FILTER(Tabla1[Proceso],(Tabla1[Metal Base]=Q430)*(Tabla1[Etiquetas]=_xlfn.TEXTJOIN(" + ",TRUE,IF((TRIM(Upload!R430:V430)="")+(LOWER(TRIM(Upload!R430:V430))="(seleccione)"),"",PROPER(TRIM(Upload!R430:V430)))))*(Tabla1[Línea2]=IFERROR(VLOOKUP(Upload!P430&amp;"*",CAT_Procesos!D:D,1,FALSE),"")))),_xlpm.cantidad,ROWS(_xlpm.resultados),IF(ISERROR(_xlpm.cantidad),"Combinación no existente",IF(_xlpm.cantidad=1,INDEX(_xlpm.resultados,1),"(seleccione)")))</f>
        <v>Combinación no existente</v>
      </c>
      <c r="X430" s="67" t="s">
        <v>96</v>
      </c>
      <c r="Y430" s="64"/>
      <c r="Z430" s="64"/>
      <c r="AA430" s="64"/>
      <c r="AB430" s="133" t="s">
        <v>96</v>
      </c>
      <c r="AC430" s="64"/>
      <c r="AD430" s="64"/>
      <c r="AE430" s="64"/>
      <c r="AF430" s="60" t="s">
        <v>96</v>
      </c>
      <c r="AG430" s="64"/>
      <c r="AH430" s="64"/>
      <c r="AI430" s="64"/>
      <c r="AJ430" s="68" t="s">
        <v>96</v>
      </c>
      <c r="AK430" s="69" t="str">
        <f t="shared" si="12"/>
        <v/>
      </c>
      <c r="AL430" s="70" t="s">
        <v>96</v>
      </c>
      <c r="AM430" s="69" t="str">
        <f t="shared" si="13"/>
        <v/>
      </c>
      <c r="AN430" s="71"/>
      <c r="AO430" s="71"/>
      <c r="AP430" s="71"/>
      <c r="AQ430" s="71"/>
      <c r="AR430" s="71" t="s">
        <v>96</v>
      </c>
      <c r="AS430" s="71"/>
      <c r="AT430" s="71" t="s">
        <v>96</v>
      </c>
      <c r="AU430" s="71"/>
      <c r="AV430" s="71" t="s">
        <v>95</v>
      </c>
      <c r="AW430" s="71"/>
      <c r="AX430" s="71"/>
      <c r="AY430" s="71"/>
      <c r="AZ430" s="71"/>
      <c r="BA430" s="71"/>
      <c r="BB430" s="70" t="s">
        <v>218</v>
      </c>
      <c r="BC430" s="70" t="s">
        <v>98</v>
      </c>
      <c r="BD430" s="72" t="str">
        <f>IF('Cálculo MP'!K440="","",'Cálculo MP'!K440)</f>
        <v/>
      </c>
      <c r="BE430" s="72" t="str">
        <f>IF('Cálculo MP'!L440="","",'Cálculo MP'!L440)</f>
        <v/>
      </c>
      <c r="BF430" s="72" t="str">
        <f>IF('Cálculo MP'!M440="","",'Cálculo MP'!M440)</f>
        <v/>
      </c>
      <c r="BG430" s="72" t="str">
        <f>IF('Cálculo MP'!N440="","",'Cálculo MP'!N440)</f>
        <v/>
      </c>
      <c r="BH430" s="72" t="str">
        <f>IF('Cálculo MP'!O440="","",'Cálculo MP'!O440)</f>
        <v/>
      </c>
      <c r="BI430" s="72" t="str">
        <f>IF('Cálculo MP'!P440="","",'Cálculo MP'!P440)</f>
        <v/>
      </c>
      <c r="BJ430" s="72" t="str">
        <f>IF('Cálculo MP'!Q440="","",'Cálculo MP'!Q440)</f>
        <v/>
      </c>
      <c r="BK430" s="72" t="str">
        <f>IF('Cálculo MP'!R440="","",'Cálculo MP'!R440)</f>
        <v/>
      </c>
      <c r="BL430" s="72" t="str">
        <f>IF('Cálculo MP'!S440="","",'Cálculo MP'!S440)</f>
        <v/>
      </c>
      <c r="BM430" s="71"/>
      <c r="BN430" s="71"/>
      <c r="BO430" s="71"/>
      <c r="BP430" s="71"/>
      <c r="BQ430" s="71"/>
      <c r="BR430" s="71"/>
      <c r="BS430" s="71"/>
    </row>
    <row r="431" spans="1:71" ht="19.5" customHeight="1" x14ac:dyDescent="0.15">
      <c r="A431" s="56" t="s">
        <v>985</v>
      </c>
      <c r="B431" s="57" t="s">
        <v>986</v>
      </c>
      <c r="C431" s="58" t="s">
        <v>985</v>
      </c>
      <c r="D431" s="59" t="s">
        <v>985</v>
      </c>
      <c r="E431" s="61"/>
      <c r="F431" s="60" t="s">
        <v>95</v>
      </c>
      <c r="G431" s="61"/>
      <c r="H431" s="62"/>
      <c r="I431" s="75"/>
      <c r="J431" s="60" t="s">
        <v>95</v>
      </c>
      <c r="K431" s="64"/>
      <c r="L431" s="64"/>
      <c r="M431" s="64" t="s">
        <v>96</v>
      </c>
      <c r="N431" s="64" t="s">
        <v>97</v>
      </c>
      <c r="O431" s="65" t="s">
        <v>986</v>
      </c>
      <c r="P431" s="70" t="s">
        <v>96</v>
      </c>
      <c r="Q431" s="60" t="s">
        <v>95</v>
      </c>
      <c r="R431" s="60" t="s">
        <v>96</v>
      </c>
      <c r="S431" s="66" t="s">
        <v>96</v>
      </c>
      <c r="T431" s="67" t="s">
        <v>96</v>
      </c>
      <c r="U431" s="60" t="s">
        <v>96</v>
      </c>
      <c r="V431" s="60" t="s">
        <v>96</v>
      </c>
      <c r="W431" s="60" t="str" cm="1">
        <f t="array" ref="W431">_xlfn.LET(_xlpm.resultados,_xlfn.UNIQUE(_xlfn._xlws.FILTER(Tabla1[Proceso],(Tabla1[Metal Base]=Q431)*(Tabla1[Etiquetas]=_xlfn.TEXTJOIN(" + ",TRUE,IF((TRIM(Upload!R431:V431)="")+(LOWER(TRIM(Upload!R431:V431))="(seleccione)"),"",PROPER(TRIM(Upload!R431:V431)))))*(Tabla1[Línea2]=IFERROR(VLOOKUP(Upload!P431&amp;"*",CAT_Procesos!D:D,1,FALSE),"")))),_xlpm.cantidad,ROWS(_xlpm.resultados),IF(ISERROR(_xlpm.cantidad),"Combinación no existente",IF(_xlpm.cantidad=1,INDEX(_xlpm.resultados,1),"(seleccione)")))</f>
        <v>Combinación no existente</v>
      </c>
      <c r="X431" s="67" t="s">
        <v>96</v>
      </c>
      <c r="Y431" s="64"/>
      <c r="Z431" s="64"/>
      <c r="AA431" s="64"/>
      <c r="AB431" s="133" t="s">
        <v>96</v>
      </c>
      <c r="AC431" s="64"/>
      <c r="AD431" s="64"/>
      <c r="AE431" s="64"/>
      <c r="AF431" s="60" t="s">
        <v>96</v>
      </c>
      <c r="AG431" s="64"/>
      <c r="AH431" s="64"/>
      <c r="AI431" s="64"/>
      <c r="AJ431" s="68" t="s">
        <v>96</v>
      </c>
      <c r="AK431" s="69" t="str">
        <f t="shared" si="12"/>
        <v/>
      </c>
      <c r="AL431" s="70" t="s">
        <v>96</v>
      </c>
      <c r="AM431" s="69" t="str">
        <f t="shared" si="13"/>
        <v/>
      </c>
      <c r="AN431" s="71"/>
      <c r="AO431" s="71"/>
      <c r="AP431" s="71"/>
      <c r="AQ431" s="71"/>
      <c r="AR431" s="71" t="s">
        <v>96</v>
      </c>
      <c r="AS431" s="71"/>
      <c r="AT431" s="71" t="s">
        <v>96</v>
      </c>
      <c r="AU431" s="71"/>
      <c r="AV431" s="71" t="s">
        <v>95</v>
      </c>
      <c r="AW431" s="71"/>
      <c r="AX431" s="71"/>
      <c r="AY431" s="71"/>
      <c r="AZ431" s="71"/>
      <c r="BA431" s="71"/>
      <c r="BB431" s="70" t="s">
        <v>218</v>
      </c>
      <c r="BC431" s="70" t="s">
        <v>98</v>
      </c>
      <c r="BD431" s="72" t="str">
        <f>IF('Cálculo MP'!K441="","",'Cálculo MP'!K441)</f>
        <v/>
      </c>
      <c r="BE431" s="72" t="str">
        <f>IF('Cálculo MP'!L441="","",'Cálculo MP'!L441)</f>
        <v/>
      </c>
      <c r="BF431" s="72" t="str">
        <f>IF('Cálculo MP'!M441="","",'Cálculo MP'!M441)</f>
        <v/>
      </c>
      <c r="BG431" s="72" t="str">
        <f>IF('Cálculo MP'!N441="","",'Cálculo MP'!N441)</f>
        <v/>
      </c>
      <c r="BH431" s="72" t="str">
        <f>IF('Cálculo MP'!O441="","",'Cálculo MP'!O441)</f>
        <v/>
      </c>
      <c r="BI431" s="72" t="str">
        <f>IF('Cálculo MP'!P441="","",'Cálculo MP'!P441)</f>
        <v/>
      </c>
      <c r="BJ431" s="72" t="str">
        <f>IF('Cálculo MP'!Q441="","",'Cálculo MP'!Q441)</f>
        <v/>
      </c>
      <c r="BK431" s="72" t="str">
        <f>IF('Cálculo MP'!R441="","",'Cálculo MP'!R441)</f>
        <v/>
      </c>
      <c r="BL431" s="72" t="str">
        <f>IF('Cálculo MP'!S441="","",'Cálculo MP'!S441)</f>
        <v/>
      </c>
      <c r="BM431" s="71"/>
      <c r="BN431" s="71"/>
      <c r="BO431" s="71"/>
      <c r="BP431" s="71"/>
      <c r="BQ431" s="71"/>
      <c r="BR431" s="71"/>
      <c r="BS431" s="71"/>
    </row>
    <row r="432" spans="1:71" ht="19.5" customHeight="1" x14ac:dyDescent="0.15">
      <c r="A432" s="56" t="s">
        <v>985</v>
      </c>
      <c r="B432" s="57" t="s">
        <v>986</v>
      </c>
      <c r="C432" s="58" t="s">
        <v>985</v>
      </c>
      <c r="D432" s="59" t="s">
        <v>985</v>
      </c>
      <c r="E432" s="61"/>
      <c r="F432" s="60" t="s">
        <v>95</v>
      </c>
      <c r="G432" s="61"/>
      <c r="H432" s="62"/>
      <c r="I432" s="75"/>
      <c r="J432" s="60" t="s">
        <v>95</v>
      </c>
      <c r="K432" s="64"/>
      <c r="L432" s="64"/>
      <c r="M432" s="64" t="s">
        <v>96</v>
      </c>
      <c r="N432" s="64" t="s">
        <v>97</v>
      </c>
      <c r="O432" s="65" t="s">
        <v>986</v>
      </c>
      <c r="P432" s="70" t="s">
        <v>96</v>
      </c>
      <c r="Q432" s="60" t="s">
        <v>95</v>
      </c>
      <c r="R432" s="60" t="s">
        <v>96</v>
      </c>
      <c r="S432" s="66" t="s">
        <v>96</v>
      </c>
      <c r="T432" s="67" t="s">
        <v>96</v>
      </c>
      <c r="U432" s="60" t="s">
        <v>96</v>
      </c>
      <c r="V432" s="60" t="s">
        <v>96</v>
      </c>
      <c r="W432" s="60" t="str" cm="1">
        <f t="array" ref="W432">_xlfn.LET(_xlpm.resultados,_xlfn.UNIQUE(_xlfn._xlws.FILTER(Tabla1[Proceso],(Tabla1[Metal Base]=Q432)*(Tabla1[Etiquetas]=_xlfn.TEXTJOIN(" + ",TRUE,IF((TRIM(Upload!R432:V432)="")+(LOWER(TRIM(Upload!R432:V432))="(seleccione)"),"",PROPER(TRIM(Upload!R432:V432)))))*(Tabla1[Línea2]=IFERROR(VLOOKUP(Upload!P432&amp;"*",CAT_Procesos!D:D,1,FALSE),"")))),_xlpm.cantidad,ROWS(_xlpm.resultados),IF(ISERROR(_xlpm.cantidad),"Combinación no existente",IF(_xlpm.cantidad=1,INDEX(_xlpm.resultados,1),"(seleccione)")))</f>
        <v>Combinación no existente</v>
      </c>
      <c r="X432" s="67" t="s">
        <v>96</v>
      </c>
      <c r="Y432" s="64"/>
      <c r="Z432" s="64"/>
      <c r="AA432" s="64"/>
      <c r="AB432" s="133" t="s">
        <v>96</v>
      </c>
      <c r="AC432" s="64"/>
      <c r="AD432" s="64"/>
      <c r="AE432" s="64"/>
      <c r="AF432" s="60" t="s">
        <v>96</v>
      </c>
      <c r="AG432" s="64"/>
      <c r="AH432" s="64"/>
      <c r="AI432" s="64"/>
      <c r="AJ432" s="68" t="s">
        <v>96</v>
      </c>
      <c r="AK432" s="69" t="str">
        <f t="shared" si="12"/>
        <v/>
      </c>
      <c r="AL432" s="70" t="s">
        <v>96</v>
      </c>
      <c r="AM432" s="69" t="str">
        <f t="shared" si="13"/>
        <v/>
      </c>
      <c r="AN432" s="71"/>
      <c r="AO432" s="71"/>
      <c r="AP432" s="71"/>
      <c r="AQ432" s="71"/>
      <c r="AR432" s="71" t="s">
        <v>96</v>
      </c>
      <c r="AS432" s="71"/>
      <c r="AT432" s="71" t="s">
        <v>96</v>
      </c>
      <c r="AU432" s="71"/>
      <c r="AV432" s="71" t="s">
        <v>95</v>
      </c>
      <c r="AW432" s="71"/>
      <c r="AX432" s="71"/>
      <c r="AY432" s="71"/>
      <c r="AZ432" s="71"/>
      <c r="BA432" s="71"/>
      <c r="BB432" s="70" t="s">
        <v>218</v>
      </c>
      <c r="BC432" s="70" t="s">
        <v>98</v>
      </c>
      <c r="BD432" s="72" t="str">
        <f>IF('Cálculo MP'!K442="","",'Cálculo MP'!K442)</f>
        <v/>
      </c>
      <c r="BE432" s="72" t="str">
        <f>IF('Cálculo MP'!L442="","",'Cálculo MP'!L442)</f>
        <v/>
      </c>
      <c r="BF432" s="72" t="str">
        <f>IF('Cálculo MP'!M442="","",'Cálculo MP'!M442)</f>
        <v/>
      </c>
      <c r="BG432" s="72" t="str">
        <f>IF('Cálculo MP'!N442="","",'Cálculo MP'!N442)</f>
        <v/>
      </c>
      <c r="BH432" s="72" t="str">
        <f>IF('Cálculo MP'!O442="","",'Cálculo MP'!O442)</f>
        <v/>
      </c>
      <c r="BI432" s="72" t="str">
        <f>IF('Cálculo MP'!P442="","",'Cálculo MP'!P442)</f>
        <v/>
      </c>
      <c r="BJ432" s="72" t="str">
        <f>IF('Cálculo MP'!Q442="","",'Cálculo MP'!Q442)</f>
        <v/>
      </c>
      <c r="BK432" s="72" t="str">
        <f>IF('Cálculo MP'!R442="","",'Cálculo MP'!R442)</f>
        <v/>
      </c>
      <c r="BL432" s="72" t="str">
        <f>IF('Cálculo MP'!S442="","",'Cálculo MP'!S442)</f>
        <v/>
      </c>
      <c r="BM432" s="71"/>
      <c r="BN432" s="71"/>
      <c r="BO432" s="71"/>
      <c r="BP432" s="71"/>
      <c r="BQ432" s="71"/>
      <c r="BR432" s="71"/>
      <c r="BS432" s="71"/>
    </row>
    <row r="433" spans="1:71" ht="19.5" customHeight="1" x14ac:dyDescent="0.15">
      <c r="A433" s="56" t="s">
        <v>985</v>
      </c>
      <c r="B433" s="57" t="s">
        <v>986</v>
      </c>
      <c r="C433" s="58" t="s">
        <v>985</v>
      </c>
      <c r="D433" s="59" t="s">
        <v>985</v>
      </c>
      <c r="E433" s="61"/>
      <c r="F433" s="60" t="s">
        <v>95</v>
      </c>
      <c r="G433" s="61"/>
      <c r="H433" s="62"/>
      <c r="I433" s="75"/>
      <c r="J433" s="60" t="s">
        <v>95</v>
      </c>
      <c r="K433" s="64"/>
      <c r="L433" s="64"/>
      <c r="M433" s="64" t="s">
        <v>96</v>
      </c>
      <c r="N433" s="64" t="s">
        <v>97</v>
      </c>
      <c r="O433" s="65" t="s">
        <v>986</v>
      </c>
      <c r="P433" s="70" t="s">
        <v>96</v>
      </c>
      <c r="Q433" s="60" t="s">
        <v>95</v>
      </c>
      <c r="R433" s="60" t="s">
        <v>96</v>
      </c>
      <c r="S433" s="66" t="s">
        <v>96</v>
      </c>
      <c r="T433" s="67" t="s">
        <v>96</v>
      </c>
      <c r="U433" s="60" t="s">
        <v>96</v>
      </c>
      <c r="V433" s="60" t="s">
        <v>96</v>
      </c>
      <c r="W433" s="60" t="str" cm="1">
        <f t="array" ref="W433">_xlfn.LET(_xlpm.resultados,_xlfn.UNIQUE(_xlfn._xlws.FILTER(Tabla1[Proceso],(Tabla1[Metal Base]=Q433)*(Tabla1[Etiquetas]=_xlfn.TEXTJOIN(" + ",TRUE,IF((TRIM(Upload!R433:V433)="")+(LOWER(TRIM(Upload!R433:V433))="(seleccione)"),"",PROPER(TRIM(Upload!R433:V433)))))*(Tabla1[Línea2]=IFERROR(VLOOKUP(Upload!P433&amp;"*",CAT_Procesos!D:D,1,FALSE),"")))),_xlpm.cantidad,ROWS(_xlpm.resultados),IF(ISERROR(_xlpm.cantidad),"Combinación no existente",IF(_xlpm.cantidad=1,INDEX(_xlpm.resultados,1),"(seleccione)")))</f>
        <v>Combinación no existente</v>
      </c>
      <c r="X433" s="67" t="s">
        <v>96</v>
      </c>
      <c r="Y433" s="64"/>
      <c r="Z433" s="64"/>
      <c r="AA433" s="64"/>
      <c r="AB433" s="133" t="s">
        <v>96</v>
      </c>
      <c r="AC433" s="64"/>
      <c r="AD433" s="64"/>
      <c r="AE433" s="64"/>
      <c r="AF433" s="60" t="s">
        <v>96</v>
      </c>
      <c r="AG433" s="64"/>
      <c r="AH433" s="64"/>
      <c r="AI433" s="64"/>
      <c r="AJ433" s="68" t="s">
        <v>96</v>
      </c>
      <c r="AK433" s="69" t="str">
        <f t="shared" si="12"/>
        <v/>
      </c>
      <c r="AL433" s="70" t="s">
        <v>96</v>
      </c>
      <c r="AM433" s="69" t="str">
        <f t="shared" si="13"/>
        <v/>
      </c>
      <c r="AN433" s="71"/>
      <c r="AO433" s="71"/>
      <c r="AP433" s="71"/>
      <c r="AQ433" s="71"/>
      <c r="AR433" s="71" t="s">
        <v>96</v>
      </c>
      <c r="AS433" s="71"/>
      <c r="AT433" s="71" t="s">
        <v>96</v>
      </c>
      <c r="AU433" s="71"/>
      <c r="AV433" s="71" t="s">
        <v>95</v>
      </c>
      <c r="AW433" s="71"/>
      <c r="AX433" s="71"/>
      <c r="AY433" s="71"/>
      <c r="AZ433" s="71"/>
      <c r="BA433" s="71"/>
      <c r="BB433" s="70" t="s">
        <v>218</v>
      </c>
      <c r="BC433" s="70" t="s">
        <v>98</v>
      </c>
      <c r="BD433" s="72" t="str">
        <f>IF('Cálculo MP'!K443="","",'Cálculo MP'!K443)</f>
        <v/>
      </c>
      <c r="BE433" s="72" t="str">
        <f>IF('Cálculo MP'!L443="","",'Cálculo MP'!L443)</f>
        <v/>
      </c>
      <c r="BF433" s="72" t="str">
        <f>IF('Cálculo MP'!M443="","",'Cálculo MP'!M443)</f>
        <v/>
      </c>
      <c r="BG433" s="72" t="str">
        <f>IF('Cálculo MP'!N443="","",'Cálculo MP'!N443)</f>
        <v/>
      </c>
      <c r="BH433" s="72" t="str">
        <f>IF('Cálculo MP'!O443="","",'Cálculo MP'!O443)</f>
        <v/>
      </c>
      <c r="BI433" s="72" t="str">
        <f>IF('Cálculo MP'!P443="","",'Cálculo MP'!P443)</f>
        <v/>
      </c>
      <c r="BJ433" s="72" t="str">
        <f>IF('Cálculo MP'!Q443="","",'Cálculo MP'!Q443)</f>
        <v/>
      </c>
      <c r="BK433" s="72" t="str">
        <f>IF('Cálculo MP'!R443="","",'Cálculo MP'!R443)</f>
        <v/>
      </c>
      <c r="BL433" s="72" t="str">
        <f>IF('Cálculo MP'!S443="","",'Cálculo MP'!S443)</f>
        <v/>
      </c>
      <c r="BM433" s="71"/>
      <c r="BN433" s="71"/>
      <c r="BO433" s="71"/>
      <c r="BP433" s="71"/>
      <c r="BQ433" s="71"/>
      <c r="BR433" s="71"/>
      <c r="BS433" s="71"/>
    </row>
    <row r="434" spans="1:71" ht="19.5" customHeight="1" x14ac:dyDescent="0.15">
      <c r="A434" s="56" t="s">
        <v>985</v>
      </c>
      <c r="B434" s="57" t="s">
        <v>986</v>
      </c>
      <c r="C434" s="58" t="s">
        <v>985</v>
      </c>
      <c r="D434" s="59" t="s">
        <v>985</v>
      </c>
      <c r="E434" s="61"/>
      <c r="F434" s="60" t="s">
        <v>95</v>
      </c>
      <c r="G434" s="61"/>
      <c r="H434" s="62"/>
      <c r="I434" s="75"/>
      <c r="J434" s="60" t="s">
        <v>95</v>
      </c>
      <c r="K434" s="64"/>
      <c r="L434" s="64"/>
      <c r="M434" s="64" t="s">
        <v>96</v>
      </c>
      <c r="N434" s="64" t="s">
        <v>97</v>
      </c>
      <c r="O434" s="65" t="s">
        <v>986</v>
      </c>
      <c r="P434" s="70" t="s">
        <v>96</v>
      </c>
      <c r="Q434" s="60" t="s">
        <v>95</v>
      </c>
      <c r="R434" s="60" t="s">
        <v>96</v>
      </c>
      <c r="S434" s="66" t="s">
        <v>96</v>
      </c>
      <c r="T434" s="67" t="s">
        <v>96</v>
      </c>
      <c r="U434" s="60" t="s">
        <v>96</v>
      </c>
      <c r="V434" s="60" t="s">
        <v>96</v>
      </c>
      <c r="W434" s="60" t="str" cm="1">
        <f t="array" ref="W434">_xlfn.LET(_xlpm.resultados,_xlfn.UNIQUE(_xlfn._xlws.FILTER(Tabla1[Proceso],(Tabla1[Metal Base]=Q434)*(Tabla1[Etiquetas]=_xlfn.TEXTJOIN(" + ",TRUE,IF((TRIM(Upload!R434:V434)="")+(LOWER(TRIM(Upload!R434:V434))="(seleccione)"),"",PROPER(TRIM(Upload!R434:V434)))))*(Tabla1[Línea2]=IFERROR(VLOOKUP(Upload!P434&amp;"*",CAT_Procesos!D:D,1,FALSE),"")))),_xlpm.cantidad,ROWS(_xlpm.resultados),IF(ISERROR(_xlpm.cantidad),"Combinación no existente",IF(_xlpm.cantidad=1,INDEX(_xlpm.resultados,1),"(seleccione)")))</f>
        <v>Combinación no existente</v>
      </c>
      <c r="X434" s="67" t="s">
        <v>96</v>
      </c>
      <c r="Y434" s="64"/>
      <c r="Z434" s="64"/>
      <c r="AA434" s="64"/>
      <c r="AB434" s="133" t="s">
        <v>96</v>
      </c>
      <c r="AC434" s="64"/>
      <c r="AD434" s="64"/>
      <c r="AE434" s="64"/>
      <c r="AF434" s="60" t="s">
        <v>96</v>
      </c>
      <c r="AG434" s="64"/>
      <c r="AH434" s="64"/>
      <c r="AI434" s="64"/>
      <c r="AJ434" s="68" t="s">
        <v>96</v>
      </c>
      <c r="AK434" s="69" t="str">
        <f t="shared" si="12"/>
        <v/>
      </c>
      <c r="AL434" s="70" t="s">
        <v>96</v>
      </c>
      <c r="AM434" s="69" t="str">
        <f t="shared" si="13"/>
        <v/>
      </c>
      <c r="AN434" s="71"/>
      <c r="AO434" s="71"/>
      <c r="AP434" s="71"/>
      <c r="AQ434" s="71"/>
      <c r="AR434" s="71" t="s">
        <v>96</v>
      </c>
      <c r="AS434" s="71"/>
      <c r="AT434" s="71" t="s">
        <v>96</v>
      </c>
      <c r="AU434" s="71"/>
      <c r="AV434" s="71" t="s">
        <v>95</v>
      </c>
      <c r="AW434" s="71"/>
      <c r="AX434" s="71"/>
      <c r="AY434" s="71"/>
      <c r="AZ434" s="71"/>
      <c r="BA434" s="71"/>
      <c r="BB434" s="70" t="s">
        <v>218</v>
      </c>
      <c r="BC434" s="70" t="s">
        <v>98</v>
      </c>
      <c r="BD434" s="72" t="str">
        <f>IF('Cálculo MP'!K444="","",'Cálculo MP'!K444)</f>
        <v/>
      </c>
      <c r="BE434" s="72" t="str">
        <f>IF('Cálculo MP'!L444="","",'Cálculo MP'!L444)</f>
        <v/>
      </c>
      <c r="BF434" s="72" t="str">
        <f>IF('Cálculo MP'!M444="","",'Cálculo MP'!M444)</f>
        <v/>
      </c>
      <c r="BG434" s="72" t="str">
        <f>IF('Cálculo MP'!N444="","",'Cálculo MP'!N444)</f>
        <v/>
      </c>
      <c r="BH434" s="72" t="str">
        <f>IF('Cálculo MP'!O444="","",'Cálculo MP'!O444)</f>
        <v/>
      </c>
      <c r="BI434" s="72" t="str">
        <f>IF('Cálculo MP'!P444="","",'Cálculo MP'!P444)</f>
        <v/>
      </c>
      <c r="BJ434" s="72" t="str">
        <f>IF('Cálculo MP'!Q444="","",'Cálculo MP'!Q444)</f>
        <v/>
      </c>
      <c r="BK434" s="72" t="str">
        <f>IF('Cálculo MP'!R444="","",'Cálculo MP'!R444)</f>
        <v/>
      </c>
      <c r="BL434" s="72" t="str">
        <f>IF('Cálculo MP'!S444="","",'Cálculo MP'!S444)</f>
        <v/>
      </c>
      <c r="BM434" s="71"/>
      <c r="BN434" s="71"/>
      <c r="BO434" s="71"/>
      <c r="BP434" s="71"/>
      <c r="BQ434" s="71"/>
      <c r="BR434" s="71"/>
      <c r="BS434" s="71"/>
    </row>
    <row r="435" spans="1:71" ht="19.5" customHeight="1" x14ac:dyDescent="0.15">
      <c r="A435" s="56" t="s">
        <v>985</v>
      </c>
      <c r="B435" s="57" t="s">
        <v>986</v>
      </c>
      <c r="C435" s="58" t="s">
        <v>985</v>
      </c>
      <c r="D435" s="59" t="s">
        <v>985</v>
      </c>
      <c r="E435" s="61"/>
      <c r="F435" s="60" t="s">
        <v>95</v>
      </c>
      <c r="G435" s="61"/>
      <c r="H435" s="62"/>
      <c r="I435" s="75"/>
      <c r="J435" s="60" t="s">
        <v>95</v>
      </c>
      <c r="K435" s="64"/>
      <c r="L435" s="64"/>
      <c r="M435" s="64" t="s">
        <v>96</v>
      </c>
      <c r="N435" s="64" t="s">
        <v>97</v>
      </c>
      <c r="O435" s="65" t="s">
        <v>986</v>
      </c>
      <c r="P435" s="70" t="s">
        <v>96</v>
      </c>
      <c r="Q435" s="60" t="s">
        <v>95</v>
      </c>
      <c r="R435" s="60" t="s">
        <v>96</v>
      </c>
      <c r="S435" s="66" t="s">
        <v>96</v>
      </c>
      <c r="T435" s="67" t="s">
        <v>96</v>
      </c>
      <c r="U435" s="60" t="s">
        <v>96</v>
      </c>
      <c r="V435" s="60" t="s">
        <v>96</v>
      </c>
      <c r="W435" s="60" t="str" cm="1">
        <f t="array" ref="W435">_xlfn.LET(_xlpm.resultados,_xlfn.UNIQUE(_xlfn._xlws.FILTER(Tabla1[Proceso],(Tabla1[Metal Base]=Q435)*(Tabla1[Etiquetas]=_xlfn.TEXTJOIN(" + ",TRUE,IF((TRIM(Upload!R435:V435)="")+(LOWER(TRIM(Upload!R435:V435))="(seleccione)"),"",PROPER(TRIM(Upload!R435:V435)))))*(Tabla1[Línea2]=IFERROR(VLOOKUP(Upload!P435&amp;"*",CAT_Procesos!D:D,1,FALSE),"")))),_xlpm.cantidad,ROWS(_xlpm.resultados),IF(ISERROR(_xlpm.cantidad),"Combinación no existente",IF(_xlpm.cantidad=1,INDEX(_xlpm.resultados,1),"(seleccione)")))</f>
        <v>Combinación no existente</v>
      </c>
      <c r="X435" s="67" t="s">
        <v>96</v>
      </c>
      <c r="Y435" s="64"/>
      <c r="Z435" s="64"/>
      <c r="AA435" s="64"/>
      <c r="AB435" s="133" t="s">
        <v>96</v>
      </c>
      <c r="AC435" s="64"/>
      <c r="AD435" s="64"/>
      <c r="AE435" s="64"/>
      <c r="AF435" s="60" t="s">
        <v>96</v>
      </c>
      <c r="AG435" s="64"/>
      <c r="AH435" s="64"/>
      <c r="AI435" s="64"/>
      <c r="AJ435" s="68" t="s">
        <v>96</v>
      </c>
      <c r="AK435" s="69" t="str">
        <f t="shared" si="12"/>
        <v/>
      </c>
      <c r="AL435" s="70" t="s">
        <v>96</v>
      </c>
      <c r="AM435" s="69" t="str">
        <f t="shared" si="13"/>
        <v/>
      </c>
      <c r="AN435" s="71"/>
      <c r="AO435" s="71"/>
      <c r="AP435" s="71"/>
      <c r="AQ435" s="71"/>
      <c r="AR435" s="71" t="s">
        <v>96</v>
      </c>
      <c r="AS435" s="71"/>
      <c r="AT435" s="71" t="s">
        <v>96</v>
      </c>
      <c r="AU435" s="71"/>
      <c r="AV435" s="71" t="s">
        <v>95</v>
      </c>
      <c r="AW435" s="71"/>
      <c r="AX435" s="71"/>
      <c r="AY435" s="71"/>
      <c r="AZ435" s="71"/>
      <c r="BA435" s="71"/>
      <c r="BB435" s="70" t="s">
        <v>218</v>
      </c>
      <c r="BC435" s="70" t="s">
        <v>98</v>
      </c>
      <c r="BD435" s="72" t="str">
        <f>IF('Cálculo MP'!K445="","",'Cálculo MP'!K445)</f>
        <v/>
      </c>
      <c r="BE435" s="72" t="str">
        <f>IF('Cálculo MP'!L445="","",'Cálculo MP'!L445)</f>
        <v/>
      </c>
      <c r="BF435" s="72" t="str">
        <f>IF('Cálculo MP'!M445="","",'Cálculo MP'!M445)</f>
        <v/>
      </c>
      <c r="BG435" s="72" t="str">
        <f>IF('Cálculo MP'!N445="","",'Cálculo MP'!N445)</f>
        <v/>
      </c>
      <c r="BH435" s="72" t="str">
        <f>IF('Cálculo MP'!O445="","",'Cálculo MP'!O445)</f>
        <v/>
      </c>
      <c r="BI435" s="72" t="str">
        <f>IF('Cálculo MP'!P445="","",'Cálculo MP'!P445)</f>
        <v/>
      </c>
      <c r="BJ435" s="72" t="str">
        <f>IF('Cálculo MP'!Q445="","",'Cálculo MP'!Q445)</f>
        <v/>
      </c>
      <c r="BK435" s="72" t="str">
        <f>IF('Cálculo MP'!R445="","",'Cálculo MP'!R445)</f>
        <v/>
      </c>
      <c r="BL435" s="72" t="str">
        <f>IF('Cálculo MP'!S445="","",'Cálculo MP'!S445)</f>
        <v/>
      </c>
      <c r="BM435" s="71"/>
      <c r="BN435" s="71"/>
      <c r="BO435" s="71"/>
      <c r="BP435" s="71"/>
      <c r="BQ435" s="71"/>
      <c r="BR435" s="71"/>
      <c r="BS435" s="71"/>
    </row>
    <row r="436" spans="1:71" ht="19.5" customHeight="1" x14ac:dyDescent="0.15">
      <c r="A436" s="56" t="s">
        <v>985</v>
      </c>
      <c r="B436" s="57" t="s">
        <v>986</v>
      </c>
      <c r="C436" s="58" t="s">
        <v>985</v>
      </c>
      <c r="D436" s="59" t="s">
        <v>985</v>
      </c>
      <c r="E436" s="61"/>
      <c r="F436" s="60" t="s">
        <v>95</v>
      </c>
      <c r="G436" s="61"/>
      <c r="H436" s="62"/>
      <c r="I436" s="75"/>
      <c r="J436" s="60" t="s">
        <v>95</v>
      </c>
      <c r="K436" s="64"/>
      <c r="L436" s="64"/>
      <c r="M436" s="64" t="s">
        <v>96</v>
      </c>
      <c r="N436" s="64" t="s">
        <v>97</v>
      </c>
      <c r="O436" s="65" t="s">
        <v>986</v>
      </c>
      <c r="P436" s="70" t="s">
        <v>96</v>
      </c>
      <c r="Q436" s="60" t="s">
        <v>95</v>
      </c>
      <c r="R436" s="60" t="s">
        <v>96</v>
      </c>
      <c r="S436" s="66" t="s">
        <v>96</v>
      </c>
      <c r="T436" s="67" t="s">
        <v>96</v>
      </c>
      <c r="U436" s="60" t="s">
        <v>96</v>
      </c>
      <c r="V436" s="60" t="s">
        <v>96</v>
      </c>
      <c r="W436" s="60" t="str" cm="1">
        <f t="array" ref="W436">_xlfn.LET(_xlpm.resultados,_xlfn.UNIQUE(_xlfn._xlws.FILTER(Tabla1[Proceso],(Tabla1[Metal Base]=Q436)*(Tabla1[Etiquetas]=_xlfn.TEXTJOIN(" + ",TRUE,IF((TRIM(Upload!R436:V436)="")+(LOWER(TRIM(Upload!R436:V436))="(seleccione)"),"",PROPER(TRIM(Upload!R436:V436)))))*(Tabla1[Línea2]=IFERROR(VLOOKUP(Upload!P436&amp;"*",CAT_Procesos!D:D,1,FALSE),"")))),_xlpm.cantidad,ROWS(_xlpm.resultados),IF(ISERROR(_xlpm.cantidad),"Combinación no existente",IF(_xlpm.cantidad=1,INDEX(_xlpm.resultados,1),"(seleccione)")))</f>
        <v>Combinación no existente</v>
      </c>
      <c r="X436" s="67" t="s">
        <v>96</v>
      </c>
      <c r="Y436" s="64"/>
      <c r="Z436" s="64"/>
      <c r="AA436" s="64"/>
      <c r="AB436" s="133" t="s">
        <v>96</v>
      </c>
      <c r="AC436" s="64"/>
      <c r="AD436" s="64"/>
      <c r="AE436" s="64"/>
      <c r="AF436" s="60" t="s">
        <v>96</v>
      </c>
      <c r="AG436" s="64"/>
      <c r="AH436" s="64"/>
      <c r="AI436" s="64"/>
      <c r="AJ436" s="68" t="s">
        <v>96</v>
      </c>
      <c r="AK436" s="69" t="str">
        <f t="shared" si="12"/>
        <v/>
      </c>
      <c r="AL436" s="70" t="s">
        <v>96</v>
      </c>
      <c r="AM436" s="69" t="str">
        <f t="shared" si="13"/>
        <v/>
      </c>
      <c r="AN436" s="71"/>
      <c r="AO436" s="71"/>
      <c r="AP436" s="71"/>
      <c r="AQ436" s="71"/>
      <c r="AR436" s="71" t="s">
        <v>96</v>
      </c>
      <c r="AS436" s="71"/>
      <c r="AT436" s="71" t="s">
        <v>96</v>
      </c>
      <c r="AU436" s="71"/>
      <c r="AV436" s="71" t="s">
        <v>95</v>
      </c>
      <c r="AW436" s="71"/>
      <c r="AX436" s="71"/>
      <c r="AY436" s="71"/>
      <c r="AZ436" s="71"/>
      <c r="BA436" s="71"/>
      <c r="BB436" s="70" t="s">
        <v>218</v>
      </c>
      <c r="BC436" s="70" t="s">
        <v>98</v>
      </c>
      <c r="BD436" s="72" t="str">
        <f>IF('Cálculo MP'!K446="","",'Cálculo MP'!K446)</f>
        <v/>
      </c>
      <c r="BE436" s="72" t="str">
        <f>IF('Cálculo MP'!L446="","",'Cálculo MP'!L446)</f>
        <v/>
      </c>
      <c r="BF436" s="72" t="str">
        <f>IF('Cálculo MP'!M446="","",'Cálculo MP'!M446)</f>
        <v/>
      </c>
      <c r="BG436" s="72" t="str">
        <f>IF('Cálculo MP'!N446="","",'Cálculo MP'!N446)</f>
        <v/>
      </c>
      <c r="BH436" s="72" t="str">
        <f>IF('Cálculo MP'!O446="","",'Cálculo MP'!O446)</f>
        <v/>
      </c>
      <c r="BI436" s="72" t="str">
        <f>IF('Cálculo MP'!P446="","",'Cálculo MP'!P446)</f>
        <v/>
      </c>
      <c r="BJ436" s="72" t="str">
        <f>IF('Cálculo MP'!Q446="","",'Cálculo MP'!Q446)</f>
        <v/>
      </c>
      <c r="BK436" s="72" t="str">
        <f>IF('Cálculo MP'!R446="","",'Cálculo MP'!R446)</f>
        <v/>
      </c>
      <c r="BL436" s="72" t="str">
        <f>IF('Cálculo MP'!S446="","",'Cálculo MP'!S446)</f>
        <v/>
      </c>
      <c r="BM436" s="71"/>
      <c r="BN436" s="71"/>
      <c r="BO436" s="71"/>
      <c r="BP436" s="71"/>
      <c r="BQ436" s="71"/>
      <c r="BR436" s="71"/>
      <c r="BS436" s="71"/>
    </row>
    <row r="437" spans="1:71" ht="19.5" customHeight="1" x14ac:dyDescent="0.15">
      <c r="A437" s="56" t="s">
        <v>985</v>
      </c>
      <c r="B437" s="57" t="s">
        <v>986</v>
      </c>
      <c r="C437" s="58" t="s">
        <v>985</v>
      </c>
      <c r="D437" s="59" t="s">
        <v>985</v>
      </c>
      <c r="E437" s="61"/>
      <c r="F437" s="60" t="s">
        <v>95</v>
      </c>
      <c r="G437" s="61"/>
      <c r="H437" s="62"/>
      <c r="I437" s="75"/>
      <c r="J437" s="60" t="s">
        <v>95</v>
      </c>
      <c r="K437" s="64"/>
      <c r="L437" s="64"/>
      <c r="M437" s="64" t="s">
        <v>96</v>
      </c>
      <c r="N437" s="64" t="s">
        <v>97</v>
      </c>
      <c r="O437" s="65" t="s">
        <v>986</v>
      </c>
      <c r="P437" s="70" t="s">
        <v>96</v>
      </c>
      <c r="Q437" s="60" t="s">
        <v>95</v>
      </c>
      <c r="R437" s="60" t="s">
        <v>96</v>
      </c>
      <c r="S437" s="66" t="s">
        <v>96</v>
      </c>
      <c r="T437" s="67" t="s">
        <v>96</v>
      </c>
      <c r="U437" s="60" t="s">
        <v>96</v>
      </c>
      <c r="V437" s="60" t="s">
        <v>96</v>
      </c>
      <c r="W437" s="60" t="str" cm="1">
        <f t="array" ref="W437">_xlfn.LET(_xlpm.resultados,_xlfn.UNIQUE(_xlfn._xlws.FILTER(Tabla1[Proceso],(Tabla1[Metal Base]=Q437)*(Tabla1[Etiquetas]=_xlfn.TEXTJOIN(" + ",TRUE,IF((TRIM(Upload!R437:V437)="")+(LOWER(TRIM(Upload!R437:V437))="(seleccione)"),"",PROPER(TRIM(Upload!R437:V437)))))*(Tabla1[Línea2]=IFERROR(VLOOKUP(Upload!P437&amp;"*",CAT_Procesos!D:D,1,FALSE),"")))),_xlpm.cantidad,ROWS(_xlpm.resultados),IF(ISERROR(_xlpm.cantidad),"Combinación no existente",IF(_xlpm.cantidad=1,INDEX(_xlpm.resultados,1),"(seleccione)")))</f>
        <v>Combinación no existente</v>
      </c>
      <c r="X437" s="67" t="s">
        <v>96</v>
      </c>
      <c r="Y437" s="64"/>
      <c r="Z437" s="64"/>
      <c r="AA437" s="64"/>
      <c r="AB437" s="133" t="s">
        <v>96</v>
      </c>
      <c r="AC437" s="64"/>
      <c r="AD437" s="64"/>
      <c r="AE437" s="64"/>
      <c r="AF437" s="60" t="s">
        <v>96</v>
      </c>
      <c r="AG437" s="64"/>
      <c r="AH437" s="64"/>
      <c r="AI437" s="64"/>
      <c r="AJ437" s="68" t="s">
        <v>96</v>
      </c>
      <c r="AK437" s="69" t="str">
        <f t="shared" si="12"/>
        <v/>
      </c>
      <c r="AL437" s="70" t="s">
        <v>96</v>
      </c>
      <c r="AM437" s="69" t="str">
        <f t="shared" si="13"/>
        <v/>
      </c>
      <c r="AN437" s="71"/>
      <c r="AO437" s="71"/>
      <c r="AP437" s="71"/>
      <c r="AQ437" s="71"/>
      <c r="AR437" s="71" t="s">
        <v>96</v>
      </c>
      <c r="AS437" s="71"/>
      <c r="AT437" s="71" t="s">
        <v>96</v>
      </c>
      <c r="AU437" s="71"/>
      <c r="AV437" s="71" t="s">
        <v>95</v>
      </c>
      <c r="AW437" s="71"/>
      <c r="AX437" s="71"/>
      <c r="AY437" s="71"/>
      <c r="AZ437" s="71"/>
      <c r="BA437" s="71"/>
      <c r="BB437" s="70" t="s">
        <v>218</v>
      </c>
      <c r="BC437" s="70" t="s">
        <v>98</v>
      </c>
      <c r="BD437" s="72" t="str">
        <f>IF('Cálculo MP'!K447="","",'Cálculo MP'!K447)</f>
        <v/>
      </c>
      <c r="BE437" s="72" t="str">
        <f>IF('Cálculo MP'!L447="","",'Cálculo MP'!L447)</f>
        <v/>
      </c>
      <c r="BF437" s="72" t="str">
        <f>IF('Cálculo MP'!M447="","",'Cálculo MP'!M447)</f>
        <v/>
      </c>
      <c r="BG437" s="72" t="str">
        <f>IF('Cálculo MP'!N447="","",'Cálculo MP'!N447)</f>
        <v/>
      </c>
      <c r="BH437" s="72" t="str">
        <f>IF('Cálculo MP'!O447="","",'Cálculo MP'!O447)</f>
        <v/>
      </c>
      <c r="BI437" s="72" t="str">
        <f>IF('Cálculo MP'!P447="","",'Cálculo MP'!P447)</f>
        <v/>
      </c>
      <c r="BJ437" s="72" t="str">
        <f>IF('Cálculo MP'!Q447="","",'Cálculo MP'!Q447)</f>
        <v/>
      </c>
      <c r="BK437" s="72" t="str">
        <f>IF('Cálculo MP'!R447="","",'Cálculo MP'!R447)</f>
        <v/>
      </c>
      <c r="BL437" s="72" t="str">
        <f>IF('Cálculo MP'!S447="","",'Cálculo MP'!S447)</f>
        <v/>
      </c>
      <c r="BM437" s="71"/>
      <c r="BN437" s="71"/>
      <c r="BO437" s="71"/>
      <c r="BP437" s="71"/>
      <c r="BQ437" s="71"/>
      <c r="BR437" s="71"/>
      <c r="BS437" s="71"/>
    </row>
    <row r="438" spans="1:71" ht="19.5" customHeight="1" x14ac:dyDescent="0.15">
      <c r="A438" s="56" t="s">
        <v>985</v>
      </c>
      <c r="B438" s="57" t="s">
        <v>986</v>
      </c>
      <c r="C438" s="58" t="s">
        <v>985</v>
      </c>
      <c r="D438" s="59" t="s">
        <v>985</v>
      </c>
      <c r="E438" s="61"/>
      <c r="F438" s="60" t="s">
        <v>95</v>
      </c>
      <c r="G438" s="61"/>
      <c r="H438" s="62"/>
      <c r="I438" s="75"/>
      <c r="J438" s="60" t="s">
        <v>95</v>
      </c>
      <c r="K438" s="64"/>
      <c r="L438" s="64"/>
      <c r="M438" s="64" t="s">
        <v>96</v>
      </c>
      <c r="N438" s="64" t="s">
        <v>97</v>
      </c>
      <c r="O438" s="65" t="s">
        <v>986</v>
      </c>
      <c r="P438" s="70" t="s">
        <v>96</v>
      </c>
      <c r="Q438" s="60" t="s">
        <v>95</v>
      </c>
      <c r="R438" s="60" t="s">
        <v>96</v>
      </c>
      <c r="S438" s="66" t="s">
        <v>96</v>
      </c>
      <c r="T438" s="67" t="s">
        <v>96</v>
      </c>
      <c r="U438" s="60" t="s">
        <v>96</v>
      </c>
      <c r="V438" s="60" t="s">
        <v>96</v>
      </c>
      <c r="W438" s="60" t="str" cm="1">
        <f t="array" ref="W438">_xlfn.LET(_xlpm.resultados,_xlfn.UNIQUE(_xlfn._xlws.FILTER(Tabla1[Proceso],(Tabla1[Metal Base]=Q438)*(Tabla1[Etiquetas]=_xlfn.TEXTJOIN(" + ",TRUE,IF((TRIM(Upload!R438:V438)="")+(LOWER(TRIM(Upload!R438:V438))="(seleccione)"),"",PROPER(TRIM(Upload!R438:V438)))))*(Tabla1[Línea2]=IFERROR(VLOOKUP(Upload!P438&amp;"*",CAT_Procesos!D:D,1,FALSE),"")))),_xlpm.cantidad,ROWS(_xlpm.resultados),IF(ISERROR(_xlpm.cantidad),"Combinación no existente",IF(_xlpm.cantidad=1,INDEX(_xlpm.resultados,1),"(seleccione)")))</f>
        <v>Combinación no existente</v>
      </c>
      <c r="X438" s="67" t="s">
        <v>96</v>
      </c>
      <c r="Y438" s="64"/>
      <c r="Z438" s="64"/>
      <c r="AA438" s="64"/>
      <c r="AB438" s="133" t="s">
        <v>96</v>
      </c>
      <c r="AC438" s="64"/>
      <c r="AD438" s="64"/>
      <c r="AE438" s="64"/>
      <c r="AF438" s="60" t="s">
        <v>96</v>
      </c>
      <c r="AG438" s="64"/>
      <c r="AH438" s="64"/>
      <c r="AI438" s="64"/>
      <c r="AJ438" s="68" t="s">
        <v>96</v>
      </c>
      <c r="AK438" s="69" t="str">
        <f t="shared" si="12"/>
        <v/>
      </c>
      <c r="AL438" s="70" t="s">
        <v>96</v>
      </c>
      <c r="AM438" s="69" t="str">
        <f t="shared" si="13"/>
        <v/>
      </c>
      <c r="AN438" s="71"/>
      <c r="AO438" s="71"/>
      <c r="AP438" s="71"/>
      <c r="AQ438" s="71"/>
      <c r="AR438" s="71" t="s">
        <v>96</v>
      </c>
      <c r="AS438" s="71"/>
      <c r="AT438" s="71" t="s">
        <v>96</v>
      </c>
      <c r="AU438" s="71"/>
      <c r="AV438" s="71" t="s">
        <v>95</v>
      </c>
      <c r="AW438" s="71"/>
      <c r="AX438" s="71"/>
      <c r="AY438" s="71"/>
      <c r="AZ438" s="71"/>
      <c r="BA438" s="71"/>
      <c r="BB438" s="70" t="s">
        <v>218</v>
      </c>
      <c r="BC438" s="70" t="s">
        <v>98</v>
      </c>
      <c r="BD438" s="72" t="str">
        <f>IF('Cálculo MP'!K448="","",'Cálculo MP'!K448)</f>
        <v/>
      </c>
      <c r="BE438" s="72" t="str">
        <f>IF('Cálculo MP'!L448="","",'Cálculo MP'!L448)</f>
        <v/>
      </c>
      <c r="BF438" s="72" t="str">
        <f>IF('Cálculo MP'!M448="","",'Cálculo MP'!M448)</f>
        <v/>
      </c>
      <c r="BG438" s="72" t="str">
        <f>IF('Cálculo MP'!N448="","",'Cálculo MP'!N448)</f>
        <v/>
      </c>
      <c r="BH438" s="72" t="str">
        <f>IF('Cálculo MP'!O448="","",'Cálculo MP'!O448)</f>
        <v/>
      </c>
      <c r="BI438" s="72" t="str">
        <f>IF('Cálculo MP'!P448="","",'Cálculo MP'!P448)</f>
        <v/>
      </c>
      <c r="BJ438" s="72" t="str">
        <f>IF('Cálculo MP'!Q448="","",'Cálculo MP'!Q448)</f>
        <v/>
      </c>
      <c r="BK438" s="72" t="str">
        <f>IF('Cálculo MP'!R448="","",'Cálculo MP'!R448)</f>
        <v/>
      </c>
      <c r="BL438" s="72" t="str">
        <f>IF('Cálculo MP'!S448="","",'Cálculo MP'!S448)</f>
        <v/>
      </c>
      <c r="BM438" s="71"/>
      <c r="BN438" s="71"/>
      <c r="BO438" s="71"/>
      <c r="BP438" s="71"/>
      <c r="BQ438" s="71"/>
      <c r="BR438" s="71"/>
      <c r="BS438" s="71"/>
    </row>
    <row r="439" spans="1:71" ht="19.5" customHeight="1" x14ac:dyDescent="0.15">
      <c r="A439" s="56" t="s">
        <v>985</v>
      </c>
      <c r="B439" s="57" t="s">
        <v>986</v>
      </c>
      <c r="C439" s="58" t="s">
        <v>985</v>
      </c>
      <c r="D439" s="59" t="s">
        <v>985</v>
      </c>
      <c r="E439" s="61"/>
      <c r="F439" s="60" t="s">
        <v>95</v>
      </c>
      <c r="G439" s="61"/>
      <c r="H439" s="62"/>
      <c r="I439" s="75"/>
      <c r="J439" s="60" t="s">
        <v>95</v>
      </c>
      <c r="K439" s="64"/>
      <c r="L439" s="64"/>
      <c r="M439" s="64" t="s">
        <v>96</v>
      </c>
      <c r="N439" s="64" t="s">
        <v>97</v>
      </c>
      <c r="O439" s="65" t="s">
        <v>986</v>
      </c>
      <c r="P439" s="70" t="s">
        <v>96</v>
      </c>
      <c r="Q439" s="60" t="s">
        <v>95</v>
      </c>
      <c r="R439" s="60" t="s">
        <v>96</v>
      </c>
      <c r="S439" s="66" t="s">
        <v>96</v>
      </c>
      <c r="T439" s="67" t="s">
        <v>96</v>
      </c>
      <c r="U439" s="60" t="s">
        <v>96</v>
      </c>
      <c r="V439" s="60" t="s">
        <v>96</v>
      </c>
      <c r="W439" s="60" t="str" cm="1">
        <f t="array" ref="W439">_xlfn.LET(_xlpm.resultados,_xlfn.UNIQUE(_xlfn._xlws.FILTER(Tabla1[Proceso],(Tabla1[Metal Base]=Q439)*(Tabla1[Etiquetas]=_xlfn.TEXTJOIN(" + ",TRUE,IF((TRIM(Upload!R439:V439)="")+(LOWER(TRIM(Upload!R439:V439))="(seleccione)"),"",PROPER(TRIM(Upload!R439:V439)))))*(Tabla1[Línea2]=IFERROR(VLOOKUP(Upload!P439&amp;"*",CAT_Procesos!D:D,1,FALSE),"")))),_xlpm.cantidad,ROWS(_xlpm.resultados),IF(ISERROR(_xlpm.cantidad),"Combinación no existente",IF(_xlpm.cantidad=1,INDEX(_xlpm.resultados,1),"(seleccione)")))</f>
        <v>Combinación no existente</v>
      </c>
      <c r="X439" s="67" t="s">
        <v>96</v>
      </c>
      <c r="Y439" s="64"/>
      <c r="Z439" s="64"/>
      <c r="AA439" s="64"/>
      <c r="AB439" s="133" t="s">
        <v>96</v>
      </c>
      <c r="AC439" s="64"/>
      <c r="AD439" s="64"/>
      <c r="AE439" s="64"/>
      <c r="AF439" s="60" t="s">
        <v>96</v>
      </c>
      <c r="AG439" s="64"/>
      <c r="AH439" s="64"/>
      <c r="AI439" s="64"/>
      <c r="AJ439" s="68" t="s">
        <v>96</v>
      </c>
      <c r="AK439" s="69" t="str">
        <f t="shared" si="12"/>
        <v/>
      </c>
      <c r="AL439" s="70" t="s">
        <v>96</v>
      </c>
      <c r="AM439" s="69" t="str">
        <f t="shared" si="13"/>
        <v/>
      </c>
      <c r="AN439" s="71"/>
      <c r="AO439" s="71"/>
      <c r="AP439" s="71"/>
      <c r="AQ439" s="71"/>
      <c r="AR439" s="71" t="s">
        <v>96</v>
      </c>
      <c r="AS439" s="71"/>
      <c r="AT439" s="71" t="s">
        <v>96</v>
      </c>
      <c r="AU439" s="71"/>
      <c r="AV439" s="71" t="s">
        <v>95</v>
      </c>
      <c r="AW439" s="71"/>
      <c r="AX439" s="71"/>
      <c r="AY439" s="71"/>
      <c r="AZ439" s="71"/>
      <c r="BA439" s="71"/>
      <c r="BB439" s="70" t="s">
        <v>218</v>
      </c>
      <c r="BC439" s="70" t="s">
        <v>98</v>
      </c>
      <c r="BD439" s="72" t="str">
        <f>IF('Cálculo MP'!K449="","",'Cálculo MP'!K449)</f>
        <v/>
      </c>
      <c r="BE439" s="72" t="str">
        <f>IF('Cálculo MP'!L449="","",'Cálculo MP'!L449)</f>
        <v/>
      </c>
      <c r="BF439" s="72" t="str">
        <f>IF('Cálculo MP'!M449="","",'Cálculo MP'!M449)</f>
        <v/>
      </c>
      <c r="BG439" s="72" t="str">
        <f>IF('Cálculo MP'!N449="","",'Cálculo MP'!N449)</f>
        <v/>
      </c>
      <c r="BH439" s="72" t="str">
        <f>IF('Cálculo MP'!O449="","",'Cálculo MP'!O449)</f>
        <v/>
      </c>
      <c r="BI439" s="72" t="str">
        <f>IF('Cálculo MP'!P449="","",'Cálculo MP'!P449)</f>
        <v/>
      </c>
      <c r="BJ439" s="72" t="str">
        <f>IF('Cálculo MP'!Q449="","",'Cálculo MP'!Q449)</f>
        <v/>
      </c>
      <c r="BK439" s="72" t="str">
        <f>IF('Cálculo MP'!R449="","",'Cálculo MP'!R449)</f>
        <v/>
      </c>
      <c r="BL439" s="72" t="str">
        <f>IF('Cálculo MP'!S449="","",'Cálculo MP'!S449)</f>
        <v/>
      </c>
      <c r="BM439" s="71"/>
      <c r="BN439" s="71"/>
      <c r="BO439" s="71"/>
      <c r="BP439" s="71"/>
      <c r="BQ439" s="71"/>
      <c r="BR439" s="71"/>
      <c r="BS439" s="71"/>
    </row>
    <row r="440" spans="1:71" ht="19.5" customHeight="1" x14ac:dyDescent="0.15">
      <c r="A440" s="56" t="s">
        <v>985</v>
      </c>
      <c r="B440" s="57" t="s">
        <v>986</v>
      </c>
      <c r="C440" s="58" t="s">
        <v>985</v>
      </c>
      <c r="D440" s="59" t="s">
        <v>985</v>
      </c>
      <c r="E440" s="61"/>
      <c r="F440" s="60" t="s">
        <v>95</v>
      </c>
      <c r="G440" s="61"/>
      <c r="H440" s="62"/>
      <c r="I440" s="75"/>
      <c r="J440" s="60" t="s">
        <v>95</v>
      </c>
      <c r="K440" s="64"/>
      <c r="L440" s="64"/>
      <c r="M440" s="64" t="s">
        <v>96</v>
      </c>
      <c r="N440" s="64" t="s">
        <v>97</v>
      </c>
      <c r="O440" s="65" t="s">
        <v>986</v>
      </c>
      <c r="P440" s="70" t="s">
        <v>96</v>
      </c>
      <c r="Q440" s="60" t="s">
        <v>95</v>
      </c>
      <c r="R440" s="60" t="s">
        <v>96</v>
      </c>
      <c r="S440" s="66" t="s">
        <v>96</v>
      </c>
      <c r="T440" s="67" t="s">
        <v>96</v>
      </c>
      <c r="U440" s="60" t="s">
        <v>96</v>
      </c>
      <c r="V440" s="60" t="s">
        <v>96</v>
      </c>
      <c r="W440" s="60" t="str" cm="1">
        <f t="array" ref="W440">_xlfn.LET(_xlpm.resultados,_xlfn.UNIQUE(_xlfn._xlws.FILTER(Tabla1[Proceso],(Tabla1[Metal Base]=Q440)*(Tabla1[Etiquetas]=_xlfn.TEXTJOIN(" + ",TRUE,IF((TRIM(Upload!R440:V440)="")+(LOWER(TRIM(Upload!R440:V440))="(seleccione)"),"",PROPER(TRIM(Upload!R440:V440)))))*(Tabla1[Línea2]=IFERROR(VLOOKUP(Upload!P440&amp;"*",CAT_Procesos!D:D,1,FALSE),"")))),_xlpm.cantidad,ROWS(_xlpm.resultados),IF(ISERROR(_xlpm.cantidad),"Combinación no existente",IF(_xlpm.cantidad=1,INDEX(_xlpm.resultados,1),"(seleccione)")))</f>
        <v>Combinación no existente</v>
      </c>
      <c r="X440" s="67" t="s">
        <v>96</v>
      </c>
      <c r="Y440" s="64"/>
      <c r="Z440" s="64"/>
      <c r="AA440" s="64"/>
      <c r="AB440" s="133" t="s">
        <v>96</v>
      </c>
      <c r="AC440" s="64"/>
      <c r="AD440" s="64"/>
      <c r="AE440" s="64"/>
      <c r="AF440" s="60" t="s">
        <v>96</v>
      </c>
      <c r="AG440" s="64"/>
      <c r="AH440" s="64"/>
      <c r="AI440" s="64"/>
      <c r="AJ440" s="68" t="s">
        <v>96</v>
      </c>
      <c r="AK440" s="69" t="str">
        <f t="shared" si="12"/>
        <v/>
      </c>
      <c r="AL440" s="70" t="s">
        <v>96</v>
      </c>
      <c r="AM440" s="69" t="str">
        <f t="shared" si="13"/>
        <v/>
      </c>
      <c r="AN440" s="71"/>
      <c r="AO440" s="71"/>
      <c r="AP440" s="71"/>
      <c r="AQ440" s="71"/>
      <c r="AR440" s="71" t="s">
        <v>96</v>
      </c>
      <c r="AS440" s="71"/>
      <c r="AT440" s="71" t="s">
        <v>96</v>
      </c>
      <c r="AU440" s="71"/>
      <c r="AV440" s="71" t="s">
        <v>95</v>
      </c>
      <c r="AW440" s="71"/>
      <c r="AX440" s="71"/>
      <c r="AY440" s="71"/>
      <c r="AZ440" s="71"/>
      <c r="BA440" s="71"/>
      <c r="BB440" s="70" t="s">
        <v>218</v>
      </c>
      <c r="BC440" s="70" t="s">
        <v>98</v>
      </c>
      <c r="BD440" s="72" t="str">
        <f>IF('Cálculo MP'!K450="","",'Cálculo MP'!K450)</f>
        <v/>
      </c>
      <c r="BE440" s="72" t="str">
        <f>IF('Cálculo MP'!L450="","",'Cálculo MP'!L450)</f>
        <v/>
      </c>
      <c r="BF440" s="72" t="str">
        <f>IF('Cálculo MP'!M450="","",'Cálculo MP'!M450)</f>
        <v/>
      </c>
      <c r="BG440" s="72" t="str">
        <f>IF('Cálculo MP'!N450="","",'Cálculo MP'!N450)</f>
        <v/>
      </c>
      <c r="BH440" s="72" t="str">
        <f>IF('Cálculo MP'!O450="","",'Cálculo MP'!O450)</f>
        <v/>
      </c>
      <c r="BI440" s="72" t="str">
        <f>IF('Cálculo MP'!P450="","",'Cálculo MP'!P450)</f>
        <v/>
      </c>
      <c r="BJ440" s="72" t="str">
        <f>IF('Cálculo MP'!Q450="","",'Cálculo MP'!Q450)</f>
        <v/>
      </c>
      <c r="BK440" s="72" t="str">
        <f>IF('Cálculo MP'!R450="","",'Cálculo MP'!R450)</f>
        <v/>
      </c>
      <c r="BL440" s="72" t="str">
        <f>IF('Cálculo MP'!S450="","",'Cálculo MP'!S450)</f>
        <v/>
      </c>
      <c r="BM440" s="71"/>
      <c r="BN440" s="71"/>
      <c r="BO440" s="71"/>
      <c r="BP440" s="71"/>
      <c r="BQ440" s="71"/>
      <c r="BR440" s="71"/>
      <c r="BS440" s="71"/>
    </row>
    <row r="441" spans="1:71" ht="19.5" customHeight="1" x14ac:dyDescent="0.15">
      <c r="A441" s="56" t="s">
        <v>985</v>
      </c>
      <c r="B441" s="57" t="s">
        <v>986</v>
      </c>
      <c r="C441" s="58" t="s">
        <v>985</v>
      </c>
      <c r="D441" s="59" t="s">
        <v>985</v>
      </c>
      <c r="E441" s="61"/>
      <c r="F441" s="60" t="s">
        <v>95</v>
      </c>
      <c r="G441" s="61"/>
      <c r="H441" s="62"/>
      <c r="I441" s="75"/>
      <c r="J441" s="60" t="s">
        <v>95</v>
      </c>
      <c r="K441" s="64"/>
      <c r="L441" s="64"/>
      <c r="M441" s="64" t="s">
        <v>96</v>
      </c>
      <c r="N441" s="64" t="s">
        <v>97</v>
      </c>
      <c r="O441" s="65" t="s">
        <v>986</v>
      </c>
      <c r="P441" s="70" t="s">
        <v>96</v>
      </c>
      <c r="Q441" s="60" t="s">
        <v>95</v>
      </c>
      <c r="R441" s="60" t="s">
        <v>96</v>
      </c>
      <c r="S441" s="66" t="s">
        <v>96</v>
      </c>
      <c r="T441" s="67" t="s">
        <v>96</v>
      </c>
      <c r="U441" s="60" t="s">
        <v>96</v>
      </c>
      <c r="V441" s="60" t="s">
        <v>96</v>
      </c>
      <c r="W441" s="60" t="str" cm="1">
        <f t="array" ref="W441">_xlfn.LET(_xlpm.resultados,_xlfn.UNIQUE(_xlfn._xlws.FILTER(Tabla1[Proceso],(Tabla1[Metal Base]=Q441)*(Tabla1[Etiquetas]=_xlfn.TEXTJOIN(" + ",TRUE,IF((TRIM(Upload!R441:V441)="")+(LOWER(TRIM(Upload!R441:V441))="(seleccione)"),"",PROPER(TRIM(Upload!R441:V441)))))*(Tabla1[Línea2]=IFERROR(VLOOKUP(Upload!P441&amp;"*",CAT_Procesos!D:D,1,FALSE),"")))),_xlpm.cantidad,ROWS(_xlpm.resultados),IF(ISERROR(_xlpm.cantidad),"Combinación no existente",IF(_xlpm.cantidad=1,INDEX(_xlpm.resultados,1),"(seleccione)")))</f>
        <v>Combinación no existente</v>
      </c>
      <c r="X441" s="67" t="s">
        <v>96</v>
      </c>
      <c r="Y441" s="64"/>
      <c r="Z441" s="64"/>
      <c r="AA441" s="64"/>
      <c r="AB441" s="133" t="s">
        <v>96</v>
      </c>
      <c r="AC441" s="64"/>
      <c r="AD441" s="64"/>
      <c r="AE441" s="64"/>
      <c r="AF441" s="60" t="s">
        <v>96</v>
      </c>
      <c r="AG441" s="64"/>
      <c r="AH441" s="64"/>
      <c r="AI441" s="64"/>
      <c r="AJ441" s="68" t="s">
        <v>96</v>
      </c>
      <c r="AK441" s="69" t="str">
        <f t="shared" si="12"/>
        <v/>
      </c>
      <c r="AL441" s="70" t="s">
        <v>96</v>
      </c>
      <c r="AM441" s="69" t="str">
        <f t="shared" si="13"/>
        <v/>
      </c>
      <c r="AN441" s="71"/>
      <c r="AO441" s="71"/>
      <c r="AP441" s="71"/>
      <c r="AQ441" s="71"/>
      <c r="AR441" s="71" t="s">
        <v>96</v>
      </c>
      <c r="AS441" s="71"/>
      <c r="AT441" s="71" t="s">
        <v>96</v>
      </c>
      <c r="AU441" s="71"/>
      <c r="AV441" s="71" t="s">
        <v>95</v>
      </c>
      <c r="AW441" s="71"/>
      <c r="AX441" s="71"/>
      <c r="AY441" s="71"/>
      <c r="AZ441" s="71"/>
      <c r="BA441" s="71"/>
      <c r="BB441" s="70" t="s">
        <v>218</v>
      </c>
      <c r="BC441" s="70" t="s">
        <v>98</v>
      </c>
      <c r="BD441" s="72" t="str">
        <f>IF('Cálculo MP'!K451="","",'Cálculo MP'!K451)</f>
        <v/>
      </c>
      <c r="BE441" s="72" t="str">
        <f>IF('Cálculo MP'!L451="","",'Cálculo MP'!L451)</f>
        <v/>
      </c>
      <c r="BF441" s="72" t="str">
        <f>IF('Cálculo MP'!M451="","",'Cálculo MP'!M451)</f>
        <v/>
      </c>
      <c r="BG441" s="72" t="str">
        <f>IF('Cálculo MP'!N451="","",'Cálculo MP'!N451)</f>
        <v/>
      </c>
      <c r="BH441" s="72" t="str">
        <f>IF('Cálculo MP'!O451="","",'Cálculo MP'!O451)</f>
        <v/>
      </c>
      <c r="BI441" s="72" t="str">
        <f>IF('Cálculo MP'!P451="","",'Cálculo MP'!P451)</f>
        <v/>
      </c>
      <c r="BJ441" s="72" t="str">
        <f>IF('Cálculo MP'!Q451="","",'Cálculo MP'!Q451)</f>
        <v/>
      </c>
      <c r="BK441" s="72" t="str">
        <f>IF('Cálculo MP'!R451="","",'Cálculo MP'!R451)</f>
        <v/>
      </c>
      <c r="BL441" s="72" t="str">
        <f>IF('Cálculo MP'!S451="","",'Cálculo MP'!S451)</f>
        <v/>
      </c>
      <c r="BM441" s="71"/>
      <c r="BN441" s="71"/>
      <c r="BO441" s="71"/>
      <c r="BP441" s="71"/>
      <c r="BQ441" s="71"/>
      <c r="BR441" s="71"/>
      <c r="BS441" s="71"/>
    </row>
    <row r="442" spans="1:71" ht="19.5" customHeight="1" x14ac:dyDescent="0.15">
      <c r="A442" s="56" t="s">
        <v>985</v>
      </c>
      <c r="B442" s="57" t="s">
        <v>986</v>
      </c>
      <c r="C442" s="58" t="s">
        <v>985</v>
      </c>
      <c r="D442" s="59" t="s">
        <v>985</v>
      </c>
      <c r="E442" s="61"/>
      <c r="F442" s="60" t="s">
        <v>95</v>
      </c>
      <c r="G442" s="61"/>
      <c r="H442" s="62"/>
      <c r="I442" s="75"/>
      <c r="J442" s="60" t="s">
        <v>95</v>
      </c>
      <c r="K442" s="64"/>
      <c r="L442" s="64"/>
      <c r="M442" s="64" t="s">
        <v>96</v>
      </c>
      <c r="N442" s="64" t="s">
        <v>97</v>
      </c>
      <c r="O442" s="65" t="s">
        <v>986</v>
      </c>
      <c r="P442" s="70" t="s">
        <v>96</v>
      </c>
      <c r="Q442" s="60" t="s">
        <v>95</v>
      </c>
      <c r="R442" s="60" t="s">
        <v>96</v>
      </c>
      <c r="S442" s="66" t="s">
        <v>96</v>
      </c>
      <c r="T442" s="67" t="s">
        <v>96</v>
      </c>
      <c r="U442" s="60" t="s">
        <v>96</v>
      </c>
      <c r="V442" s="60" t="s">
        <v>96</v>
      </c>
      <c r="W442" s="60" t="str" cm="1">
        <f t="array" ref="W442">_xlfn.LET(_xlpm.resultados,_xlfn.UNIQUE(_xlfn._xlws.FILTER(Tabla1[Proceso],(Tabla1[Metal Base]=Q442)*(Tabla1[Etiquetas]=_xlfn.TEXTJOIN(" + ",TRUE,IF((TRIM(Upload!R442:V442)="")+(LOWER(TRIM(Upload!R442:V442))="(seleccione)"),"",PROPER(TRIM(Upload!R442:V442)))))*(Tabla1[Línea2]=IFERROR(VLOOKUP(Upload!P442&amp;"*",CAT_Procesos!D:D,1,FALSE),"")))),_xlpm.cantidad,ROWS(_xlpm.resultados),IF(ISERROR(_xlpm.cantidad),"Combinación no existente",IF(_xlpm.cantidad=1,INDEX(_xlpm.resultados,1),"(seleccione)")))</f>
        <v>Combinación no existente</v>
      </c>
      <c r="X442" s="67" t="s">
        <v>96</v>
      </c>
      <c r="Y442" s="64"/>
      <c r="Z442" s="64"/>
      <c r="AA442" s="64"/>
      <c r="AB442" s="133" t="s">
        <v>96</v>
      </c>
      <c r="AC442" s="64"/>
      <c r="AD442" s="64"/>
      <c r="AE442" s="64"/>
      <c r="AF442" s="60" t="s">
        <v>96</v>
      </c>
      <c r="AG442" s="64"/>
      <c r="AH442" s="64"/>
      <c r="AI442" s="64"/>
      <c r="AJ442" s="68" t="s">
        <v>96</v>
      </c>
      <c r="AK442" s="69" t="str">
        <f t="shared" si="12"/>
        <v/>
      </c>
      <c r="AL442" s="70" t="s">
        <v>96</v>
      </c>
      <c r="AM442" s="69" t="str">
        <f t="shared" si="13"/>
        <v/>
      </c>
      <c r="AN442" s="71"/>
      <c r="AO442" s="71"/>
      <c r="AP442" s="71"/>
      <c r="AQ442" s="71"/>
      <c r="AR442" s="71" t="s">
        <v>96</v>
      </c>
      <c r="AS442" s="71"/>
      <c r="AT442" s="71" t="s">
        <v>96</v>
      </c>
      <c r="AU442" s="71"/>
      <c r="AV442" s="71" t="s">
        <v>95</v>
      </c>
      <c r="AW442" s="71"/>
      <c r="AX442" s="71"/>
      <c r="AY442" s="71"/>
      <c r="AZ442" s="71"/>
      <c r="BA442" s="71"/>
      <c r="BB442" s="70" t="s">
        <v>218</v>
      </c>
      <c r="BC442" s="70" t="s">
        <v>98</v>
      </c>
      <c r="BD442" s="72" t="str">
        <f>IF('Cálculo MP'!K452="","",'Cálculo MP'!K452)</f>
        <v/>
      </c>
      <c r="BE442" s="72" t="str">
        <f>IF('Cálculo MP'!L452="","",'Cálculo MP'!L452)</f>
        <v/>
      </c>
      <c r="BF442" s="72" t="str">
        <f>IF('Cálculo MP'!M452="","",'Cálculo MP'!M452)</f>
        <v/>
      </c>
      <c r="BG442" s="72" t="str">
        <f>IF('Cálculo MP'!N452="","",'Cálculo MP'!N452)</f>
        <v/>
      </c>
      <c r="BH442" s="72" t="str">
        <f>IF('Cálculo MP'!O452="","",'Cálculo MP'!O452)</f>
        <v/>
      </c>
      <c r="BI442" s="72" t="str">
        <f>IF('Cálculo MP'!P452="","",'Cálculo MP'!P452)</f>
        <v/>
      </c>
      <c r="BJ442" s="72" t="str">
        <f>IF('Cálculo MP'!Q452="","",'Cálculo MP'!Q452)</f>
        <v/>
      </c>
      <c r="BK442" s="72" t="str">
        <f>IF('Cálculo MP'!R452="","",'Cálculo MP'!R452)</f>
        <v/>
      </c>
      <c r="BL442" s="72" t="str">
        <f>IF('Cálculo MP'!S452="","",'Cálculo MP'!S452)</f>
        <v/>
      </c>
      <c r="BM442" s="71"/>
      <c r="BN442" s="71"/>
      <c r="BO442" s="71"/>
      <c r="BP442" s="71"/>
      <c r="BQ442" s="71"/>
      <c r="BR442" s="71"/>
      <c r="BS442" s="71"/>
    </row>
    <row r="443" spans="1:71" ht="19.5" customHeight="1" x14ac:dyDescent="0.15">
      <c r="A443" s="56" t="s">
        <v>985</v>
      </c>
      <c r="B443" s="57" t="s">
        <v>986</v>
      </c>
      <c r="C443" s="58" t="s">
        <v>985</v>
      </c>
      <c r="D443" s="59" t="s">
        <v>985</v>
      </c>
      <c r="E443" s="61"/>
      <c r="F443" s="60" t="s">
        <v>95</v>
      </c>
      <c r="G443" s="61"/>
      <c r="H443" s="62"/>
      <c r="I443" s="75"/>
      <c r="J443" s="60" t="s">
        <v>95</v>
      </c>
      <c r="K443" s="64"/>
      <c r="L443" s="64"/>
      <c r="M443" s="64" t="s">
        <v>96</v>
      </c>
      <c r="N443" s="64" t="s">
        <v>97</v>
      </c>
      <c r="O443" s="65" t="s">
        <v>986</v>
      </c>
      <c r="P443" s="70" t="s">
        <v>96</v>
      </c>
      <c r="Q443" s="60" t="s">
        <v>95</v>
      </c>
      <c r="R443" s="60" t="s">
        <v>96</v>
      </c>
      <c r="S443" s="66" t="s">
        <v>96</v>
      </c>
      <c r="T443" s="67" t="s">
        <v>96</v>
      </c>
      <c r="U443" s="60" t="s">
        <v>96</v>
      </c>
      <c r="V443" s="60" t="s">
        <v>96</v>
      </c>
      <c r="W443" s="60" t="str" cm="1">
        <f t="array" ref="W443">_xlfn.LET(_xlpm.resultados,_xlfn.UNIQUE(_xlfn._xlws.FILTER(Tabla1[Proceso],(Tabla1[Metal Base]=Q443)*(Tabla1[Etiquetas]=_xlfn.TEXTJOIN(" + ",TRUE,IF((TRIM(Upload!R443:V443)="")+(LOWER(TRIM(Upload!R443:V443))="(seleccione)"),"",PROPER(TRIM(Upload!R443:V443)))))*(Tabla1[Línea2]=IFERROR(VLOOKUP(Upload!P443&amp;"*",CAT_Procesos!D:D,1,FALSE),"")))),_xlpm.cantidad,ROWS(_xlpm.resultados),IF(ISERROR(_xlpm.cantidad),"Combinación no existente",IF(_xlpm.cantidad=1,INDEX(_xlpm.resultados,1),"(seleccione)")))</f>
        <v>Combinación no existente</v>
      </c>
      <c r="X443" s="67" t="s">
        <v>96</v>
      </c>
      <c r="Y443" s="64"/>
      <c r="Z443" s="64"/>
      <c r="AA443" s="64"/>
      <c r="AB443" s="133" t="s">
        <v>96</v>
      </c>
      <c r="AC443" s="64"/>
      <c r="AD443" s="64"/>
      <c r="AE443" s="64"/>
      <c r="AF443" s="60" t="s">
        <v>96</v>
      </c>
      <c r="AG443" s="64"/>
      <c r="AH443" s="64"/>
      <c r="AI443" s="64"/>
      <c r="AJ443" s="68" t="s">
        <v>96</v>
      </c>
      <c r="AK443" s="69" t="str">
        <f t="shared" si="12"/>
        <v/>
      </c>
      <c r="AL443" s="70" t="s">
        <v>96</v>
      </c>
      <c r="AM443" s="69" t="str">
        <f t="shared" si="13"/>
        <v/>
      </c>
      <c r="AN443" s="71"/>
      <c r="AO443" s="71"/>
      <c r="AP443" s="71"/>
      <c r="AQ443" s="71"/>
      <c r="AR443" s="71" t="s">
        <v>96</v>
      </c>
      <c r="AS443" s="71"/>
      <c r="AT443" s="71" t="s">
        <v>96</v>
      </c>
      <c r="AU443" s="71"/>
      <c r="AV443" s="71" t="s">
        <v>95</v>
      </c>
      <c r="AW443" s="71"/>
      <c r="AX443" s="71"/>
      <c r="AY443" s="71"/>
      <c r="AZ443" s="71"/>
      <c r="BA443" s="71"/>
      <c r="BB443" s="70" t="s">
        <v>218</v>
      </c>
      <c r="BC443" s="70" t="s">
        <v>98</v>
      </c>
      <c r="BD443" s="72" t="str">
        <f>IF('Cálculo MP'!K453="","",'Cálculo MP'!K453)</f>
        <v/>
      </c>
      <c r="BE443" s="72" t="str">
        <f>IF('Cálculo MP'!L453="","",'Cálculo MP'!L453)</f>
        <v/>
      </c>
      <c r="BF443" s="72" t="str">
        <f>IF('Cálculo MP'!M453="","",'Cálculo MP'!M453)</f>
        <v/>
      </c>
      <c r="BG443" s="72" t="str">
        <f>IF('Cálculo MP'!N453="","",'Cálculo MP'!N453)</f>
        <v/>
      </c>
      <c r="BH443" s="72" t="str">
        <f>IF('Cálculo MP'!O453="","",'Cálculo MP'!O453)</f>
        <v/>
      </c>
      <c r="BI443" s="72" t="str">
        <f>IF('Cálculo MP'!P453="","",'Cálculo MP'!P453)</f>
        <v/>
      </c>
      <c r="BJ443" s="72" t="str">
        <f>IF('Cálculo MP'!Q453="","",'Cálculo MP'!Q453)</f>
        <v/>
      </c>
      <c r="BK443" s="72" t="str">
        <f>IF('Cálculo MP'!R453="","",'Cálculo MP'!R453)</f>
        <v/>
      </c>
      <c r="BL443" s="72" t="str">
        <f>IF('Cálculo MP'!S453="","",'Cálculo MP'!S453)</f>
        <v/>
      </c>
      <c r="BM443" s="71"/>
      <c r="BN443" s="71"/>
      <c r="BO443" s="71"/>
      <c r="BP443" s="71"/>
      <c r="BQ443" s="71"/>
      <c r="BR443" s="71"/>
      <c r="BS443" s="71"/>
    </row>
    <row r="444" spans="1:71" ht="19.5" customHeight="1" x14ac:dyDescent="0.15">
      <c r="A444" s="56" t="s">
        <v>985</v>
      </c>
      <c r="B444" s="57" t="s">
        <v>986</v>
      </c>
      <c r="C444" s="58" t="s">
        <v>985</v>
      </c>
      <c r="D444" s="59" t="s">
        <v>985</v>
      </c>
      <c r="E444" s="61"/>
      <c r="F444" s="60" t="s">
        <v>95</v>
      </c>
      <c r="G444" s="61"/>
      <c r="H444" s="62"/>
      <c r="I444" s="75"/>
      <c r="J444" s="60" t="s">
        <v>95</v>
      </c>
      <c r="K444" s="64"/>
      <c r="L444" s="64"/>
      <c r="M444" s="64" t="s">
        <v>96</v>
      </c>
      <c r="N444" s="64" t="s">
        <v>97</v>
      </c>
      <c r="O444" s="65" t="s">
        <v>986</v>
      </c>
      <c r="P444" s="70" t="s">
        <v>96</v>
      </c>
      <c r="Q444" s="60" t="s">
        <v>95</v>
      </c>
      <c r="R444" s="60" t="s">
        <v>96</v>
      </c>
      <c r="S444" s="66" t="s">
        <v>96</v>
      </c>
      <c r="T444" s="67" t="s">
        <v>96</v>
      </c>
      <c r="U444" s="60" t="s">
        <v>96</v>
      </c>
      <c r="V444" s="60" t="s">
        <v>96</v>
      </c>
      <c r="W444" s="60" t="str" cm="1">
        <f t="array" ref="W444">_xlfn.LET(_xlpm.resultados,_xlfn.UNIQUE(_xlfn._xlws.FILTER(Tabla1[Proceso],(Tabla1[Metal Base]=Q444)*(Tabla1[Etiquetas]=_xlfn.TEXTJOIN(" + ",TRUE,IF((TRIM(Upload!R444:V444)="")+(LOWER(TRIM(Upload!R444:V444))="(seleccione)"),"",PROPER(TRIM(Upload!R444:V444)))))*(Tabla1[Línea2]=IFERROR(VLOOKUP(Upload!P444&amp;"*",CAT_Procesos!D:D,1,FALSE),"")))),_xlpm.cantidad,ROWS(_xlpm.resultados),IF(ISERROR(_xlpm.cantidad),"Combinación no existente",IF(_xlpm.cantidad=1,INDEX(_xlpm.resultados,1),"(seleccione)")))</f>
        <v>Combinación no existente</v>
      </c>
      <c r="X444" s="67" t="s">
        <v>96</v>
      </c>
      <c r="Y444" s="64"/>
      <c r="Z444" s="64"/>
      <c r="AA444" s="64"/>
      <c r="AB444" s="133" t="s">
        <v>96</v>
      </c>
      <c r="AC444" s="64"/>
      <c r="AD444" s="64"/>
      <c r="AE444" s="64"/>
      <c r="AF444" s="60" t="s">
        <v>96</v>
      </c>
      <c r="AG444" s="64"/>
      <c r="AH444" s="64"/>
      <c r="AI444" s="64"/>
      <c r="AJ444" s="68" t="s">
        <v>96</v>
      </c>
      <c r="AK444" s="69" t="str">
        <f t="shared" si="12"/>
        <v/>
      </c>
      <c r="AL444" s="70" t="s">
        <v>96</v>
      </c>
      <c r="AM444" s="69" t="str">
        <f t="shared" si="13"/>
        <v/>
      </c>
      <c r="AN444" s="71"/>
      <c r="AO444" s="71"/>
      <c r="AP444" s="71"/>
      <c r="AQ444" s="71"/>
      <c r="AR444" s="71" t="s">
        <v>96</v>
      </c>
      <c r="AS444" s="71"/>
      <c r="AT444" s="71" t="s">
        <v>96</v>
      </c>
      <c r="AU444" s="71"/>
      <c r="AV444" s="71" t="s">
        <v>95</v>
      </c>
      <c r="AW444" s="71"/>
      <c r="AX444" s="71"/>
      <c r="AY444" s="71"/>
      <c r="AZ444" s="71"/>
      <c r="BA444" s="71"/>
      <c r="BB444" s="70" t="s">
        <v>218</v>
      </c>
      <c r="BC444" s="70" t="s">
        <v>98</v>
      </c>
      <c r="BD444" s="72" t="str">
        <f>IF('Cálculo MP'!K454="","",'Cálculo MP'!K454)</f>
        <v/>
      </c>
      <c r="BE444" s="72" t="str">
        <f>IF('Cálculo MP'!L454="","",'Cálculo MP'!L454)</f>
        <v/>
      </c>
      <c r="BF444" s="72" t="str">
        <f>IF('Cálculo MP'!M454="","",'Cálculo MP'!M454)</f>
        <v/>
      </c>
      <c r="BG444" s="72" t="str">
        <f>IF('Cálculo MP'!N454="","",'Cálculo MP'!N454)</f>
        <v/>
      </c>
      <c r="BH444" s="72" t="str">
        <f>IF('Cálculo MP'!O454="","",'Cálculo MP'!O454)</f>
        <v/>
      </c>
      <c r="BI444" s="72" t="str">
        <f>IF('Cálculo MP'!P454="","",'Cálculo MP'!P454)</f>
        <v/>
      </c>
      <c r="BJ444" s="72" t="str">
        <f>IF('Cálculo MP'!Q454="","",'Cálculo MP'!Q454)</f>
        <v/>
      </c>
      <c r="BK444" s="72" t="str">
        <f>IF('Cálculo MP'!R454="","",'Cálculo MP'!R454)</f>
        <v/>
      </c>
      <c r="BL444" s="72" t="str">
        <f>IF('Cálculo MP'!S454="","",'Cálculo MP'!S454)</f>
        <v/>
      </c>
      <c r="BM444" s="71"/>
      <c r="BN444" s="71"/>
      <c r="BO444" s="71"/>
      <c r="BP444" s="71"/>
      <c r="BQ444" s="71"/>
      <c r="BR444" s="71"/>
      <c r="BS444" s="71"/>
    </row>
    <row r="445" spans="1:71" ht="19.5" customHeight="1" x14ac:dyDescent="0.15">
      <c r="A445" s="56" t="s">
        <v>985</v>
      </c>
      <c r="B445" s="57" t="s">
        <v>986</v>
      </c>
      <c r="C445" s="58" t="s">
        <v>985</v>
      </c>
      <c r="D445" s="59" t="s">
        <v>985</v>
      </c>
      <c r="E445" s="61"/>
      <c r="F445" s="60" t="s">
        <v>95</v>
      </c>
      <c r="G445" s="61"/>
      <c r="H445" s="62"/>
      <c r="I445" s="75"/>
      <c r="J445" s="60" t="s">
        <v>95</v>
      </c>
      <c r="K445" s="64"/>
      <c r="L445" s="64"/>
      <c r="M445" s="64" t="s">
        <v>96</v>
      </c>
      <c r="N445" s="64" t="s">
        <v>97</v>
      </c>
      <c r="O445" s="65" t="s">
        <v>986</v>
      </c>
      <c r="P445" s="70" t="s">
        <v>96</v>
      </c>
      <c r="Q445" s="60" t="s">
        <v>95</v>
      </c>
      <c r="R445" s="60" t="s">
        <v>96</v>
      </c>
      <c r="S445" s="66" t="s">
        <v>96</v>
      </c>
      <c r="T445" s="67" t="s">
        <v>96</v>
      </c>
      <c r="U445" s="60" t="s">
        <v>96</v>
      </c>
      <c r="V445" s="60" t="s">
        <v>96</v>
      </c>
      <c r="W445" s="60" t="str" cm="1">
        <f t="array" ref="W445">_xlfn.LET(_xlpm.resultados,_xlfn.UNIQUE(_xlfn._xlws.FILTER(Tabla1[Proceso],(Tabla1[Metal Base]=Q445)*(Tabla1[Etiquetas]=_xlfn.TEXTJOIN(" + ",TRUE,IF((TRIM(Upload!R445:V445)="")+(LOWER(TRIM(Upload!R445:V445))="(seleccione)"),"",PROPER(TRIM(Upload!R445:V445)))))*(Tabla1[Línea2]=IFERROR(VLOOKUP(Upload!P445&amp;"*",CAT_Procesos!D:D,1,FALSE),"")))),_xlpm.cantidad,ROWS(_xlpm.resultados),IF(ISERROR(_xlpm.cantidad),"Combinación no existente",IF(_xlpm.cantidad=1,INDEX(_xlpm.resultados,1),"(seleccione)")))</f>
        <v>Combinación no existente</v>
      </c>
      <c r="X445" s="67" t="s">
        <v>96</v>
      </c>
      <c r="Y445" s="64"/>
      <c r="Z445" s="64"/>
      <c r="AA445" s="64"/>
      <c r="AB445" s="133" t="s">
        <v>96</v>
      </c>
      <c r="AC445" s="64"/>
      <c r="AD445" s="64"/>
      <c r="AE445" s="64"/>
      <c r="AF445" s="60" t="s">
        <v>96</v>
      </c>
      <c r="AG445" s="64"/>
      <c r="AH445" s="64"/>
      <c r="AI445" s="64"/>
      <c r="AJ445" s="68" t="s">
        <v>96</v>
      </c>
      <c r="AK445" s="69" t="str">
        <f t="shared" si="12"/>
        <v/>
      </c>
      <c r="AL445" s="70" t="s">
        <v>96</v>
      </c>
      <c r="AM445" s="69" t="str">
        <f t="shared" si="13"/>
        <v/>
      </c>
      <c r="AN445" s="71"/>
      <c r="AO445" s="71"/>
      <c r="AP445" s="71"/>
      <c r="AQ445" s="71"/>
      <c r="AR445" s="71" t="s">
        <v>96</v>
      </c>
      <c r="AS445" s="71"/>
      <c r="AT445" s="71" t="s">
        <v>96</v>
      </c>
      <c r="AU445" s="71"/>
      <c r="AV445" s="71" t="s">
        <v>95</v>
      </c>
      <c r="AW445" s="71"/>
      <c r="AX445" s="71"/>
      <c r="AY445" s="71"/>
      <c r="AZ445" s="71"/>
      <c r="BA445" s="71"/>
      <c r="BB445" s="70" t="s">
        <v>218</v>
      </c>
      <c r="BC445" s="70" t="s">
        <v>98</v>
      </c>
      <c r="BD445" s="72" t="str">
        <f>IF('Cálculo MP'!K455="","",'Cálculo MP'!K455)</f>
        <v/>
      </c>
      <c r="BE445" s="72" t="str">
        <f>IF('Cálculo MP'!L455="","",'Cálculo MP'!L455)</f>
        <v/>
      </c>
      <c r="BF445" s="72" t="str">
        <f>IF('Cálculo MP'!M455="","",'Cálculo MP'!M455)</f>
        <v/>
      </c>
      <c r="BG445" s="72" t="str">
        <f>IF('Cálculo MP'!N455="","",'Cálculo MP'!N455)</f>
        <v/>
      </c>
      <c r="BH445" s="72" t="str">
        <f>IF('Cálculo MP'!O455="","",'Cálculo MP'!O455)</f>
        <v/>
      </c>
      <c r="BI445" s="72" t="str">
        <f>IF('Cálculo MP'!P455="","",'Cálculo MP'!P455)</f>
        <v/>
      </c>
      <c r="BJ445" s="72" t="str">
        <f>IF('Cálculo MP'!Q455="","",'Cálculo MP'!Q455)</f>
        <v/>
      </c>
      <c r="BK445" s="72" t="str">
        <f>IF('Cálculo MP'!R455="","",'Cálculo MP'!R455)</f>
        <v/>
      </c>
      <c r="BL445" s="72" t="str">
        <f>IF('Cálculo MP'!S455="","",'Cálculo MP'!S455)</f>
        <v/>
      </c>
      <c r="BM445" s="71"/>
      <c r="BN445" s="71"/>
      <c r="BO445" s="71"/>
      <c r="BP445" s="71"/>
      <c r="BQ445" s="71"/>
      <c r="BR445" s="71"/>
      <c r="BS445" s="71"/>
    </row>
    <row r="446" spans="1:71" ht="19.5" customHeight="1" x14ac:dyDescent="0.15">
      <c r="A446" s="56" t="s">
        <v>985</v>
      </c>
      <c r="B446" s="57" t="s">
        <v>986</v>
      </c>
      <c r="C446" s="58" t="s">
        <v>985</v>
      </c>
      <c r="D446" s="59" t="s">
        <v>985</v>
      </c>
      <c r="E446" s="61"/>
      <c r="F446" s="60" t="s">
        <v>95</v>
      </c>
      <c r="G446" s="61"/>
      <c r="H446" s="62"/>
      <c r="I446" s="75"/>
      <c r="J446" s="60" t="s">
        <v>95</v>
      </c>
      <c r="K446" s="64"/>
      <c r="L446" s="64"/>
      <c r="M446" s="64" t="s">
        <v>96</v>
      </c>
      <c r="N446" s="64" t="s">
        <v>97</v>
      </c>
      <c r="O446" s="65" t="s">
        <v>986</v>
      </c>
      <c r="P446" s="70" t="s">
        <v>96</v>
      </c>
      <c r="Q446" s="60" t="s">
        <v>95</v>
      </c>
      <c r="R446" s="60" t="s">
        <v>96</v>
      </c>
      <c r="S446" s="66" t="s">
        <v>96</v>
      </c>
      <c r="T446" s="67" t="s">
        <v>96</v>
      </c>
      <c r="U446" s="60" t="s">
        <v>96</v>
      </c>
      <c r="V446" s="60" t="s">
        <v>96</v>
      </c>
      <c r="W446" s="60" t="str" cm="1">
        <f t="array" ref="W446">_xlfn.LET(_xlpm.resultados,_xlfn.UNIQUE(_xlfn._xlws.FILTER(Tabla1[Proceso],(Tabla1[Metal Base]=Q446)*(Tabla1[Etiquetas]=_xlfn.TEXTJOIN(" + ",TRUE,IF((TRIM(Upload!R446:V446)="")+(LOWER(TRIM(Upload!R446:V446))="(seleccione)"),"",PROPER(TRIM(Upload!R446:V446)))))*(Tabla1[Línea2]=IFERROR(VLOOKUP(Upload!P446&amp;"*",CAT_Procesos!D:D,1,FALSE),"")))),_xlpm.cantidad,ROWS(_xlpm.resultados),IF(ISERROR(_xlpm.cantidad),"Combinación no existente",IF(_xlpm.cantidad=1,INDEX(_xlpm.resultados,1),"(seleccione)")))</f>
        <v>Combinación no existente</v>
      </c>
      <c r="X446" s="67" t="s">
        <v>96</v>
      </c>
      <c r="Y446" s="64"/>
      <c r="Z446" s="64"/>
      <c r="AA446" s="64"/>
      <c r="AB446" s="133" t="s">
        <v>96</v>
      </c>
      <c r="AC446" s="64"/>
      <c r="AD446" s="64"/>
      <c r="AE446" s="64"/>
      <c r="AF446" s="60" t="s">
        <v>96</v>
      </c>
      <c r="AG446" s="64"/>
      <c r="AH446" s="64"/>
      <c r="AI446" s="64"/>
      <c r="AJ446" s="68" t="s">
        <v>96</v>
      </c>
      <c r="AK446" s="69" t="str">
        <f t="shared" si="12"/>
        <v/>
      </c>
      <c r="AL446" s="70" t="s">
        <v>96</v>
      </c>
      <c r="AM446" s="69" t="str">
        <f t="shared" si="13"/>
        <v/>
      </c>
      <c r="AN446" s="71"/>
      <c r="AO446" s="71"/>
      <c r="AP446" s="71"/>
      <c r="AQ446" s="71"/>
      <c r="AR446" s="71" t="s">
        <v>96</v>
      </c>
      <c r="AS446" s="71"/>
      <c r="AT446" s="71" t="s">
        <v>96</v>
      </c>
      <c r="AU446" s="71"/>
      <c r="AV446" s="71" t="s">
        <v>95</v>
      </c>
      <c r="AW446" s="71"/>
      <c r="AX446" s="71"/>
      <c r="AY446" s="71"/>
      <c r="AZ446" s="71"/>
      <c r="BA446" s="71"/>
      <c r="BB446" s="70" t="s">
        <v>218</v>
      </c>
      <c r="BC446" s="70" t="s">
        <v>98</v>
      </c>
      <c r="BD446" s="72" t="str">
        <f>IF('Cálculo MP'!K456="","",'Cálculo MP'!K456)</f>
        <v/>
      </c>
      <c r="BE446" s="72" t="str">
        <f>IF('Cálculo MP'!L456="","",'Cálculo MP'!L456)</f>
        <v/>
      </c>
      <c r="BF446" s="72" t="str">
        <f>IF('Cálculo MP'!M456="","",'Cálculo MP'!M456)</f>
        <v/>
      </c>
      <c r="BG446" s="72" t="str">
        <f>IF('Cálculo MP'!N456="","",'Cálculo MP'!N456)</f>
        <v/>
      </c>
      <c r="BH446" s="72" t="str">
        <f>IF('Cálculo MP'!O456="","",'Cálculo MP'!O456)</f>
        <v/>
      </c>
      <c r="BI446" s="72" t="str">
        <f>IF('Cálculo MP'!P456="","",'Cálculo MP'!P456)</f>
        <v/>
      </c>
      <c r="BJ446" s="72" t="str">
        <f>IF('Cálculo MP'!Q456="","",'Cálculo MP'!Q456)</f>
        <v/>
      </c>
      <c r="BK446" s="72" t="str">
        <f>IF('Cálculo MP'!R456="","",'Cálculo MP'!R456)</f>
        <v/>
      </c>
      <c r="BL446" s="72" t="str">
        <f>IF('Cálculo MP'!S456="","",'Cálculo MP'!S456)</f>
        <v/>
      </c>
      <c r="BM446" s="71"/>
      <c r="BN446" s="71"/>
      <c r="BO446" s="71"/>
      <c r="BP446" s="71"/>
      <c r="BQ446" s="71"/>
      <c r="BR446" s="71"/>
      <c r="BS446" s="71"/>
    </row>
    <row r="447" spans="1:71" ht="19.5" customHeight="1" x14ac:dyDescent="0.15">
      <c r="A447" s="56" t="s">
        <v>985</v>
      </c>
      <c r="B447" s="57" t="s">
        <v>986</v>
      </c>
      <c r="C447" s="58" t="s">
        <v>985</v>
      </c>
      <c r="D447" s="59" t="s">
        <v>985</v>
      </c>
      <c r="E447" s="61"/>
      <c r="F447" s="60" t="s">
        <v>95</v>
      </c>
      <c r="G447" s="61"/>
      <c r="H447" s="62"/>
      <c r="I447" s="75"/>
      <c r="J447" s="60" t="s">
        <v>95</v>
      </c>
      <c r="K447" s="64"/>
      <c r="L447" s="64"/>
      <c r="M447" s="64" t="s">
        <v>96</v>
      </c>
      <c r="N447" s="64" t="s">
        <v>97</v>
      </c>
      <c r="O447" s="65" t="s">
        <v>986</v>
      </c>
      <c r="P447" s="70" t="s">
        <v>96</v>
      </c>
      <c r="Q447" s="60" t="s">
        <v>95</v>
      </c>
      <c r="R447" s="60" t="s">
        <v>96</v>
      </c>
      <c r="S447" s="66" t="s">
        <v>96</v>
      </c>
      <c r="T447" s="67" t="s">
        <v>96</v>
      </c>
      <c r="U447" s="60" t="s">
        <v>96</v>
      </c>
      <c r="V447" s="60" t="s">
        <v>96</v>
      </c>
      <c r="W447" s="60" t="str" cm="1">
        <f t="array" ref="W447">_xlfn.LET(_xlpm.resultados,_xlfn.UNIQUE(_xlfn._xlws.FILTER(Tabla1[Proceso],(Tabla1[Metal Base]=Q447)*(Tabla1[Etiquetas]=_xlfn.TEXTJOIN(" + ",TRUE,IF((TRIM(Upload!R447:V447)="")+(LOWER(TRIM(Upload!R447:V447))="(seleccione)"),"",PROPER(TRIM(Upload!R447:V447)))))*(Tabla1[Línea2]=IFERROR(VLOOKUP(Upload!P447&amp;"*",CAT_Procesos!D:D,1,FALSE),"")))),_xlpm.cantidad,ROWS(_xlpm.resultados),IF(ISERROR(_xlpm.cantidad),"Combinación no existente",IF(_xlpm.cantidad=1,INDEX(_xlpm.resultados,1),"(seleccione)")))</f>
        <v>Combinación no existente</v>
      </c>
      <c r="X447" s="67" t="s">
        <v>96</v>
      </c>
      <c r="Y447" s="64"/>
      <c r="Z447" s="64"/>
      <c r="AA447" s="64"/>
      <c r="AB447" s="133" t="s">
        <v>96</v>
      </c>
      <c r="AC447" s="64"/>
      <c r="AD447" s="64"/>
      <c r="AE447" s="64"/>
      <c r="AF447" s="60" t="s">
        <v>96</v>
      </c>
      <c r="AG447" s="64"/>
      <c r="AH447" s="64"/>
      <c r="AI447" s="64"/>
      <c r="AJ447" s="68" t="s">
        <v>96</v>
      </c>
      <c r="AK447" s="69" t="str">
        <f t="shared" si="12"/>
        <v/>
      </c>
      <c r="AL447" s="70" t="s">
        <v>96</v>
      </c>
      <c r="AM447" s="69" t="str">
        <f t="shared" si="13"/>
        <v/>
      </c>
      <c r="AN447" s="71"/>
      <c r="AO447" s="71"/>
      <c r="AP447" s="71"/>
      <c r="AQ447" s="71"/>
      <c r="AR447" s="71" t="s">
        <v>96</v>
      </c>
      <c r="AS447" s="71"/>
      <c r="AT447" s="71" t="s">
        <v>96</v>
      </c>
      <c r="AU447" s="71"/>
      <c r="AV447" s="71" t="s">
        <v>95</v>
      </c>
      <c r="AW447" s="71"/>
      <c r="AX447" s="71"/>
      <c r="AY447" s="71"/>
      <c r="AZ447" s="71"/>
      <c r="BA447" s="71"/>
      <c r="BB447" s="70" t="s">
        <v>218</v>
      </c>
      <c r="BC447" s="70" t="s">
        <v>98</v>
      </c>
      <c r="BD447" s="72" t="str">
        <f>IF('Cálculo MP'!K457="","",'Cálculo MP'!K457)</f>
        <v/>
      </c>
      <c r="BE447" s="72" t="str">
        <f>IF('Cálculo MP'!L457="","",'Cálculo MP'!L457)</f>
        <v/>
      </c>
      <c r="BF447" s="72" t="str">
        <f>IF('Cálculo MP'!M457="","",'Cálculo MP'!M457)</f>
        <v/>
      </c>
      <c r="BG447" s="72" t="str">
        <f>IF('Cálculo MP'!N457="","",'Cálculo MP'!N457)</f>
        <v/>
      </c>
      <c r="BH447" s="72" t="str">
        <f>IF('Cálculo MP'!O457="","",'Cálculo MP'!O457)</f>
        <v/>
      </c>
      <c r="BI447" s="72" t="str">
        <f>IF('Cálculo MP'!P457="","",'Cálculo MP'!P457)</f>
        <v/>
      </c>
      <c r="BJ447" s="72" t="str">
        <f>IF('Cálculo MP'!Q457="","",'Cálculo MP'!Q457)</f>
        <v/>
      </c>
      <c r="BK447" s="72" t="str">
        <f>IF('Cálculo MP'!R457="","",'Cálculo MP'!R457)</f>
        <v/>
      </c>
      <c r="BL447" s="72" t="str">
        <f>IF('Cálculo MP'!S457="","",'Cálculo MP'!S457)</f>
        <v/>
      </c>
      <c r="BM447" s="71"/>
      <c r="BN447" s="71"/>
      <c r="BO447" s="71"/>
      <c r="BP447" s="71"/>
      <c r="BQ447" s="71"/>
      <c r="BR447" s="71"/>
      <c r="BS447" s="71"/>
    </row>
    <row r="448" spans="1:71" ht="19.5" customHeight="1" x14ac:dyDescent="0.15">
      <c r="A448" s="56" t="s">
        <v>985</v>
      </c>
      <c r="B448" s="57" t="s">
        <v>986</v>
      </c>
      <c r="C448" s="58" t="s">
        <v>985</v>
      </c>
      <c r="D448" s="59" t="s">
        <v>985</v>
      </c>
      <c r="E448" s="61"/>
      <c r="F448" s="60" t="s">
        <v>95</v>
      </c>
      <c r="G448" s="61"/>
      <c r="H448" s="62"/>
      <c r="I448" s="75"/>
      <c r="J448" s="60" t="s">
        <v>95</v>
      </c>
      <c r="K448" s="64"/>
      <c r="L448" s="64"/>
      <c r="M448" s="64" t="s">
        <v>96</v>
      </c>
      <c r="N448" s="64" t="s">
        <v>97</v>
      </c>
      <c r="O448" s="65" t="s">
        <v>986</v>
      </c>
      <c r="P448" s="70" t="s">
        <v>96</v>
      </c>
      <c r="Q448" s="60" t="s">
        <v>95</v>
      </c>
      <c r="R448" s="60" t="s">
        <v>96</v>
      </c>
      <c r="S448" s="66" t="s">
        <v>96</v>
      </c>
      <c r="T448" s="67" t="s">
        <v>96</v>
      </c>
      <c r="U448" s="60" t="s">
        <v>96</v>
      </c>
      <c r="V448" s="60" t="s">
        <v>96</v>
      </c>
      <c r="W448" s="60" t="str" cm="1">
        <f t="array" ref="W448">_xlfn.LET(_xlpm.resultados,_xlfn.UNIQUE(_xlfn._xlws.FILTER(Tabla1[Proceso],(Tabla1[Metal Base]=Q448)*(Tabla1[Etiquetas]=_xlfn.TEXTJOIN(" + ",TRUE,IF((TRIM(Upload!R448:V448)="")+(LOWER(TRIM(Upload!R448:V448))="(seleccione)"),"",PROPER(TRIM(Upload!R448:V448)))))*(Tabla1[Línea2]=IFERROR(VLOOKUP(Upload!P448&amp;"*",CAT_Procesos!D:D,1,FALSE),"")))),_xlpm.cantidad,ROWS(_xlpm.resultados),IF(ISERROR(_xlpm.cantidad),"Combinación no existente",IF(_xlpm.cantidad=1,INDEX(_xlpm.resultados,1),"(seleccione)")))</f>
        <v>Combinación no existente</v>
      </c>
      <c r="X448" s="67" t="s">
        <v>96</v>
      </c>
      <c r="Y448" s="64"/>
      <c r="Z448" s="64"/>
      <c r="AA448" s="64"/>
      <c r="AB448" s="133" t="s">
        <v>96</v>
      </c>
      <c r="AC448" s="64"/>
      <c r="AD448" s="64"/>
      <c r="AE448" s="64"/>
      <c r="AF448" s="60" t="s">
        <v>96</v>
      </c>
      <c r="AG448" s="64"/>
      <c r="AH448" s="64"/>
      <c r="AI448" s="64"/>
      <c r="AJ448" s="68" t="s">
        <v>96</v>
      </c>
      <c r="AK448" s="69" t="str">
        <f t="shared" si="12"/>
        <v/>
      </c>
      <c r="AL448" s="70" t="s">
        <v>96</v>
      </c>
      <c r="AM448" s="69" t="str">
        <f t="shared" si="13"/>
        <v/>
      </c>
      <c r="AN448" s="71"/>
      <c r="AO448" s="71"/>
      <c r="AP448" s="71"/>
      <c r="AQ448" s="71"/>
      <c r="AR448" s="71" t="s">
        <v>96</v>
      </c>
      <c r="AS448" s="71"/>
      <c r="AT448" s="71" t="s">
        <v>96</v>
      </c>
      <c r="AU448" s="71"/>
      <c r="AV448" s="71" t="s">
        <v>95</v>
      </c>
      <c r="AW448" s="71"/>
      <c r="AX448" s="71"/>
      <c r="AY448" s="71"/>
      <c r="AZ448" s="71"/>
      <c r="BA448" s="71"/>
      <c r="BB448" s="70" t="s">
        <v>218</v>
      </c>
      <c r="BC448" s="70" t="s">
        <v>98</v>
      </c>
      <c r="BD448" s="72" t="str">
        <f>IF('Cálculo MP'!K458="","",'Cálculo MP'!K458)</f>
        <v/>
      </c>
      <c r="BE448" s="72" t="str">
        <f>IF('Cálculo MP'!L458="","",'Cálculo MP'!L458)</f>
        <v/>
      </c>
      <c r="BF448" s="72" t="str">
        <f>IF('Cálculo MP'!M458="","",'Cálculo MP'!M458)</f>
        <v/>
      </c>
      <c r="BG448" s="72" t="str">
        <f>IF('Cálculo MP'!N458="","",'Cálculo MP'!N458)</f>
        <v/>
      </c>
      <c r="BH448" s="72" t="str">
        <f>IF('Cálculo MP'!O458="","",'Cálculo MP'!O458)</f>
        <v/>
      </c>
      <c r="BI448" s="72" t="str">
        <f>IF('Cálculo MP'!P458="","",'Cálculo MP'!P458)</f>
        <v/>
      </c>
      <c r="BJ448" s="72" t="str">
        <f>IF('Cálculo MP'!Q458="","",'Cálculo MP'!Q458)</f>
        <v/>
      </c>
      <c r="BK448" s="72" t="str">
        <f>IF('Cálculo MP'!R458="","",'Cálculo MP'!R458)</f>
        <v/>
      </c>
      <c r="BL448" s="72" t="str">
        <f>IF('Cálculo MP'!S458="","",'Cálculo MP'!S458)</f>
        <v/>
      </c>
      <c r="BM448" s="71"/>
      <c r="BN448" s="71"/>
      <c r="BO448" s="71"/>
      <c r="BP448" s="71"/>
      <c r="BQ448" s="71"/>
      <c r="BR448" s="71"/>
      <c r="BS448" s="71"/>
    </row>
    <row r="449" spans="1:71" ht="19.5" customHeight="1" x14ac:dyDescent="0.15">
      <c r="A449" s="56" t="s">
        <v>985</v>
      </c>
      <c r="B449" s="57" t="s">
        <v>986</v>
      </c>
      <c r="C449" s="58" t="s">
        <v>985</v>
      </c>
      <c r="D449" s="59" t="s">
        <v>985</v>
      </c>
      <c r="E449" s="61"/>
      <c r="F449" s="60" t="s">
        <v>95</v>
      </c>
      <c r="G449" s="61"/>
      <c r="H449" s="62"/>
      <c r="I449" s="75"/>
      <c r="J449" s="60" t="s">
        <v>95</v>
      </c>
      <c r="K449" s="64"/>
      <c r="L449" s="64"/>
      <c r="M449" s="64" t="s">
        <v>96</v>
      </c>
      <c r="N449" s="64" t="s">
        <v>97</v>
      </c>
      <c r="O449" s="65" t="s">
        <v>986</v>
      </c>
      <c r="P449" s="70" t="s">
        <v>96</v>
      </c>
      <c r="Q449" s="60" t="s">
        <v>95</v>
      </c>
      <c r="R449" s="60" t="s">
        <v>96</v>
      </c>
      <c r="S449" s="66" t="s">
        <v>96</v>
      </c>
      <c r="T449" s="67" t="s">
        <v>96</v>
      </c>
      <c r="U449" s="60" t="s">
        <v>96</v>
      </c>
      <c r="V449" s="60" t="s">
        <v>96</v>
      </c>
      <c r="W449" s="60" t="str" cm="1">
        <f t="array" ref="W449">_xlfn.LET(_xlpm.resultados,_xlfn.UNIQUE(_xlfn._xlws.FILTER(Tabla1[Proceso],(Tabla1[Metal Base]=Q449)*(Tabla1[Etiquetas]=_xlfn.TEXTJOIN(" + ",TRUE,IF((TRIM(Upload!R449:V449)="")+(LOWER(TRIM(Upload!R449:V449))="(seleccione)"),"",PROPER(TRIM(Upload!R449:V449)))))*(Tabla1[Línea2]=IFERROR(VLOOKUP(Upload!P449&amp;"*",CAT_Procesos!D:D,1,FALSE),"")))),_xlpm.cantidad,ROWS(_xlpm.resultados),IF(ISERROR(_xlpm.cantidad),"Combinación no existente",IF(_xlpm.cantidad=1,INDEX(_xlpm.resultados,1),"(seleccione)")))</f>
        <v>Combinación no existente</v>
      </c>
      <c r="X449" s="67" t="s">
        <v>96</v>
      </c>
      <c r="Y449" s="64"/>
      <c r="Z449" s="64"/>
      <c r="AA449" s="64"/>
      <c r="AB449" s="133" t="s">
        <v>96</v>
      </c>
      <c r="AC449" s="64"/>
      <c r="AD449" s="64"/>
      <c r="AE449" s="64"/>
      <c r="AF449" s="60" t="s">
        <v>96</v>
      </c>
      <c r="AG449" s="64"/>
      <c r="AH449" s="64"/>
      <c r="AI449" s="64"/>
      <c r="AJ449" s="68" t="s">
        <v>96</v>
      </c>
      <c r="AK449" s="69" t="str">
        <f t="shared" si="12"/>
        <v/>
      </c>
      <c r="AL449" s="70" t="s">
        <v>96</v>
      </c>
      <c r="AM449" s="69" t="str">
        <f t="shared" si="13"/>
        <v/>
      </c>
      <c r="AN449" s="71"/>
      <c r="AO449" s="71"/>
      <c r="AP449" s="71"/>
      <c r="AQ449" s="71"/>
      <c r="AR449" s="71" t="s">
        <v>96</v>
      </c>
      <c r="AS449" s="71"/>
      <c r="AT449" s="71" t="s">
        <v>96</v>
      </c>
      <c r="AU449" s="71"/>
      <c r="AV449" s="71" t="s">
        <v>95</v>
      </c>
      <c r="AW449" s="71"/>
      <c r="AX449" s="71"/>
      <c r="AY449" s="71"/>
      <c r="AZ449" s="71"/>
      <c r="BA449" s="71"/>
      <c r="BB449" s="70" t="s">
        <v>218</v>
      </c>
      <c r="BC449" s="70" t="s">
        <v>98</v>
      </c>
      <c r="BD449" s="72" t="str">
        <f>IF('Cálculo MP'!K459="","",'Cálculo MP'!K459)</f>
        <v/>
      </c>
      <c r="BE449" s="72" t="str">
        <f>IF('Cálculo MP'!L459="","",'Cálculo MP'!L459)</f>
        <v/>
      </c>
      <c r="BF449" s="72" t="str">
        <f>IF('Cálculo MP'!M459="","",'Cálculo MP'!M459)</f>
        <v/>
      </c>
      <c r="BG449" s="72" t="str">
        <f>IF('Cálculo MP'!N459="","",'Cálculo MP'!N459)</f>
        <v/>
      </c>
      <c r="BH449" s="72" t="str">
        <f>IF('Cálculo MP'!O459="","",'Cálculo MP'!O459)</f>
        <v/>
      </c>
      <c r="BI449" s="72" t="str">
        <f>IF('Cálculo MP'!P459="","",'Cálculo MP'!P459)</f>
        <v/>
      </c>
      <c r="BJ449" s="72" t="str">
        <f>IF('Cálculo MP'!Q459="","",'Cálculo MP'!Q459)</f>
        <v/>
      </c>
      <c r="BK449" s="72" t="str">
        <f>IF('Cálculo MP'!R459="","",'Cálculo MP'!R459)</f>
        <v/>
      </c>
      <c r="BL449" s="72" t="str">
        <f>IF('Cálculo MP'!S459="","",'Cálculo MP'!S459)</f>
        <v/>
      </c>
      <c r="BM449" s="71"/>
      <c r="BN449" s="71"/>
      <c r="BO449" s="71"/>
      <c r="BP449" s="71"/>
      <c r="BQ449" s="71"/>
      <c r="BR449" s="71"/>
      <c r="BS449" s="71"/>
    </row>
    <row r="450" spans="1:71" ht="19.5" customHeight="1" x14ac:dyDescent="0.15">
      <c r="A450" s="56" t="s">
        <v>985</v>
      </c>
      <c r="B450" s="57" t="s">
        <v>986</v>
      </c>
      <c r="C450" s="58" t="s">
        <v>985</v>
      </c>
      <c r="D450" s="59" t="s">
        <v>985</v>
      </c>
      <c r="E450" s="61"/>
      <c r="F450" s="60" t="s">
        <v>95</v>
      </c>
      <c r="G450" s="61"/>
      <c r="H450" s="62"/>
      <c r="I450" s="75"/>
      <c r="J450" s="60" t="s">
        <v>95</v>
      </c>
      <c r="K450" s="64"/>
      <c r="L450" s="64"/>
      <c r="M450" s="64" t="s">
        <v>96</v>
      </c>
      <c r="N450" s="64" t="s">
        <v>97</v>
      </c>
      <c r="O450" s="65" t="s">
        <v>986</v>
      </c>
      <c r="P450" s="70" t="s">
        <v>96</v>
      </c>
      <c r="Q450" s="60" t="s">
        <v>95</v>
      </c>
      <c r="R450" s="60" t="s">
        <v>96</v>
      </c>
      <c r="S450" s="66" t="s">
        <v>96</v>
      </c>
      <c r="T450" s="67" t="s">
        <v>96</v>
      </c>
      <c r="U450" s="60" t="s">
        <v>96</v>
      </c>
      <c r="V450" s="60" t="s">
        <v>96</v>
      </c>
      <c r="W450" s="60" t="str" cm="1">
        <f t="array" ref="W450">_xlfn.LET(_xlpm.resultados,_xlfn.UNIQUE(_xlfn._xlws.FILTER(Tabla1[Proceso],(Tabla1[Metal Base]=Q450)*(Tabla1[Etiquetas]=_xlfn.TEXTJOIN(" + ",TRUE,IF((TRIM(Upload!R450:V450)="")+(LOWER(TRIM(Upload!R450:V450))="(seleccione)"),"",PROPER(TRIM(Upload!R450:V450)))))*(Tabla1[Línea2]=IFERROR(VLOOKUP(Upload!P450&amp;"*",CAT_Procesos!D:D,1,FALSE),"")))),_xlpm.cantidad,ROWS(_xlpm.resultados),IF(ISERROR(_xlpm.cantidad),"Combinación no existente",IF(_xlpm.cantidad=1,INDEX(_xlpm.resultados,1),"(seleccione)")))</f>
        <v>Combinación no existente</v>
      </c>
      <c r="X450" s="67" t="s">
        <v>96</v>
      </c>
      <c r="Y450" s="64"/>
      <c r="Z450" s="64"/>
      <c r="AA450" s="64"/>
      <c r="AB450" s="133" t="s">
        <v>96</v>
      </c>
      <c r="AC450" s="64"/>
      <c r="AD450" s="64"/>
      <c r="AE450" s="64"/>
      <c r="AF450" s="60" t="s">
        <v>96</v>
      </c>
      <c r="AG450" s="64"/>
      <c r="AH450" s="64"/>
      <c r="AI450" s="64"/>
      <c r="AJ450" s="68" t="s">
        <v>96</v>
      </c>
      <c r="AK450" s="69" t="str">
        <f t="shared" si="12"/>
        <v/>
      </c>
      <c r="AL450" s="70" t="s">
        <v>96</v>
      </c>
      <c r="AM450" s="69" t="str">
        <f t="shared" si="13"/>
        <v/>
      </c>
      <c r="AN450" s="71"/>
      <c r="AO450" s="71"/>
      <c r="AP450" s="71"/>
      <c r="AQ450" s="71"/>
      <c r="AR450" s="71" t="s">
        <v>96</v>
      </c>
      <c r="AS450" s="71"/>
      <c r="AT450" s="71" t="s">
        <v>96</v>
      </c>
      <c r="AU450" s="71"/>
      <c r="AV450" s="71" t="s">
        <v>95</v>
      </c>
      <c r="AW450" s="71"/>
      <c r="AX450" s="71"/>
      <c r="AY450" s="71"/>
      <c r="AZ450" s="71"/>
      <c r="BA450" s="71"/>
      <c r="BB450" s="70" t="s">
        <v>218</v>
      </c>
      <c r="BC450" s="70" t="s">
        <v>98</v>
      </c>
      <c r="BD450" s="72" t="str">
        <f>IF('Cálculo MP'!K460="","",'Cálculo MP'!K460)</f>
        <v/>
      </c>
      <c r="BE450" s="72" t="str">
        <f>IF('Cálculo MP'!L460="","",'Cálculo MP'!L460)</f>
        <v/>
      </c>
      <c r="BF450" s="72" t="str">
        <f>IF('Cálculo MP'!M460="","",'Cálculo MP'!M460)</f>
        <v/>
      </c>
      <c r="BG450" s="72" t="str">
        <f>IF('Cálculo MP'!N460="","",'Cálculo MP'!N460)</f>
        <v/>
      </c>
      <c r="BH450" s="72" t="str">
        <f>IF('Cálculo MP'!O460="","",'Cálculo MP'!O460)</f>
        <v/>
      </c>
      <c r="BI450" s="72" t="str">
        <f>IF('Cálculo MP'!P460="","",'Cálculo MP'!P460)</f>
        <v/>
      </c>
      <c r="BJ450" s="72" t="str">
        <f>IF('Cálculo MP'!Q460="","",'Cálculo MP'!Q460)</f>
        <v/>
      </c>
      <c r="BK450" s="72" t="str">
        <f>IF('Cálculo MP'!R460="","",'Cálculo MP'!R460)</f>
        <v/>
      </c>
      <c r="BL450" s="72" t="str">
        <f>IF('Cálculo MP'!S460="","",'Cálculo MP'!S460)</f>
        <v/>
      </c>
      <c r="BM450" s="71"/>
      <c r="BN450" s="71"/>
      <c r="BO450" s="71"/>
      <c r="BP450" s="71"/>
      <c r="BQ450" s="71"/>
      <c r="BR450" s="71"/>
      <c r="BS450" s="71"/>
    </row>
    <row r="451" spans="1:71" ht="19.5" customHeight="1" x14ac:dyDescent="0.15">
      <c r="A451" s="56" t="s">
        <v>985</v>
      </c>
      <c r="B451" s="57" t="s">
        <v>986</v>
      </c>
      <c r="C451" s="58" t="s">
        <v>985</v>
      </c>
      <c r="D451" s="59" t="s">
        <v>985</v>
      </c>
      <c r="E451" s="61"/>
      <c r="F451" s="60" t="s">
        <v>95</v>
      </c>
      <c r="G451" s="61"/>
      <c r="H451" s="62"/>
      <c r="I451" s="75"/>
      <c r="J451" s="60" t="s">
        <v>95</v>
      </c>
      <c r="K451" s="64"/>
      <c r="L451" s="64"/>
      <c r="M451" s="64" t="s">
        <v>96</v>
      </c>
      <c r="N451" s="64" t="s">
        <v>97</v>
      </c>
      <c r="O451" s="65" t="s">
        <v>986</v>
      </c>
      <c r="P451" s="70" t="s">
        <v>96</v>
      </c>
      <c r="Q451" s="60" t="s">
        <v>95</v>
      </c>
      <c r="R451" s="60" t="s">
        <v>96</v>
      </c>
      <c r="S451" s="66" t="s">
        <v>96</v>
      </c>
      <c r="T451" s="67" t="s">
        <v>96</v>
      </c>
      <c r="U451" s="60" t="s">
        <v>96</v>
      </c>
      <c r="V451" s="60" t="s">
        <v>96</v>
      </c>
      <c r="W451" s="60" t="str" cm="1">
        <f t="array" ref="W451">_xlfn.LET(_xlpm.resultados,_xlfn.UNIQUE(_xlfn._xlws.FILTER(Tabla1[Proceso],(Tabla1[Metal Base]=Q451)*(Tabla1[Etiquetas]=_xlfn.TEXTJOIN(" + ",TRUE,IF((TRIM(Upload!R451:V451)="")+(LOWER(TRIM(Upload!R451:V451))="(seleccione)"),"",PROPER(TRIM(Upload!R451:V451)))))*(Tabla1[Línea2]=IFERROR(VLOOKUP(Upload!P451&amp;"*",CAT_Procesos!D:D,1,FALSE),"")))),_xlpm.cantidad,ROWS(_xlpm.resultados),IF(ISERROR(_xlpm.cantidad),"Combinación no existente",IF(_xlpm.cantidad=1,INDEX(_xlpm.resultados,1),"(seleccione)")))</f>
        <v>Combinación no existente</v>
      </c>
      <c r="X451" s="67" t="s">
        <v>96</v>
      </c>
      <c r="Y451" s="64"/>
      <c r="Z451" s="64"/>
      <c r="AA451" s="64"/>
      <c r="AB451" s="133" t="s">
        <v>96</v>
      </c>
      <c r="AC451" s="64"/>
      <c r="AD451" s="64"/>
      <c r="AE451" s="64"/>
      <c r="AF451" s="60" t="s">
        <v>96</v>
      </c>
      <c r="AG451" s="64"/>
      <c r="AH451" s="64"/>
      <c r="AI451" s="64"/>
      <c r="AJ451" s="68" t="s">
        <v>96</v>
      </c>
      <c r="AK451" s="69" t="str">
        <f t="shared" si="12"/>
        <v/>
      </c>
      <c r="AL451" s="70" t="s">
        <v>96</v>
      </c>
      <c r="AM451" s="69" t="str">
        <f t="shared" si="13"/>
        <v/>
      </c>
      <c r="AN451" s="71"/>
      <c r="AO451" s="71"/>
      <c r="AP451" s="71"/>
      <c r="AQ451" s="71"/>
      <c r="AR451" s="71" t="s">
        <v>96</v>
      </c>
      <c r="AS451" s="71"/>
      <c r="AT451" s="71" t="s">
        <v>96</v>
      </c>
      <c r="AU451" s="71"/>
      <c r="AV451" s="71" t="s">
        <v>95</v>
      </c>
      <c r="AW451" s="71"/>
      <c r="AX451" s="71"/>
      <c r="AY451" s="71"/>
      <c r="AZ451" s="71"/>
      <c r="BA451" s="71"/>
      <c r="BB451" s="70" t="s">
        <v>218</v>
      </c>
      <c r="BC451" s="70" t="s">
        <v>98</v>
      </c>
      <c r="BD451" s="72" t="str">
        <f>IF('Cálculo MP'!K461="","",'Cálculo MP'!K461)</f>
        <v/>
      </c>
      <c r="BE451" s="72" t="str">
        <f>IF('Cálculo MP'!L461="","",'Cálculo MP'!L461)</f>
        <v/>
      </c>
      <c r="BF451" s="72" t="str">
        <f>IF('Cálculo MP'!M461="","",'Cálculo MP'!M461)</f>
        <v/>
      </c>
      <c r="BG451" s="72" t="str">
        <f>IF('Cálculo MP'!N461="","",'Cálculo MP'!N461)</f>
        <v/>
      </c>
      <c r="BH451" s="72" t="str">
        <f>IF('Cálculo MP'!O461="","",'Cálculo MP'!O461)</f>
        <v/>
      </c>
      <c r="BI451" s="72" t="str">
        <f>IF('Cálculo MP'!P461="","",'Cálculo MP'!P461)</f>
        <v/>
      </c>
      <c r="BJ451" s="72" t="str">
        <f>IF('Cálculo MP'!Q461="","",'Cálculo MP'!Q461)</f>
        <v/>
      </c>
      <c r="BK451" s="72" t="str">
        <f>IF('Cálculo MP'!R461="","",'Cálculo MP'!R461)</f>
        <v/>
      </c>
      <c r="BL451" s="72" t="str">
        <f>IF('Cálculo MP'!S461="","",'Cálculo MP'!S461)</f>
        <v/>
      </c>
      <c r="BM451" s="71"/>
      <c r="BN451" s="71"/>
      <c r="BO451" s="71"/>
      <c r="BP451" s="71"/>
      <c r="BQ451" s="71"/>
      <c r="BR451" s="71"/>
      <c r="BS451" s="71"/>
    </row>
    <row r="452" spans="1:71" ht="19.5" customHeight="1" x14ac:dyDescent="0.15">
      <c r="A452" s="56" t="s">
        <v>985</v>
      </c>
      <c r="B452" s="57" t="s">
        <v>986</v>
      </c>
      <c r="C452" s="58" t="s">
        <v>985</v>
      </c>
      <c r="D452" s="59" t="s">
        <v>985</v>
      </c>
      <c r="E452" s="61"/>
      <c r="F452" s="60" t="s">
        <v>95</v>
      </c>
      <c r="G452" s="61"/>
      <c r="H452" s="62"/>
      <c r="I452" s="75"/>
      <c r="J452" s="60" t="s">
        <v>95</v>
      </c>
      <c r="K452" s="64"/>
      <c r="L452" s="64"/>
      <c r="M452" s="64" t="s">
        <v>96</v>
      </c>
      <c r="N452" s="64" t="s">
        <v>97</v>
      </c>
      <c r="O452" s="65" t="s">
        <v>986</v>
      </c>
      <c r="P452" s="70" t="s">
        <v>96</v>
      </c>
      <c r="Q452" s="60" t="s">
        <v>95</v>
      </c>
      <c r="R452" s="60" t="s">
        <v>96</v>
      </c>
      <c r="S452" s="66" t="s">
        <v>96</v>
      </c>
      <c r="T452" s="67" t="s">
        <v>96</v>
      </c>
      <c r="U452" s="60" t="s">
        <v>96</v>
      </c>
      <c r="V452" s="60" t="s">
        <v>96</v>
      </c>
      <c r="W452" s="60" t="str" cm="1">
        <f t="array" ref="W452">_xlfn.LET(_xlpm.resultados,_xlfn.UNIQUE(_xlfn._xlws.FILTER(Tabla1[Proceso],(Tabla1[Metal Base]=Q452)*(Tabla1[Etiquetas]=_xlfn.TEXTJOIN(" + ",TRUE,IF((TRIM(Upload!R452:V452)="")+(LOWER(TRIM(Upload!R452:V452))="(seleccione)"),"",PROPER(TRIM(Upload!R452:V452)))))*(Tabla1[Línea2]=IFERROR(VLOOKUP(Upload!P452&amp;"*",CAT_Procesos!D:D,1,FALSE),"")))),_xlpm.cantidad,ROWS(_xlpm.resultados),IF(ISERROR(_xlpm.cantidad),"Combinación no existente",IF(_xlpm.cantidad=1,INDEX(_xlpm.resultados,1),"(seleccione)")))</f>
        <v>Combinación no existente</v>
      </c>
      <c r="X452" s="67" t="s">
        <v>96</v>
      </c>
      <c r="Y452" s="64"/>
      <c r="Z452" s="64"/>
      <c r="AA452" s="64"/>
      <c r="AB452" s="133" t="s">
        <v>96</v>
      </c>
      <c r="AC452" s="64"/>
      <c r="AD452" s="64"/>
      <c r="AE452" s="64"/>
      <c r="AF452" s="60" t="s">
        <v>96</v>
      </c>
      <c r="AG452" s="64"/>
      <c r="AH452" s="64"/>
      <c r="AI452" s="64"/>
      <c r="AJ452" s="68" t="s">
        <v>96</v>
      </c>
      <c r="AK452" s="69" t="str">
        <f t="shared" si="12"/>
        <v/>
      </c>
      <c r="AL452" s="70" t="s">
        <v>96</v>
      </c>
      <c r="AM452" s="69" t="str">
        <f t="shared" si="13"/>
        <v/>
      </c>
      <c r="AN452" s="71"/>
      <c r="AO452" s="71"/>
      <c r="AP452" s="71"/>
      <c r="AQ452" s="71"/>
      <c r="AR452" s="71" t="s">
        <v>96</v>
      </c>
      <c r="AS452" s="71"/>
      <c r="AT452" s="71" t="s">
        <v>96</v>
      </c>
      <c r="AU452" s="71"/>
      <c r="AV452" s="71" t="s">
        <v>95</v>
      </c>
      <c r="AW452" s="71"/>
      <c r="AX452" s="71"/>
      <c r="AY452" s="71"/>
      <c r="AZ452" s="71"/>
      <c r="BA452" s="71"/>
      <c r="BB452" s="70" t="s">
        <v>218</v>
      </c>
      <c r="BC452" s="70" t="s">
        <v>98</v>
      </c>
      <c r="BD452" s="72" t="str">
        <f>IF('Cálculo MP'!K462="","",'Cálculo MP'!K462)</f>
        <v/>
      </c>
      <c r="BE452" s="72" t="str">
        <f>IF('Cálculo MP'!L462="","",'Cálculo MP'!L462)</f>
        <v/>
      </c>
      <c r="BF452" s="72" t="str">
        <f>IF('Cálculo MP'!M462="","",'Cálculo MP'!M462)</f>
        <v/>
      </c>
      <c r="BG452" s="72" t="str">
        <f>IF('Cálculo MP'!N462="","",'Cálculo MP'!N462)</f>
        <v/>
      </c>
      <c r="BH452" s="72" t="str">
        <f>IF('Cálculo MP'!O462="","",'Cálculo MP'!O462)</f>
        <v/>
      </c>
      <c r="BI452" s="72" t="str">
        <f>IF('Cálculo MP'!P462="","",'Cálculo MP'!P462)</f>
        <v/>
      </c>
      <c r="BJ452" s="72" t="str">
        <f>IF('Cálculo MP'!Q462="","",'Cálculo MP'!Q462)</f>
        <v/>
      </c>
      <c r="BK452" s="72" t="str">
        <f>IF('Cálculo MP'!R462="","",'Cálculo MP'!R462)</f>
        <v/>
      </c>
      <c r="BL452" s="72" t="str">
        <f>IF('Cálculo MP'!S462="","",'Cálculo MP'!S462)</f>
        <v/>
      </c>
      <c r="BM452" s="71"/>
      <c r="BN452" s="71"/>
      <c r="BO452" s="71"/>
      <c r="BP452" s="71"/>
      <c r="BQ452" s="71"/>
      <c r="BR452" s="71"/>
      <c r="BS452" s="71"/>
    </row>
    <row r="453" spans="1:71" ht="19.5" customHeight="1" x14ac:dyDescent="0.15">
      <c r="A453" s="56" t="s">
        <v>985</v>
      </c>
      <c r="B453" s="57" t="s">
        <v>986</v>
      </c>
      <c r="C453" s="58" t="s">
        <v>985</v>
      </c>
      <c r="D453" s="59" t="s">
        <v>985</v>
      </c>
      <c r="E453" s="61"/>
      <c r="F453" s="60" t="s">
        <v>95</v>
      </c>
      <c r="G453" s="61"/>
      <c r="H453" s="62"/>
      <c r="I453" s="75"/>
      <c r="J453" s="60" t="s">
        <v>95</v>
      </c>
      <c r="K453" s="64"/>
      <c r="L453" s="64"/>
      <c r="M453" s="64" t="s">
        <v>96</v>
      </c>
      <c r="N453" s="64" t="s">
        <v>97</v>
      </c>
      <c r="O453" s="65" t="s">
        <v>986</v>
      </c>
      <c r="P453" s="70" t="s">
        <v>96</v>
      </c>
      <c r="Q453" s="60" t="s">
        <v>95</v>
      </c>
      <c r="R453" s="60" t="s">
        <v>96</v>
      </c>
      <c r="S453" s="66" t="s">
        <v>96</v>
      </c>
      <c r="T453" s="67" t="s">
        <v>96</v>
      </c>
      <c r="U453" s="60" t="s">
        <v>96</v>
      </c>
      <c r="V453" s="60" t="s">
        <v>96</v>
      </c>
      <c r="W453" s="60" t="str" cm="1">
        <f t="array" ref="W453">_xlfn.LET(_xlpm.resultados,_xlfn.UNIQUE(_xlfn._xlws.FILTER(Tabla1[Proceso],(Tabla1[Metal Base]=Q453)*(Tabla1[Etiquetas]=_xlfn.TEXTJOIN(" + ",TRUE,IF((TRIM(Upload!R453:V453)="")+(LOWER(TRIM(Upload!R453:V453))="(seleccione)"),"",PROPER(TRIM(Upload!R453:V453)))))*(Tabla1[Línea2]=IFERROR(VLOOKUP(Upload!P453&amp;"*",CAT_Procesos!D:D,1,FALSE),"")))),_xlpm.cantidad,ROWS(_xlpm.resultados),IF(ISERROR(_xlpm.cantidad),"Combinación no existente",IF(_xlpm.cantidad=1,INDEX(_xlpm.resultados,1),"(seleccione)")))</f>
        <v>Combinación no existente</v>
      </c>
      <c r="X453" s="67" t="s">
        <v>96</v>
      </c>
      <c r="Y453" s="64"/>
      <c r="Z453" s="64"/>
      <c r="AA453" s="64"/>
      <c r="AB453" s="133" t="s">
        <v>96</v>
      </c>
      <c r="AC453" s="64"/>
      <c r="AD453" s="64"/>
      <c r="AE453" s="64"/>
      <c r="AF453" s="60" t="s">
        <v>96</v>
      </c>
      <c r="AG453" s="64"/>
      <c r="AH453" s="64"/>
      <c r="AI453" s="64"/>
      <c r="AJ453" s="68" t="s">
        <v>96</v>
      </c>
      <c r="AK453" s="69" t="str">
        <f t="shared" si="12"/>
        <v/>
      </c>
      <c r="AL453" s="70" t="s">
        <v>96</v>
      </c>
      <c r="AM453" s="69" t="str">
        <f t="shared" si="13"/>
        <v/>
      </c>
      <c r="AN453" s="71"/>
      <c r="AO453" s="71"/>
      <c r="AP453" s="71"/>
      <c r="AQ453" s="71"/>
      <c r="AR453" s="71" t="s">
        <v>96</v>
      </c>
      <c r="AS453" s="71"/>
      <c r="AT453" s="71" t="s">
        <v>96</v>
      </c>
      <c r="AU453" s="71"/>
      <c r="AV453" s="71" t="s">
        <v>95</v>
      </c>
      <c r="AW453" s="71"/>
      <c r="AX453" s="71"/>
      <c r="AY453" s="71"/>
      <c r="AZ453" s="71"/>
      <c r="BA453" s="71"/>
      <c r="BB453" s="70" t="s">
        <v>218</v>
      </c>
      <c r="BC453" s="70" t="s">
        <v>98</v>
      </c>
      <c r="BD453" s="72" t="str">
        <f>IF('Cálculo MP'!K463="","",'Cálculo MP'!K463)</f>
        <v/>
      </c>
      <c r="BE453" s="72" t="str">
        <f>IF('Cálculo MP'!L463="","",'Cálculo MP'!L463)</f>
        <v/>
      </c>
      <c r="BF453" s="72" t="str">
        <f>IF('Cálculo MP'!M463="","",'Cálculo MP'!M463)</f>
        <v/>
      </c>
      <c r="BG453" s="72" t="str">
        <f>IF('Cálculo MP'!N463="","",'Cálculo MP'!N463)</f>
        <v/>
      </c>
      <c r="BH453" s="72" t="str">
        <f>IF('Cálculo MP'!O463="","",'Cálculo MP'!O463)</f>
        <v/>
      </c>
      <c r="BI453" s="72" t="str">
        <f>IF('Cálculo MP'!P463="","",'Cálculo MP'!P463)</f>
        <v/>
      </c>
      <c r="BJ453" s="72" t="str">
        <f>IF('Cálculo MP'!Q463="","",'Cálculo MP'!Q463)</f>
        <v/>
      </c>
      <c r="BK453" s="72" t="str">
        <f>IF('Cálculo MP'!R463="","",'Cálculo MP'!R463)</f>
        <v/>
      </c>
      <c r="BL453" s="72" t="str">
        <f>IF('Cálculo MP'!S463="","",'Cálculo MP'!S463)</f>
        <v/>
      </c>
      <c r="BM453" s="71"/>
      <c r="BN453" s="71"/>
      <c r="BO453" s="71"/>
      <c r="BP453" s="71"/>
      <c r="BQ453" s="71"/>
      <c r="BR453" s="71"/>
      <c r="BS453" s="71"/>
    </row>
    <row r="454" spans="1:71" ht="19.5" customHeight="1" x14ac:dyDescent="0.15">
      <c r="A454" s="56" t="s">
        <v>985</v>
      </c>
      <c r="B454" s="57" t="s">
        <v>986</v>
      </c>
      <c r="C454" s="58" t="s">
        <v>985</v>
      </c>
      <c r="D454" s="59" t="s">
        <v>985</v>
      </c>
      <c r="E454" s="61"/>
      <c r="F454" s="60" t="s">
        <v>95</v>
      </c>
      <c r="G454" s="61"/>
      <c r="H454" s="62"/>
      <c r="I454" s="75"/>
      <c r="J454" s="60" t="s">
        <v>95</v>
      </c>
      <c r="K454" s="64"/>
      <c r="L454" s="64"/>
      <c r="M454" s="64" t="s">
        <v>96</v>
      </c>
      <c r="N454" s="64" t="s">
        <v>97</v>
      </c>
      <c r="O454" s="65" t="s">
        <v>986</v>
      </c>
      <c r="P454" s="70" t="s">
        <v>96</v>
      </c>
      <c r="Q454" s="60" t="s">
        <v>95</v>
      </c>
      <c r="R454" s="60" t="s">
        <v>96</v>
      </c>
      <c r="S454" s="66" t="s">
        <v>96</v>
      </c>
      <c r="T454" s="67" t="s">
        <v>96</v>
      </c>
      <c r="U454" s="60" t="s">
        <v>96</v>
      </c>
      <c r="V454" s="60" t="s">
        <v>96</v>
      </c>
      <c r="W454" s="60" t="str" cm="1">
        <f t="array" ref="W454">_xlfn.LET(_xlpm.resultados,_xlfn.UNIQUE(_xlfn._xlws.FILTER(Tabla1[Proceso],(Tabla1[Metal Base]=Q454)*(Tabla1[Etiquetas]=_xlfn.TEXTJOIN(" + ",TRUE,IF((TRIM(Upload!R454:V454)="")+(LOWER(TRIM(Upload!R454:V454))="(seleccione)"),"",PROPER(TRIM(Upload!R454:V454)))))*(Tabla1[Línea2]=IFERROR(VLOOKUP(Upload!P454&amp;"*",CAT_Procesos!D:D,1,FALSE),"")))),_xlpm.cantidad,ROWS(_xlpm.resultados),IF(ISERROR(_xlpm.cantidad),"Combinación no existente",IF(_xlpm.cantidad=1,INDEX(_xlpm.resultados,1),"(seleccione)")))</f>
        <v>Combinación no existente</v>
      </c>
      <c r="X454" s="67" t="s">
        <v>96</v>
      </c>
      <c r="Y454" s="64"/>
      <c r="Z454" s="64"/>
      <c r="AA454" s="64"/>
      <c r="AB454" s="133" t="s">
        <v>96</v>
      </c>
      <c r="AC454" s="64"/>
      <c r="AD454" s="64"/>
      <c r="AE454" s="64"/>
      <c r="AF454" s="60" t="s">
        <v>96</v>
      </c>
      <c r="AG454" s="64"/>
      <c r="AH454" s="64"/>
      <c r="AI454" s="64"/>
      <c r="AJ454" s="68" t="s">
        <v>96</v>
      </c>
      <c r="AK454" s="69" t="str">
        <f t="shared" si="12"/>
        <v/>
      </c>
      <c r="AL454" s="70" t="s">
        <v>96</v>
      </c>
      <c r="AM454" s="69" t="str">
        <f t="shared" si="13"/>
        <v/>
      </c>
      <c r="AN454" s="71"/>
      <c r="AO454" s="71"/>
      <c r="AP454" s="71"/>
      <c r="AQ454" s="71"/>
      <c r="AR454" s="71" t="s">
        <v>96</v>
      </c>
      <c r="AS454" s="71"/>
      <c r="AT454" s="71" t="s">
        <v>96</v>
      </c>
      <c r="AU454" s="71"/>
      <c r="AV454" s="71" t="s">
        <v>95</v>
      </c>
      <c r="AW454" s="71"/>
      <c r="AX454" s="71"/>
      <c r="AY454" s="71"/>
      <c r="AZ454" s="71"/>
      <c r="BA454" s="71"/>
      <c r="BB454" s="70" t="s">
        <v>218</v>
      </c>
      <c r="BC454" s="70" t="s">
        <v>98</v>
      </c>
      <c r="BD454" s="72" t="str">
        <f>IF('Cálculo MP'!K464="","",'Cálculo MP'!K464)</f>
        <v/>
      </c>
      <c r="BE454" s="72" t="str">
        <f>IF('Cálculo MP'!L464="","",'Cálculo MP'!L464)</f>
        <v/>
      </c>
      <c r="BF454" s="72" t="str">
        <f>IF('Cálculo MP'!M464="","",'Cálculo MP'!M464)</f>
        <v/>
      </c>
      <c r="BG454" s="72" t="str">
        <f>IF('Cálculo MP'!N464="","",'Cálculo MP'!N464)</f>
        <v/>
      </c>
      <c r="BH454" s="72" t="str">
        <f>IF('Cálculo MP'!O464="","",'Cálculo MP'!O464)</f>
        <v/>
      </c>
      <c r="BI454" s="72" t="str">
        <f>IF('Cálculo MP'!P464="","",'Cálculo MP'!P464)</f>
        <v/>
      </c>
      <c r="BJ454" s="72" t="str">
        <f>IF('Cálculo MP'!Q464="","",'Cálculo MP'!Q464)</f>
        <v/>
      </c>
      <c r="BK454" s="72" t="str">
        <f>IF('Cálculo MP'!R464="","",'Cálculo MP'!R464)</f>
        <v/>
      </c>
      <c r="BL454" s="72" t="str">
        <f>IF('Cálculo MP'!S464="","",'Cálculo MP'!S464)</f>
        <v/>
      </c>
      <c r="BM454" s="71"/>
      <c r="BN454" s="71"/>
      <c r="BO454" s="71"/>
      <c r="BP454" s="71"/>
      <c r="BQ454" s="71"/>
      <c r="BR454" s="71"/>
      <c r="BS454" s="71"/>
    </row>
    <row r="455" spans="1:71" ht="19.5" customHeight="1" x14ac:dyDescent="0.15">
      <c r="A455" s="56" t="s">
        <v>985</v>
      </c>
      <c r="B455" s="57" t="s">
        <v>986</v>
      </c>
      <c r="C455" s="58" t="s">
        <v>985</v>
      </c>
      <c r="D455" s="59" t="s">
        <v>985</v>
      </c>
      <c r="E455" s="61"/>
      <c r="F455" s="60" t="s">
        <v>95</v>
      </c>
      <c r="G455" s="61"/>
      <c r="H455" s="62"/>
      <c r="I455" s="75"/>
      <c r="J455" s="60" t="s">
        <v>95</v>
      </c>
      <c r="K455" s="64"/>
      <c r="L455" s="64"/>
      <c r="M455" s="64" t="s">
        <v>96</v>
      </c>
      <c r="N455" s="64" t="s">
        <v>97</v>
      </c>
      <c r="O455" s="65" t="s">
        <v>986</v>
      </c>
      <c r="P455" s="70" t="s">
        <v>96</v>
      </c>
      <c r="Q455" s="60" t="s">
        <v>95</v>
      </c>
      <c r="R455" s="60" t="s">
        <v>96</v>
      </c>
      <c r="S455" s="66" t="s">
        <v>96</v>
      </c>
      <c r="T455" s="67" t="s">
        <v>96</v>
      </c>
      <c r="U455" s="60" t="s">
        <v>96</v>
      </c>
      <c r="V455" s="60" t="s">
        <v>96</v>
      </c>
      <c r="W455" s="60" t="str" cm="1">
        <f t="array" ref="W455">_xlfn.LET(_xlpm.resultados,_xlfn.UNIQUE(_xlfn._xlws.FILTER(Tabla1[Proceso],(Tabla1[Metal Base]=Q455)*(Tabla1[Etiquetas]=_xlfn.TEXTJOIN(" + ",TRUE,IF((TRIM(Upload!R455:V455)="")+(LOWER(TRIM(Upload!R455:V455))="(seleccione)"),"",PROPER(TRIM(Upload!R455:V455)))))*(Tabla1[Línea2]=IFERROR(VLOOKUP(Upload!P455&amp;"*",CAT_Procesos!D:D,1,FALSE),"")))),_xlpm.cantidad,ROWS(_xlpm.resultados),IF(ISERROR(_xlpm.cantidad),"Combinación no existente",IF(_xlpm.cantidad=1,INDEX(_xlpm.resultados,1),"(seleccione)")))</f>
        <v>Combinación no existente</v>
      </c>
      <c r="X455" s="67" t="s">
        <v>96</v>
      </c>
      <c r="Y455" s="64"/>
      <c r="Z455" s="64"/>
      <c r="AA455" s="64"/>
      <c r="AB455" s="133" t="s">
        <v>96</v>
      </c>
      <c r="AC455" s="64"/>
      <c r="AD455" s="64"/>
      <c r="AE455" s="64"/>
      <c r="AF455" s="60" t="s">
        <v>96</v>
      </c>
      <c r="AG455" s="64"/>
      <c r="AH455" s="64"/>
      <c r="AI455" s="64"/>
      <c r="AJ455" s="68" t="s">
        <v>96</v>
      </c>
      <c r="AK455" s="69" t="str">
        <f t="shared" si="12"/>
        <v/>
      </c>
      <c r="AL455" s="70" t="s">
        <v>96</v>
      </c>
      <c r="AM455" s="69" t="str">
        <f t="shared" si="13"/>
        <v/>
      </c>
      <c r="AN455" s="71"/>
      <c r="AO455" s="71"/>
      <c r="AP455" s="71"/>
      <c r="AQ455" s="71"/>
      <c r="AR455" s="71" t="s">
        <v>96</v>
      </c>
      <c r="AS455" s="71"/>
      <c r="AT455" s="71" t="s">
        <v>96</v>
      </c>
      <c r="AU455" s="71"/>
      <c r="AV455" s="71" t="s">
        <v>95</v>
      </c>
      <c r="AW455" s="71"/>
      <c r="AX455" s="71"/>
      <c r="AY455" s="71"/>
      <c r="AZ455" s="71"/>
      <c r="BA455" s="71"/>
      <c r="BB455" s="70" t="s">
        <v>218</v>
      </c>
      <c r="BC455" s="70" t="s">
        <v>98</v>
      </c>
      <c r="BD455" s="72" t="str">
        <f>IF('Cálculo MP'!K465="","",'Cálculo MP'!K465)</f>
        <v/>
      </c>
      <c r="BE455" s="72" t="str">
        <f>IF('Cálculo MP'!L465="","",'Cálculo MP'!L465)</f>
        <v/>
      </c>
      <c r="BF455" s="72" t="str">
        <f>IF('Cálculo MP'!M465="","",'Cálculo MP'!M465)</f>
        <v/>
      </c>
      <c r="BG455" s="72" t="str">
        <f>IF('Cálculo MP'!N465="","",'Cálculo MP'!N465)</f>
        <v/>
      </c>
      <c r="BH455" s="72" t="str">
        <f>IF('Cálculo MP'!O465="","",'Cálculo MP'!O465)</f>
        <v/>
      </c>
      <c r="BI455" s="72" t="str">
        <f>IF('Cálculo MP'!P465="","",'Cálculo MP'!P465)</f>
        <v/>
      </c>
      <c r="BJ455" s="72" t="str">
        <f>IF('Cálculo MP'!Q465="","",'Cálculo MP'!Q465)</f>
        <v/>
      </c>
      <c r="BK455" s="72" t="str">
        <f>IF('Cálculo MP'!R465="","",'Cálculo MP'!R465)</f>
        <v/>
      </c>
      <c r="BL455" s="72" t="str">
        <f>IF('Cálculo MP'!S465="","",'Cálculo MP'!S465)</f>
        <v/>
      </c>
      <c r="BM455" s="71"/>
      <c r="BN455" s="71"/>
      <c r="BO455" s="71"/>
      <c r="BP455" s="71"/>
      <c r="BQ455" s="71"/>
      <c r="BR455" s="71"/>
      <c r="BS455" s="71"/>
    </row>
    <row r="456" spans="1:71" ht="19.5" customHeight="1" x14ac:dyDescent="0.15">
      <c r="A456" s="56" t="s">
        <v>985</v>
      </c>
      <c r="B456" s="57" t="s">
        <v>986</v>
      </c>
      <c r="C456" s="58" t="s">
        <v>985</v>
      </c>
      <c r="D456" s="59" t="s">
        <v>985</v>
      </c>
      <c r="E456" s="61"/>
      <c r="F456" s="60" t="s">
        <v>95</v>
      </c>
      <c r="G456" s="61"/>
      <c r="H456" s="62"/>
      <c r="I456" s="75"/>
      <c r="J456" s="60" t="s">
        <v>95</v>
      </c>
      <c r="K456" s="64"/>
      <c r="L456" s="64"/>
      <c r="M456" s="64" t="s">
        <v>96</v>
      </c>
      <c r="N456" s="64" t="s">
        <v>97</v>
      </c>
      <c r="O456" s="65" t="s">
        <v>986</v>
      </c>
      <c r="P456" s="70" t="s">
        <v>96</v>
      </c>
      <c r="Q456" s="60" t="s">
        <v>95</v>
      </c>
      <c r="R456" s="60" t="s">
        <v>96</v>
      </c>
      <c r="S456" s="66" t="s">
        <v>96</v>
      </c>
      <c r="T456" s="67" t="s">
        <v>96</v>
      </c>
      <c r="U456" s="60" t="s">
        <v>96</v>
      </c>
      <c r="V456" s="60" t="s">
        <v>96</v>
      </c>
      <c r="W456" s="60" t="str" cm="1">
        <f t="array" ref="W456">_xlfn.LET(_xlpm.resultados,_xlfn.UNIQUE(_xlfn._xlws.FILTER(Tabla1[Proceso],(Tabla1[Metal Base]=Q456)*(Tabla1[Etiquetas]=_xlfn.TEXTJOIN(" + ",TRUE,IF((TRIM(Upload!R456:V456)="")+(LOWER(TRIM(Upload!R456:V456))="(seleccione)"),"",PROPER(TRIM(Upload!R456:V456)))))*(Tabla1[Línea2]=IFERROR(VLOOKUP(Upload!P456&amp;"*",CAT_Procesos!D:D,1,FALSE),"")))),_xlpm.cantidad,ROWS(_xlpm.resultados),IF(ISERROR(_xlpm.cantidad),"Combinación no existente",IF(_xlpm.cantidad=1,INDEX(_xlpm.resultados,1),"(seleccione)")))</f>
        <v>Combinación no existente</v>
      </c>
      <c r="X456" s="67" t="s">
        <v>96</v>
      </c>
      <c r="Y456" s="64"/>
      <c r="Z456" s="64"/>
      <c r="AA456" s="64"/>
      <c r="AB456" s="133" t="s">
        <v>96</v>
      </c>
      <c r="AC456" s="64"/>
      <c r="AD456" s="64"/>
      <c r="AE456" s="64"/>
      <c r="AF456" s="60" t="s">
        <v>96</v>
      </c>
      <c r="AG456" s="64"/>
      <c r="AH456" s="64"/>
      <c r="AI456" s="64"/>
      <c r="AJ456" s="68" t="s">
        <v>96</v>
      </c>
      <c r="AK456" s="69" t="str">
        <f t="shared" si="12"/>
        <v/>
      </c>
      <c r="AL456" s="70" t="s">
        <v>96</v>
      </c>
      <c r="AM456" s="69" t="str">
        <f t="shared" si="13"/>
        <v/>
      </c>
      <c r="AN456" s="71"/>
      <c r="AO456" s="71"/>
      <c r="AP456" s="71"/>
      <c r="AQ456" s="71"/>
      <c r="AR456" s="71" t="s">
        <v>96</v>
      </c>
      <c r="AS456" s="71"/>
      <c r="AT456" s="71" t="s">
        <v>96</v>
      </c>
      <c r="AU456" s="71"/>
      <c r="AV456" s="71" t="s">
        <v>95</v>
      </c>
      <c r="AW456" s="71"/>
      <c r="AX456" s="71"/>
      <c r="AY456" s="71"/>
      <c r="AZ456" s="71"/>
      <c r="BA456" s="71"/>
      <c r="BB456" s="70" t="s">
        <v>218</v>
      </c>
      <c r="BC456" s="70" t="s">
        <v>98</v>
      </c>
      <c r="BD456" s="72" t="str">
        <f>IF('Cálculo MP'!K466="","",'Cálculo MP'!K466)</f>
        <v/>
      </c>
      <c r="BE456" s="72" t="str">
        <f>IF('Cálculo MP'!L466="","",'Cálculo MP'!L466)</f>
        <v/>
      </c>
      <c r="BF456" s="72" t="str">
        <f>IF('Cálculo MP'!M466="","",'Cálculo MP'!M466)</f>
        <v/>
      </c>
      <c r="BG456" s="72" t="str">
        <f>IF('Cálculo MP'!N466="","",'Cálculo MP'!N466)</f>
        <v/>
      </c>
      <c r="BH456" s="72" t="str">
        <f>IF('Cálculo MP'!O466="","",'Cálculo MP'!O466)</f>
        <v/>
      </c>
      <c r="BI456" s="72" t="str">
        <f>IF('Cálculo MP'!P466="","",'Cálculo MP'!P466)</f>
        <v/>
      </c>
      <c r="BJ456" s="72" t="str">
        <f>IF('Cálculo MP'!Q466="","",'Cálculo MP'!Q466)</f>
        <v/>
      </c>
      <c r="BK456" s="72" t="str">
        <f>IF('Cálculo MP'!R466="","",'Cálculo MP'!R466)</f>
        <v/>
      </c>
      <c r="BL456" s="72" t="str">
        <f>IF('Cálculo MP'!S466="","",'Cálculo MP'!S466)</f>
        <v/>
      </c>
      <c r="BM456" s="71"/>
      <c r="BN456" s="71"/>
      <c r="BO456" s="71"/>
      <c r="BP456" s="71"/>
      <c r="BQ456" s="71"/>
      <c r="BR456" s="71"/>
      <c r="BS456" s="71"/>
    </row>
    <row r="457" spans="1:71" ht="19.5" customHeight="1" x14ac:dyDescent="0.15">
      <c r="A457" s="56" t="s">
        <v>985</v>
      </c>
      <c r="B457" s="57" t="s">
        <v>986</v>
      </c>
      <c r="C457" s="58" t="s">
        <v>985</v>
      </c>
      <c r="D457" s="59" t="s">
        <v>985</v>
      </c>
      <c r="E457" s="61"/>
      <c r="F457" s="60" t="s">
        <v>95</v>
      </c>
      <c r="G457" s="61"/>
      <c r="H457" s="62"/>
      <c r="I457" s="75"/>
      <c r="J457" s="60" t="s">
        <v>95</v>
      </c>
      <c r="K457" s="64"/>
      <c r="L457" s="64"/>
      <c r="M457" s="64" t="s">
        <v>96</v>
      </c>
      <c r="N457" s="64" t="s">
        <v>97</v>
      </c>
      <c r="O457" s="65" t="s">
        <v>986</v>
      </c>
      <c r="P457" s="70" t="s">
        <v>96</v>
      </c>
      <c r="Q457" s="60" t="s">
        <v>95</v>
      </c>
      <c r="R457" s="60" t="s">
        <v>96</v>
      </c>
      <c r="S457" s="66" t="s">
        <v>96</v>
      </c>
      <c r="T457" s="67" t="s">
        <v>96</v>
      </c>
      <c r="U457" s="60" t="s">
        <v>96</v>
      </c>
      <c r="V457" s="60" t="s">
        <v>96</v>
      </c>
      <c r="W457" s="60" t="str" cm="1">
        <f t="array" ref="W457">_xlfn.LET(_xlpm.resultados,_xlfn.UNIQUE(_xlfn._xlws.FILTER(Tabla1[Proceso],(Tabla1[Metal Base]=Q457)*(Tabla1[Etiquetas]=_xlfn.TEXTJOIN(" + ",TRUE,IF((TRIM(Upload!R457:V457)="")+(LOWER(TRIM(Upload!R457:V457))="(seleccione)"),"",PROPER(TRIM(Upload!R457:V457)))))*(Tabla1[Línea2]=IFERROR(VLOOKUP(Upload!P457&amp;"*",CAT_Procesos!D:D,1,FALSE),"")))),_xlpm.cantidad,ROWS(_xlpm.resultados),IF(ISERROR(_xlpm.cantidad),"Combinación no existente",IF(_xlpm.cantidad=1,INDEX(_xlpm.resultados,1),"(seleccione)")))</f>
        <v>Combinación no existente</v>
      </c>
      <c r="X457" s="67" t="s">
        <v>96</v>
      </c>
      <c r="Y457" s="64"/>
      <c r="Z457" s="64"/>
      <c r="AA457" s="64"/>
      <c r="AB457" s="133" t="s">
        <v>96</v>
      </c>
      <c r="AC457" s="64"/>
      <c r="AD457" s="64"/>
      <c r="AE457" s="64"/>
      <c r="AF457" s="60" t="s">
        <v>96</v>
      </c>
      <c r="AG457" s="64"/>
      <c r="AH457" s="64"/>
      <c r="AI457" s="64"/>
      <c r="AJ457" s="68" t="s">
        <v>96</v>
      </c>
      <c r="AK457" s="69" t="str">
        <f t="shared" si="12"/>
        <v/>
      </c>
      <c r="AL457" s="70" t="s">
        <v>96</v>
      </c>
      <c r="AM457" s="69" t="str">
        <f t="shared" si="13"/>
        <v/>
      </c>
      <c r="AN457" s="71"/>
      <c r="AO457" s="71"/>
      <c r="AP457" s="71"/>
      <c r="AQ457" s="71"/>
      <c r="AR457" s="71" t="s">
        <v>96</v>
      </c>
      <c r="AS457" s="71"/>
      <c r="AT457" s="71" t="s">
        <v>96</v>
      </c>
      <c r="AU457" s="71"/>
      <c r="AV457" s="71" t="s">
        <v>95</v>
      </c>
      <c r="AW457" s="71"/>
      <c r="AX457" s="71"/>
      <c r="AY457" s="71"/>
      <c r="AZ457" s="71"/>
      <c r="BA457" s="71"/>
      <c r="BB457" s="70" t="s">
        <v>218</v>
      </c>
      <c r="BC457" s="70" t="s">
        <v>98</v>
      </c>
      <c r="BD457" s="72" t="str">
        <f>IF('Cálculo MP'!K467="","",'Cálculo MP'!K467)</f>
        <v/>
      </c>
      <c r="BE457" s="72" t="str">
        <f>IF('Cálculo MP'!L467="","",'Cálculo MP'!L467)</f>
        <v/>
      </c>
      <c r="BF457" s="72" t="str">
        <f>IF('Cálculo MP'!M467="","",'Cálculo MP'!M467)</f>
        <v/>
      </c>
      <c r="BG457" s="72" t="str">
        <f>IF('Cálculo MP'!N467="","",'Cálculo MP'!N467)</f>
        <v/>
      </c>
      <c r="BH457" s="72" t="str">
        <f>IF('Cálculo MP'!O467="","",'Cálculo MP'!O467)</f>
        <v/>
      </c>
      <c r="BI457" s="72" t="str">
        <f>IF('Cálculo MP'!P467="","",'Cálculo MP'!P467)</f>
        <v/>
      </c>
      <c r="BJ457" s="72" t="str">
        <f>IF('Cálculo MP'!Q467="","",'Cálculo MP'!Q467)</f>
        <v/>
      </c>
      <c r="BK457" s="72" t="str">
        <f>IF('Cálculo MP'!R467="","",'Cálculo MP'!R467)</f>
        <v/>
      </c>
      <c r="BL457" s="72" t="str">
        <f>IF('Cálculo MP'!S467="","",'Cálculo MP'!S467)</f>
        <v/>
      </c>
      <c r="BM457" s="71"/>
      <c r="BN457" s="71"/>
      <c r="BO457" s="71"/>
      <c r="BP457" s="71"/>
      <c r="BQ457" s="71"/>
      <c r="BR457" s="71"/>
      <c r="BS457" s="71"/>
    </row>
    <row r="458" spans="1:71" ht="19.5" customHeight="1" x14ac:dyDescent="0.15">
      <c r="A458" s="56" t="s">
        <v>985</v>
      </c>
      <c r="B458" s="57" t="s">
        <v>986</v>
      </c>
      <c r="C458" s="58" t="s">
        <v>985</v>
      </c>
      <c r="D458" s="59" t="s">
        <v>985</v>
      </c>
      <c r="E458" s="61"/>
      <c r="F458" s="60" t="s">
        <v>95</v>
      </c>
      <c r="G458" s="61"/>
      <c r="H458" s="62"/>
      <c r="I458" s="75"/>
      <c r="J458" s="60" t="s">
        <v>95</v>
      </c>
      <c r="K458" s="64"/>
      <c r="L458" s="64"/>
      <c r="M458" s="64" t="s">
        <v>96</v>
      </c>
      <c r="N458" s="64" t="s">
        <v>97</v>
      </c>
      <c r="O458" s="65" t="s">
        <v>986</v>
      </c>
      <c r="P458" s="70" t="s">
        <v>96</v>
      </c>
      <c r="Q458" s="60" t="s">
        <v>95</v>
      </c>
      <c r="R458" s="60" t="s">
        <v>96</v>
      </c>
      <c r="S458" s="66" t="s">
        <v>96</v>
      </c>
      <c r="T458" s="67" t="s">
        <v>96</v>
      </c>
      <c r="U458" s="60" t="s">
        <v>96</v>
      </c>
      <c r="V458" s="60" t="s">
        <v>96</v>
      </c>
      <c r="W458" s="60" t="str" cm="1">
        <f t="array" ref="W458">_xlfn.LET(_xlpm.resultados,_xlfn.UNIQUE(_xlfn._xlws.FILTER(Tabla1[Proceso],(Tabla1[Metal Base]=Q458)*(Tabla1[Etiquetas]=_xlfn.TEXTJOIN(" + ",TRUE,IF((TRIM(Upload!R458:V458)="")+(LOWER(TRIM(Upload!R458:V458))="(seleccione)"),"",PROPER(TRIM(Upload!R458:V458)))))*(Tabla1[Línea2]=IFERROR(VLOOKUP(Upload!P458&amp;"*",CAT_Procesos!D:D,1,FALSE),"")))),_xlpm.cantidad,ROWS(_xlpm.resultados),IF(ISERROR(_xlpm.cantidad),"Combinación no existente",IF(_xlpm.cantidad=1,INDEX(_xlpm.resultados,1),"(seleccione)")))</f>
        <v>Combinación no existente</v>
      </c>
      <c r="X458" s="67" t="s">
        <v>96</v>
      </c>
      <c r="Y458" s="64"/>
      <c r="Z458" s="64"/>
      <c r="AA458" s="64"/>
      <c r="AB458" s="133" t="s">
        <v>96</v>
      </c>
      <c r="AC458" s="64"/>
      <c r="AD458" s="64"/>
      <c r="AE458" s="64"/>
      <c r="AF458" s="60" t="s">
        <v>96</v>
      </c>
      <c r="AG458" s="64"/>
      <c r="AH458" s="64"/>
      <c r="AI458" s="64"/>
      <c r="AJ458" s="68" t="s">
        <v>96</v>
      </c>
      <c r="AK458" s="69" t="str">
        <f t="shared" ref="AK458:AK508" si="14">IFERROR(((VALUE(TRIM(LEFT(MID(AJ458,FIND("|",AJ458)+1,99),FIND("-",MID(AJ458,FIND("|",AJ458)+1,99))-1)))+VALUE(TRIM(SUBSTITUTE(SUBSTITUTE(SUBSTITUTE(SUBSTITUTE(SUBSTITUTE(MID(MID(AJ458,FIND("|",AJ458)+1,99),FIND("-",MID(AJ458,FIND("|",AJ458)+1,99))+1,20),"µm",""),"μm",""),"mils",""),"mil",""),"",""))))/2)*IF(ISNUMBER(SEARCH("mil",MID(AJ458,FIND("|",AJ458)+1,99))),25.4,1),"")</f>
        <v/>
      </c>
      <c r="AL458" s="70" t="s">
        <v>96</v>
      </c>
      <c r="AM458" s="69" t="str">
        <f t="shared" ref="AM458:AM508" si="15">IFERROR(((VALUE(TRIM(LEFT(MID(AL458,FIND("|",AL458)+1,99),FIND("-",MID(AL458,FIND("|",AL458)+1,99))-1)))+VALUE(TRIM(SUBSTITUTE(SUBSTITUTE(SUBSTITUTE(SUBSTITUTE(SUBSTITUTE(MID(MID(AL458,FIND("|",AL458)+1,99),FIND("-",MID(AL458,FIND("|",AL458)+1,99))+1,20),"µm",""),"μm",""),"mils",""),"mil",""),"",""))))/2)*IF(ISNUMBER(SEARCH("mil",MID(AL458,FIND("|",AL458)+1,99))),25.4,1),"")</f>
        <v/>
      </c>
      <c r="AN458" s="71"/>
      <c r="AO458" s="71"/>
      <c r="AP458" s="71"/>
      <c r="AQ458" s="71"/>
      <c r="AR458" s="71" t="s">
        <v>96</v>
      </c>
      <c r="AS458" s="71"/>
      <c r="AT458" s="71" t="s">
        <v>96</v>
      </c>
      <c r="AU458" s="71"/>
      <c r="AV458" s="71" t="s">
        <v>95</v>
      </c>
      <c r="AW458" s="71"/>
      <c r="AX458" s="71"/>
      <c r="AY458" s="71"/>
      <c r="AZ458" s="71"/>
      <c r="BA458" s="71"/>
      <c r="BB458" s="70" t="s">
        <v>218</v>
      </c>
      <c r="BC458" s="70" t="s">
        <v>98</v>
      </c>
      <c r="BD458" s="72" t="str">
        <f>IF('Cálculo MP'!K468="","",'Cálculo MP'!K468)</f>
        <v/>
      </c>
      <c r="BE458" s="72" t="str">
        <f>IF('Cálculo MP'!L468="","",'Cálculo MP'!L468)</f>
        <v/>
      </c>
      <c r="BF458" s="72" t="str">
        <f>IF('Cálculo MP'!M468="","",'Cálculo MP'!M468)</f>
        <v/>
      </c>
      <c r="BG458" s="72" t="str">
        <f>IF('Cálculo MP'!N468="","",'Cálculo MP'!N468)</f>
        <v/>
      </c>
      <c r="BH458" s="72" t="str">
        <f>IF('Cálculo MP'!O468="","",'Cálculo MP'!O468)</f>
        <v/>
      </c>
      <c r="BI458" s="72" t="str">
        <f>IF('Cálculo MP'!P468="","",'Cálculo MP'!P468)</f>
        <v/>
      </c>
      <c r="BJ458" s="72" t="str">
        <f>IF('Cálculo MP'!Q468="","",'Cálculo MP'!Q468)</f>
        <v/>
      </c>
      <c r="BK458" s="72" t="str">
        <f>IF('Cálculo MP'!R468="","",'Cálculo MP'!R468)</f>
        <v/>
      </c>
      <c r="BL458" s="72" t="str">
        <f>IF('Cálculo MP'!S468="","",'Cálculo MP'!S468)</f>
        <v/>
      </c>
      <c r="BM458" s="71"/>
      <c r="BN458" s="71"/>
      <c r="BO458" s="71"/>
      <c r="BP458" s="71"/>
      <c r="BQ458" s="71"/>
      <c r="BR458" s="71"/>
      <c r="BS458" s="71"/>
    </row>
    <row r="459" spans="1:71" ht="19.5" customHeight="1" x14ac:dyDescent="0.15">
      <c r="A459" s="56" t="s">
        <v>985</v>
      </c>
      <c r="B459" s="57" t="s">
        <v>986</v>
      </c>
      <c r="C459" s="58" t="s">
        <v>985</v>
      </c>
      <c r="D459" s="59" t="s">
        <v>985</v>
      </c>
      <c r="E459" s="61"/>
      <c r="F459" s="60" t="s">
        <v>95</v>
      </c>
      <c r="G459" s="61"/>
      <c r="H459" s="62"/>
      <c r="I459" s="75"/>
      <c r="J459" s="60" t="s">
        <v>95</v>
      </c>
      <c r="K459" s="64"/>
      <c r="L459" s="64"/>
      <c r="M459" s="64" t="s">
        <v>96</v>
      </c>
      <c r="N459" s="64" t="s">
        <v>97</v>
      </c>
      <c r="O459" s="65" t="s">
        <v>986</v>
      </c>
      <c r="P459" s="70" t="s">
        <v>96</v>
      </c>
      <c r="Q459" s="60" t="s">
        <v>95</v>
      </c>
      <c r="R459" s="60" t="s">
        <v>96</v>
      </c>
      <c r="S459" s="66" t="s">
        <v>96</v>
      </c>
      <c r="T459" s="67" t="s">
        <v>96</v>
      </c>
      <c r="U459" s="60" t="s">
        <v>96</v>
      </c>
      <c r="V459" s="60" t="s">
        <v>96</v>
      </c>
      <c r="W459" s="60" t="str" cm="1">
        <f t="array" ref="W459">_xlfn.LET(_xlpm.resultados,_xlfn.UNIQUE(_xlfn._xlws.FILTER(Tabla1[Proceso],(Tabla1[Metal Base]=Q459)*(Tabla1[Etiquetas]=_xlfn.TEXTJOIN(" + ",TRUE,IF((TRIM(Upload!R459:V459)="")+(LOWER(TRIM(Upload!R459:V459))="(seleccione)"),"",PROPER(TRIM(Upload!R459:V459)))))*(Tabla1[Línea2]=IFERROR(VLOOKUP(Upload!P459&amp;"*",CAT_Procesos!D:D,1,FALSE),"")))),_xlpm.cantidad,ROWS(_xlpm.resultados),IF(ISERROR(_xlpm.cantidad),"Combinación no existente",IF(_xlpm.cantidad=1,INDEX(_xlpm.resultados,1),"(seleccione)")))</f>
        <v>Combinación no existente</v>
      </c>
      <c r="X459" s="67" t="s">
        <v>96</v>
      </c>
      <c r="Y459" s="64"/>
      <c r="Z459" s="64"/>
      <c r="AA459" s="64"/>
      <c r="AB459" s="133" t="s">
        <v>96</v>
      </c>
      <c r="AC459" s="64"/>
      <c r="AD459" s="64"/>
      <c r="AE459" s="64"/>
      <c r="AF459" s="60" t="s">
        <v>96</v>
      </c>
      <c r="AG459" s="64"/>
      <c r="AH459" s="64"/>
      <c r="AI459" s="64"/>
      <c r="AJ459" s="68" t="s">
        <v>96</v>
      </c>
      <c r="AK459" s="69" t="str">
        <f t="shared" si="14"/>
        <v/>
      </c>
      <c r="AL459" s="70" t="s">
        <v>96</v>
      </c>
      <c r="AM459" s="69" t="str">
        <f t="shared" si="15"/>
        <v/>
      </c>
      <c r="AN459" s="71"/>
      <c r="AO459" s="71"/>
      <c r="AP459" s="71"/>
      <c r="AQ459" s="71"/>
      <c r="AR459" s="71" t="s">
        <v>96</v>
      </c>
      <c r="AS459" s="71"/>
      <c r="AT459" s="71" t="s">
        <v>96</v>
      </c>
      <c r="AU459" s="71"/>
      <c r="AV459" s="71" t="s">
        <v>95</v>
      </c>
      <c r="AW459" s="71"/>
      <c r="AX459" s="71"/>
      <c r="AY459" s="71"/>
      <c r="AZ459" s="71"/>
      <c r="BA459" s="71"/>
      <c r="BB459" s="70" t="s">
        <v>218</v>
      </c>
      <c r="BC459" s="70" t="s">
        <v>98</v>
      </c>
      <c r="BD459" s="72" t="str">
        <f>IF('Cálculo MP'!K469="","",'Cálculo MP'!K469)</f>
        <v/>
      </c>
      <c r="BE459" s="72" t="str">
        <f>IF('Cálculo MP'!L469="","",'Cálculo MP'!L469)</f>
        <v/>
      </c>
      <c r="BF459" s="72" t="str">
        <f>IF('Cálculo MP'!M469="","",'Cálculo MP'!M469)</f>
        <v/>
      </c>
      <c r="BG459" s="72" t="str">
        <f>IF('Cálculo MP'!N469="","",'Cálculo MP'!N469)</f>
        <v/>
      </c>
      <c r="BH459" s="72" t="str">
        <f>IF('Cálculo MP'!O469="","",'Cálculo MP'!O469)</f>
        <v/>
      </c>
      <c r="BI459" s="72" t="str">
        <f>IF('Cálculo MP'!P469="","",'Cálculo MP'!P469)</f>
        <v/>
      </c>
      <c r="BJ459" s="72" t="str">
        <f>IF('Cálculo MP'!Q469="","",'Cálculo MP'!Q469)</f>
        <v/>
      </c>
      <c r="BK459" s="72" t="str">
        <f>IF('Cálculo MP'!R469="","",'Cálculo MP'!R469)</f>
        <v/>
      </c>
      <c r="BL459" s="72" t="str">
        <f>IF('Cálculo MP'!S469="","",'Cálculo MP'!S469)</f>
        <v/>
      </c>
      <c r="BM459" s="71"/>
      <c r="BN459" s="71"/>
      <c r="BO459" s="71"/>
      <c r="BP459" s="71"/>
      <c r="BQ459" s="71"/>
      <c r="BR459" s="71"/>
      <c r="BS459" s="71"/>
    </row>
    <row r="460" spans="1:71" ht="19.5" customHeight="1" x14ac:dyDescent="0.15">
      <c r="A460" s="56" t="s">
        <v>985</v>
      </c>
      <c r="B460" s="57" t="s">
        <v>986</v>
      </c>
      <c r="C460" s="58" t="s">
        <v>985</v>
      </c>
      <c r="D460" s="59" t="s">
        <v>985</v>
      </c>
      <c r="E460" s="61"/>
      <c r="F460" s="60" t="s">
        <v>95</v>
      </c>
      <c r="G460" s="61"/>
      <c r="H460" s="62"/>
      <c r="I460" s="75"/>
      <c r="J460" s="60" t="s">
        <v>95</v>
      </c>
      <c r="K460" s="64"/>
      <c r="L460" s="64"/>
      <c r="M460" s="64" t="s">
        <v>96</v>
      </c>
      <c r="N460" s="64" t="s">
        <v>97</v>
      </c>
      <c r="O460" s="65" t="s">
        <v>986</v>
      </c>
      <c r="P460" s="70" t="s">
        <v>96</v>
      </c>
      <c r="Q460" s="60" t="s">
        <v>95</v>
      </c>
      <c r="R460" s="60" t="s">
        <v>96</v>
      </c>
      <c r="S460" s="66" t="s">
        <v>96</v>
      </c>
      <c r="T460" s="67" t="s">
        <v>96</v>
      </c>
      <c r="U460" s="60" t="s">
        <v>96</v>
      </c>
      <c r="V460" s="60" t="s">
        <v>96</v>
      </c>
      <c r="W460" s="60" t="str" cm="1">
        <f t="array" ref="W460">_xlfn.LET(_xlpm.resultados,_xlfn.UNIQUE(_xlfn._xlws.FILTER(Tabla1[Proceso],(Tabla1[Metal Base]=Q460)*(Tabla1[Etiquetas]=_xlfn.TEXTJOIN(" + ",TRUE,IF((TRIM(Upload!R460:V460)="")+(LOWER(TRIM(Upload!R460:V460))="(seleccione)"),"",PROPER(TRIM(Upload!R460:V460)))))*(Tabla1[Línea2]=IFERROR(VLOOKUP(Upload!P460&amp;"*",CAT_Procesos!D:D,1,FALSE),"")))),_xlpm.cantidad,ROWS(_xlpm.resultados),IF(ISERROR(_xlpm.cantidad),"Combinación no existente",IF(_xlpm.cantidad=1,INDEX(_xlpm.resultados,1),"(seleccione)")))</f>
        <v>Combinación no existente</v>
      </c>
      <c r="X460" s="67" t="s">
        <v>96</v>
      </c>
      <c r="Y460" s="64"/>
      <c r="Z460" s="64"/>
      <c r="AA460" s="64"/>
      <c r="AB460" s="133" t="s">
        <v>96</v>
      </c>
      <c r="AC460" s="64"/>
      <c r="AD460" s="64"/>
      <c r="AE460" s="64"/>
      <c r="AF460" s="60" t="s">
        <v>96</v>
      </c>
      <c r="AG460" s="64"/>
      <c r="AH460" s="64"/>
      <c r="AI460" s="64"/>
      <c r="AJ460" s="68" t="s">
        <v>96</v>
      </c>
      <c r="AK460" s="69" t="str">
        <f t="shared" si="14"/>
        <v/>
      </c>
      <c r="AL460" s="70" t="s">
        <v>96</v>
      </c>
      <c r="AM460" s="69" t="str">
        <f t="shared" si="15"/>
        <v/>
      </c>
      <c r="AN460" s="71"/>
      <c r="AO460" s="71"/>
      <c r="AP460" s="71"/>
      <c r="AQ460" s="71"/>
      <c r="AR460" s="71" t="s">
        <v>96</v>
      </c>
      <c r="AS460" s="71"/>
      <c r="AT460" s="71" t="s">
        <v>96</v>
      </c>
      <c r="AU460" s="71"/>
      <c r="AV460" s="71" t="s">
        <v>95</v>
      </c>
      <c r="AW460" s="71"/>
      <c r="AX460" s="71"/>
      <c r="AY460" s="71"/>
      <c r="AZ460" s="71"/>
      <c r="BA460" s="71"/>
      <c r="BB460" s="70" t="s">
        <v>218</v>
      </c>
      <c r="BC460" s="70" t="s">
        <v>98</v>
      </c>
      <c r="BD460" s="72" t="str">
        <f>IF('Cálculo MP'!K470="","",'Cálculo MP'!K470)</f>
        <v/>
      </c>
      <c r="BE460" s="72" t="str">
        <f>IF('Cálculo MP'!L470="","",'Cálculo MP'!L470)</f>
        <v/>
      </c>
      <c r="BF460" s="72" t="str">
        <f>IF('Cálculo MP'!M470="","",'Cálculo MP'!M470)</f>
        <v/>
      </c>
      <c r="BG460" s="72" t="str">
        <f>IF('Cálculo MP'!N470="","",'Cálculo MP'!N470)</f>
        <v/>
      </c>
      <c r="BH460" s="72" t="str">
        <f>IF('Cálculo MP'!O470="","",'Cálculo MP'!O470)</f>
        <v/>
      </c>
      <c r="BI460" s="72" t="str">
        <f>IF('Cálculo MP'!P470="","",'Cálculo MP'!P470)</f>
        <v/>
      </c>
      <c r="BJ460" s="72" t="str">
        <f>IF('Cálculo MP'!Q470="","",'Cálculo MP'!Q470)</f>
        <v/>
      </c>
      <c r="BK460" s="72" t="str">
        <f>IF('Cálculo MP'!R470="","",'Cálculo MP'!R470)</f>
        <v/>
      </c>
      <c r="BL460" s="72" t="str">
        <f>IF('Cálculo MP'!S470="","",'Cálculo MP'!S470)</f>
        <v/>
      </c>
      <c r="BM460" s="71"/>
      <c r="BN460" s="71"/>
      <c r="BO460" s="71"/>
      <c r="BP460" s="71"/>
      <c r="BQ460" s="71"/>
      <c r="BR460" s="71"/>
      <c r="BS460" s="71"/>
    </row>
    <row r="461" spans="1:71" ht="19.5" customHeight="1" x14ac:dyDescent="0.15">
      <c r="A461" s="56" t="s">
        <v>985</v>
      </c>
      <c r="B461" s="57" t="s">
        <v>986</v>
      </c>
      <c r="C461" s="58" t="s">
        <v>985</v>
      </c>
      <c r="D461" s="59" t="s">
        <v>985</v>
      </c>
      <c r="E461" s="61"/>
      <c r="F461" s="60" t="s">
        <v>95</v>
      </c>
      <c r="G461" s="61"/>
      <c r="H461" s="62"/>
      <c r="I461" s="75"/>
      <c r="J461" s="60" t="s">
        <v>95</v>
      </c>
      <c r="K461" s="64"/>
      <c r="L461" s="64"/>
      <c r="M461" s="64" t="s">
        <v>96</v>
      </c>
      <c r="N461" s="64" t="s">
        <v>97</v>
      </c>
      <c r="O461" s="65" t="s">
        <v>986</v>
      </c>
      <c r="P461" s="70" t="s">
        <v>96</v>
      </c>
      <c r="Q461" s="60" t="s">
        <v>95</v>
      </c>
      <c r="R461" s="60" t="s">
        <v>96</v>
      </c>
      <c r="S461" s="66" t="s">
        <v>96</v>
      </c>
      <c r="T461" s="67" t="s">
        <v>96</v>
      </c>
      <c r="U461" s="60" t="s">
        <v>96</v>
      </c>
      <c r="V461" s="60" t="s">
        <v>96</v>
      </c>
      <c r="W461" s="60" t="str" cm="1">
        <f t="array" ref="W461">_xlfn.LET(_xlpm.resultados,_xlfn.UNIQUE(_xlfn._xlws.FILTER(Tabla1[Proceso],(Tabla1[Metal Base]=Q461)*(Tabla1[Etiquetas]=_xlfn.TEXTJOIN(" + ",TRUE,IF((TRIM(Upload!R461:V461)="")+(LOWER(TRIM(Upload!R461:V461))="(seleccione)"),"",PROPER(TRIM(Upload!R461:V461)))))*(Tabla1[Línea2]=IFERROR(VLOOKUP(Upload!P461&amp;"*",CAT_Procesos!D:D,1,FALSE),"")))),_xlpm.cantidad,ROWS(_xlpm.resultados),IF(ISERROR(_xlpm.cantidad),"Combinación no existente",IF(_xlpm.cantidad=1,INDEX(_xlpm.resultados,1),"(seleccione)")))</f>
        <v>Combinación no existente</v>
      </c>
      <c r="X461" s="67" t="s">
        <v>96</v>
      </c>
      <c r="Y461" s="64"/>
      <c r="Z461" s="64"/>
      <c r="AA461" s="64"/>
      <c r="AB461" s="133" t="s">
        <v>96</v>
      </c>
      <c r="AC461" s="64"/>
      <c r="AD461" s="64"/>
      <c r="AE461" s="64"/>
      <c r="AF461" s="60" t="s">
        <v>96</v>
      </c>
      <c r="AG461" s="64"/>
      <c r="AH461" s="64"/>
      <c r="AI461" s="64"/>
      <c r="AJ461" s="68" t="s">
        <v>96</v>
      </c>
      <c r="AK461" s="69" t="str">
        <f t="shared" si="14"/>
        <v/>
      </c>
      <c r="AL461" s="70" t="s">
        <v>96</v>
      </c>
      <c r="AM461" s="69" t="str">
        <f t="shared" si="15"/>
        <v/>
      </c>
      <c r="AN461" s="71"/>
      <c r="AO461" s="71"/>
      <c r="AP461" s="71"/>
      <c r="AQ461" s="71"/>
      <c r="AR461" s="71" t="s">
        <v>96</v>
      </c>
      <c r="AS461" s="71"/>
      <c r="AT461" s="71" t="s">
        <v>96</v>
      </c>
      <c r="AU461" s="71"/>
      <c r="AV461" s="71" t="s">
        <v>95</v>
      </c>
      <c r="AW461" s="71"/>
      <c r="AX461" s="71"/>
      <c r="AY461" s="71"/>
      <c r="AZ461" s="71"/>
      <c r="BA461" s="71"/>
      <c r="BB461" s="70" t="s">
        <v>218</v>
      </c>
      <c r="BC461" s="70" t="s">
        <v>98</v>
      </c>
      <c r="BD461" s="72" t="str">
        <f>IF('Cálculo MP'!K471="","",'Cálculo MP'!K471)</f>
        <v/>
      </c>
      <c r="BE461" s="72" t="str">
        <f>IF('Cálculo MP'!L471="","",'Cálculo MP'!L471)</f>
        <v/>
      </c>
      <c r="BF461" s="72" t="str">
        <f>IF('Cálculo MP'!M471="","",'Cálculo MP'!M471)</f>
        <v/>
      </c>
      <c r="BG461" s="72" t="str">
        <f>IF('Cálculo MP'!N471="","",'Cálculo MP'!N471)</f>
        <v/>
      </c>
      <c r="BH461" s="72" t="str">
        <f>IF('Cálculo MP'!O471="","",'Cálculo MP'!O471)</f>
        <v/>
      </c>
      <c r="BI461" s="72" t="str">
        <f>IF('Cálculo MP'!P471="","",'Cálculo MP'!P471)</f>
        <v/>
      </c>
      <c r="BJ461" s="72" t="str">
        <f>IF('Cálculo MP'!Q471="","",'Cálculo MP'!Q471)</f>
        <v/>
      </c>
      <c r="BK461" s="72" t="str">
        <f>IF('Cálculo MP'!R471="","",'Cálculo MP'!R471)</f>
        <v/>
      </c>
      <c r="BL461" s="72" t="str">
        <f>IF('Cálculo MP'!S471="","",'Cálculo MP'!S471)</f>
        <v/>
      </c>
      <c r="BM461" s="71"/>
      <c r="BN461" s="71"/>
      <c r="BO461" s="71"/>
      <c r="BP461" s="71"/>
      <c r="BQ461" s="71"/>
      <c r="BR461" s="71"/>
      <c r="BS461" s="71"/>
    </row>
    <row r="462" spans="1:71" ht="19.5" customHeight="1" x14ac:dyDescent="0.15">
      <c r="A462" s="56" t="s">
        <v>985</v>
      </c>
      <c r="B462" s="57" t="s">
        <v>986</v>
      </c>
      <c r="C462" s="58" t="s">
        <v>985</v>
      </c>
      <c r="D462" s="59" t="s">
        <v>985</v>
      </c>
      <c r="E462" s="61"/>
      <c r="F462" s="60" t="s">
        <v>95</v>
      </c>
      <c r="G462" s="61"/>
      <c r="H462" s="62"/>
      <c r="I462" s="75"/>
      <c r="J462" s="60" t="s">
        <v>95</v>
      </c>
      <c r="K462" s="64"/>
      <c r="L462" s="64"/>
      <c r="M462" s="64" t="s">
        <v>96</v>
      </c>
      <c r="N462" s="64" t="s">
        <v>97</v>
      </c>
      <c r="O462" s="65" t="s">
        <v>986</v>
      </c>
      <c r="P462" s="70" t="s">
        <v>96</v>
      </c>
      <c r="Q462" s="60" t="s">
        <v>95</v>
      </c>
      <c r="R462" s="60" t="s">
        <v>96</v>
      </c>
      <c r="S462" s="66" t="s">
        <v>96</v>
      </c>
      <c r="T462" s="67" t="s">
        <v>96</v>
      </c>
      <c r="U462" s="60" t="s">
        <v>96</v>
      </c>
      <c r="V462" s="60" t="s">
        <v>96</v>
      </c>
      <c r="W462" s="60" t="str" cm="1">
        <f t="array" ref="W462">_xlfn.LET(_xlpm.resultados,_xlfn.UNIQUE(_xlfn._xlws.FILTER(Tabla1[Proceso],(Tabla1[Metal Base]=Q462)*(Tabla1[Etiquetas]=_xlfn.TEXTJOIN(" + ",TRUE,IF((TRIM(Upload!R462:V462)="")+(LOWER(TRIM(Upload!R462:V462))="(seleccione)"),"",PROPER(TRIM(Upload!R462:V462)))))*(Tabla1[Línea2]=IFERROR(VLOOKUP(Upload!P462&amp;"*",CAT_Procesos!D:D,1,FALSE),"")))),_xlpm.cantidad,ROWS(_xlpm.resultados),IF(ISERROR(_xlpm.cantidad),"Combinación no existente",IF(_xlpm.cantidad=1,INDEX(_xlpm.resultados,1),"(seleccione)")))</f>
        <v>Combinación no existente</v>
      </c>
      <c r="X462" s="67" t="s">
        <v>96</v>
      </c>
      <c r="Y462" s="64"/>
      <c r="Z462" s="64"/>
      <c r="AA462" s="64"/>
      <c r="AB462" s="133" t="s">
        <v>96</v>
      </c>
      <c r="AC462" s="64"/>
      <c r="AD462" s="64"/>
      <c r="AE462" s="64"/>
      <c r="AF462" s="60" t="s">
        <v>96</v>
      </c>
      <c r="AG462" s="64"/>
      <c r="AH462" s="64"/>
      <c r="AI462" s="64"/>
      <c r="AJ462" s="68" t="s">
        <v>96</v>
      </c>
      <c r="AK462" s="69" t="str">
        <f t="shared" si="14"/>
        <v/>
      </c>
      <c r="AL462" s="70" t="s">
        <v>96</v>
      </c>
      <c r="AM462" s="69" t="str">
        <f t="shared" si="15"/>
        <v/>
      </c>
      <c r="AN462" s="71"/>
      <c r="AO462" s="71"/>
      <c r="AP462" s="71"/>
      <c r="AQ462" s="71"/>
      <c r="AR462" s="71" t="s">
        <v>96</v>
      </c>
      <c r="AS462" s="71"/>
      <c r="AT462" s="71" t="s">
        <v>96</v>
      </c>
      <c r="AU462" s="71"/>
      <c r="AV462" s="71" t="s">
        <v>95</v>
      </c>
      <c r="AW462" s="71"/>
      <c r="AX462" s="71"/>
      <c r="AY462" s="71"/>
      <c r="AZ462" s="71"/>
      <c r="BA462" s="71"/>
      <c r="BB462" s="70" t="s">
        <v>218</v>
      </c>
      <c r="BC462" s="70" t="s">
        <v>98</v>
      </c>
      <c r="BD462" s="72" t="str">
        <f>IF('Cálculo MP'!K472="","",'Cálculo MP'!K472)</f>
        <v/>
      </c>
      <c r="BE462" s="72" t="str">
        <f>IF('Cálculo MP'!L472="","",'Cálculo MP'!L472)</f>
        <v/>
      </c>
      <c r="BF462" s="72" t="str">
        <f>IF('Cálculo MP'!M472="","",'Cálculo MP'!M472)</f>
        <v/>
      </c>
      <c r="BG462" s="72" t="str">
        <f>IF('Cálculo MP'!N472="","",'Cálculo MP'!N472)</f>
        <v/>
      </c>
      <c r="BH462" s="72" t="str">
        <f>IF('Cálculo MP'!O472="","",'Cálculo MP'!O472)</f>
        <v/>
      </c>
      <c r="BI462" s="72" t="str">
        <f>IF('Cálculo MP'!P472="","",'Cálculo MP'!P472)</f>
        <v/>
      </c>
      <c r="BJ462" s="72" t="str">
        <f>IF('Cálculo MP'!Q472="","",'Cálculo MP'!Q472)</f>
        <v/>
      </c>
      <c r="BK462" s="72" t="str">
        <f>IF('Cálculo MP'!R472="","",'Cálculo MP'!R472)</f>
        <v/>
      </c>
      <c r="BL462" s="72" t="str">
        <f>IF('Cálculo MP'!S472="","",'Cálculo MP'!S472)</f>
        <v/>
      </c>
      <c r="BM462" s="71"/>
      <c r="BN462" s="71"/>
      <c r="BO462" s="71"/>
      <c r="BP462" s="71"/>
      <c r="BQ462" s="71"/>
      <c r="BR462" s="71"/>
      <c r="BS462" s="71"/>
    </row>
    <row r="463" spans="1:71" ht="19.5" customHeight="1" x14ac:dyDescent="0.15">
      <c r="A463" s="56" t="s">
        <v>985</v>
      </c>
      <c r="B463" s="57" t="s">
        <v>986</v>
      </c>
      <c r="C463" s="58" t="s">
        <v>985</v>
      </c>
      <c r="D463" s="59" t="s">
        <v>985</v>
      </c>
      <c r="E463" s="61"/>
      <c r="F463" s="60" t="s">
        <v>95</v>
      </c>
      <c r="G463" s="61"/>
      <c r="H463" s="62"/>
      <c r="I463" s="75"/>
      <c r="J463" s="60" t="s">
        <v>95</v>
      </c>
      <c r="K463" s="64"/>
      <c r="L463" s="64"/>
      <c r="M463" s="64" t="s">
        <v>96</v>
      </c>
      <c r="N463" s="64" t="s">
        <v>97</v>
      </c>
      <c r="O463" s="65" t="s">
        <v>986</v>
      </c>
      <c r="P463" s="70" t="s">
        <v>96</v>
      </c>
      <c r="Q463" s="60" t="s">
        <v>95</v>
      </c>
      <c r="R463" s="60" t="s">
        <v>96</v>
      </c>
      <c r="S463" s="66" t="s">
        <v>96</v>
      </c>
      <c r="T463" s="67" t="s">
        <v>96</v>
      </c>
      <c r="U463" s="60" t="s">
        <v>96</v>
      </c>
      <c r="V463" s="60" t="s">
        <v>96</v>
      </c>
      <c r="W463" s="60" t="str" cm="1">
        <f t="array" ref="W463">_xlfn.LET(_xlpm.resultados,_xlfn.UNIQUE(_xlfn._xlws.FILTER(Tabla1[Proceso],(Tabla1[Metal Base]=Q463)*(Tabla1[Etiquetas]=_xlfn.TEXTJOIN(" + ",TRUE,IF((TRIM(Upload!R463:V463)="")+(LOWER(TRIM(Upload!R463:V463))="(seleccione)"),"",PROPER(TRIM(Upload!R463:V463)))))*(Tabla1[Línea2]=IFERROR(VLOOKUP(Upload!P463&amp;"*",CAT_Procesos!D:D,1,FALSE),"")))),_xlpm.cantidad,ROWS(_xlpm.resultados),IF(ISERROR(_xlpm.cantidad),"Combinación no existente",IF(_xlpm.cantidad=1,INDEX(_xlpm.resultados,1),"(seleccione)")))</f>
        <v>Combinación no existente</v>
      </c>
      <c r="X463" s="67" t="s">
        <v>96</v>
      </c>
      <c r="Y463" s="64"/>
      <c r="Z463" s="64"/>
      <c r="AA463" s="64"/>
      <c r="AB463" s="133" t="s">
        <v>96</v>
      </c>
      <c r="AC463" s="64"/>
      <c r="AD463" s="64"/>
      <c r="AE463" s="64"/>
      <c r="AF463" s="60" t="s">
        <v>96</v>
      </c>
      <c r="AG463" s="64"/>
      <c r="AH463" s="64"/>
      <c r="AI463" s="64"/>
      <c r="AJ463" s="68" t="s">
        <v>96</v>
      </c>
      <c r="AK463" s="69" t="str">
        <f t="shared" si="14"/>
        <v/>
      </c>
      <c r="AL463" s="70" t="s">
        <v>96</v>
      </c>
      <c r="AM463" s="69" t="str">
        <f t="shared" si="15"/>
        <v/>
      </c>
      <c r="AN463" s="71"/>
      <c r="AO463" s="71"/>
      <c r="AP463" s="71"/>
      <c r="AQ463" s="71"/>
      <c r="AR463" s="71" t="s">
        <v>96</v>
      </c>
      <c r="AS463" s="71"/>
      <c r="AT463" s="71" t="s">
        <v>96</v>
      </c>
      <c r="AU463" s="71"/>
      <c r="AV463" s="71" t="s">
        <v>95</v>
      </c>
      <c r="AW463" s="71"/>
      <c r="AX463" s="71"/>
      <c r="AY463" s="71"/>
      <c r="AZ463" s="71"/>
      <c r="BA463" s="71"/>
      <c r="BB463" s="70" t="s">
        <v>218</v>
      </c>
      <c r="BC463" s="70" t="s">
        <v>98</v>
      </c>
      <c r="BD463" s="72" t="str">
        <f>IF('Cálculo MP'!K473="","",'Cálculo MP'!K473)</f>
        <v/>
      </c>
      <c r="BE463" s="72" t="str">
        <f>IF('Cálculo MP'!L473="","",'Cálculo MP'!L473)</f>
        <v/>
      </c>
      <c r="BF463" s="72" t="str">
        <f>IF('Cálculo MP'!M473="","",'Cálculo MP'!M473)</f>
        <v/>
      </c>
      <c r="BG463" s="72" t="str">
        <f>IF('Cálculo MP'!N473="","",'Cálculo MP'!N473)</f>
        <v/>
      </c>
      <c r="BH463" s="72" t="str">
        <f>IF('Cálculo MP'!O473="","",'Cálculo MP'!O473)</f>
        <v/>
      </c>
      <c r="BI463" s="72" t="str">
        <f>IF('Cálculo MP'!P473="","",'Cálculo MP'!P473)</f>
        <v/>
      </c>
      <c r="BJ463" s="72" t="str">
        <f>IF('Cálculo MP'!Q473="","",'Cálculo MP'!Q473)</f>
        <v/>
      </c>
      <c r="BK463" s="72" t="str">
        <f>IF('Cálculo MP'!R473="","",'Cálculo MP'!R473)</f>
        <v/>
      </c>
      <c r="BL463" s="72" t="str">
        <f>IF('Cálculo MP'!S473="","",'Cálculo MP'!S473)</f>
        <v/>
      </c>
      <c r="BM463" s="71"/>
      <c r="BN463" s="71"/>
      <c r="BO463" s="71"/>
      <c r="BP463" s="71"/>
      <c r="BQ463" s="71"/>
      <c r="BR463" s="71"/>
      <c r="BS463" s="71"/>
    </row>
    <row r="464" spans="1:71" ht="19.5" customHeight="1" x14ac:dyDescent="0.15">
      <c r="A464" s="56" t="s">
        <v>985</v>
      </c>
      <c r="B464" s="57" t="s">
        <v>986</v>
      </c>
      <c r="C464" s="58" t="s">
        <v>985</v>
      </c>
      <c r="D464" s="59" t="s">
        <v>985</v>
      </c>
      <c r="E464" s="61"/>
      <c r="F464" s="60" t="s">
        <v>95</v>
      </c>
      <c r="G464" s="61"/>
      <c r="H464" s="62"/>
      <c r="I464" s="75"/>
      <c r="J464" s="60" t="s">
        <v>95</v>
      </c>
      <c r="K464" s="64"/>
      <c r="L464" s="64"/>
      <c r="M464" s="64" t="s">
        <v>96</v>
      </c>
      <c r="N464" s="64" t="s">
        <v>97</v>
      </c>
      <c r="O464" s="65" t="s">
        <v>986</v>
      </c>
      <c r="P464" s="70" t="s">
        <v>96</v>
      </c>
      <c r="Q464" s="60" t="s">
        <v>95</v>
      </c>
      <c r="R464" s="60" t="s">
        <v>96</v>
      </c>
      <c r="S464" s="66" t="s">
        <v>96</v>
      </c>
      <c r="T464" s="67" t="s">
        <v>96</v>
      </c>
      <c r="U464" s="60" t="s">
        <v>96</v>
      </c>
      <c r="V464" s="60" t="s">
        <v>96</v>
      </c>
      <c r="W464" s="60" t="str" cm="1">
        <f t="array" ref="W464">_xlfn.LET(_xlpm.resultados,_xlfn.UNIQUE(_xlfn._xlws.FILTER(Tabla1[Proceso],(Tabla1[Metal Base]=Q464)*(Tabla1[Etiquetas]=_xlfn.TEXTJOIN(" + ",TRUE,IF((TRIM(Upload!R464:V464)="")+(LOWER(TRIM(Upload!R464:V464))="(seleccione)"),"",PROPER(TRIM(Upload!R464:V464)))))*(Tabla1[Línea2]=IFERROR(VLOOKUP(Upload!P464&amp;"*",CAT_Procesos!D:D,1,FALSE),"")))),_xlpm.cantidad,ROWS(_xlpm.resultados),IF(ISERROR(_xlpm.cantidad),"Combinación no existente",IF(_xlpm.cantidad=1,INDEX(_xlpm.resultados,1),"(seleccione)")))</f>
        <v>Combinación no existente</v>
      </c>
      <c r="X464" s="67" t="s">
        <v>96</v>
      </c>
      <c r="Y464" s="64"/>
      <c r="Z464" s="64"/>
      <c r="AA464" s="64"/>
      <c r="AB464" s="133" t="s">
        <v>96</v>
      </c>
      <c r="AC464" s="64"/>
      <c r="AD464" s="64"/>
      <c r="AE464" s="64"/>
      <c r="AF464" s="60" t="s">
        <v>96</v>
      </c>
      <c r="AG464" s="64"/>
      <c r="AH464" s="64"/>
      <c r="AI464" s="64"/>
      <c r="AJ464" s="68" t="s">
        <v>96</v>
      </c>
      <c r="AK464" s="69" t="str">
        <f t="shared" si="14"/>
        <v/>
      </c>
      <c r="AL464" s="70" t="s">
        <v>96</v>
      </c>
      <c r="AM464" s="69" t="str">
        <f t="shared" si="15"/>
        <v/>
      </c>
      <c r="AN464" s="71"/>
      <c r="AO464" s="71"/>
      <c r="AP464" s="71"/>
      <c r="AQ464" s="71"/>
      <c r="AR464" s="71" t="s">
        <v>96</v>
      </c>
      <c r="AS464" s="71"/>
      <c r="AT464" s="71" t="s">
        <v>96</v>
      </c>
      <c r="AU464" s="71"/>
      <c r="AV464" s="71" t="s">
        <v>95</v>
      </c>
      <c r="AW464" s="71"/>
      <c r="AX464" s="71"/>
      <c r="AY464" s="71"/>
      <c r="AZ464" s="71"/>
      <c r="BA464" s="71"/>
      <c r="BB464" s="70" t="s">
        <v>218</v>
      </c>
      <c r="BC464" s="70" t="s">
        <v>98</v>
      </c>
      <c r="BD464" s="72" t="str">
        <f>IF('Cálculo MP'!K474="","",'Cálculo MP'!K474)</f>
        <v/>
      </c>
      <c r="BE464" s="72" t="str">
        <f>IF('Cálculo MP'!L474="","",'Cálculo MP'!L474)</f>
        <v/>
      </c>
      <c r="BF464" s="72" t="str">
        <f>IF('Cálculo MP'!M474="","",'Cálculo MP'!M474)</f>
        <v/>
      </c>
      <c r="BG464" s="72" t="str">
        <f>IF('Cálculo MP'!N474="","",'Cálculo MP'!N474)</f>
        <v/>
      </c>
      <c r="BH464" s="72" t="str">
        <f>IF('Cálculo MP'!O474="","",'Cálculo MP'!O474)</f>
        <v/>
      </c>
      <c r="BI464" s="72" t="str">
        <f>IF('Cálculo MP'!P474="","",'Cálculo MP'!P474)</f>
        <v/>
      </c>
      <c r="BJ464" s="72" t="str">
        <f>IF('Cálculo MP'!Q474="","",'Cálculo MP'!Q474)</f>
        <v/>
      </c>
      <c r="BK464" s="72" t="str">
        <f>IF('Cálculo MP'!R474="","",'Cálculo MP'!R474)</f>
        <v/>
      </c>
      <c r="BL464" s="72" t="str">
        <f>IF('Cálculo MP'!S474="","",'Cálculo MP'!S474)</f>
        <v/>
      </c>
      <c r="BM464" s="71"/>
      <c r="BN464" s="71"/>
      <c r="BO464" s="71"/>
      <c r="BP464" s="71"/>
      <c r="BQ464" s="71"/>
      <c r="BR464" s="71"/>
      <c r="BS464" s="71"/>
    </row>
    <row r="465" spans="1:71" ht="19.5" customHeight="1" x14ac:dyDescent="0.15">
      <c r="A465" s="56" t="s">
        <v>985</v>
      </c>
      <c r="B465" s="57" t="s">
        <v>986</v>
      </c>
      <c r="C465" s="58" t="s">
        <v>985</v>
      </c>
      <c r="D465" s="59" t="s">
        <v>985</v>
      </c>
      <c r="E465" s="61"/>
      <c r="F465" s="60" t="s">
        <v>95</v>
      </c>
      <c r="G465" s="61"/>
      <c r="H465" s="62"/>
      <c r="I465" s="75"/>
      <c r="J465" s="60" t="s">
        <v>95</v>
      </c>
      <c r="K465" s="64"/>
      <c r="L465" s="64"/>
      <c r="M465" s="64" t="s">
        <v>96</v>
      </c>
      <c r="N465" s="64" t="s">
        <v>97</v>
      </c>
      <c r="O465" s="65" t="s">
        <v>986</v>
      </c>
      <c r="P465" s="70" t="s">
        <v>96</v>
      </c>
      <c r="Q465" s="60" t="s">
        <v>95</v>
      </c>
      <c r="R465" s="60" t="s">
        <v>96</v>
      </c>
      <c r="S465" s="66" t="s">
        <v>96</v>
      </c>
      <c r="T465" s="67" t="s">
        <v>96</v>
      </c>
      <c r="U465" s="60" t="s">
        <v>96</v>
      </c>
      <c r="V465" s="60" t="s">
        <v>96</v>
      </c>
      <c r="W465" s="60" t="str" cm="1">
        <f t="array" ref="W465">_xlfn.LET(_xlpm.resultados,_xlfn.UNIQUE(_xlfn._xlws.FILTER(Tabla1[Proceso],(Tabla1[Metal Base]=Q465)*(Tabla1[Etiquetas]=_xlfn.TEXTJOIN(" + ",TRUE,IF((TRIM(Upload!R465:V465)="")+(LOWER(TRIM(Upload!R465:V465))="(seleccione)"),"",PROPER(TRIM(Upload!R465:V465)))))*(Tabla1[Línea2]=IFERROR(VLOOKUP(Upload!P465&amp;"*",CAT_Procesos!D:D,1,FALSE),"")))),_xlpm.cantidad,ROWS(_xlpm.resultados),IF(ISERROR(_xlpm.cantidad),"Combinación no existente",IF(_xlpm.cantidad=1,INDEX(_xlpm.resultados,1),"(seleccione)")))</f>
        <v>Combinación no existente</v>
      </c>
      <c r="X465" s="67" t="s">
        <v>96</v>
      </c>
      <c r="Y465" s="64"/>
      <c r="Z465" s="64"/>
      <c r="AA465" s="64"/>
      <c r="AB465" s="133" t="s">
        <v>96</v>
      </c>
      <c r="AC465" s="64"/>
      <c r="AD465" s="64"/>
      <c r="AE465" s="64"/>
      <c r="AF465" s="60" t="s">
        <v>96</v>
      </c>
      <c r="AG465" s="64"/>
      <c r="AH465" s="64"/>
      <c r="AI465" s="64"/>
      <c r="AJ465" s="68" t="s">
        <v>96</v>
      </c>
      <c r="AK465" s="69" t="str">
        <f t="shared" si="14"/>
        <v/>
      </c>
      <c r="AL465" s="70" t="s">
        <v>96</v>
      </c>
      <c r="AM465" s="69" t="str">
        <f t="shared" si="15"/>
        <v/>
      </c>
      <c r="AN465" s="71"/>
      <c r="AO465" s="71"/>
      <c r="AP465" s="71"/>
      <c r="AQ465" s="71"/>
      <c r="AR465" s="71" t="s">
        <v>96</v>
      </c>
      <c r="AS465" s="71"/>
      <c r="AT465" s="71" t="s">
        <v>96</v>
      </c>
      <c r="AU465" s="71"/>
      <c r="AV465" s="71" t="s">
        <v>95</v>
      </c>
      <c r="AW465" s="71"/>
      <c r="AX465" s="71"/>
      <c r="AY465" s="71"/>
      <c r="AZ465" s="71"/>
      <c r="BA465" s="71"/>
      <c r="BB465" s="70" t="s">
        <v>218</v>
      </c>
      <c r="BC465" s="70" t="s">
        <v>98</v>
      </c>
      <c r="BD465" s="72" t="str">
        <f>IF('Cálculo MP'!K475="","",'Cálculo MP'!K475)</f>
        <v/>
      </c>
      <c r="BE465" s="72" t="str">
        <f>IF('Cálculo MP'!L475="","",'Cálculo MP'!L475)</f>
        <v/>
      </c>
      <c r="BF465" s="72" t="str">
        <f>IF('Cálculo MP'!M475="","",'Cálculo MP'!M475)</f>
        <v/>
      </c>
      <c r="BG465" s="72" t="str">
        <f>IF('Cálculo MP'!N475="","",'Cálculo MP'!N475)</f>
        <v/>
      </c>
      <c r="BH465" s="72" t="str">
        <f>IF('Cálculo MP'!O475="","",'Cálculo MP'!O475)</f>
        <v/>
      </c>
      <c r="BI465" s="72" t="str">
        <f>IF('Cálculo MP'!P475="","",'Cálculo MP'!P475)</f>
        <v/>
      </c>
      <c r="BJ465" s="72" t="str">
        <f>IF('Cálculo MP'!Q475="","",'Cálculo MP'!Q475)</f>
        <v/>
      </c>
      <c r="BK465" s="72" t="str">
        <f>IF('Cálculo MP'!R475="","",'Cálculo MP'!R475)</f>
        <v/>
      </c>
      <c r="BL465" s="72" t="str">
        <f>IF('Cálculo MP'!S475="","",'Cálculo MP'!S475)</f>
        <v/>
      </c>
      <c r="BM465" s="71"/>
      <c r="BN465" s="71"/>
      <c r="BO465" s="71"/>
      <c r="BP465" s="71"/>
      <c r="BQ465" s="71"/>
      <c r="BR465" s="71"/>
      <c r="BS465" s="71"/>
    </row>
    <row r="466" spans="1:71" ht="19.5" customHeight="1" x14ac:dyDescent="0.15">
      <c r="A466" s="56" t="s">
        <v>985</v>
      </c>
      <c r="B466" s="57" t="s">
        <v>986</v>
      </c>
      <c r="C466" s="58" t="s">
        <v>985</v>
      </c>
      <c r="D466" s="59" t="s">
        <v>985</v>
      </c>
      <c r="E466" s="61"/>
      <c r="F466" s="60" t="s">
        <v>95</v>
      </c>
      <c r="G466" s="61"/>
      <c r="H466" s="62"/>
      <c r="I466" s="75"/>
      <c r="J466" s="60" t="s">
        <v>95</v>
      </c>
      <c r="K466" s="64"/>
      <c r="L466" s="64"/>
      <c r="M466" s="64" t="s">
        <v>96</v>
      </c>
      <c r="N466" s="64" t="s">
        <v>97</v>
      </c>
      <c r="O466" s="65" t="s">
        <v>986</v>
      </c>
      <c r="P466" s="70" t="s">
        <v>96</v>
      </c>
      <c r="Q466" s="60" t="s">
        <v>95</v>
      </c>
      <c r="R466" s="60" t="s">
        <v>96</v>
      </c>
      <c r="S466" s="66" t="s">
        <v>96</v>
      </c>
      <c r="T466" s="67" t="s">
        <v>96</v>
      </c>
      <c r="U466" s="60" t="s">
        <v>96</v>
      </c>
      <c r="V466" s="60" t="s">
        <v>96</v>
      </c>
      <c r="W466" s="60" t="str" cm="1">
        <f t="array" ref="W466">_xlfn.LET(_xlpm.resultados,_xlfn.UNIQUE(_xlfn._xlws.FILTER(Tabla1[Proceso],(Tabla1[Metal Base]=Q466)*(Tabla1[Etiquetas]=_xlfn.TEXTJOIN(" + ",TRUE,IF((TRIM(Upload!R466:V466)="")+(LOWER(TRIM(Upload!R466:V466))="(seleccione)"),"",PROPER(TRIM(Upload!R466:V466)))))*(Tabla1[Línea2]=IFERROR(VLOOKUP(Upload!P466&amp;"*",CAT_Procesos!D:D,1,FALSE),"")))),_xlpm.cantidad,ROWS(_xlpm.resultados),IF(ISERROR(_xlpm.cantidad),"Combinación no existente",IF(_xlpm.cantidad=1,INDEX(_xlpm.resultados,1),"(seleccione)")))</f>
        <v>Combinación no existente</v>
      </c>
      <c r="X466" s="67" t="s">
        <v>96</v>
      </c>
      <c r="Y466" s="64"/>
      <c r="Z466" s="64"/>
      <c r="AA466" s="64"/>
      <c r="AB466" s="133" t="s">
        <v>96</v>
      </c>
      <c r="AC466" s="64"/>
      <c r="AD466" s="64"/>
      <c r="AE466" s="64"/>
      <c r="AF466" s="60" t="s">
        <v>96</v>
      </c>
      <c r="AG466" s="64"/>
      <c r="AH466" s="64"/>
      <c r="AI466" s="64"/>
      <c r="AJ466" s="68" t="s">
        <v>96</v>
      </c>
      <c r="AK466" s="69" t="str">
        <f t="shared" si="14"/>
        <v/>
      </c>
      <c r="AL466" s="70" t="s">
        <v>96</v>
      </c>
      <c r="AM466" s="69" t="str">
        <f t="shared" si="15"/>
        <v/>
      </c>
      <c r="AN466" s="71"/>
      <c r="AO466" s="71"/>
      <c r="AP466" s="71"/>
      <c r="AQ466" s="71"/>
      <c r="AR466" s="71" t="s">
        <v>96</v>
      </c>
      <c r="AS466" s="71"/>
      <c r="AT466" s="71" t="s">
        <v>96</v>
      </c>
      <c r="AU466" s="71"/>
      <c r="AV466" s="71" t="s">
        <v>95</v>
      </c>
      <c r="AW466" s="71"/>
      <c r="AX466" s="71"/>
      <c r="AY466" s="71"/>
      <c r="AZ466" s="71"/>
      <c r="BA466" s="71"/>
      <c r="BB466" s="70" t="s">
        <v>218</v>
      </c>
      <c r="BC466" s="70" t="s">
        <v>98</v>
      </c>
      <c r="BD466" s="72" t="str">
        <f>IF('Cálculo MP'!K476="","",'Cálculo MP'!K476)</f>
        <v/>
      </c>
      <c r="BE466" s="72" t="str">
        <f>IF('Cálculo MP'!L476="","",'Cálculo MP'!L476)</f>
        <v/>
      </c>
      <c r="BF466" s="72" t="str">
        <f>IF('Cálculo MP'!M476="","",'Cálculo MP'!M476)</f>
        <v/>
      </c>
      <c r="BG466" s="72" t="str">
        <f>IF('Cálculo MP'!N476="","",'Cálculo MP'!N476)</f>
        <v/>
      </c>
      <c r="BH466" s="72" t="str">
        <f>IF('Cálculo MP'!O476="","",'Cálculo MP'!O476)</f>
        <v/>
      </c>
      <c r="BI466" s="72" t="str">
        <f>IF('Cálculo MP'!P476="","",'Cálculo MP'!P476)</f>
        <v/>
      </c>
      <c r="BJ466" s="72" t="str">
        <f>IF('Cálculo MP'!Q476="","",'Cálculo MP'!Q476)</f>
        <v/>
      </c>
      <c r="BK466" s="72" t="str">
        <f>IF('Cálculo MP'!R476="","",'Cálculo MP'!R476)</f>
        <v/>
      </c>
      <c r="BL466" s="72" t="str">
        <f>IF('Cálculo MP'!S476="","",'Cálculo MP'!S476)</f>
        <v/>
      </c>
      <c r="BM466" s="71"/>
      <c r="BN466" s="71"/>
      <c r="BO466" s="71"/>
      <c r="BP466" s="71"/>
      <c r="BQ466" s="71"/>
      <c r="BR466" s="71"/>
      <c r="BS466" s="71"/>
    </row>
    <row r="467" spans="1:71" ht="19.5" customHeight="1" x14ac:dyDescent="0.15">
      <c r="A467" s="56" t="s">
        <v>985</v>
      </c>
      <c r="B467" s="57" t="s">
        <v>986</v>
      </c>
      <c r="C467" s="58" t="s">
        <v>985</v>
      </c>
      <c r="D467" s="59" t="s">
        <v>985</v>
      </c>
      <c r="E467" s="61"/>
      <c r="F467" s="60" t="s">
        <v>95</v>
      </c>
      <c r="G467" s="61"/>
      <c r="H467" s="62"/>
      <c r="I467" s="75"/>
      <c r="J467" s="60" t="s">
        <v>95</v>
      </c>
      <c r="K467" s="64"/>
      <c r="L467" s="64"/>
      <c r="M467" s="64" t="s">
        <v>96</v>
      </c>
      <c r="N467" s="64" t="s">
        <v>97</v>
      </c>
      <c r="O467" s="65" t="s">
        <v>986</v>
      </c>
      <c r="P467" s="70" t="s">
        <v>96</v>
      </c>
      <c r="Q467" s="60" t="s">
        <v>95</v>
      </c>
      <c r="R467" s="60" t="s">
        <v>96</v>
      </c>
      <c r="S467" s="66" t="s">
        <v>96</v>
      </c>
      <c r="T467" s="67" t="s">
        <v>96</v>
      </c>
      <c r="U467" s="60" t="s">
        <v>96</v>
      </c>
      <c r="V467" s="60" t="s">
        <v>96</v>
      </c>
      <c r="W467" s="60" t="str" cm="1">
        <f t="array" ref="W467">_xlfn.LET(_xlpm.resultados,_xlfn.UNIQUE(_xlfn._xlws.FILTER(Tabla1[Proceso],(Tabla1[Metal Base]=Q467)*(Tabla1[Etiquetas]=_xlfn.TEXTJOIN(" + ",TRUE,IF((TRIM(Upload!R467:V467)="")+(LOWER(TRIM(Upload!R467:V467))="(seleccione)"),"",PROPER(TRIM(Upload!R467:V467)))))*(Tabla1[Línea2]=IFERROR(VLOOKUP(Upload!P467&amp;"*",CAT_Procesos!D:D,1,FALSE),"")))),_xlpm.cantidad,ROWS(_xlpm.resultados),IF(ISERROR(_xlpm.cantidad),"Combinación no existente",IF(_xlpm.cantidad=1,INDEX(_xlpm.resultados,1),"(seleccione)")))</f>
        <v>Combinación no existente</v>
      </c>
      <c r="X467" s="67" t="s">
        <v>96</v>
      </c>
      <c r="Y467" s="64"/>
      <c r="Z467" s="64"/>
      <c r="AA467" s="64"/>
      <c r="AB467" s="133" t="s">
        <v>96</v>
      </c>
      <c r="AC467" s="64"/>
      <c r="AD467" s="64"/>
      <c r="AE467" s="64"/>
      <c r="AF467" s="60" t="s">
        <v>96</v>
      </c>
      <c r="AG467" s="64"/>
      <c r="AH467" s="64"/>
      <c r="AI467" s="64"/>
      <c r="AJ467" s="68" t="s">
        <v>96</v>
      </c>
      <c r="AK467" s="69" t="str">
        <f t="shared" si="14"/>
        <v/>
      </c>
      <c r="AL467" s="70" t="s">
        <v>96</v>
      </c>
      <c r="AM467" s="69" t="str">
        <f t="shared" si="15"/>
        <v/>
      </c>
      <c r="AN467" s="71"/>
      <c r="AO467" s="71"/>
      <c r="AP467" s="71"/>
      <c r="AQ467" s="71"/>
      <c r="AR467" s="71" t="s">
        <v>96</v>
      </c>
      <c r="AS467" s="71"/>
      <c r="AT467" s="71" t="s">
        <v>96</v>
      </c>
      <c r="AU467" s="71"/>
      <c r="AV467" s="71" t="s">
        <v>95</v>
      </c>
      <c r="AW467" s="71"/>
      <c r="AX467" s="71"/>
      <c r="AY467" s="71"/>
      <c r="AZ467" s="71"/>
      <c r="BA467" s="71"/>
      <c r="BB467" s="70" t="s">
        <v>218</v>
      </c>
      <c r="BC467" s="70" t="s">
        <v>98</v>
      </c>
      <c r="BD467" s="72" t="str">
        <f>IF('Cálculo MP'!K477="","",'Cálculo MP'!K477)</f>
        <v/>
      </c>
      <c r="BE467" s="72" t="str">
        <f>IF('Cálculo MP'!L477="","",'Cálculo MP'!L477)</f>
        <v/>
      </c>
      <c r="BF467" s="72" t="str">
        <f>IF('Cálculo MP'!M477="","",'Cálculo MP'!M477)</f>
        <v/>
      </c>
      <c r="BG467" s="72" t="str">
        <f>IF('Cálculo MP'!N477="","",'Cálculo MP'!N477)</f>
        <v/>
      </c>
      <c r="BH467" s="72" t="str">
        <f>IF('Cálculo MP'!O477="","",'Cálculo MP'!O477)</f>
        <v/>
      </c>
      <c r="BI467" s="72" t="str">
        <f>IF('Cálculo MP'!P477="","",'Cálculo MP'!P477)</f>
        <v/>
      </c>
      <c r="BJ467" s="72" t="str">
        <f>IF('Cálculo MP'!Q477="","",'Cálculo MP'!Q477)</f>
        <v/>
      </c>
      <c r="BK467" s="72" t="str">
        <f>IF('Cálculo MP'!R477="","",'Cálculo MP'!R477)</f>
        <v/>
      </c>
      <c r="BL467" s="72" t="str">
        <f>IF('Cálculo MP'!S477="","",'Cálculo MP'!S477)</f>
        <v/>
      </c>
      <c r="BM467" s="71"/>
      <c r="BN467" s="71"/>
      <c r="BO467" s="71"/>
      <c r="BP467" s="71"/>
      <c r="BQ467" s="71"/>
      <c r="BR467" s="71"/>
      <c r="BS467" s="71"/>
    </row>
    <row r="468" spans="1:71" ht="19.5" customHeight="1" x14ac:dyDescent="0.15">
      <c r="A468" s="56" t="s">
        <v>985</v>
      </c>
      <c r="B468" s="57" t="s">
        <v>986</v>
      </c>
      <c r="C468" s="58" t="s">
        <v>985</v>
      </c>
      <c r="D468" s="59" t="s">
        <v>985</v>
      </c>
      <c r="E468" s="61"/>
      <c r="F468" s="60" t="s">
        <v>95</v>
      </c>
      <c r="G468" s="61"/>
      <c r="H468" s="62"/>
      <c r="I468" s="75"/>
      <c r="J468" s="60" t="s">
        <v>95</v>
      </c>
      <c r="K468" s="64"/>
      <c r="L468" s="64"/>
      <c r="M468" s="64" t="s">
        <v>96</v>
      </c>
      <c r="N468" s="64" t="s">
        <v>97</v>
      </c>
      <c r="O468" s="65" t="s">
        <v>986</v>
      </c>
      <c r="P468" s="70" t="s">
        <v>96</v>
      </c>
      <c r="Q468" s="60" t="s">
        <v>95</v>
      </c>
      <c r="R468" s="60" t="s">
        <v>96</v>
      </c>
      <c r="S468" s="66" t="s">
        <v>96</v>
      </c>
      <c r="T468" s="67" t="s">
        <v>96</v>
      </c>
      <c r="U468" s="60" t="s">
        <v>96</v>
      </c>
      <c r="V468" s="60" t="s">
        <v>96</v>
      </c>
      <c r="W468" s="60" t="str" cm="1">
        <f t="array" ref="W468">_xlfn.LET(_xlpm.resultados,_xlfn.UNIQUE(_xlfn._xlws.FILTER(Tabla1[Proceso],(Tabla1[Metal Base]=Q468)*(Tabla1[Etiquetas]=_xlfn.TEXTJOIN(" + ",TRUE,IF((TRIM(Upload!R468:V468)="")+(LOWER(TRIM(Upload!R468:V468))="(seleccione)"),"",PROPER(TRIM(Upload!R468:V468)))))*(Tabla1[Línea2]=IFERROR(VLOOKUP(Upload!P468&amp;"*",CAT_Procesos!D:D,1,FALSE),"")))),_xlpm.cantidad,ROWS(_xlpm.resultados),IF(ISERROR(_xlpm.cantidad),"Combinación no existente",IF(_xlpm.cantidad=1,INDEX(_xlpm.resultados,1),"(seleccione)")))</f>
        <v>Combinación no existente</v>
      </c>
      <c r="X468" s="67" t="s">
        <v>96</v>
      </c>
      <c r="Y468" s="64"/>
      <c r="Z468" s="64"/>
      <c r="AA468" s="64"/>
      <c r="AB468" s="133" t="s">
        <v>96</v>
      </c>
      <c r="AC468" s="64"/>
      <c r="AD468" s="64"/>
      <c r="AE468" s="64"/>
      <c r="AF468" s="60" t="s">
        <v>96</v>
      </c>
      <c r="AG468" s="64"/>
      <c r="AH468" s="64"/>
      <c r="AI468" s="64"/>
      <c r="AJ468" s="68" t="s">
        <v>96</v>
      </c>
      <c r="AK468" s="69" t="str">
        <f t="shared" si="14"/>
        <v/>
      </c>
      <c r="AL468" s="70" t="s">
        <v>96</v>
      </c>
      <c r="AM468" s="69" t="str">
        <f t="shared" si="15"/>
        <v/>
      </c>
      <c r="AN468" s="71"/>
      <c r="AO468" s="71"/>
      <c r="AP468" s="71"/>
      <c r="AQ468" s="71"/>
      <c r="AR468" s="71" t="s">
        <v>96</v>
      </c>
      <c r="AS468" s="71"/>
      <c r="AT468" s="71" t="s">
        <v>96</v>
      </c>
      <c r="AU468" s="71"/>
      <c r="AV468" s="71" t="s">
        <v>95</v>
      </c>
      <c r="AW468" s="71"/>
      <c r="AX468" s="71"/>
      <c r="AY468" s="71"/>
      <c r="AZ468" s="71"/>
      <c r="BA468" s="71"/>
      <c r="BB468" s="70" t="s">
        <v>218</v>
      </c>
      <c r="BC468" s="70" t="s">
        <v>98</v>
      </c>
      <c r="BD468" s="72" t="str">
        <f>IF('Cálculo MP'!K478="","",'Cálculo MP'!K478)</f>
        <v/>
      </c>
      <c r="BE468" s="72" t="str">
        <f>IF('Cálculo MP'!L478="","",'Cálculo MP'!L478)</f>
        <v/>
      </c>
      <c r="BF468" s="72" t="str">
        <f>IF('Cálculo MP'!M478="","",'Cálculo MP'!M478)</f>
        <v/>
      </c>
      <c r="BG468" s="72" t="str">
        <f>IF('Cálculo MP'!N478="","",'Cálculo MP'!N478)</f>
        <v/>
      </c>
      <c r="BH468" s="72" t="str">
        <f>IF('Cálculo MP'!O478="","",'Cálculo MP'!O478)</f>
        <v/>
      </c>
      <c r="BI468" s="72" t="str">
        <f>IF('Cálculo MP'!P478="","",'Cálculo MP'!P478)</f>
        <v/>
      </c>
      <c r="BJ468" s="72" t="str">
        <f>IF('Cálculo MP'!Q478="","",'Cálculo MP'!Q478)</f>
        <v/>
      </c>
      <c r="BK468" s="72" t="str">
        <f>IF('Cálculo MP'!R478="","",'Cálculo MP'!R478)</f>
        <v/>
      </c>
      <c r="BL468" s="72" t="str">
        <f>IF('Cálculo MP'!S478="","",'Cálculo MP'!S478)</f>
        <v/>
      </c>
      <c r="BM468" s="71"/>
      <c r="BN468" s="71"/>
      <c r="BO468" s="71"/>
      <c r="BP468" s="71"/>
      <c r="BQ468" s="71"/>
      <c r="BR468" s="71"/>
      <c r="BS468" s="71"/>
    </row>
    <row r="469" spans="1:71" ht="19.5" customHeight="1" x14ac:dyDescent="0.15">
      <c r="A469" s="56" t="s">
        <v>985</v>
      </c>
      <c r="B469" s="57" t="s">
        <v>986</v>
      </c>
      <c r="C469" s="58" t="s">
        <v>985</v>
      </c>
      <c r="D469" s="59" t="s">
        <v>985</v>
      </c>
      <c r="E469" s="61"/>
      <c r="F469" s="60" t="s">
        <v>95</v>
      </c>
      <c r="G469" s="61"/>
      <c r="H469" s="62"/>
      <c r="I469" s="75"/>
      <c r="J469" s="60" t="s">
        <v>95</v>
      </c>
      <c r="K469" s="64"/>
      <c r="L469" s="64"/>
      <c r="M469" s="64" t="s">
        <v>96</v>
      </c>
      <c r="N469" s="64" t="s">
        <v>97</v>
      </c>
      <c r="O469" s="65" t="s">
        <v>986</v>
      </c>
      <c r="P469" s="70" t="s">
        <v>96</v>
      </c>
      <c r="Q469" s="60" t="s">
        <v>95</v>
      </c>
      <c r="R469" s="60" t="s">
        <v>96</v>
      </c>
      <c r="S469" s="66" t="s">
        <v>96</v>
      </c>
      <c r="T469" s="67" t="s">
        <v>96</v>
      </c>
      <c r="U469" s="60" t="s">
        <v>96</v>
      </c>
      <c r="V469" s="60" t="s">
        <v>96</v>
      </c>
      <c r="W469" s="60" t="str" cm="1">
        <f t="array" ref="W469">_xlfn.LET(_xlpm.resultados,_xlfn.UNIQUE(_xlfn._xlws.FILTER(Tabla1[Proceso],(Tabla1[Metal Base]=Q469)*(Tabla1[Etiquetas]=_xlfn.TEXTJOIN(" + ",TRUE,IF((TRIM(Upload!R469:V469)="")+(LOWER(TRIM(Upload!R469:V469))="(seleccione)"),"",PROPER(TRIM(Upload!R469:V469)))))*(Tabla1[Línea2]=IFERROR(VLOOKUP(Upload!P469&amp;"*",CAT_Procesos!D:D,1,FALSE),"")))),_xlpm.cantidad,ROWS(_xlpm.resultados),IF(ISERROR(_xlpm.cantidad),"Combinación no existente",IF(_xlpm.cantidad=1,INDEX(_xlpm.resultados,1),"(seleccione)")))</f>
        <v>Combinación no existente</v>
      </c>
      <c r="X469" s="67" t="s">
        <v>96</v>
      </c>
      <c r="Y469" s="64"/>
      <c r="Z469" s="64"/>
      <c r="AA469" s="64"/>
      <c r="AB469" s="133" t="s">
        <v>96</v>
      </c>
      <c r="AC469" s="64"/>
      <c r="AD469" s="64"/>
      <c r="AE469" s="64"/>
      <c r="AF469" s="60" t="s">
        <v>96</v>
      </c>
      <c r="AG469" s="64"/>
      <c r="AH469" s="64"/>
      <c r="AI469" s="64"/>
      <c r="AJ469" s="68" t="s">
        <v>96</v>
      </c>
      <c r="AK469" s="69" t="str">
        <f t="shared" si="14"/>
        <v/>
      </c>
      <c r="AL469" s="70" t="s">
        <v>96</v>
      </c>
      <c r="AM469" s="69" t="str">
        <f t="shared" si="15"/>
        <v/>
      </c>
      <c r="AN469" s="71"/>
      <c r="AO469" s="71"/>
      <c r="AP469" s="71"/>
      <c r="AQ469" s="71"/>
      <c r="AR469" s="71" t="s">
        <v>96</v>
      </c>
      <c r="AS469" s="71"/>
      <c r="AT469" s="71" t="s">
        <v>96</v>
      </c>
      <c r="AU469" s="71"/>
      <c r="AV469" s="71" t="s">
        <v>95</v>
      </c>
      <c r="AW469" s="71"/>
      <c r="AX469" s="71"/>
      <c r="AY469" s="71"/>
      <c r="AZ469" s="71"/>
      <c r="BA469" s="71"/>
      <c r="BB469" s="70" t="s">
        <v>218</v>
      </c>
      <c r="BC469" s="70" t="s">
        <v>98</v>
      </c>
      <c r="BD469" s="72" t="str">
        <f>IF('Cálculo MP'!K479="","",'Cálculo MP'!K479)</f>
        <v/>
      </c>
      <c r="BE469" s="72" t="str">
        <f>IF('Cálculo MP'!L479="","",'Cálculo MP'!L479)</f>
        <v/>
      </c>
      <c r="BF469" s="72" t="str">
        <f>IF('Cálculo MP'!M479="","",'Cálculo MP'!M479)</f>
        <v/>
      </c>
      <c r="BG469" s="72" t="str">
        <f>IF('Cálculo MP'!N479="","",'Cálculo MP'!N479)</f>
        <v/>
      </c>
      <c r="BH469" s="72" t="str">
        <f>IF('Cálculo MP'!O479="","",'Cálculo MP'!O479)</f>
        <v/>
      </c>
      <c r="BI469" s="72" t="str">
        <f>IF('Cálculo MP'!P479="","",'Cálculo MP'!P479)</f>
        <v/>
      </c>
      <c r="BJ469" s="72" t="str">
        <f>IF('Cálculo MP'!Q479="","",'Cálculo MP'!Q479)</f>
        <v/>
      </c>
      <c r="BK469" s="72" t="str">
        <f>IF('Cálculo MP'!R479="","",'Cálculo MP'!R479)</f>
        <v/>
      </c>
      <c r="BL469" s="72" t="str">
        <f>IF('Cálculo MP'!S479="","",'Cálculo MP'!S479)</f>
        <v/>
      </c>
      <c r="BM469" s="71"/>
      <c r="BN469" s="71"/>
      <c r="BO469" s="71"/>
      <c r="BP469" s="71"/>
      <c r="BQ469" s="71"/>
      <c r="BR469" s="71"/>
      <c r="BS469" s="71"/>
    </row>
    <row r="470" spans="1:71" ht="19.5" customHeight="1" x14ac:dyDescent="0.15">
      <c r="A470" s="56" t="s">
        <v>985</v>
      </c>
      <c r="B470" s="57" t="s">
        <v>986</v>
      </c>
      <c r="C470" s="58" t="s">
        <v>985</v>
      </c>
      <c r="D470" s="59" t="s">
        <v>985</v>
      </c>
      <c r="E470" s="61"/>
      <c r="F470" s="60" t="s">
        <v>95</v>
      </c>
      <c r="G470" s="61"/>
      <c r="H470" s="62"/>
      <c r="I470" s="75"/>
      <c r="J470" s="60" t="s">
        <v>95</v>
      </c>
      <c r="K470" s="64"/>
      <c r="L470" s="64"/>
      <c r="M470" s="64" t="s">
        <v>96</v>
      </c>
      <c r="N470" s="64" t="s">
        <v>97</v>
      </c>
      <c r="O470" s="65" t="s">
        <v>986</v>
      </c>
      <c r="P470" s="70" t="s">
        <v>96</v>
      </c>
      <c r="Q470" s="60" t="s">
        <v>95</v>
      </c>
      <c r="R470" s="60" t="s">
        <v>96</v>
      </c>
      <c r="S470" s="66" t="s">
        <v>96</v>
      </c>
      <c r="T470" s="67" t="s">
        <v>96</v>
      </c>
      <c r="U470" s="60" t="s">
        <v>96</v>
      </c>
      <c r="V470" s="60" t="s">
        <v>96</v>
      </c>
      <c r="W470" s="60" t="str" cm="1">
        <f t="array" ref="W470">_xlfn.LET(_xlpm.resultados,_xlfn.UNIQUE(_xlfn._xlws.FILTER(Tabla1[Proceso],(Tabla1[Metal Base]=Q470)*(Tabla1[Etiquetas]=_xlfn.TEXTJOIN(" + ",TRUE,IF((TRIM(Upload!R470:V470)="")+(LOWER(TRIM(Upload!R470:V470))="(seleccione)"),"",PROPER(TRIM(Upload!R470:V470)))))*(Tabla1[Línea2]=IFERROR(VLOOKUP(Upload!P470&amp;"*",CAT_Procesos!D:D,1,FALSE),"")))),_xlpm.cantidad,ROWS(_xlpm.resultados),IF(ISERROR(_xlpm.cantidad),"Combinación no existente",IF(_xlpm.cantidad=1,INDEX(_xlpm.resultados,1),"(seleccione)")))</f>
        <v>Combinación no existente</v>
      </c>
      <c r="X470" s="67" t="s">
        <v>96</v>
      </c>
      <c r="Y470" s="64"/>
      <c r="Z470" s="64"/>
      <c r="AA470" s="64"/>
      <c r="AB470" s="133" t="s">
        <v>96</v>
      </c>
      <c r="AC470" s="64"/>
      <c r="AD470" s="64"/>
      <c r="AE470" s="64"/>
      <c r="AF470" s="60" t="s">
        <v>96</v>
      </c>
      <c r="AG470" s="64"/>
      <c r="AH470" s="64"/>
      <c r="AI470" s="64"/>
      <c r="AJ470" s="68" t="s">
        <v>96</v>
      </c>
      <c r="AK470" s="69" t="str">
        <f t="shared" si="14"/>
        <v/>
      </c>
      <c r="AL470" s="70" t="s">
        <v>96</v>
      </c>
      <c r="AM470" s="69" t="str">
        <f t="shared" si="15"/>
        <v/>
      </c>
      <c r="AN470" s="71"/>
      <c r="AO470" s="71"/>
      <c r="AP470" s="71"/>
      <c r="AQ470" s="71"/>
      <c r="AR470" s="71" t="s">
        <v>96</v>
      </c>
      <c r="AS470" s="71"/>
      <c r="AT470" s="71" t="s">
        <v>96</v>
      </c>
      <c r="AU470" s="71"/>
      <c r="AV470" s="71" t="s">
        <v>95</v>
      </c>
      <c r="AW470" s="71"/>
      <c r="AX470" s="71"/>
      <c r="AY470" s="71"/>
      <c r="AZ470" s="71"/>
      <c r="BA470" s="71"/>
      <c r="BB470" s="70" t="s">
        <v>218</v>
      </c>
      <c r="BC470" s="70" t="s">
        <v>98</v>
      </c>
      <c r="BD470" s="72" t="str">
        <f>IF('Cálculo MP'!K480="","",'Cálculo MP'!K480)</f>
        <v/>
      </c>
      <c r="BE470" s="72" t="str">
        <f>IF('Cálculo MP'!L480="","",'Cálculo MP'!L480)</f>
        <v/>
      </c>
      <c r="BF470" s="72" t="str">
        <f>IF('Cálculo MP'!M480="","",'Cálculo MP'!M480)</f>
        <v/>
      </c>
      <c r="BG470" s="72" t="str">
        <f>IF('Cálculo MP'!N480="","",'Cálculo MP'!N480)</f>
        <v/>
      </c>
      <c r="BH470" s="72" t="str">
        <f>IF('Cálculo MP'!O480="","",'Cálculo MP'!O480)</f>
        <v/>
      </c>
      <c r="BI470" s="72" t="str">
        <f>IF('Cálculo MP'!P480="","",'Cálculo MP'!P480)</f>
        <v/>
      </c>
      <c r="BJ470" s="72" t="str">
        <f>IF('Cálculo MP'!Q480="","",'Cálculo MP'!Q480)</f>
        <v/>
      </c>
      <c r="BK470" s="72" t="str">
        <f>IF('Cálculo MP'!R480="","",'Cálculo MP'!R480)</f>
        <v/>
      </c>
      <c r="BL470" s="72" t="str">
        <f>IF('Cálculo MP'!S480="","",'Cálculo MP'!S480)</f>
        <v/>
      </c>
      <c r="BM470" s="71"/>
      <c r="BN470" s="71"/>
      <c r="BO470" s="71"/>
      <c r="BP470" s="71"/>
      <c r="BQ470" s="71"/>
      <c r="BR470" s="71"/>
      <c r="BS470" s="71"/>
    </row>
    <row r="471" spans="1:71" ht="19.5" customHeight="1" x14ac:dyDescent="0.15">
      <c r="A471" s="56" t="s">
        <v>985</v>
      </c>
      <c r="B471" s="57" t="s">
        <v>986</v>
      </c>
      <c r="C471" s="58" t="s">
        <v>985</v>
      </c>
      <c r="D471" s="59" t="s">
        <v>985</v>
      </c>
      <c r="E471" s="61"/>
      <c r="F471" s="60" t="s">
        <v>95</v>
      </c>
      <c r="G471" s="61"/>
      <c r="H471" s="62"/>
      <c r="I471" s="75"/>
      <c r="J471" s="60" t="s">
        <v>95</v>
      </c>
      <c r="K471" s="64"/>
      <c r="L471" s="64"/>
      <c r="M471" s="64" t="s">
        <v>96</v>
      </c>
      <c r="N471" s="64" t="s">
        <v>97</v>
      </c>
      <c r="O471" s="65" t="s">
        <v>986</v>
      </c>
      <c r="P471" s="70" t="s">
        <v>96</v>
      </c>
      <c r="Q471" s="60" t="s">
        <v>95</v>
      </c>
      <c r="R471" s="60" t="s">
        <v>96</v>
      </c>
      <c r="S471" s="66" t="s">
        <v>96</v>
      </c>
      <c r="T471" s="67" t="s">
        <v>96</v>
      </c>
      <c r="U471" s="60" t="s">
        <v>96</v>
      </c>
      <c r="V471" s="60" t="s">
        <v>96</v>
      </c>
      <c r="W471" s="60" t="str" cm="1">
        <f t="array" ref="W471">_xlfn.LET(_xlpm.resultados,_xlfn.UNIQUE(_xlfn._xlws.FILTER(Tabla1[Proceso],(Tabla1[Metal Base]=Q471)*(Tabla1[Etiquetas]=_xlfn.TEXTJOIN(" + ",TRUE,IF((TRIM(Upload!R471:V471)="")+(LOWER(TRIM(Upload!R471:V471))="(seleccione)"),"",PROPER(TRIM(Upload!R471:V471)))))*(Tabla1[Línea2]=IFERROR(VLOOKUP(Upload!P471&amp;"*",CAT_Procesos!D:D,1,FALSE),"")))),_xlpm.cantidad,ROWS(_xlpm.resultados),IF(ISERROR(_xlpm.cantidad),"Combinación no existente",IF(_xlpm.cantidad=1,INDEX(_xlpm.resultados,1),"(seleccione)")))</f>
        <v>Combinación no existente</v>
      </c>
      <c r="X471" s="67" t="s">
        <v>96</v>
      </c>
      <c r="Y471" s="64"/>
      <c r="Z471" s="64"/>
      <c r="AA471" s="64"/>
      <c r="AB471" s="133" t="s">
        <v>96</v>
      </c>
      <c r="AC471" s="64"/>
      <c r="AD471" s="64"/>
      <c r="AE471" s="64"/>
      <c r="AF471" s="60" t="s">
        <v>96</v>
      </c>
      <c r="AG471" s="64"/>
      <c r="AH471" s="64"/>
      <c r="AI471" s="64"/>
      <c r="AJ471" s="68" t="s">
        <v>96</v>
      </c>
      <c r="AK471" s="69" t="str">
        <f t="shared" si="14"/>
        <v/>
      </c>
      <c r="AL471" s="70" t="s">
        <v>96</v>
      </c>
      <c r="AM471" s="69" t="str">
        <f t="shared" si="15"/>
        <v/>
      </c>
      <c r="AN471" s="71"/>
      <c r="AO471" s="71"/>
      <c r="AP471" s="71"/>
      <c r="AQ471" s="71"/>
      <c r="AR471" s="71" t="s">
        <v>96</v>
      </c>
      <c r="AS471" s="71"/>
      <c r="AT471" s="71" t="s">
        <v>96</v>
      </c>
      <c r="AU471" s="71"/>
      <c r="AV471" s="71" t="s">
        <v>95</v>
      </c>
      <c r="AW471" s="71"/>
      <c r="AX471" s="71"/>
      <c r="AY471" s="71"/>
      <c r="AZ471" s="71"/>
      <c r="BA471" s="71"/>
      <c r="BB471" s="70" t="s">
        <v>218</v>
      </c>
      <c r="BC471" s="70" t="s">
        <v>98</v>
      </c>
      <c r="BD471" s="72" t="str">
        <f>IF('Cálculo MP'!K481="","",'Cálculo MP'!K481)</f>
        <v/>
      </c>
      <c r="BE471" s="72" t="str">
        <f>IF('Cálculo MP'!L481="","",'Cálculo MP'!L481)</f>
        <v/>
      </c>
      <c r="BF471" s="72" t="str">
        <f>IF('Cálculo MP'!M481="","",'Cálculo MP'!M481)</f>
        <v/>
      </c>
      <c r="BG471" s="72" t="str">
        <f>IF('Cálculo MP'!N481="","",'Cálculo MP'!N481)</f>
        <v/>
      </c>
      <c r="BH471" s="72" t="str">
        <f>IF('Cálculo MP'!O481="","",'Cálculo MP'!O481)</f>
        <v/>
      </c>
      <c r="BI471" s="72" t="str">
        <f>IF('Cálculo MP'!P481="","",'Cálculo MP'!P481)</f>
        <v/>
      </c>
      <c r="BJ471" s="72" t="str">
        <f>IF('Cálculo MP'!Q481="","",'Cálculo MP'!Q481)</f>
        <v/>
      </c>
      <c r="BK471" s="72" t="str">
        <f>IF('Cálculo MP'!R481="","",'Cálculo MP'!R481)</f>
        <v/>
      </c>
      <c r="BL471" s="72" t="str">
        <f>IF('Cálculo MP'!S481="","",'Cálculo MP'!S481)</f>
        <v/>
      </c>
      <c r="BM471" s="71"/>
      <c r="BN471" s="71"/>
      <c r="BO471" s="71"/>
      <c r="BP471" s="71"/>
      <c r="BQ471" s="71"/>
      <c r="BR471" s="71"/>
      <c r="BS471" s="71"/>
    </row>
    <row r="472" spans="1:71" ht="19.5" customHeight="1" x14ac:dyDescent="0.15">
      <c r="A472" s="56" t="s">
        <v>985</v>
      </c>
      <c r="B472" s="57" t="s">
        <v>986</v>
      </c>
      <c r="C472" s="58" t="s">
        <v>985</v>
      </c>
      <c r="D472" s="59" t="s">
        <v>985</v>
      </c>
      <c r="E472" s="61"/>
      <c r="F472" s="60" t="s">
        <v>95</v>
      </c>
      <c r="G472" s="61"/>
      <c r="H472" s="62"/>
      <c r="I472" s="75"/>
      <c r="J472" s="60" t="s">
        <v>95</v>
      </c>
      <c r="K472" s="64"/>
      <c r="L472" s="64"/>
      <c r="M472" s="64" t="s">
        <v>96</v>
      </c>
      <c r="N472" s="64" t="s">
        <v>97</v>
      </c>
      <c r="O472" s="65" t="s">
        <v>986</v>
      </c>
      <c r="P472" s="70" t="s">
        <v>96</v>
      </c>
      <c r="Q472" s="60" t="s">
        <v>95</v>
      </c>
      <c r="R472" s="60" t="s">
        <v>96</v>
      </c>
      <c r="S472" s="66" t="s">
        <v>96</v>
      </c>
      <c r="T472" s="67" t="s">
        <v>96</v>
      </c>
      <c r="U472" s="60" t="s">
        <v>96</v>
      </c>
      <c r="V472" s="60" t="s">
        <v>96</v>
      </c>
      <c r="W472" s="60" t="str" cm="1">
        <f t="array" ref="W472">_xlfn.LET(_xlpm.resultados,_xlfn.UNIQUE(_xlfn._xlws.FILTER(Tabla1[Proceso],(Tabla1[Metal Base]=Q472)*(Tabla1[Etiquetas]=_xlfn.TEXTJOIN(" + ",TRUE,IF((TRIM(Upload!R472:V472)="")+(LOWER(TRIM(Upload!R472:V472))="(seleccione)"),"",PROPER(TRIM(Upload!R472:V472)))))*(Tabla1[Línea2]=IFERROR(VLOOKUP(Upload!P472&amp;"*",CAT_Procesos!D:D,1,FALSE),"")))),_xlpm.cantidad,ROWS(_xlpm.resultados),IF(ISERROR(_xlpm.cantidad),"Combinación no existente",IF(_xlpm.cantidad=1,INDEX(_xlpm.resultados,1),"(seleccione)")))</f>
        <v>Combinación no existente</v>
      </c>
      <c r="X472" s="67" t="s">
        <v>96</v>
      </c>
      <c r="Y472" s="64"/>
      <c r="Z472" s="64"/>
      <c r="AA472" s="64"/>
      <c r="AB472" s="133" t="s">
        <v>96</v>
      </c>
      <c r="AC472" s="64"/>
      <c r="AD472" s="64"/>
      <c r="AE472" s="64"/>
      <c r="AF472" s="60" t="s">
        <v>96</v>
      </c>
      <c r="AG472" s="64"/>
      <c r="AH472" s="64"/>
      <c r="AI472" s="64"/>
      <c r="AJ472" s="68" t="s">
        <v>96</v>
      </c>
      <c r="AK472" s="69" t="str">
        <f t="shared" si="14"/>
        <v/>
      </c>
      <c r="AL472" s="70" t="s">
        <v>96</v>
      </c>
      <c r="AM472" s="69" t="str">
        <f t="shared" si="15"/>
        <v/>
      </c>
      <c r="AN472" s="71"/>
      <c r="AO472" s="71"/>
      <c r="AP472" s="71"/>
      <c r="AQ472" s="71"/>
      <c r="AR472" s="71" t="s">
        <v>96</v>
      </c>
      <c r="AS472" s="71"/>
      <c r="AT472" s="71" t="s">
        <v>96</v>
      </c>
      <c r="AU472" s="71"/>
      <c r="AV472" s="71" t="s">
        <v>95</v>
      </c>
      <c r="AW472" s="71"/>
      <c r="AX472" s="71"/>
      <c r="AY472" s="71"/>
      <c r="AZ472" s="71"/>
      <c r="BA472" s="71"/>
      <c r="BB472" s="70" t="s">
        <v>218</v>
      </c>
      <c r="BC472" s="70" t="s">
        <v>98</v>
      </c>
      <c r="BD472" s="72" t="str">
        <f>IF('Cálculo MP'!K482="","",'Cálculo MP'!K482)</f>
        <v/>
      </c>
      <c r="BE472" s="72" t="str">
        <f>IF('Cálculo MP'!L482="","",'Cálculo MP'!L482)</f>
        <v/>
      </c>
      <c r="BF472" s="72" t="str">
        <f>IF('Cálculo MP'!M482="","",'Cálculo MP'!M482)</f>
        <v/>
      </c>
      <c r="BG472" s="72" t="str">
        <f>IF('Cálculo MP'!N482="","",'Cálculo MP'!N482)</f>
        <v/>
      </c>
      <c r="BH472" s="72" t="str">
        <f>IF('Cálculo MP'!O482="","",'Cálculo MP'!O482)</f>
        <v/>
      </c>
      <c r="BI472" s="72" t="str">
        <f>IF('Cálculo MP'!P482="","",'Cálculo MP'!P482)</f>
        <v/>
      </c>
      <c r="BJ472" s="72" t="str">
        <f>IF('Cálculo MP'!Q482="","",'Cálculo MP'!Q482)</f>
        <v/>
      </c>
      <c r="BK472" s="72" t="str">
        <f>IF('Cálculo MP'!R482="","",'Cálculo MP'!R482)</f>
        <v/>
      </c>
      <c r="BL472" s="72" t="str">
        <f>IF('Cálculo MP'!S482="","",'Cálculo MP'!S482)</f>
        <v/>
      </c>
      <c r="BM472" s="71"/>
      <c r="BN472" s="71"/>
      <c r="BO472" s="71"/>
      <c r="BP472" s="71"/>
      <c r="BQ472" s="71"/>
      <c r="BR472" s="71"/>
      <c r="BS472" s="71"/>
    </row>
    <row r="473" spans="1:71" ht="19.5" customHeight="1" x14ac:dyDescent="0.15">
      <c r="A473" s="56" t="s">
        <v>985</v>
      </c>
      <c r="B473" s="57" t="s">
        <v>986</v>
      </c>
      <c r="C473" s="58" t="s">
        <v>985</v>
      </c>
      <c r="D473" s="59" t="s">
        <v>985</v>
      </c>
      <c r="E473" s="61"/>
      <c r="F473" s="60" t="s">
        <v>95</v>
      </c>
      <c r="G473" s="61"/>
      <c r="H473" s="62"/>
      <c r="I473" s="75"/>
      <c r="J473" s="60" t="s">
        <v>95</v>
      </c>
      <c r="K473" s="64"/>
      <c r="L473" s="64"/>
      <c r="M473" s="64" t="s">
        <v>96</v>
      </c>
      <c r="N473" s="64" t="s">
        <v>97</v>
      </c>
      <c r="O473" s="65" t="s">
        <v>986</v>
      </c>
      <c r="P473" s="70" t="s">
        <v>96</v>
      </c>
      <c r="Q473" s="60" t="s">
        <v>95</v>
      </c>
      <c r="R473" s="60" t="s">
        <v>96</v>
      </c>
      <c r="S473" s="66" t="s">
        <v>96</v>
      </c>
      <c r="T473" s="67" t="s">
        <v>96</v>
      </c>
      <c r="U473" s="60" t="s">
        <v>96</v>
      </c>
      <c r="V473" s="60" t="s">
        <v>96</v>
      </c>
      <c r="W473" s="60" t="str" cm="1">
        <f t="array" ref="W473">_xlfn.LET(_xlpm.resultados,_xlfn.UNIQUE(_xlfn._xlws.FILTER(Tabla1[Proceso],(Tabla1[Metal Base]=Q473)*(Tabla1[Etiquetas]=_xlfn.TEXTJOIN(" + ",TRUE,IF((TRIM(Upload!R473:V473)="")+(LOWER(TRIM(Upload!R473:V473))="(seleccione)"),"",PROPER(TRIM(Upload!R473:V473)))))*(Tabla1[Línea2]=IFERROR(VLOOKUP(Upload!P473&amp;"*",CAT_Procesos!D:D,1,FALSE),"")))),_xlpm.cantidad,ROWS(_xlpm.resultados),IF(ISERROR(_xlpm.cantidad),"Combinación no existente",IF(_xlpm.cantidad=1,INDEX(_xlpm.resultados,1),"(seleccione)")))</f>
        <v>Combinación no existente</v>
      </c>
      <c r="X473" s="67" t="s">
        <v>96</v>
      </c>
      <c r="Y473" s="64"/>
      <c r="Z473" s="64"/>
      <c r="AA473" s="64"/>
      <c r="AB473" s="133" t="s">
        <v>96</v>
      </c>
      <c r="AC473" s="64"/>
      <c r="AD473" s="64"/>
      <c r="AE473" s="64"/>
      <c r="AF473" s="60" t="s">
        <v>96</v>
      </c>
      <c r="AG473" s="64"/>
      <c r="AH473" s="64"/>
      <c r="AI473" s="64"/>
      <c r="AJ473" s="68" t="s">
        <v>96</v>
      </c>
      <c r="AK473" s="69" t="str">
        <f t="shared" si="14"/>
        <v/>
      </c>
      <c r="AL473" s="70" t="s">
        <v>96</v>
      </c>
      <c r="AM473" s="69" t="str">
        <f t="shared" si="15"/>
        <v/>
      </c>
      <c r="AN473" s="71"/>
      <c r="AO473" s="71"/>
      <c r="AP473" s="71"/>
      <c r="AQ473" s="71"/>
      <c r="AR473" s="71" t="s">
        <v>96</v>
      </c>
      <c r="AS473" s="71"/>
      <c r="AT473" s="71" t="s">
        <v>96</v>
      </c>
      <c r="AU473" s="71"/>
      <c r="AV473" s="71" t="s">
        <v>95</v>
      </c>
      <c r="AW473" s="71"/>
      <c r="AX473" s="71"/>
      <c r="AY473" s="71"/>
      <c r="AZ473" s="71"/>
      <c r="BA473" s="71"/>
      <c r="BB473" s="70" t="s">
        <v>218</v>
      </c>
      <c r="BC473" s="70" t="s">
        <v>98</v>
      </c>
      <c r="BD473" s="72" t="str">
        <f>IF('Cálculo MP'!K483="","",'Cálculo MP'!K483)</f>
        <v/>
      </c>
      <c r="BE473" s="72" t="str">
        <f>IF('Cálculo MP'!L483="","",'Cálculo MP'!L483)</f>
        <v/>
      </c>
      <c r="BF473" s="72" t="str">
        <f>IF('Cálculo MP'!M483="","",'Cálculo MP'!M483)</f>
        <v/>
      </c>
      <c r="BG473" s="72" t="str">
        <f>IF('Cálculo MP'!N483="","",'Cálculo MP'!N483)</f>
        <v/>
      </c>
      <c r="BH473" s="72" t="str">
        <f>IF('Cálculo MP'!O483="","",'Cálculo MP'!O483)</f>
        <v/>
      </c>
      <c r="BI473" s="72" t="str">
        <f>IF('Cálculo MP'!P483="","",'Cálculo MP'!P483)</f>
        <v/>
      </c>
      <c r="BJ473" s="72" t="str">
        <f>IF('Cálculo MP'!Q483="","",'Cálculo MP'!Q483)</f>
        <v/>
      </c>
      <c r="BK473" s="72" t="str">
        <f>IF('Cálculo MP'!R483="","",'Cálculo MP'!R483)</f>
        <v/>
      </c>
      <c r="BL473" s="72" t="str">
        <f>IF('Cálculo MP'!S483="","",'Cálculo MP'!S483)</f>
        <v/>
      </c>
      <c r="BM473" s="71"/>
      <c r="BN473" s="71"/>
      <c r="BO473" s="71"/>
      <c r="BP473" s="71"/>
      <c r="BQ473" s="71"/>
      <c r="BR473" s="71"/>
      <c r="BS473" s="71"/>
    </row>
    <row r="474" spans="1:71" ht="19.5" customHeight="1" x14ac:dyDescent="0.15">
      <c r="A474" s="56" t="s">
        <v>985</v>
      </c>
      <c r="B474" s="57" t="s">
        <v>986</v>
      </c>
      <c r="C474" s="58" t="s">
        <v>985</v>
      </c>
      <c r="D474" s="59" t="s">
        <v>985</v>
      </c>
      <c r="E474" s="61"/>
      <c r="F474" s="60" t="s">
        <v>95</v>
      </c>
      <c r="G474" s="61"/>
      <c r="H474" s="62"/>
      <c r="I474" s="75"/>
      <c r="J474" s="60" t="s">
        <v>95</v>
      </c>
      <c r="K474" s="64"/>
      <c r="L474" s="64"/>
      <c r="M474" s="64" t="s">
        <v>96</v>
      </c>
      <c r="N474" s="64" t="s">
        <v>97</v>
      </c>
      <c r="O474" s="65" t="s">
        <v>986</v>
      </c>
      <c r="P474" s="70" t="s">
        <v>96</v>
      </c>
      <c r="Q474" s="60" t="s">
        <v>95</v>
      </c>
      <c r="R474" s="60" t="s">
        <v>96</v>
      </c>
      <c r="S474" s="66" t="s">
        <v>96</v>
      </c>
      <c r="T474" s="67" t="s">
        <v>96</v>
      </c>
      <c r="U474" s="60" t="s">
        <v>96</v>
      </c>
      <c r="V474" s="60" t="s">
        <v>96</v>
      </c>
      <c r="W474" s="60" t="str" cm="1">
        <f t="array" ref="W474">_xlfn.LET(_xlpm.resultados,_xlfn.UNIQUE(_xlfn._xlws.FILTER(Tabla1[Proceso],(Tabla1[Metal Base]=Q474)*(Tabla1[Etiquetas]=_xlfn.TEXTJOIN(" + ",TRUE,IF((TRIM(Upload!R474:V474)="")+(LOWER(TRIM(Upload!R474:V474))="(seleccione)"),"",PROPER(TRIM(Upload!R474:V474)))))*(Tabla1[Línea2]=IFERROR(VLOOKUP(Upload!P474&amp;"*",CAT_Procesos!D:D,1,FALSE),"")))),_xlpm.cantidad,ROWS(_xlpm.resultados),IF(ISERROR(_xlpm.cantidad),"Combinación no existente",IF(_xlpm.cantidad=1,INDEX(_xlpm.resultados,1),"(seleccione)")))</f>
        <v>Combinación no existente</v>
      </c>
      <c r="X474" s="67" t="s">
        <v>96</v>
      </c>
      <c r="Y474" s="64"/>
      <c r="Z474" s="64"/>
      <c r="AA474" s="64"/>
      <c r="AB474" s="133" t="s">
        <v>96</v>
      </c>
      <c r="AC474" s="64"/>
      <c r="AD474" s="64"/>
      <c r="AE474" s="64"/>
      <c r="AF474" s="60" t="s">
        <v>96</v>
      </c>
      <c r="AG474" s="64"/>
      <c r="AH474" s="64"/>
      <c r="AI474" s="64"/>
      <c r="AJ474" s="68" t="s">
        <v>96</v>
      </c>
      <c r="AK474" s="69" t="str">
        <f t="shared" si="14"/>
        <v/>
      </c>
      <c r="AL474" s="70" t="s">
        <v>96</v>
      </c>
      <c r="AM474" s="69" t="str">
        <f t="shared" si="15"/>
        <v/>
      </c>
      <c r="AN474" s="71"/>
      <c r="AO474" s="71"/>
      <c r="AP474" s="71"/>
      <c r="AQ474" s="71"/>
      <c r="AR474" s="71" t="s">
        <v>96</v>
      </c>
      <c r="AS474" s="71"/>
      <c r="AT474" s="71" t="s">
        <v>96</v>
      </c>
      <c r="AU474" s="71"/>
      <c r="AV474" s="71" t="s">
        <v>95</v>
      </c>
      <c r="AW474" s="71"/>
      <c r="AX474" s="71"/>
      <c r="AY474" s="71"/>
      <c r="AZ474" s="71"/>
      <c r="BA474" s="71"/>
      <c r="BB474" s="70" t="s">
        <v>218</v>
      </c>
      <c r="BC474" s="70" t="s">
        <v>98</v>
      </c>
      <c r="BD474" s="72" t="str">
        <f>IF('Cálculo MP'!K484="","",'Cálculo MP'!K484)</f>
        <v/>
      </c>
      <c r="BE474" s="72" t="str">
        <f>IF('Cálculo MP'!L484="","",'Cálculo MP'!L484)</f>
        <v/>
      </c>
      <c r="BF474" s="72" t="str">
        <f>IF('Cálculo MP'!M484="","",'Cálculo MP'!M484)</f>
        <v/>
      </c>
      <c r="BG474" s="72" t="str">
        <f>IF('Cálculo MP'!N484="","",'Cálculo MP'!N484)</f>
        <v/>
      </c>
      <c r="BH474" s="72" t="str">
        <f>IF('Cálculo MP'!O484="","",'Cálculo MP'!O484)</f>
        <v/>
      </c>
      <c r="BI474" s="72" t="str">
        <f>IF('Cálculo MP'!P484="","",'Cálculo MP'!P484)</f>
        <v/>
      </c>
      <c r="BJ474" s="72" t="str">
        <f>IF('Cálculo MP'!Q484="","",'Cálculo MP'!Q484)</f>
        <v/>
      </c>
      <c r="BK474" s="72" t="str">
        <f>IF('Cálculo MP'!R484="","",'Cálculo MP'!R484)</f>
        <v/>
      </c>
      <c r="BL474" s="72" t="str">
        <f>IF('Cálculo MP'!S484="","",'Cálculo MP'!S484)</f>
        <v/>
      </c>
      <c r="BM474" s="71"/>
      <c r="BN474" s="71"/>
      <c r="BO474" s="71"/>
      <c r="BP474" s="71"/>
      <c r="BQ474" s="71"/>
      <c r="BR474" s="71"/>
      <c r="BS474" s="71"/>
    </row>
    <row r="475" spans="1:71" ht="19.5" customHeight="1" x14ac:dyDescent="0.15">
      <c r="A475" s="56" t="s">
        <v>985</v>
      </c>
      <c r="B475" s="57" t="s">
        <v>986</v>
      </c>
      <c r="C475" s="58" t="s">
        <v>985</v>
      </c>
      <c r="D475" s="59" t="s">
        <v>985</v>
      </c>
      <c r="E475" s="61"/>
      <c r="F475" s="60" t="s">
        <v>95</v>
      </c>
      <c r="G475" s="61"/>
      <c r="H475" s="62"/>
      <c r="I475" s="75"/>
      <c r="J475" s="60" t="s">
        <v>95</v>
      </c>
      <c r="K475" s="64"/>
      <c r="L475" s="64"/>
      <c r="M475" s="64" t="s">
        <v>96</v>
      </c>
      <c r="N475" s="64" t="s">
        <v>97</v>
      </c>
      <c r="O475" s="65" t="s">
        <v>986</v>
      </c>
      <c r="P475" s="70" t="s">
        <v>96</v>
      </c>
      <c r="Q475" s="60" t="s">
        <v>95</v>
      </c>
      <c r="R475" s="60" t="s">
        <v>96</v>
      </c>
      <c r="S475" s="66" t="s">
        <v>96</v>
      </c>
      <c r="T475" s="67" t="s">
        <v>96</v>
      </c>
      <c r="U475" s="60" t="s">
        <v>96</v>
      </c>
      <c r="V475" s="60" t="s">
        <v>96</v>
      </c>
      <c r="W475" s="60" t="str" cm="1">
        <f t="array" ref="W475">_xlfn.LET(_xlpm.resultados,_xlfn.UNIQUE(_xlfn._xlws.FILTER(Tabla1[Proceso],(Tabla1[Metal Base]=Q475)*(Tabla1[Etiquetas]=_xlfn.TEXTJOIN(" + ",TRUE,IF((TRIM(Upload!R475:V475)="")+(LOWER(TRIM(Upload!R475:V475))="(seleccione)"),"",PROPER(TRIM(Upload!R475:V475)))))*(Tabla1[Línea2]=IFERROR(VLOOKUP(Upload!P475&amp;"*",CAT_Procesos!D:D,1,FALSE),"")))),_xlpm.cantidad,ROWS(_xlpm.resultados),IF(ISERROR(_xlpm.cantidad),"Combinación no existente",IF(_xlpm.cantidad=1,INDEX(_xlpm.resultados,1),"(seleccione)")))</f>
        <v>Combinación no existente</v>
      </c>
      <c r="X475" s="67" t="s">
        <v>96</v>
      </c>
      <c r="Y475" s="64"/>
      <c r="Z475" s="64"/>
      <c r="AA475" s="64"/>
      <c r="AB475" s="133" t="s">
        <v>96</v>
      </c>
      <c r="AC475" s="64"/>
      <c r="AD475" s="64"/>
      <c r="AE475" s="64"/>
      <c r="AF475" s="60" t="s">
        <v>96</v>
      </c>
      <c r="AG475" s="64"/>
      <c r="AH475" s="64"/>
      <c r="AI475" s="64"/>
      <c r="AJ475" s="68" t="s">
        <v>96</v>
      </c>
      <c r="AK475" s="69" t="str">
        <f t="shared" si="14"/>
        <v/>
      </c>
      <c r="AL475" s="70" t="s">
        <v>96</v>
      </c>
      <c r="AM475" s="69" t="str">
        <f t="shared" si="15"/>
        <v/>
      </c>
      <c r="AN475" s="71"/>
      <c r="AO475" s="71"/>
      <c r="AP475" s="71"/>
      <c r="AQ475" s="71"/>
      <c r="AR475" s="71" t="s">
        <v>96</v>
      </c>
      <c r="AS475" s="71"/>
      <c r="AT475" s="71" t="s">
        <v>96</v>
      </c>
      <c r="AU475" s="71"/>
      <c r="AV475" s="71" t="s">
        <v>95</v>
      </c>
      <c r="AW475" s="71"/>
      <c r="AX475" s="71"/>
      <c r="AY475" s="71"/>
      <c r="AZ475" s="71"/>
      <c r="BA475" s="71"/>
      <c r="BB475" s="70" t="s">
        <v>218</v>
      </c>
      <c r="BC475" s="70" t="s">
        <v>98</v>
      </c>
      <c r="BD475" s="72" t="str">
        <f>IF('Cálculo MP'!K485="","",'Cálculo MP'!K485)</f>
        <v/>
      </c>
      <c r="BE475" s="72" t="str">
        <f>IF('Cálculo MP'!L485="","",'Cálculo MP'!L485)</f>
        <v/>
      </c>
      <c r="BF475" s="72" t="str">
        <f>IF('Cálculo MP'!M485="","",'Cálculo MP'!M485)</f>
        <v/>
      </c>
      <c r="BG475" s="72" t="str">
        <f>IF('Cálculo MP'!N485="","",'Cálculo MP'!N485)</f>
        <v/>
      </c>
      <c r="BH475" s="72" t="str">
        <f>IF('Cálculo MP'!O485="","",'Cálculo MP'!O485)</f>
        <v/>
      </c>
      <c r="BI475" s="72" t="str">
        <f>IF('Cálculo MP'!P485="","",'Cálculo MP'!P485)</f>
        <v/>
      </c>
      <c r="BJ475" s="72" t="str">
        <f>IF('Cálculo MP'!Q485="","",'Cálculo MP'!Q485)</f>
        <v/>
      </c>
      <c r="BK475" s="72" t="str">
        <f>IF('Cálculo MP'!R485="","",'Cálculo MP'!R485)</f>
        <v/>
      </c>
      <c r="BL475" s="72" t="str">
        <f>IF('Cálculo MP'!S485="","",'Cálculo MP'!S485)</f>
        <v/>
      </c>
      <c r="BM475" s="71"/>
      <c r="BN475" s="71"/>
      <c r="BO475" s="71"/>
      <c r="BP475" s="71"/>
      <c r="BQ475" s="71"/>
      <c r="BR475" s="71"/>
      <c r="BS475" s="71"/>
    </row>
    <row r="476" spans="1:71" ht="19.5" customHeight="1" x14ac:dyDescent="0.15">
      <c r="A476" s="56" t="s">
        <v>985</v>
      </c>
      <c r="B476" s="57" t="s">
        <v>986</v>
      </c>
      <c r="C476" s="58" t="s">
        <v>985</v>
      </c>
      <c r="D476" s="59" t="s">
        <v>985</v>
      </c>
      <c r="E476" s="61"/>
      <c r="F476" s="60" t="s">
        <v>95</v>
      </c>
      <c r="G476" s="61"/>
      <c r="H476" s="62"/>
      <c r="I476" s="75"/>
      <c r="J476" s="60" t="s">
        <v>95</v>
      </c>
      <c r="K476" s="64"/>
      <c r="L476" s="64"/>
      <c r="M476" s="64" t="s">
        <v>96</v>
      </c>
      <c r="N476" s="64" t="s">
        <v>97</v>
      </c>
      <c r="O476" s="65" t="s">
        <v>986</v>
      </c>
      <c r="P476" s="70" t="s">
        <v>96</v>
      </c>
      <c r="Q476" s="60" t="s">
        <v>95</v>
      </c>
      <c r="R476" s="60" t="s">
        <v>96</v>
      </c>
      <c r="S476" s="66" t="s">
        <v>96</v>
      </c>
      <c r="T476" s="67" t="s">
        <v>96</v>
      </c>
      <c r="U476" s="60" t="s">
        <v>96</v>
      </c>
      <c r="V476" s="60" t="s">
        <v>96</v>
      </c>
      <c r="W476" s="60" t="str" cm="1">
        <f t="array" ref="W476">_xlfn.LET(_xlpm.resultados,_xlfn.UNIQUE(_xlfn._xlws.FILTER(Tabla1[Proceso],(Tabla1[Metal Base]=Q476)*(Tabla1[Etiquetas]=_xlfn.TEXTJOIN(" + ",TRUE,IF((TRIM(Upload!R476:V476)="")+(LOWER(TRIM(Upload!R476:V476))="(seleccione)"),"",PROPER(TRIM(Upload!R476:V476)))))*(Tabla1[Línea2]=IFERROR(VLOOKUP(Upload!P476&amp;"*",CAT_Procesos!D:D,1,FALSE),"")))),_xlpm.cantidad,ROWS(_xlpm.resultados),IF(ISERROR(_xlpm.cantidad),"Combinación no existente",IF(_xlpm.cantidad=1,INDEX(_xlpm.resultados,1),"(seleccione)")))</f>
        <v>Combinación no existente</v>
      </c>
      <c r="X476" s="67" t="s">
        <v>96</v>
      </c>
      <c r="Y476" s="64"/>
      <c r="Z476" s="64"/>
      <c r="AA476" s="64"/>
      <c r="AB476" s="133" t="s">
        <v>96</v>
      </c>
      <c r="AC476" s="64"/>
      <c r="AD476" s="64"/>
      <c r="AE476" s="64"/>
      <c r="AF476" s="60" t="s">
        <v>96</v>
      </c>
      <c r="AG476" s="64"/>
      <c r="AH476" s="64"/>
      <c r="AI476" s="64"/>
      <c r="AJ476" s="68" t="s">
        <v>96</v>
      </c>
      <c r="AK476" s="69" t="str">
        <f t="shared" si="14"/>
        <v/>
      </c>
      <c r="AL476" s="70" t="s">
        <v>96</v>
      </c>
      <c r="AM476" s="69" t="str">
        <f t="shared" si="15"/>
        <v/>
      </c>
      <c r="AN476" s="71"/>
      <c r="AO476" s="71"/>
      <c r="AP476" s="71"/>
      <c r="AQ476" s="71"/>
      <c r="AR476" s="71" t="s">
        <v>96</v>
      </c>
      <c r="AS476" s="71"/>
      <c r="AT476" s="71" t="s">
        <v>96</v>
      </c>
      <c r="AU476" s="71"/>
      <c r="AV476" s="71" t="s">
        <v>95</v>
      </c>
      <c r="AW476" s="71"/>
      <c r="AX476" s="71"/>
      <c r="AY476" s="71"/>
      <c r="AZ476" s="71"/>
      <c r="BA476" s="71"/>
      <c r="BB476" s="70" t="s">
        <v>218</v>
      </c>
      <c r="BC476" s="70" t="s">
        <v>98</v>
      </c>
      <c r="BD476" s="72" t="str">
        <f>IF('Cálculo MP'!K486="","",'Cálculo MP'!K486)</f>
        <v/>
      </c>
      <c r="BE476" s="72" t="str">
        <f>IF('Cálculo MP'!L486="","",'Cálculo MP'!L486)</f>
        <v/>
      </c>
      <c r="BF476" s="72" t="str">
        <f>IF('Cálculo MP'!M486="","",'Cálculo MP'!M486)</f>
        <v/>
      </c>
      <c r="BG476" s="72" t="str">
        <f>IF('Cálculo MP'!N486="","",'Cálculo MP'!N486)</f>
        <v/>
      </c>
      <c r="BH476" s="72" t="str">
        <f>IF('Cálculo MP'!O486="","",'Cálculo MP'!O486)</f>
        <v/>
      </c>
      <c r="BI476" s="72" t="str">
        <f>IF('Cálculo MP'!P486="","",'Cálculo MP'!P486)</f>
        <v/>
      </c>
      <c r="BJ476" s="72" t="str">
        <f>IF('Cálculo MP'!Q486="","",'Cálculo MP'!Q486)</f>
        <v/>
      </c>
      <c r="BK476" s="72" t="str">
        <f>IF('Cálculo MP'!R486="","",'Cálculo MP'!R486)</f>
        <v/>
      </c>
      <c r="BL476" s="72" t="str">
        <f>IF('Cálculo MP'!S486="","",'Cálculo MP'!S486)</f>
        <v/>
      </c>
      <c r="BM476" s="71"/>
      <c r="BN476" s="71"/>
      <c r="BO476" s="71"/>
      <c r="BP476" s="71"/>
      <c r="BQ476" s="71"/>
      <c r="BR476" s="71"/>
      <c r="BS476" s="71"/>
    </row>
    <row r="477" spans="1:71" ht="19.5" customHeight="1" x14ac:dyDescent="0.15">
      <c r="A477" s="56" t="s">
        <v>985</v>
      </c>
      <c r="B477" s="57" t="s">
        <v>986</v>
      </c>
      <c r="C477" s="58" t="s">
        <v>985</v>
      </c>
      <c r="D477" s="59" t="s">
        <v>985</v>
      </c>
      <c r="E477" s="61"/>
      <c r="F477" s="60" t="s">
        <v>95</v>
      </c>
      <c r="G477" s="61"/>
      <c r="H477" s="62"/>
      <c r="I477" s="75"/>
      <c r="J477" s="60" t="s">
        <v>95</v>
      </c>
      <c r="K477" s="64"/>
      <c r="L477" s="64"/>
      <c r="M477" s="64" t="s">
        <v>96</v>
      </c>
      <c r="N477" s="64" t="s">
        <v>97</v>
      </c>
      <c r="O477" s="65" t="s">
        <v>986</v>
      </c>
      <c r="P477" s="70" t="s">
        <v>96</v>
      </c>
      <c r="Q477" s="60" t="s">
        <v>95</v>
      </c>
      <c r="R477" s="60" t="s">
        <v>96</v>
      </c>
      <c r="S477" s="66" t="s">
        <v>96</v>
      </c>
      <c r="T477" s="67" t="s">
        <v>96</v>
      </c>
      <c r="U477" s="60" t="s">
        <v>96</v>
      </c>
      <c r="V477" s="60" t="s">
        <v>96</v>
      </c>
      <c r="W477" s="60" t="str" cm="1">
        <f t="array" ref="W477">_xlfn.LET(_xlpm.resultados,_xlfn.UNIQUE(_xlfn._xlws.FILTER(Tabla1[Proceso],(Tabla1[Metal Base]=Q477)*(Tabla1[Etiquetas]=_xlfn.TEXTJOIN(" + ",TRUE,IF((TRIM(Upload!R477:V477)="")+(LOWER(TRIM(Upload!R477:V477))="(seleccione)"),"",PROPER(TRIM(Upload!R477:V477)))))*(Tabla1[Línea2]=IFERROR(VLOOKUP(Upload!P477&amp;"*",CAT_Procesos!D:D,1,FALSE),"")))),_xlpm.cantidad,ROWS(_xlpm.resultados),IF(ISERROR(_xlpm.cantidad),"Combinación no existente",IF(_xlpm.cantidad=1,INDEX(_xlpm.resultados,1),"(seleccione)")))</f>
        <v>Combinación no existente</v>
      </c>
      <c r="X477" s="67" t="s">
        <v>96</v>
      </c>
      <c r="Y477" s="64"/>
      <c r="Z477" s="64"/>
      <c r="AA477" s="64"/>
      <c r="AB477" s="133" t="s">
        <v>96</v>
      </c>
      <c r="AC477" s="64"/>
      <c r="AD477" s="64"/>
      <c r="AE477" s="64"/>
      <c r="AF477" s="60" t="s">
        <v>96</v>
      </c>
      <c r="AG477" s="64"/>
      <c r="AH477" s="64"/>
      <c r="AI477" s="64"/>
      <c r="AJ477" s="68" t="s">
        <v>96</v>
      </c>
      <c r="AK477" s="69" t="str">
        <f t="shared" si="14"/>
        <v/>
      </c>
      <c r="AL477" s="70" t="s">
        <v>96</v>
      </c>
      <c r="AM477" s="69" t="str">
        <f t="shared" si="15"/>
        <v/>
      </c>
      <c r="AN477" s="71"/>
      <c r="AO477" s="71"/>
      <c r="AP477" s="71"/>
      <c r="AQ477" s="71"/>
      <c r="AR477" s="71" t="s">
        <v>96</v>
      </c>
      <c r="AS477" s="71"/>
      <c r="AT477" s="71" t="s">
        <v>96</v>
      </c>
      <c r="AU477" s="71"/>
      <c r="AV477" s="71" t="s">
        <v>95</v>
      </c>
      <c r="AW477" s="71"/>
      <c r="AX477" s="71"/>
      <c r="AY477" s="71"/>
      <c r="AZ477" s="71"/>
      <c r="BA477" s="71"/>
      <c r="BB477" s="70" t="s">
        <v>218</v>
      </c>
      <c r="BC477" s="70" t="s">
        <v>98</v>
      </c>
      <c r="BD477" s="72" t="str">
        <f>IF('Cálculo MP'!K487="","",'Cálculo MP'!K487)</f>
        <v/>
      </c>
      <c r="BE477" s="72" t="str">
        <f>IF('Cálculo MP'!L487="","",'Cálculo MP'!L487)</f>
        <v/>
      </c>
      <c r="BF477" s="72" t="str">
        <f>IF('Cálculo MP'!M487="","",'Cálculo MP'!M487)</f>
        <v/>
      </c>
      <c r="BG477" s="72" t="str">
        <f>IF('Cálculo MP'!N487="","",'Cálculo MP'!N487)</f>
        <v/>
      </c>
      <c r="BH477" s="72" t="str">
        <f>IF('Cálculo MP'!O487="","",'Cálculo MP'!O487)</f>
        <v/>
      </c>
      <c r="BI477" s="72" t="str">
        <f>IF('Cálculo MP'!P487="","",'Cálculo MP'!P487)</f>
        <v/>
      </c>
      <c r="BJ477" s="72" t="str">
        <f>IF('Cálculo MP'!Q487="","",'Cálculo MP'!Q487)</f>
        <v/>
      </c>
      <c r="BK477" s="72" t="str">
        <f>IF('Cálculo MP'!R487="","",'Cálculo MP'!R487)</f>
        <v/>
      </c>
      <c r="BL477" s="72" t="str">
        <f>IF('Cálculo MP'!S487="","",'Cálculo MP'!S487)</f>
        <v/>
      </c>
      <c r="BM477" s="71"/>
      <c r="BN477" s="71"/>
      <c r="BO477" s="71"/>
      <c r="BP477" s="71"/>
      <c r="BQ477" s="71"/>
      <c r="BR477" s="71"/>
      <c r="BS477" s="71"/>
    </row>
    <row r="478" spans="1:71" ht="19.5" customHeight="1" x14ac:dyDescent="0.15">
      <c r="A478" s="56" t="s">
        <v>985</v>
      </c>
      <c r="B478" s="57" t="s">
        <v>986</v>
      </c>
      <c r="C478" s="58" t="s">
        <v>985</v>
      </c>
      <c r="D478" s="59" t="s">
        <v>985</v>
      </c>
      <c r="E478" s="61"/>
      <c r="F478" s="60" t="s">
        <v>95</v>
      </c>
      <c r="G478" s="61"/>
      <c r="H478" s="62"/>
      <c r="I478" s="75"/>
      <c r="J478" s="60" t="s">
        <v>95</v>
      </c>
      <c r="K478" s="64"/>
      <c r="L478" s="64"/>
      <c r="M478" s="64" t="s">
        <v>96</v>
      </c>
      <c r="N478" s="64" t="s">
        <v>97</v>
      </c>
      <c r="O478" s="65" t="s">
        <v>986</v>
      </c>
      <c r="P478" s="70" t="s">
        <v>96</v>
      </c>
      <c r="Q478" s="60" t="s">
        <v>95</v>
      </c>
      <c r="R478" s="60" t="s">
        <v>96</v>
      </c>
      <c r="S478" s="66" t="s">
        <v>96</v>
      </c>
      <c r="T478" s="67" t="s">
        <v>96</v>
      </c>
      <c r="U478" s="60" t="s">
        <v>96</v>
      </c>
      <c r="V478" s="60" t="s">
        <v>96</v>
      </c>
      <c r="W478" s="60" t="str" cm="1">
        <f t="array" ref="W478">_xlfn.LET(_xlpm.resultados,_xlfn.UNIQUE(_xlfn._xlws.FILTER(Tabla1[Proceso],(Tabla1[Metal Base]=Q478)*(Tabla1[Etiquetas]=_xlfn.TEXTJOIN(" + ",TRUE,IF((TRIM(Upload!R478:V478)="")+(LOWER(TRIM(Upload!R478:V478))="(seleccione)"),"",PROPER(TRIM(Upload!R478:V478)))))*(Tabla1[Línea2]=IFERROR(VLOOKUP(Upload!P478&amp;"*",CAT_Procesos!D:D,1,FALSE),"")))),_xlpm.cantidad,ROWS(_xlpm.resultados),IF(ISERROR(_xlpm.cantidad),"Combinación no existente",IF(_xlpm.cantidad=1,INDEX(_xlpm.resultados,1),"(seleccione)")))</f>
        <v>Combinación no existente</v>
      </c>
      <c r="X478" s="67" t="s">
        <v>96</v>
      </c>
      <c r="Y478" s="64"/>
      <c r="Z478" s="64"/>
      <c r="AA478" s="64"/>
      <c r="AB478" s="133" t="s">
        <v>96</v>
      </c>
      <c r="AC478" s="64"/>
      <c r="AD478" s="64"/>
      <c r="AE478" s="64"/>
      <c r="AF478" s="60" t="s">
        <v>96</v>
      </c>
      <c r="AG478" s="64"/>
      <c r="AH478" s="64"/>
      <c r="AI478" s="64"/>
      <c r="AJ478" s="68" t="s">
        <v>96</v>
      </c>
      <c r="AK478" s="69" t="str">
        <f t="shared" si="14"/>
        <v/>
      </c>
      <c r="AL478" s="70" t="s">
        <v>96</v>
      </c>
      <c r="AM478" s="69" t="str">
        <f t="shared" si="15"/>
        <v/>
      </c>
      <c r="AN478" s="71"/>
      <c r="AO478" s="71"/>
      <c r="AP478" s="71"/>
      <c r="AQ478" s="71"/>
      <c r="AR478" s="71" t="s">
        <v>96</v>
      </c>
      <c r="AS478" s="71"/>
      <c r="AT478" s="71" t="s">
        <v>96</v>
      </c>
      <c r="AU478" s="71"/>
      <c r="AV478" s="71" t="s">
        <v>95</v>
      </c>
      <c r="AW478" s="71"/>
      <c r="AX478" s="71"/>
      <c r="AY478" s="71"/>
      <c r="AZ478" s="71"/>
      <c r="BA478" s="71"/>
      <c r="BB478" s="70" t="s">
        <v>218</v>
      </c>
      <c r="BC478" s="70" t="s">
        <v>98</v>
      </c>
      <c r="BD478" s="72" t="str">
        <f>IF('Cálculo MP'!K488="","",'Cálculo MP'!K488)</f>
        <v/>
      </c>
      <c r="BE478" s="72" t="str">
        <f>IF('Cálculo MP'!L488="","",'Cálculo MP'!L488)</f>
        <v/>
      </c>
      <c r="BF478" s="72" t="str">
        <f>IF('Cálculo MP'!M488="","",'Cálculo MP'!M488)</f>
        <v/>
      </c>
      <c r="BG478" s="72" t="str">
        <f>IF('Cálculo MP'!N488="","",'Cálculo MP'!N488)</f>
        <v/>
      </c>
      <c r="BH478" s="72" t="str">
        <f>IF('Cálculo MP'!O488="","",'Cálculo MP'!O488)</f>
        <v/>
      </c>
      <c r="BI478" s="72" t="str">
        <f>IF('Cálculo MP'!P488="","",'Cálculo MP'!P488)</f>
        <v/>
      </c>
      <c r="BJ478" s="72" t="str">
        <f>IF('Cálculo MP'!Q488="","",'Cálculo MP'!Q488)</f>
        <v/>
      </c>
      <c r="BK478" s="72" t="str">
        <f>IF('Cálculo MP'!R488="","",'Cálculo MP'!R488)</f>
        <v/>
      </c>
      <c r="BL478" s="72" t="str">
        <f>IF('Cálculo MP'!S488="","",'Cálculo MP'!S488)</f>
        <v/>
      </c>
      <c r="BM478" s="71"/>
      <c r="BN478" s="71"/>
      <c r="BO478" s="71"/>
      <c r="BP478" s="71"/>
      <c r="BQ478" s="71"/>
      <c r="BR478" s="71"/>
      <c r="BS478" s="71"/>
    </row>
    <row r="479" spans="1:71" ht="19.5" customHeight="1" x14ac:dyDescent="0.15">
      <c r="A479" s="56" t="s">
        <v>985</v>
      </c>
      <c r="B479" s="57" t="s">
        <v>986</v>
      </c>
      <c r="C479" s="58" t="s">
        <v>985</v>
      </c>
      <c r="D479" s="59" t="s">
        <v>985</v>
      </c>
      <c r="E479" s="61"/>
      <c r="F479" s="60" t="s">
        <v>95</v>
      </c>
      <c r="G479" s="61"/>
      <c r="H479" s="62"/>
      <c r="I479" s="75"/>
      <c r="J479" s="60" t="s">
        <v>95</v>
      </c>
      <c r="K479" s="64"/>
      <c r="L479" s="64"/>
      <c r="M479" s="64" t="s">
        <v>96</v>
      </c>
      <c r="N479" s="64" t="s">
        <v>97</v>
      </c>
      <c r="O479" s="65" t="s">
        <v>986</v>
      </c>
      <c r="P479" s="70" t="s">
        <v>96</v>
      </c>
      <c r="Q479" s="60" t="s">
        <v>95</v>
      </c>
      <c r="R479" s="60" t="s">
        <v>96</v>
      </c>
      <c r="S479" s="66" t="s">
        <v>96</v>
      </c>
      <c r="T479" s="67" t="s">
        <v>96</v>
      </c>
      <c r="U479" s="60" t="s">
        <v>96</v>
      </c>
      <c r="V479" s="60" t="s">
        <v>96</v>
      </c>
      <c r="W479" s="60" t="str" cm="1">
        <f t="array" ref="W479">_xlfn.LET(_xlpm.resultados,_xlfn.UNIQUE(_xlfn._xlws.FILTER(Tabla1[Proceso],(Tabla1[Metal Base]=Q479)*(Tabla1[Etiquetas]=_xlfn.TEXTJOIN(" + ",TRUE,IF((TRIM(Upload!R479:V479)="")+(LOWER(TRIM(Upload!R479:V479))="(seleccione)"),"",PROPER(TRIM(Upload!R479:V479)))))*(Tabla1[Línea2]=IFERROR(VLOOKUP(Upload!P479&amp;"*",CAT_Procesos!D:D,1,FALSE),"")))),_xlpm.cantidad,ROWS(_xlpm.resultados),IF(ISERROR(_xlpm.cantidad),"Combinación no existente",IF(_xlpm.cantidad=1,INDEX(_xlpm.resultados,1),"(seleccione)")))</f>
        <v>Combinación no existente</v>
      </c>
      <c r="X479" s="67" t="s">
        <v>96</v>
      </c>
      <c r="Y479" s="64"/>
      <c r="Z479" s="64"/>
      <c r="AA479" s="64"/>
      <c r="AB479" s="133" t="s">
        <v>96</v>
      </c>
      <c r="AC479" s="64"/>
      <c r="AD479" s="64"/>
      <c r="AE479" s="64"/>
      <c r="AF479" s="60" t="s">
        <v>96</v>
      </c>
      <c r="AG479" s="64"/>
      <c r="AH479" s="64"/>
      <c r="AI479" s="64"/>
      <c r="AJ479" s="68" t="s">
        <v>96</v>
      </c>
      <c r="AK479" s="69" t="str">
        <f t="shared" si="14"/>
        <v/>
      </c>
      <c r="AL479" s="70" t="s">
        <v>96</v>
      </c>
      <c r="AM479" s="69" t="str">
        <f t="shared" si="15"/>
        <v/>
      </c>
      <c r="AN479" s="71"/>
      <c r="AO479" s="71"/>
      <c r="AP479" s="71"/>
      <c r="AQ479" s="71"/>
      <c r="AR479" s="71" t="s">
        <v>96</v>
      </c>
      <c r="AS479" s="71"/>
      <c r="AT479" s="71" t="s">
        <v>96</v>
      </c>
      <c r="AU479" s="71"/>
      <c r="AV479" s="71" t="s">
        <v>95</v>
      </c>
      <c r="AW479" s="71"/>
      <c r="AX479" s="71"/>
      <c r="AY479" s="71"/>
      <c r="AZ479" s="71"/>
      <c r="BA479" s="71"/>
      <c r="BB479" s="70" t="s">
        <v>218</v>
      </c>
      <c r="BC479" s="70" t="s">
        <v>98</v>
      </c>
      <c r="BD479" s="72" t="str">
        <f>IF('Cálculo MP'!K489="","",'Cálculo MP'!K489)</f>
        <v/>
      </c>
      <c r="BE479" s="72" t="str">
        <f>IF('Cálculo MP'!L489="","",'Cálculo MP'!L489)</f>
        <v/>
      </c>
      <c r="BF479" s="72" t="str">
        <f>IF('Cálculo MP'!M489="","",'Cálculo MP'!M489)</f>
        <v/>
      </c>
      <c r="BG479" s="72" t="str">
        <f>IF('Cálculo MP'!N489="","",'Cálculo MP'!N489)</f>
        <v/>
      </c>
      <c r="BH479" s="72" t="str">
        <f>IF('Cálculo MP'!O489="","",'Cálculo MP'!O489)</f>
        <v/>
      </c>
      <c r="BI479" s="72" t="str">
        <f>IF('Cálculo MP'!P489="","",'Cálculo MP'!P489)</f>
        <v/>
      </c>
      <c r="BJ479" s="72" t="str">
        <f>IF('Cálculo MP'!Q489="","",'Cálculo MP'!Q489)</f>
        <v/>
      </c>
      <c r="BK479" s="72" t="str">
        <f>IF('Cálculo MP'!R489="","",'Cálculo MP'!R489)</f>
        <v/>
      </c>
      <c r="BL479" s="72" t="str">
        <f>IF('Cálculo MP'!S489="","",'Cálculo MP'!S489)</f>
        <v/>
      </c>
      <c r="BM479" s="71"/>
      <c r="BN479" s="71"/>
      <c r="BO479" s="71"/>
      <c r="BP479" s="71"/>
      <c r="BQ479" s="71"/>
      <c r="BR479" s="71"/>
      <c r="BS479" s="71"/>
    </row>
    <row r="480" spans="1:71" ht="19.5" customHeight="1" x14ac:dyDescent="0.15">
      <c r="A480" s="56" t="s">
        <v>985</v>
      </c>
      <c r="B480" s="57" t="s">
        <v>986</v>
      </c>
      <c r="C480" s="58" t="s">
        <v>985</v>
      </c>
      <c r="D480" s="59" t="s">
        <v>985</v>
      </c>
      <c r="E480" s="61"/>
      <c r="F480" s="60" t="s">
        <v>95</v>
      </c>
      <c r="G480" s="61"/>
      <c r="H480" s="62"/>
      <c r="I480" s="75"/>
      <c r="J480" s="60" t="s">
        <v>95</v>
      </c>
      <c r="K480" s="64"/>
      <c r="L480" s="64"/>
      <c r="M480" s="64" t="s">
        <v>96</v>
      </c>
      <c r="N480" s="64" t="s">
        <v>97</v>
      </c>
      <c r="O480" s="65" t="s">
        <v>986</v>
      </c>
      <c r="P480" s="70" t="s">
        <v>96</v>
      </c>
      <c r="Q480" s="60" t="s">
        <v>95</v>
      </c>
      <c r="R480" s="60" t="s">
        <v>96</v>
      </c>
      <c r="S480" s="66" t="s">
        <v>96</v>
      </c>
      <c r="T480" s="67" t="s">
        <v>96</v>
      </c>
      <c r="U480" s="60" t="s">
        <v>96</v>
      </c>
      <c r="V480" s="60" t="s">
        <v>96</v>
      </c>
      <c r="W480" s="60" t="str" cm="1">
        <f t="array" ref="W480">_xlfn.LET(_xlpm.resultados,_xlfn.UNIQUE(_xlfn._xlws.FILTER(Tabla1[Proceso],(Tabla1[Metal Base]=Q480)*(Tabla1[Etiquetas]=_xlfn.TEXTJOIN(" + ",TRUE,IF((TRIM(Upload!R480:V480)="")+(LOWER(TRIM(Upload!R480:V480))="(seleccione)"),"",PROPER(TRIM(Upload!R480:V480)))))*(Tabla1[Línea2]=IFERROR(VLOOKUP(Upload!P480&amp;"*",CAT_Procesos!D:D,1,FALSE),"")))),_xlpm.cantidad,ROWS(_xlpm.resultados),IF(ISERROR(_xlpm.cantidad),"Combinación no existente",IF(_xlpm.cantidad=1,INDEX(_xlpm.resultados,1),"(seleccione)")))</f>
        <v>Combinación no existente</v>
      </c>
      <c r="X480" s="67" t="s">
        <v>96</v>
      </c>
      <c r="Y480" s="64"/>
      <c r="Z480" s="64"/>
      <c r="AA480" s="64"/>
      <c r="AB480" s="133" t="s">
        <v>96</v>
      </c>
      <c r="AC480" s="64"/>
      <c r="AD480" s="64"/>
      <c r="AE480" s="64"/>
      <c r="AF480" s="60" t="s">
        <v>96</v>
      </c>
      <c r="AG480" s="64"/>
      <c r="AH480" s="64"/>
      <c r="AI480" s="64"/>
      <c r="AJ480" s="68" t="s">
        <v>96</v>
      </c>
      <c r="AK480" s="69" t="str">
        <f t="shared" si="14"/>
        <v/>
      </c>
      <c r="AL480" s="70" t="s">
        <v>96</v>
      </c>
      <c r="AM480" s="69" t="str">
        <f t="shared" si="15"/>
        <v/>
      </c>
      <c r="AN480" s="71"/>
      <c r="AO480" s="71"/>
      <c r="AP480" s="71"/>
      <c r="AQ480" s="71"/>
      <c r="AR480" s="71" t="s">
        <v>96</v>
      </c>
      <c r="AS480" s="71"/>
      <c r="AT480" s="71" t="s">
        <v>96</v>
      </c>
      <c r="AU480" s="71"/>
      <c r="AV480" s="71" t="s">
        <v>95</v>
      </c>
      <c r="AW480" s="71"/>
      <c r="AX480" s="71"/>
      <c r="AY480" s="71"/>
      <c r="AZ480" s="71"/>
      <c r="BA480" s="71"/>
      <c r="BB480" s="70" t="s">
        <v>218</v>
      </c>
      <c r="BC480" s="70" t="s">
        <v>98</v>
      </c>
      <c r="BD480" s="72" t="str">
        <f>IF('Cálculo MP'!K490="","",'Cálculo MP'!K490)</f>
        <v/>
      </c>
      <c r="BE480" s="72" t="str">
        <f>IF('Cálculo MP'!L490="","",'Cálculo MP'!L490)</f>
        <v/>
      </c>
      <c r="BF480" s="72" t="str">
        <f>IF('Cálculo MP'!M490="","",'Cálculo MP'!M490)</f>
        <v/>
      </c>
      <c r="BG480" s="72" t="str">
        <f>IF('Cálculo MP'!N490="","",'Cálculo MP'!N490)</f>
        <v/>
      </c>
      <c r="BH480" s="72" t="str">
        <f>IF('Cálculo MP'!O490="","",'Cálculo MP'!O490)</f>
        <v/>
      </c>
      <c r="BI480" s="72" t="str">
        <f>IF('Cálculo MP'!P490="","",'Cálculo MP'!P490)</f>
        <v/>
      </c>
      <c r="BJ480" s="72" t="str">
        <f>IF('Cálculo MP'!Q490="","",'Cálculo MP'!Q490)</f>
        <v/>
      </c>
      <c r="BK480" s="72" t="str">
        <f>IF('Cálculo MP'!R490="","",'Cálculo MP'!R490)</f>
        <v/>
      </c>
      <c r="BL480" s="72" t="str">
        <f>IF('Cálculo MP'!S490="","",'Cálculo MP'!S490)</f>
        <v/>
      </c>
      <c r="BM480" s="71"/>
      <c r="BN480" s="71"/>
      <c r="BO480" s="71"/>
      <c r="BP480" s="71"/>
      <c r="BQ480" s="71"/>
      <c r="BR480" s="71"/>
      <c r="BS480" s="71"/>
    </row>
    <row r="481" spans="1:71" ht="19.5" customHeight="1" x14ac:dyDescent="0.15">
      <c r="A481" s="56" t="s">
        <v>985</v>
      </c>
      <c r="B481" s="57" t="s">
        <v>986</v>
      </c>
      <c r="C481" s="58" t="s">
        <v>985</v>
      </c>
      <c r="D481" s="59" t="s">
        <v>985</v>
      </c>
      <c r="E481" s="61"/>
      <c r="F481" s="60" t="s">
        <v>95</v>
      </c>
      <c r="G481" s="61"/>
      <c r="H481" s="62"/>
      <c r="I481" s="75"/>
      <c r="J481" s="60" t="s">
        <v>95</v>
      </c>
      <c r="K481" s="64"/>
      <c r="L481" s="64"/>
      <c r="M481" s="64" t="s">
        <v>96</v>
      </c>
      <c r="N481" s="64" t="s">
        <v>97</v>
      </c>
      <c r="O481" s="65" t="s">
        <v>986</v>
      </c>
      <c r="P481" s="70" t="s">
        <v>96</v>
      </c>
      <c r="Q481" s="60" t="s">
        <v>95</v>
      </c>
      <c r="R481" s="60" t="s">
        <v>96</v>
      </c>
      <c r="S481" s="66" t="s">
        <v>96</v>
      </c>
      <c r="T481" s="67" t="s">
        <v>96</v>
      </c>
      <c r="U481" s="60" t="s">
        <v>96</v>
      </c>
      <c r="V481" s="60" t="s">
        <v>96</v>
      </c>
      <c r="W481" s="60" t="str" cm="1">
        <f t="array" ref="W481">_xlfn.LET(_xlpm.resultados,_xlfn.UNIQUE(_xlfn._xlws.FILTER(Tabla1[Proceso],(Tabla1[Metal Base]=Q481)*(Tabla1[Etiquetas]=_xlfn.TEXTJOIN(" + ",TRUE,IF((TRIM(Upload!R481:V481)="")+(LOWER(TRIM(Upload!R481:V481))="(seleccione)"),"",PROPER(TRIM(Upload!R481:V481)))))*(Tabla1[Línea2]=IFERROR(VLOOKUP(Upload!P481&amp;"*",CAT_Procesos!D:D,1,FALSE),"")))),_xlpm.cantidad,ROWS(_xlpm.resultados),IF(ISERROR(_xlpm.cantidad),"Combinación no existente",IF(_xlpm.cantidad=1,INDEX(_xlpm.resultados,1),"(seleccione)")))</f>
        <v>Combinación no existente</v>
      </c>
      <c r="X481" s="67" t="s">
        <v>96</v>
      </c>
      <c r="Y481" s="64"/>
      <c r="Z481" s="64"/>
      <c r="AA481" s="64"/>
      <c r="AB481" s="133" t="s">
        <v>96</v>
      </c>
      <c r="AC481" s="64"/>
      <c r="AD481" s="64"/>
      <c r="AE481" s="64"/>
      <c r="AF481" s="60" t="s">
        <v>96</v>
      </c>
      <c r="AG481" s="64"/>
      <c r="AH481" s="64"/>
      <c r="AI481" s="64"/>
      <c r="AJ481" s="68" t="s">
        <v>96</v>
      </c>
      <c r="AK481" s="69" t="str">
        <f t="shared" si="14"/>
        <v/>
      </c>
      <c r="AL481" s="70" t="s">
        <v>96</v>
      </c>
      <c r="AM481" s="69" t="str">
        <f t="shared" si="15"/>
        <v/>
      </c>
      <c r="AN481" s="71"/>
      <c r="AO481" s="71"/>
      <c r="AP481" s="71"/>
      <c r="AQ481" s="71"/>
      <c r="AR481" s="71" t="s">
        <v>96</v>
      </c>
      <c r="AS481" s="71"/>
      <c r="AT481" s="71" t="s">
        <v>96</v>
      </c>
      <c r="AU481" s="71"/>
      <c r="AV481" s="71" t="s">
        <v>95</v>
      </c>
      <c r="AW481" s="71"/>
      <c r="AX481" s="71"/>
      <c r="AY481" s="71"/>
      <c r="AZ481" s="71"/>
      <c r="BA481" s="71"/>
      <c r="BB481" s="70" t="s">
        <v>218</v>
      </c>
      <c r="BC481" s="70" t="s">
        <v>98</v>
      </c>
      <c r="BD481" s="72" t="str">
        <f>IF('Cálculo MP'!K491="","",'Cálculo MP'!K491)</f>
        <v/>
      </c>
      <c r="BE481" s="72" t="str">
        <f>IF('Cálculo MP'!L491="","",'Cálculo MP'!L491)</f>
        <v/>
      </c>
      <c r="BF481" s="72" t="str">
        <f>IF('Cálculo MP'!M491="","",'Cálculo MP'!M491)</f>
        <v/>
      </c>
      <c r="BG481" s="72" t="str">
        <f>IF('Cálculo MP'!N491="","",'Cálculo MP'!N491)</f>
        <v/>
      </c>
      <c r="BH481" s="72" t="str">
        <f>IF('Cálculo MP'!O491="","",'Cálculo MP'!O491)</f>
        <v/>
      </c>
      <c r="BI481" s="72" t="str">
        <f>IF('Cálculo MP'!P491="","",'Cálculo MP'!P491)</f>
        <v/>
      </c>
      <c r="BJ481" s="72" t="str">
        <f>IF('Cálculo MP'!Q491="","",'Cálculo MP'!Q491)</f>
        <v/>
      </c>
      <c r="BK481" s="72" t="str">
        <f>IF('Cálculo MP'!R491="","",'Cálculo MP'!R491)</f>
        <v/>
      </c>
      <c r="BL481" s="72" t="str">
        <f>IF('Cálculo MP'!S491="","",'Cálculo MP'!S491)</f>
        <v/>
      </c>
      <c r="BM481" s="71"/>
      <c r="BN481" s="71"/>
      <c r="BO481" s="71"/>
      <c r="BP481" s="71"/>
      <c r="BQ481" s="71"/>
      <c r="BR481" s="71"/>
      <c r="BS481" s="71"/>
    </row>
    <row r="482" spans="1:71" ht="19.5" customHeight="1" x14ac:dyDescent="0.15">
      <c r="A482" s="56" t="s">
        <v>985</v>
      </c>
      <c r="B482" s="57" t="s">
        <v>986</v>
      </c>
      <c r="C482" s="58" t="s">
        <v>985</v>
      </c>
      <c r="D482" s="59" t="s">
        <v>985</v>
      </c>
      <c r="E482" s="61"/>
      <c r="F482" s="60" t="s">
        <v>95</v>
      </c>
      <c r="G482" s="61"/>
      <c r="H482" s="62"/>
      <c r="I482" s="75"/>
      <c r="J482" s="60" t="s">
        <v>95</v>
      </c>
      <c r="K482" s="64"/>
      <c r="L482" s="64"/>
      <c r="M482" s="64" t="s">
        <v>96</v>
      </c>
      <c r="N482" s="64" t="s">
        <v>97</v>
      </c>
      <c r="O482" s="65" t="s">
        <v>986</v>
      </c>
      <c r="P482" s="70" t="s">
        <v>96</v>
      </c>
      <c r="Q482" s="60" t="s">
        <v>95</v>
      </c>
      <c r="R482" s="60" t="s">
        <v>96</v>
      </c>
      <c r="S482" s="66" t="s">
        <v>96</v>
      </c>
      <c r="T482" s="67" t="s">
        <v>96</v>
      </c>
      <c r="U482" s="60" t="s">
        <v>96</v>
      </c>
      <c r="V482" s="60" t="s">
        <v>96</v>
      </c>
      <c r="W482" s="60" t="str" cm="1">
        <f t="array" ref="W482">_xlfn.LET(_xlpm.resultados,_xlfn.UNIQUE(_xlfn._xlws.FILTER(Tabla1[Proceso],(Tabla1[Metal Base]=Q482)*(Tabla1[Etiquetas]=_xlfn.TEXTJOIN(" + ",TRUE,IF((TRIM(Upload!R482:V482)="")+(LOWER(TRIM(Upload!R482:V482))="(seleccione)"),"",PROPER(TRIM(Upload!R482:V482)))))*(Tabla1[Línea2]=IFERROR(VLOOKUP(Upload!P482&amp;"*",CAT_Procesos!D:D,1,FALSE),"")))),_xlpm.cantidad,ROWS(_xlpm.resultados),IF(ISERROR(_xlpm.cantidad),"Combinación no existente",IF(_xlpm.cantidad=1,INDEX(_xlpm.resultados,1),"(seleccione)")))</f>
        <v>Combinación no existente</v>
      </c>
      <c r="X482" s="67" t="s">
        <v>96</v>
      </c>
      <c r="Y482" s="64"/>
      <c r="Z482" s="64"/>
      <c r="AA482" s="64"/>
      <c r="AB482" s="133" t="s">
        <v>96</v>
      </c>
      <c r="AC482" s="64"/>
      <c r="AD482" s="64"/>
      <c r="AE482" s="64"/>
      <c r="AF482" s="60" t="s">
        <v>96</v>
      </c>
      <c r="AG482" s="64"/>
      <c r="AH482" s="64"/>
      <c r="AI482" s="64"/>
      <c r="AJ482" s="68" t="s">
        <v>96</v>
      </c>
      <c r="AK482" s="69" t="str">
        <f t="shared" si="14"/>
        <v/>
      </c>
      <c r="AL482" s="70" t="s">
        <v>96</v>
      </c>
      <c r="AM482" s="69" t="str">
        <f t="shared" si="15"/>
        <v/>
      </c>
      <c r="AN482" s="71"/>
      <c r="AO482" s="71"/>
      <c r="AP482" s="71"/>
      <c r="AQ482" s="71"/>
      <c r="AR482" s="71" t="s">
        <v>96</v>
      </c>
      <c r="AS482" s="71"/>
      <c r="AT482" s="71" t="s">
        <v>96</v>
      </c>
      <c r="AU482" s="71"/>
      <c r="AV482" s="71" t="s">
        <v>95</v>
      </c>
      <c r="AW482" s="71"/>
      <c r="AX482" s="71"/>
      <c r="AY482" s="71"/>
      <c r="AZ482" s="71"/>
      <c r="BA482" s="71"/>
      <c r="BB482" s="70" t="s">
        <v>218</v>
      </c>
      <c r="BC482" s="70" t="s">
        <v>98</v>
      </c>
      <c r="BD482" s="72" t="str">
        <f>IF('Cálculo MP'!K492="","",'Cálculo MP'!K492)</f>
        <v/>
      </c>
      <c r="BE482" s="72" t="str">
        <f>IF('Cálculo MP'!L492="","",'Cálculo MP'!L492)</f>
        <v/>
      </c>
      <c r="BF482" s="72" t="str">
        <f>IF('Cálculo MP'!M492="","",'Cálculo MP'!M492)</f>
        <v/>
      </c>
      <c r="BG482" s="72" t="str">
        <f>IF('Cálculo MP'!N492="","",'Cálculo MP'!N492)</f>
        <v/>
      </c>
      <c r="BH482" s="72" t="str">
        <f>IF('Cálculo MP'!O492="","",'Cálculo MP'!O492)</f>
        <v/>
      </c>
      <c r="BI482" s="72" t="str">
        <f>IF('Cálculo MP'!P492="","",'Cálculo MP'!P492)</f>
        <v/>
      </c>
      <c r="BJ482" s="72" t="str">
        <f>IF('Cálculo MP'!Q492="","",'Cálculo MP'!Q492)</f>
        <v/>
      </c>
      <c r="BK482" s="72" t="str">
        <f>IF('Cálculo MP'!R492="","",'Cálculo MP'!R492)</f>
        <v/>
      </c>
      <c r="BL482" s="72" t="str">
        <f>IF('Cálculo MP'!S492="","",'Cálculo MP'!S492)</f>
        <v/>
      </c>
      <c r="BM482" s="71"/>
      <c r="BN482" s="71"/>
      <c r="BO482" s="71"/>
      <c r="BP482" s="71"/>
      <c r="BQ482" s="71"/>
      <c r="BR482" s="71"/>
      <c r="BS482" s="71"/>
    </row>
    <row r="483" spans="1:71" ht="19.5" customHeight="1" x14ac:dyDescent="0.15">
      <c r="A483" s="56" t="s">
        <v>985</v>
      </c>
      <c r="B483" s="57" t="s">
        <v>986</v>
      </c>
      <c r="C483" s="58" t="s">
        <v>985</v>
      </c>
      <c r="D483" s="59" t="s">
        <v>985</v>
      </c>
      <c r="E483" s="61"/>
      <c r="F483" s="60" t="s">
        <v>95</v>
      </c>
      <c r="G483" s="61"/>
      <c r="H483" s="62"/>
      <c r="I483" s="75"/>
      <c r="J483" s="60" t="s">
        <v>95</v>
      </c>
      <c r="K483" s="64"/>
      <c r="L483" s="64"/>
      <c r="M483" s="64" t="s">
        <v>96</v>
      </c>
      <c r="N483" s="64" t="s">
        <v>97</v>
      </c>
      <c r="O483" s="65" t="s">
        <v>986</v>
      </c>
      <c r="P483" s="70" t="s">
        <v>96</v>
      </c>
      <c r="Q483" s="60" t="s">
        <v>95</v>
      </c>
      <c r="R483" s="60" t="s">
        <v>96</v>
      </c>
      <c r="S483" s="66" t="s">
        <v>96</v>
      </c>
      <c r="T483" s="67" t="s">
        <v>96</v>
      </c>
      <c r="U483" s="60" t="s">
        <v>96</v>
      </c>
      <c r="V483" s="60" t="s">
        <v>96</v>
      </c>
      <c r="W483" s="60" t="str" cm="1">
        <f t="array" ref="W483">_xlfn.LET(_xlpm.resultados,_xlfn.UNIQUE(_xlfn._xlws.FILTER(Tabla1[Proceso],(Tabla1[Metal Base]=Q483)*(Tabla1[Etiquetas]=_xlfn.TEXTJOIN(" + ",TRUE,IF((TRIM(Upload!R483:V483)="")+(LOWER(TRIM(Upload!R483:V483))="(seleccione)"),"",PROPER(TRIM(Upload!R483:V483)))))*(Tabla1[Línea2]=IFERROR(VLOOKUP(Upload!P483&amp;"*",CAT_Procesos!D:D,1,FALSE),"")))),_xlpm.cantidad,ROWS(_xlpm.resultados),IF(ISERROR(_xlpm.cantidad),"Combinación no existente",IF(_xlpm.cantidad=1,INDEX(_xlpm.resultados,1),"(seleccione)")))</f>
        <v>Combinación no existente</v>
      </c>
      <c r="X483" s="67" t="s">
        <v>96</v>
      </c>
      <c r="Y483" s="64"/>
      <c r="Z483" s="64"/>
      <c r="AA483" s="64"/>
      <c r="AB483" s="133" t="s">
        <v>96</v>
      </c>
      <c r="AC483" s="64"/>
      <c r="AD483" s="64"/>
      <c r="AE483" s="64"/>
      <c r="AF483" s="60" t="s">
        <v>96</v>
      </c>
      <c r="AG483" s="64"/>
      <c r="AH483" s="64"/>
      <c r="AI483" s="64"/>
      <c r="AJ483" s="68" t="s">
        <v>96</v>
      </c>
      <c r="AK483" s="69" t="str">
        <f t="shared" si="14"/>
        <v/>
      </c>
      <c r="AL483" s="70" t="s">
        <v>96</v>
      </c>
      <c r="AM483" s="69" t="str">
        <f t="shared" si="15"/>
        <v/>
      </c>
      <c r="AN483" s="71"/>
      <c r="AO483" s="71"/>
      <c r="AP483" s="71"/>
      <c r="AQ483" s="71"/>
      <c r="AR483" s="71" t="s">
        <v>96</v>
      </c>
      <c r="AS483" s="71"/>
      <c r="AT483" s="71" t="s">
        <v>96</v>
      </c>
      <c r="AU483" s="71"/>
      <c r="AV483" s="71" t="s">
        <v>95</v>
      </c>
      <c r="AW483" s="71"/>
      <c r="AX483" s="71"/>
      <c r="AY483" s="71"/>
      <c r="AZ483" s="71"/>
      <c r="BA483" s="71"/>
      <c r="BB483" s="70" t="s">
        <v>218</v>
      </c>
      <c r="BC483" s="70" t="s">
        <v>98</v>
      </c>
      <c r="BD483" s="72" t="str">
        <f>IF('Cálculo MP'!K493="","",'Cálculo MP'!K493)</f>
        <v/>
      </c>
      <c r="BE483" s="72" t="str">
        <f>IF('Cálculo MP'!L493="","",'Cálculo MP'!L493)</f>
        <v/>
      </c>
      <c r="BF483" s="72" t="str">
        <f>IF('Cálculo MP'!M493="","",'Cálculo MP'!M493)</f>
        <v/>
      </c>
      <c r="BG483" s="72" t="str">
        <f>IF('Cálculo MP'!N493="","",'Cálculo MP'!N493)</f>
        <v/>
      </c>
      <c r="BH483" s="72" t="str">
        <f>IF('Cálculo MP'!O493="","",'Cálculo MP'!O493)</f>
        <v/>
      </c>
      <c r="BI483" s="72" t="str">
        <f>IF('Cálculo MP'!P493="","",'Cálculo MP'!P493)</f>
        <v/>
      </c>
      <c r="BJ483" s="72" t="str">
        <f>IF('Cálculo MP'!Q493="","",'Cálculo MP'!Q493)</f>
        <v/>
      </c>
      <c r="BK483" s="72" t="str">
        <f>IF('Cálculo MP'!R493="","",'Cálculo MP'!R493)</f>
        <v/>
      </c>
      <c r="BL483" s="72" t="str">
        <f>IF('Cálculo MP'!S493="","",'Cálculo MP'!S493)</f>
        <v/>
      </c>
      <c r="BM483" s="71"/>
      <c r="BN483" s="71"/>
      <c r="BO483" s="71"/>
      <c r="BP483" s="71"/>
      <c r="BQ483" s="71"/>
      <c r="BR483" s="71"/>
      <c r="BS483" s="71"/>
    </row>
    <row r="484" spans="1:71" ht="19.5" customHeight="1" x14ac:dyDescent="0.15">
      <c r="A484" s="56" t="s">
        <v>985</v>
      </c>
      <c r="B484" s="57" t="s">
        <v>986</v>
      </c>
      <c r="C484" s="58" t="s">
        <v>985</v>
      </c>
      <c r="D484" s="59" t="s">
        <v>985</v>
      </c>
      <c r="E484" s="61"/>
      <c r="F484" s="60" t="s">
        <v>95</v>
      </c>
      <c r="G484" s="61"/>
      <c r="H484" s="62"/>
      <c r="I484" s="75"/>
      <c r="J484" s="60" t="s">
        <v>95</v>
      </c>
      <c r="K484" s="64"/>
      <c r="L484" s="64"/>
      <c r="M484" s="64" t="s">
        <v>96</v>
      </c>
      <c r="N484" s="64" t="s">
        <v>97</v>
      </c>
      <c r="O484" s="65" t="s">
        <v>986</v>
      </c>
      <c r="P484" s="70" t="s">
        <v>96</v>
      </c>
      <c r="Q484" s="60" t="s">
        <v>95</v>
      </c>
      <c r="R484" s="60" t="s">
        <v>96</v>
      </c>
      <c r="S484" s="66" t="s">
        <v>96</v>
      </c>
      <c r="T484" s="67" t="s">
        <v>96</v>
      </c>
      <c r="U484" s="60" t="s">
        <v>96</v>
      </c>
      <c r="V484" s="60" t="s">
        <v>96</v>
      </c>
      <c r="W484" s="60" t="str" cm="1">
        <f t="array" ref="W484">_xlfn.LET(_xlpm.resultados,_xlfn.UNIQUE(_xlfn._xlws.FILTER(Tabla1[Proceso],(Tabla1[Metal Base]=Q484)*(Tabla1[Etiquetas]=_xlfn.TEXTJOIN(" + ",TRUE,IF((TRIM(Upload!R484:V484)="")+(LOWER(TRIM(Upload!R484:V484))="(seleccione)"),"",PROPER(TRIM(Upload!R484:V484)))))*(Tabla1[Línea2]=IFERROR(VLOOKUP(Upload!P484&amp;"*",CAT_Procesos!D:D,1,FALSE),"")))),_xlpm.cantidad,ROWS(_xlpm.resultados),IF(ISERROR(_xlpm.cantidad),"Combinación no existente",IF(_xlpm.cantidad=1,INDEX(_xlpm.resultados,1),"(seleccione)")))</f>
        <v>Combinación no existente</v>
      </c>
      <c r="X484" s="67" t="s">
        <v>96</v>
      </c>
      <c r="Y484" s="64"/>
      <c r="Z484" s="64"/>
      <c r="AA484" s="64"/>
      <c r="AB484" s="133" t="s">
        <v>96</v>
      </c>
      <c r="AC484" s="64"/>
      <c r="AD484" s="64"/>
      <c r="AE484" s="64"/>
      <c r="AF484" s="60" t="s">
        <v>96</v>
      </c>
      <c r="AG484" s="64"/>
      <c r="AH484" s="64"/>
      <c r="AI484" s="64"/>
      <c r="AJ484" s="68" t="s">
        <v>96</v>
      </c>
      <c r="AK484" s="69" t="str">
        <f t="shared" si="14"/>
        <v/>
      </c>
      <c r="AL484" s="70" t="s">
        <v>96</v>
      </c>
      <c r="AM484" s="69" t="str">
        <f t="shared" si="15"/>
        <v/>
      </c>
      <c r="AN484" s="71"/>
      <c r="AO484" s="71"/>
      <c r="AP484" s="71"/>
      <c r="AQ484" s="71"/>
      <c r="AR484" s="71" t="s">
        <v>96</v>
      </c>
      <c r="AS484" s="71"/>
      <c r="AT484" s="71" t="s">
        <v>96</v>
      </c>
      <c r="AU484" s="71"/>
      <c r="AV484" s="71" t="s">
        <v>95</v>
      </c>
      <c r="AW484" s="71"/>
      <c r="AX484" s="71"/>
      <c r="AY484" s="71"/>
      <c r="AZ484" s="71"/>
      <c r="BA484" s="71"/>
      <c r="BB484" s="70" t="s">
        <v>218</v>
      </c>
      <c r="BC484" s="70" t="s">
        <v>98</v>
      </c>
      <c r="BD484" s="72" t="str">
        <f>IF('Cálculo MP'!K494="","",'Cálculo MP'!K494)</f>
        <v/>
      </c>
      <c r="BE484" s="72" t="str">
        <f>IF('Cálculo MP'!L494="","",'Cálculo MP'!L494)</f>
        <v/>
      </c>
      <c r="BF484" s="72" t="str">
        <f>IF('Cálculo MP'!M494="","",'Cálculo MP'!M494)</f>
        <v/>
      </c>
      <c r="BG484" s="72" t="str">
        <f>IF('Cálculo MP'!N494="","",'Cálculo MP'!N494)</f>
        <v/>
      </c>
      <c r="BH484" s="72" t="str">
        <f>IF('Cálculo MP'!O494="","",'Cálculo MP'!O494)</f>
        <v/>
      </c>
      <c r="BI484" s="72" t="str">
        <f>IF('Cálculo MP'!P494="","",'Cálculo MP'!P494)</f>
        <v/>
      </c>
      <c r="BJ484" s="72" t="str">
        <f>IF('Cálculo MP'!Q494="","",'Cálculo MP'!Q494)</f>
        <v/>
      </c>
      <c r="BK484" s="72" t="str">
        <f>IF('Cálculo MP'!R494="","",'Cálculo MP'!R494)</f>
        <v/>
      </c>
      <c r="BL484" s="72" t="str">
        <f>IF('Cálculo MP'!S494="","",'Cálculo MP'!S494)</f>
        <v/>
      </c>
      <c r="BM484" s="71"/>
      <c r="BN484" s="71"/>
      <c r="BO484" s="71"/>
      <c r="BP484" s="71"/>
      <c r="BQ484" s="71"/>
      <c r="BR484" s="71"/>
      <c r="BS484" s="71"/>
    </row>
    <row r="485" spans="1:71" ht="19.5" customHeight="1" x14ac:dyDescent="0.15">
      <c r="A485" s="56" t="s">
        <v>985</v>
      </c>
      <c r="B485" s="57" t="s">
        <v>986</v>
      </c>
      <c r="C485" s="58" t="s">
        <v>985</v>
      </c>
      <c r="D485" s="59" t="s">
        <v>985</v>
      </c>
      <c r="E485" s="61"/>
      <c r="F485" s="60" t="s">
        <v>95</v>
      </c>
      <c r="G485" s="61"/>
      <c r="H485" s="62"/>
      <c r="I485" s="75"/>
      <c r="J485" s="60" t="s">
        <v>95</v>
      </c>
      <c r="K485" s="64"/>
      <c r="L485" s="64"/>
      <c r="M485" s="64" t="s">
        <v>96</v>
      </c>
      <c r="N485" s="64" t="s">
        <v>97</v>
      </c>
      <c r="O485" s="65" t="s">
        <v>986</v>
      </c>
      <c r="P485" s="70" t="s">
        <v>96</v>
      </c>
      <c r="Q485" s="60" t="s">
        <v>95</v>
      </c>
      <c r="R485" s="60" t="s">
        <v>96</v>
      </c>
      <c r="S485" s="66" t="s">
        <v>96</v>
      </c>
      <c r="T485" s="67" t="s">
        <v>96</v>
      </c>
      <c r="U485" s="60" t="s">
        <v>96</v>
      </c>
      <c r="V485" s="60" t="s">
        <v>96</v>
      </c>
      <c r="W485" s="60" t="str" cm="1">
        <f t="array" ref="W485">_xlfn.LET(_xlpm.resultados,_xlfn.UNIQUE(_xlfn._xlws.FILTER(Tabla1[Proceso],(Tabla1[Metal Base]=Q485)*(Tabla1[Etiquetas]=_xlfn.TEXTJOIN(" + ",TRUE,IF((TRIM(Upload!R485:V485)="")+(LOWER(TRIM(Upload!R485:V485))="(seleccione)"),"",PROPER(TRIM(Upload!R485:V485)))))*(Tabla1[Línea2]=IFERROR(VLOOKUP(Upload!P485&amp;"*",CAT_Procesos!D:D,1,FALSE),"")))),_xlpm.cantidad,ROWS(_xlpm.resultados),IF(ISERROR(_xlpm.cantidad),"Combinación no existente",IF(_xlpm.cantidad=1,INDEX(_xlpm.resultados,1),"(seleccione)")))</f>
        <v>Combinación no existente</v>
      </c>
      <c r="X485" s="67" t="s">
        <v>96</v>
      </c>
      <c r="Y485" s="64"/>
      <c r="Z485" s="64"/>
      <c r="AA485" s="64"/>
      <c r="AB485" s="133" t="s">
        <v>96</v>
      </c>
      <c r="AC485" s="64"/>
      <c r="AD485" s="64"/>
      <c r="AE485" s="64"/>
      <c r="AF485" s="60" t="s">
        <v>96</v>
      </c>
      <c r="AG485" s="64"/>
      <c r="AH485" s="64"/>
      <c r="AI485" s="64"/>
      <c r="AJ485" s="68" t="s">
        <v>96</v>
      </c>
      <c r="AK485" s="69" t="str">
        <f t="shared" si="14"/>
        <v/>
      </c>
      <c r="AL485" s="70" t="s">
        <v>96</v>
      </c>
      <c r="AM485" s="69" t="str">
        <f t="shared" si="15"/>
        <v/>
      </c>
      <c r="AN485" s="71"/>
      <c r="AO485" s="71"/>
      <c r="AP485" s="71"/>
      <c r="AQ485" s="71"/>
      <c r="AR485" s="71" t="s">
        <v>96</v>
      </c>
      <c r="AS485" s="71"/>
      <c r="AT485" s="71" t="s">
        <v>96</v>
      </c>
      <c r="AU485" s="71"/>
      <c r="AV485" s="71" t="s">
        <v>95</v>
      </c>
      <c r="AW485" s="71"/>
      <c r="AX485" s="71"/>
      <c r="AY485" s="71"/>
      <c r="AZ485" s="71"/>
      <c r="BA485" s="71"/>
      <c r="BB485" s="70" t="s">
        <v>218</v>
      </c>
      <c r="BC485" s="70" t="s">
        <v>98</v>
      </c>
      <c r="BD485" s="72" t="str">
        <f>IF('Cálculo MP'!K495="","",'Cálculo MP'!K495)</f>
        <v/>
      </c>
      <c r="BE485" s="72" t="str">
        <f>IF('Cálculo MP'!L495="","",'Cálculo MP'!L495)</f>
        <v/>
      </c>
      <c r="BF485" s="72" t="str">
        <f>IF('Cálculo MP'!M495="","",'Cálculo MP'!M495)</f>
        <v/>
      </c>
      <c r="BG485" s="72" t="str">
        <f>IF('Cálculo MP'!N495="","",'Cálculo MP'!N495)</f>
        <v/>
      </c>
      <c r="BH485" s="72" t="str">
        <f>IF('Cálculo MP'!O495="","",'Cálculo MP'!O495)</f>
        <v/>
      </c>
      <c r="BI485" s="72" t="str">
        <f>IF('Cálculo MP'!P495="","",'Cálculo MP'!P495)</f>
        <v/>
      </c>
      <c r="BJ485" s="72" t="str">
        <f>IF('Cálculo MP'!Q495="","",'Cálculo MP'!Q495)</f>
        <v/>
      </c>
      <c r="BK485" s="72" t="str">
        <f>IF('Cálculo MP'!R495="","",'Cálculo MP'!R495)</f>
        <v/>
      </c>
      <c r="BL485" s="72" t="str">
        <f>IF('Cálculo MP'!S495="","",'Cálculo MP'!S495)</f>
        <v/>
      </c>
      <c r="BM485" s="71"/>
      <c r="BN485" s="71"/>
      <c r="BO485" s="71"/>
      <c r="BP485" s="71"/>
      <c r="BQ485" s="71"/>
      <c r="BR485" s="71"/>
      <c r="BS485" s="71"/>
    </row>
    <row r="486" spans="1:71" ht="19.5" customHeight="1" x14ac:dyDescent="0.15">
      <c r="A486" s="56" t="s">
        <v>985</v>
      </c>
      <c r="B486" s="57" t="s">
        <v>986</v>
      </c>
      <c r="C486" s="58" t="s">
        <v>985</v>
      </c>
      <c r="D486" s="59" t="s">
        <v>985</v>
      </c>
      <c r="E486" s="61"/>
      <c r="F486" s="60" t="s">
        <v>95</v>
      </c>
      <c r="G486" s="61"/>
      <c r="H486" s="62"/>
      <c r="I486" s="75"/>
      <c r="J486" s="60" t="s">
        <v>95</v>
      </c>
      <c r="K486" s="64"/>
      <c r="L486" s="64"/>
      <c r="M486" s="64" t="s">
        <v>96</v>
      </c>
      <c r="N486" s="64" t="s">
        <v>97</v>
      </c>
      <c r="O486" s="65" t="s">
        <v>986</v>
      </c>
      <c r="P486" s="70" t="s">
        <v>96</v>
      </c>
      <c r="Q486" s="60" t="s">
        <v>95</v>
      </c>
      <c r="R486" s="60" t="s">
        <v>96</v>
      </c>
      <c r="S486" s="66" t="s">
        <v>96</v>
      </c>
      <c r="T486" s="67" t="s">
        <v>96</v>
      </c>
      <c r="U486" s="60" t="s">
        <v>96</v>
      </c>
      <c r="V486" s="60" t="s">
        <v>96</v>
      </c>
      <c r="W486" s="60" t="str" cm="1">
        <f t="array" ref="W486">_xlfn.LET(_xlpm.resultados,_xlfn.UNIQUE(_xlfn._xlws.FILTER(Tabla1[Proceso],(Tabla1[Metal Base]=Q486)*(Tabla1[Etiquetas]=_xlfn.TEXTJOIN(" + ",TRUE,IF((TRIM(Upload!R486:V486)="")+(LOWER(TRIM(Upload!R486:V486))="(seleccione)"),"",PROPER(TRIM(Upload!R486:V486)))))*(Tabla1[Línea2]=IFERROR(VLOOKUP(Upload!P486&amp;"*",CAT_Procesos!D:D,1,FALSE),"")))),_xlpm.cantidad,ROWS(_xlpm.resultados),IF(ISERROR(_xlpm.cantidad),"Combinación no existente",IF(_xlpm.cantidad=1,INDEX(_xlpm.resultados,1),"(seleccione)")))</f>
        <v>Combinación no existente</v>
      </c>
      <c r="X486" s="67" t="s">
        <v>96</v>
      </c>
      <c r="Y486" s="64"/>
      <c r="Z486" s="64"/>
      <c r="AA486" s="64"/>
      <c r="AB486" s="133" t="s">
        <v>96</v>
      </c>
      <c r="AC486" s="64"/>
      <c r="AD486" s="64"/>
      <c r="AE486" s="64"/>
      <c r="AF486" s="60" t="s">
        <v>96</v>
      </c>
      <c r="AG486" s="64"/>
      <c r="AH486" s="64"/>
      <c r="AI486" s="64"/>
      <c r="AJ486" s="68" t="s">
        <v>96</v>
      </c>
      <c r="AK486" s="69" t="str">
        <f t="shared" si="14"/>
        <v/>
      </c>
      <c r="AL486" s="70" t="s">
        <v>96</v>
      </c>
      <c r="AM486" s="69" t="str">
        <f t="shared" si="15"/>
        <v/>
      </c>
      <c r="AN486" s="71"/>
      <c r="AO486" s="71"/>
      <c r="AP486" s="71"/>
      <c r="AQ486" s="71"/>
      <c r="AR486" s="71" t="s">
        <v>96</v>
      </c>
      <c r="AS486" s="71"/>
      <c r="AT486" s="71" t="s">
        <v>96</v>
      </c>
      <c r="AU486" s="71"/>
      <c r="AV486" s="71" t="s">
        <v>95</v>
      </c>
      <c r="AW486" s="71"/>
      <c r="AX486" s="71"/>
      <c r="AY486" s="71"/>
      <c r="AZ486" s="71"/>
      <c r="BA486" s="71"/>
      <c r="BB486" s="70" t="s">
        <v>218</v>
      </c>
      <c r="BC486" s="70" t="s">
        <v>98</v>
      </c>
      <c r="BD486" s="72" t="str">
        <f>IF('Cálculo MP'!K496="","",'Cálculo MP'!K496)</f>
        <v/>
      </c>
      <c r="BE486" s="72" t="str">
        <f>IF('Cálculo MP'!L496="","",'Cálculo MP'!L496)</f>
        <v/>
      </c>
      <c r="BF486" s="72" t="str">
        <f>IF('Cálculo MP'!M496="","",'Cálculo MP'!M496)</f>
        <v/>
      </c>
      <c r="BG486" s="72" t="str">
        <f>IF('Cálculo MP'!N496="","",'Cálculo MP'!N496)</f>
        <v/>
      </c>
      <c r="BH486" s="72" t="str">
        <f>IF('Cálculo MP'!O496="","",'Cálculo MP'!O496)</f>
        <v/>
      </c>
      <c r="BI486" s="72" t="str">
        <f>IF('Cálculo MP'!P496="","",'Cálculo MP'!P496)</f>
        <v/>
      </c>
      <c r="BJ486" s="72" t="str">
        <f>IF('Cálculo MP'!Q496="","",'Cálculo MP'!Q496)</f>
        <v/>
      </c>
      <c r="BK486" s="72" t="str">
        <f>IF('Cálculo MP'!R496="","",'Cálculo MP'!R496)</f>
        <v/>
      </c>
      <c r="BL486" s="72" t="str">
        <f>IF('Cálculo MP'!S496="","",'Cálculo MP'!S496)</f>
        <v/>
      </c>
      <c r="BM486" s="71"/>
      <c r="BN486" s="71"/>
      <c r="BO486" s="71"/>
      <c r="BP486" s="71"/>
      <c r="BQ486" s="71"/>
      <c r="BR486" s="71"/>
      <c r="BS486" s="71"/>
    </row>
    <row r="487" spans="1:71" ht="19.5" customHeight="1" x14ac:dyDescent="0.15">
      <c r="A487" s="56" t="s">
        <v>985</v>
      </c>
      <c r="B487" s="57" t="s">
        <v>986</v>
      </c>
      <c r="C487" s="58" t="s">
        <v>985</v>
      </c>
      <c r="D487" s="59" t="s">
        <v>985</v>
      </c>
      <c r="E487" s="61"/>
      <c r="F487" s="60" t="s">
        <v>95</v>
      </c>
      <c r="G487" s="61"/>
      <c r="H487" s="62"/>
      <c r="I487" s="75"/>
      <c r="J487" s="60" t="s">
        <v>95</v>
      </c>
      <c r="K487" s="64"/>
      <c r="L487" s="64"/>
      <c r="M487" s="64" t="s">
        <v>96</v>
      </c>
      <c r="N487" s="64" t="s">
        <v>97</v>
      </c>
      <c r="O487" s="65" t="s">
        <v>986</v>
      </c>
      <c r="P487" s="70" t="s">
        <v>96</v>
      </c>
      <c r="Q487" s="60" t="s">
        <v>95</v>
      </c>
      <c r="R487" s="60" t="s">
        <v>96</v>
      </c>
      <c r="S487" s="66" t="s">
        <v>96</v>
      </c>
      <c r="T487" s="67" t="s">
        <v>96</v>
      </c>
      <c r="U487" s="60" t="s">
        <v>96</v>
      </c>
      <c r="V487" s="60" t="s">
        <v>96</v>
      </c>
      <c r="W487" s="60" t="str" cm="1">
        <f t="array" ref="W487">_xlfn.LET(_xlpm.resultados,_xlfn.UNIQUE(_xlfn._xlws.FILTER(Tabla1[Proceso],(Tabla1[Metal Base]=Q487)*(Tabla1[Etiquetas]=_xlfn.TEXTJOIN(" + ",TRUE,IF((TRIM(Upload!R487:V487)="")+(LOWER(TRIM(Upload!R487:V487))="(seleccione)"),"",PROPER(TRIM(Upload!R487:V487)))))*(Tabla1[Línea2]=IFERROR(VLOOKUP(Upload!P487&amp;"*",CAT_Procesos!D:D,1,FALSE),"")))),_xlpm.cantidad,ROWS(_xlpm.resultados),IF(ISERROR(_xlpm.cantidad),"Combinación no existente",IF(_xlpm.cantidad=1,INDEX(_xlpm.resultados,1),"(seleccione)")))</f>
        <v>Combinación no existente</v>
      </c>
      <c r="X487" s="67" t="s">
        <v>96</v>
      </c>
      <c r="Y487" s="64"/>
      <c r="Z487" s="64"/>
      <c r="AA487" s="64"/>
      <c r="AB487" s="133" t="s">
        <v>96</v>
      </c>
      <c r="AC487" s="64"/>
      <c r="AD487" s="64"/>
      <c r="AE487" s="64"/>
      <c r="AF487" s="60" t="s">
        <v>96</v>
      </c>
      <c r="AG487" s="64"/>
      <c r="AH487" s="64"/>
      <c r="AI487" s="64"/>
      <c r="AJ487" s="68" t="s">
        <v>96</v>
      </c>
      <c r="AK487" s="69" t="str">
        <f t="shared" si="14"/>
        <v/>
      </c>
      <c r="AL487" s="70" t="s">
        <v>96</v>
      </c>
      <c r="AM487" s="69" t="str">
        <f t="shared" si="15"/>
        <v/>
      </c>
      <c r="AN487" s="71"/>
      <c r="AO487" s="71"/>
      <c r="AP487" s="71"/>
      <c r="AQ487" s="71"/>
      <c r="AR487" s="71" t="s">
        <v>96</v>
      </c>
      <c r="AS487" s="71"/>
      <c r="AT487" s="71" t="s">
        <v>96</v>
      </c>
      <c r="AU487" s="71"/>
      <c r="AV487" s="71" t="s">
        <v>95</v>
      </c>
      <c r="AW487" s="71"/>
      <c r="AX487" s="71"/>
      <c r="AY487" s="71"/>
      <c r="AZ487" s="71"/>
      <c r="BA487" s="71"/>
      <c r="BB487" s="70" t="s">
        <v>218</v>
      </c>
      <c r="BC487" s="70" t="s">
        <v>98</v>
      </c>
      <c r="BD487" s="72" t="str">
        <f>IF('Cálculo MP'!K497="","",'Cálculo MP'!K497)</f>
        <v/>
      </c>
      <c r="BE487" s="72" t="str">
        <f>IF('Cálculo MP'!L497="","",'Cálculo MP'!L497)</f>
        <v/>
      </c>
      <c r="BF487" s="72" t="str">
        <f>IF('Cálculo MP'!M497="","",'Cálculo MP'!M497)</f>
        <v/>
      </c>
      <c r="BG487" s="72" t="str">
        <f>IF('Cálculo MP'!N497="","",'Cálculo MP'!N497)</f>
        <v/>
      </c>
      <c r="BH487" s="72" t="str">
        <f>IF('Cálculo MP'!O497="","",'Cálculo MP'!O497)</f>
        <v/>
      </c>
      <c r="BI487" s="72" t="str">
        <f>IF('Cálculo MP'!P497="","",'Cálculo MP'!P497)</f>
        <v/>
      </c>
      <c r="BJ487" s="72" t="str">
        <f>IF('Cálculo MP'!Q497="","",'Cálculo MP'!Q497)</f>
        <v/>
      </c>
      <c r="BK487" s="72" t="str">
        <f>IF('Cálculo MP'!R497="","",'Cálculo MP'!R497)</f>
        <v/>
      </c>
      <c r="BL487" s="72" t="str">
        <f>IF('Cálculo MP'!S497="","",'Cálculo MP'!S497)</f>
        <v/>
      </c>
      <c r="BM487" s="71"/>
      <c r="BN487" s="71"/>
      <c r="BO487" s="71"/>
      <c r="BP487" s="71"/>
      <c r="BQ487" s="71"/>
      <c r="BR487" s="71"/>
      <c r="BS487" s="71"/>
    </row>
    <row r="488" spans="1:71" ht="19.5" customHeight="1" x14ac:dyDescent="0.15">
      <c r="A488" s="56" t="s">
        <v>985</v>
      </c>
      <c r="B488" s="57" t="s">
        <v>986</v>
      </c>
      <c r="C488" s="58" t="s">
        <v>985</v>
      </c>
      <c r="D488" s="59" t="s">
        <v>985</v>
      </c>
      <c r="E488" s="61"/>
      <c r="F488" s="60" t="s">
        <v>95</v>
      </c>
      <c r="G488" s="61"/>
      <c r="H488" s="62"/>
      <c r="I488" s="75"/>
      <c r="J488" s="60" t="s">
        <v>95</v>
      </c>
      <c r="K488" s="64"/>
      <c r="L488" s="64"/>
      <c r="M488" s="64" t="s">
        <v>96</v>
      </c>
      <c r="N488" s="64" t="s">
        <v>97</v>
      </c>
      <c r="O488" s="65" t="s">
        <v>986</v>
      </c>
      <c r="P488" s="70" t="s">
        <v>96</v>
      </c>
      <c r="Q488" s="60" t="s">
        <v>95</v>
      </c>
      <c r="R488" s="60" t="s">
        <v>96</v>
      </c>
      <c r="S488" s="66" t="s">
        <v>96</v>
      </c>
      <c r="T488" s="67" t="s">
        <v>96</v>
      </c>
      <c r="U488" s="60" t="s">
        <v>96</v>
      </c>
      <c r="V488" s="60" t="s">
        <v>96</v>
      </c>
      <c r="W488" s="60" t="str" cm="1">
        <f t="array" ref="W488">_xlfn.LET(_xlpm.resultados,_xlfn.UNIQUE(_xlfn._xlws.FILTER(Tabla1[Proceso],(Tabla1[Metal Base]=Q488)*(Tabla1[Etiquetas]=_xlfn.TEXTJOIN(" + ",TRUE,IF((TRIM(Upload!R488:V488)="")+(LOWER(TRIM(Upload!R488:V488))="(seleccione)"),"",PROPER(TRIM(Upload!R488:V488)))))*(Tabla1[Línea2]=IFERROR(VLOOKUP(Upload!P488&amp;"*",CAT_Procesos!D:D,1,FALSE),"")))),_xlpm.cantidad,ROWS(_xlpm.resultados),IF(ISERROR(_xlpm.cantidad),"Combinación no existente",IF(_xlpm.cantidad=1,INDEX(_xlpm.resultados,1),"(seleccione)")))</f>
        <v>Combinación no existente</v>
      </c>
      <c r="X488" s="67" t="s">
        <v>96</v>
      </c>
      <c r="Y488" s="64"/>
      <c r="Z488" s="64"/>
      <c r="AA488" s="64"/>
      <c r="AB488" s="133" t="s">
        <v>96</v>
      </c>
      <c r="AC488" s="64"/>
      <c r="AD488" s="64"/>
      <c r="AE488" s="64"/>
      <c r="AF488" s="60" t="s">
        <v>96</v>
      </c>
      <c r="AG488" s="64"/>
      <c r="AH488" s="64"/>
      <c r="AI488" s="64"/>
      <c r="AJ488" s="68" t="s">
        <v>96</v>
      </c>
      <c r="AK488" s="69" t="str">
        <f t="shared" si="14"/>
        <v/>
      </c>
      <c r="AL488" s="70" t="s">
        <v>96</v>
      </c>
      <c r="AM488" s="69" t="str">
        <f t="shared" si="15"/>
        <v/>
      </c>
      <c r="AN488" s="71"/>
      <c r="AO488" s="71"/>
      <c r="AP488" s="71"/>
      <c r="AQ488" s="71"/>
      <c r="AR488" s="71" t="s">
        <v>96</v>
      </c>
      <c r="AS488" s="71"/>
      <c r="AT488" s="71" t="s">
        <v>96</v>
      </c>
      <c r="AU488" s="71"/>
      <c r="AV488" s="71" t="s">
        <v>95</v>
      </c>
      <c r="AW488" s="71"/>
      <c r="AX488" s="71"/>
      <c r="AY488" s="71"/>
      <c r="AZ488" s="71"/>
      <c r="BA488" s="71"/>
      <c r="BB488" s="70" t="s">
        <v>218</v>
      </c>
      <c r="BC488" s="70" t="s">
        <v>98</v>
      </c>
      <c r="BD488" s="72" t="str">
        <f>IF('Cálculo MP'!K498="","",'Cálculo MP'!K498)</f>
        <v/>
      </c>
      <c r="BE488" s="72" t="str">
        <f>IF('Cálculo MP'!L498="","",'Cálculo MP'!L498)</f>
        <v/>
      </c>
      <c r="BF488" s="72" t="str">
        <f>IF('Cálculo MP'!M498="","",'Cálculo MP'!M498)</f>
        <v/>
      </c>
      <c r="BG488" s="72" t="str">
        <f>IF('Cálculo MP'!N498="","",'Cálculo MP'!N498)</f>
        <v/>
      </c>
      <c r="BH488" s="72" t="str">
        <f>IF('Cálculo MP'!O498="","",'Cálculo MP'!O498)</f>
        <v/>
      </c>
      <c r="BI488" s="72" t="str">
        <f>IF('Cálculo MP'!P498="","",'Cálculo MP'!P498)</f>
        <v/>
      </c>
      <c r="BJ488" s="72" t="str">
        <f>IF('Cálculo MP'!Q498="","",'Cálculo MP'!Q498)</f>
        <v/>
      </c>
      <c r="BK488" s="72" t="str">
        <f>IF('Cálculo MP'!R498="","",'Cálculo MP'!R498)</f>
        <v/>
      </c>
      <c r="BL488" s="72" t="str">
        <f>IF('Cálculo MP'!S498="","",'Cálculo MP'!S498)</f>
        <v/>
      </c>
      <c r="BM488" s="71"/>
      <c r="BN488" s="71"/>
      <c r="BO488" s="71"/>
      <c r="BP488" s="71"/>
      <c r="BQ488" s="71"/>
      <c r="BR488" s="71"/>
      <c r="BS488" s="71"/>
    </row>
    <row r="489" spans="1:71" ht="19.5" customHeight="1" x14ac:dyDescent="0.15">
      <c r="A489" s="56" t="s">
        <v>985</v>
      </c>
      <c r="B489" s="57" t="s">
        <v>986</v>
      </c>
      <c r="C489" s="58" t="s">
        <v>985</v>
      </c>
      <c r="D489" s="59" t="s">
        <v>985</v>
      </c>
      <c r="E489" s="61"/>
      <c r="F489" s="60" t="s">
        <v>95</v>
      </c>
      <c r="G489" s="61"/>
      <c r="H489" s="62"/>
      <c r="I489" s="75"/>
      <c r="J489" s="60" t="s">
        <v>95</v>
      </c>
      <c r="K489" s="64"/>
      <c r="L489" s="64"/>
      <c r="M489" s="64" t="s">
        <v>96</v>
      </c>
      <c r="N489" s="64" t="s">
        <v>97</v>
      </c>
      <c r="O489" s="65" t="s">
        <v>986</v>
      </c>
      <c r="P489" s="70" t="s">
        <v>96</v>
      </c>
      <c r="Q489" s="60" t="s">
        <v>95</v>
      </c>
      <c r="R489" s="60" t="s">
        <v>96</v>
      </c>
      <c r="S489" s="66" t="s">
        <v>96</v>
      </c>
      <c r="T489" s="67" t="s">
        <v>96</v>
      </c>
      <c r="U489" s="60" t="s">
        <v>96</v>
      </c>
      <c r="V489" s="60" t="s">
        <v>96</v>
      </c>
      <c r="W489" s="60" t="str" cm="1">
        <f t="array" ref="W489">_xlfn.LET(_xlpm.resultados,_xlfn.UNIQUE(_xlfn._xlws.FILTER(Tabla1[Proceso],(Tabla1[Metal Base]=Q489)*(Tabla1[Etiquetas]=_xlfn.TEXTJOIN(" + ",TRUE,IF((TRIM(Upload!R489:V489)="")+(LOWER(TRIM(Upload!R489:V489))="(seleccione)"),"",PROPER(TRIM(Upload!R489:V489)))))*(Tabla1[Línea2]=IFERROR(VLOOKUP(Upload!P489&amp;"*",CAT_Procesos!D:D,1,FALSE),"")))),_xlpm.cantidad,ROWS(_xlpm.resultados),IF(ISERROR(_xlpm.cantidad),"Combinación no existente",IF(_xlpm.cantidad=1,INDEX(_xlpm.resultados,1),"(seleccione)")))</f>
        <v>Combinación no existente</v>
      </c>
      <c r="X489" s="67" t="s">
        <v>96</v>
      </c>
      <c r="Y489" s="64"/>
      <c r="Z489" s="64"/>
      <c r="AA489" s="64"/>
      <c r="AB489" s="133" t="s">
        <v>96</v>
      </c>
      <c r="AC489" s="64"/>
      <c r="AD489" s="64"/>
      <c r="AE489" s="64"/>
      <c r="AF489" s="60" t="s">
        <v>96</v>
      </c>
      <c r="AG489" s="64"/>
      <c r="AH489" s="64"/>
      <c r="AI489" s="64"/>
      <c r="AJ489" s="68" t="s">
        <v>96</v>
      </c>
      <c r="AK489" s="69" t="str">
        <f t="shared" si="14"/>
        <v/>
      </c>
      <c r="AL489" s="70" t="s">
        <v>96</v>
      </c>
      <c r="AM489" s="69" t="str">
        <f t="shared" si="15"/>
        <v/>
      </c>
      <c r="AN489" s="71"/>
      <c r="AO489" s="71"/>
      <c r="AP489" s="71"/>
      <c r="AQ489" s="71"/>
      <c r="AR489" s="71" t="s">
        <v>96</v>
      </c>
      <c r="AS489" s="71"/>
      <c r="AT489" s="71" t="s">
        <v>96</v>
      </c>
      <c r="AU489" s="71"/>
      <c r="AV489" s="71" t="s">
        <v>95</v>
      </c>
      <c r="AW489" s="71"/>
      <c r="AX489" s="71"/>
      <c r="AY489" s="71"/>
      <c r="AZ489" s="71"/>
      <c r="BA489" s="71"/>
      <c r="BB489" s="70" t="s">
        <v>218</v>
      </c>
      <c r="BC489" s="70" t="s">
        <v>98</v>
      </c>
      <c r="BD489" s="72" t="str">
        <f>IF('Cálculo MP'!K499="","",'Cálculo MP'!K499)</f>
        <v/>
      </c>
      <c r="BE489" s="72" t="str">
        <f>IF('Cálculo MP'!L499="","",'Cálculo MP'!L499)</f>
        <v/>
      </c>
      <c r="BF489" s="72" t="str">
        <f>IF('Cálculo MP'!M499="","",'Cálculo MP'!M499)</f>
        <v/>
      </c>
      <c r="BG489" s="72" t="str">
        <f>IF('Cálculo MP'!N499="","",'Cálculo MP'!N499)</f>
        <v/>
      </c>
      <c r="BH489" s="72" t="str">
        <f>IF('Cálculo MP'!O499="","",'Cálculo MP'!O499)</f>
        <v/>
      </c>
      <c r="BI489" s="72" t="str">
        <f>IF('Cálculo MP'!P499="","",'Cálculo MP'!P499)</f>
        <v/>
      </c>
      <c r="BJ489" s="72" t="str">
        <f>IF('Cálculo MP'!Q499="","",'Cálculo MP'!Q499)</f>
        <v/>
      </c>
      <c r="BK489" s="72" t="str">
        <f>IF('Cálculo MP'!R499="","",'Cálculo MP'!R499)</f>
        <v/>
      </c>
      <c r="BL489" s="72" t="str">
        <f>IF('Cálculo MP'!S499="","",'Cálculo MP'!S499)</f>
        <v/>
      </c>
      <c r="BM489" s="71"/>
      <c r="BN489" s="71"/>
      <c r="BO489" s="71"/>
      <c r="BP489" s="71"/>
      <c r="BQ489" s="71"/>
      <c r="BR489" s="71"/>
      <c r="BS489" s="71"/>
    </row>
    <row r="490" spans="1:71" ht="19.5" customHeight="1" x14ac:dyDescent="0.15">
      <c r="A490" s="56" t="s">
        <v>985</v>
      </c>
      <c r="B490" s="57" t="s">
        <v>986</v>
      </c>
      <c r="C490" s="58" t="s">
        <v>985</v>
      </c>
      <c r="D490" s="59" t="s">
        <v>985</v>
      </c>
      <c r="E490" s="61"/>
      <c r="F490" s="60" t="s">
        <v>95</v>
      </c>
      <c r="G490" s="61"/>
      <c r="H490" s="62"/>
      <c r="I490" s="75"/>
      <c r="J490" s="60" t="s">
        <v>95</v>
      </c>
      <c r="K490" s="64"/>
      <c r="L490" s="64"/>
      <c r="M490" s="64" t="s">
        <v>96</v>
      </c>
      <c r="N490" s="64" t="s">
        <v>97</v>
      </c>
      <c r="O490" s="65" t="s">
        <v>986</v>
      </c>
      <c r="P490" s="70" t="s">
        <v>96</v>
      </c>
      <c r="Q490" s="60" t="s">
        <v>95</v>
      </c>
      <c r="R490" s="60" t="s">
        <v>96</v>
      </c>
      <c r="S490" s="66" t="s">
        <v>96</v>
      </c>
      <c r="T490" s="67" t="s">
        <v>96</v>
      </c>
      <c r="U490" s="60" t="s">
        <v>96</v>
      </c>
      <c r="V490" s="60" t="s">
        <v>96</v>
      </c>
      <c r="W490" s="60" t="str" cm="1">
        <f t="array" ref="W490">_xlfn.LET(_xlpm.resultados,_xlfn.UNIQUE(_xlfn._xlws.FILTER(Tabla1[Proceso],(Tabla1[Metal Base]=Q490)*(Tabla1[Etiquetas]=_xlfn.TEXTJOIN(" + ",TRUE,IF((TRIM(Upload!R490:V490)="")+(LOWER(TRIM(Upload!R490:V490))="(seleccione)"),"",PROPER(TRIM(Upload!R490:V490)))))*(Tabla1[Línea2]=IFERROR(VLOOKUP(Upload!P490&amp;"*",CAT_Procesos!D:D,1,FALSE),"")))),_xlpm.cantidad,ROWS(_xlpm.resultados),IF(ISERROR(_xlpm.cantidad),"Combinación no existente",IF(_xlpm.cantidad=1,INDEX(_xlpm.resultados,1),"(seleccione)")))</f>
        <v>Combinación no existente</v>
      </c>
      <c r="X490" s="67" t="s">
        <v>96</v>
      </c>
      <c r="Y490" s="64"/>
      <c r="Z490" s="64"/>
      <c r="AA490" s="64"/>
      <c r="AB490" s="133" t="s">
        <v>96</v>
      </c>
      <c r="AC490" s="64"/>
      <c r="AD490" s="64"/>
      <c r="AE490" s="64"/>
      <c r="AF490" s="60" t="s">
        <v>96</v>
      </c>
      <c r="AG490" s="64"/>
      <c r="AH490" s="64"/>
      <c r="AI490" s="64"/>
      <c r="AJ490" s="68" t="s">
        <v>96</v>
      </c>
      <c r="AK490" s="69" t="str">
        <f t="shared" si="14"/>
        <v/>
      </c>
      <c r="AL490" s="70" t="s">
        <v>96</v>
      </c>
      <c r="AM490" s="69" t="str">
        <f t="shared" si="15"/>
        <v/>
      </c>
      <c r="AN490" s="71"/>
      <c r="AO490" s="71"/>
      <c r="AP490" s="71"/>
      <c r="AQ490" s="71"/>
      <c r="AR490" s="71" t="s">
        <v>96</v>
      </c>
      <c r="AS490" s="71"/>
      <c r="AT490" s="71" t="s">
        <v>96</v>
      </c>
      <c r="AU490" s="71"/>
      <c r="AV490" s="71" t="s">
        <v>95</v>
      </c>
      <c r="AW490" s="71"/>
      <c r="AX490" s="71"/>
      <c r="AY490" s="71"/>
      <c r="AZ490" s="71"/>
      <c r="BA490" s="71"/>
      <c r="BB490" s="70" t="s">
        <v>218</v>
      </c>
      <c r="BC490" s="70" t="s">
        <v>98</v>
      </c>
      <c r="BD490" s="72" t="str">
        <f>IF('Cálculo MP'!K500="","",'Cálculo MP'!K500)</f>
        <v/>
      </c>
      <c r="BE490" s="72" t="str">
        <f>IF('Cálculo MP'!L500="","",'Cálculo MP'!L500)</f>
        <v/>
      </c>
      <c r="BF490" s="72" t="str">
        <f>IF('Cálculo MP'!M500="","",'Cálculo MP'!M500)</f>
        <v/>
      </c>
      <c r="BG490" s="72" t="str">
        <f>IF('Cálculo MP'!N500="","",'Cálculo MP'!N500)</f>
        <v/>
      </c>
      <c r="BH490" s="72" t="str">
        <f>IF('Cálculo MP'!O500="","",'Cálculo MP'!O500)</f>
        <v/>
      </c>
      <c r="BI490" s="72" t="str">
        <f>IF('Cálculo MP'!P500="","",'Cálculo MP'!P500)</f>
        <v/>
      </c>
      <c r="BJ490" s="72" t="str">
        <f>IF('Cálculo MP'!Q500="","",'Cálculo MP'!Q500)</f>
        <v/>
      </c>
      <c r="BK490" s="72" t="str">
        <f>IF('Cálculo MP'!R500="","",'Cálculo MP'!R500)</f>
        <v/>
      </c>
      <c r="BL490" s="72" t="str">
        <f>IF('Cálculo MP'!S500="","",'Cálculo MP'!S500)</f>
        <v/>
      </c>
      <c r="BM490" s="71"/>
      <c r="BN490" s="71"/>
      <c r="BO490" s="71"/>
      <c r="BP490" s="71"/>
      <c r="BQ490" s="71"/>
      <c r="BR490" s="71"/>
      <c r="BS490" s="71"/>
    </row>
    <row r="491" spans="1:71" ht="19.5" customHeight="1" x14ac:dyDescent="0.15">
      <c r="A491" s="56" t="s">
        <v>985</v>
      </c>
      <c r="B491" s="57" t="s">
        <v>986</v>
      </c>
      <c r="C491" s="58" t="s">
        <v>985</v>
      </c>
      <c r="D491" s="59" t="s">
        <v>985</v>
      </c>
      <c r="E491" s="61"/>
      <c r="F491" s="60" t="s">
        <v>95</v>
      </c>
      <c r="G491" s="61"/>
      <c r="H491" s="62"/>
      <c r="I491" s="75"/>
      <c r="J491" s="60" t="s">
        <v>95</v>
      </c>
      <c r="K491" s="64"/>
      <c r="L491" s="64"/>
      <c r="M491" s="64" t="s">
        <v>96</v>
      </c>
      <c r="N491" s="64" t="s">
        <v>97</v>
      </c>
      <c r="O491" s="65" t="s">
        <v>986</v>
      </c>
      <c r="P491" s="70" t="s">
        <v>96</v>
      </c>
      <c r="Q491" s="60" t="s">
        <v>95</v>
      </c>
      <c r="R491" s="60" t="s">
        <v>96</v>
      </c>
      <c r="S491" s="66" t="s">
        <v>96</v>
      </c>
      <c r="T491" s="67" t="s">
        <v>96</v>
      </c>
      <c r="U491" s="60" t="s">
        <v>96</v>
      </c>
      <c r="V491" s="60" t="s">
        <v>96</v>
      </c>
      <c r="W491" s="60" t="str" cm="1">
        <f t="array" ref="W491">_xlfn.LET(_xlpm.resultados,_xlfn.UNIQUE(_xlfn._xlws.FILTER(Tabla1[Proceso],(Tabla1[Metal Base]=Q491)*(Tabla1[Etiquetas]=_xlfn.TEXTJOIN(" + ",TRUE,IF((TRIM(Upload!R491:V491)="")+(LOWER(TRIM(Upload!R491:V491))="(seleccione)"),"",PROPER(TRIM(Upload!R491:V491)))))*(Tabla1[Línea2]=IFERROR(VLOOKUP(Upload!P491&amp;"*",CAT_Procesos!D:D,1,FALSE),"")))),_xlpm.cantidad,ROWS(_xlpm.resultados),IF(ISERROR(_xlpm.cantidad),"Combinación no existente",IF(_xlpm.cantidad=1,INDEX(_xlpm.resultados,1),"(seleccione)")))</f>
        <v>Combinación no existente</v>
      </c>
      <c r="X491" s="67" t="s">
        <v>96</v>
      </c>
      <c r="Y491" s="64"/>
      <c r="Z491" s="64"/>
      <c r="AA491" s="64"/>
      <c r="AB491" s="133" t="s">
        <v>96</v>
      </c>
      <c r="AC491" s="64"/>
      <c r="AD491" s="64"/>
      <c r="AE491" s="64"/>
      <c r="AF491" s="60" t="s">
        <v>96</v>
      </c>
      <c r="AG491" s="64"/>
      <c r="AH491" s="64"/>
      <c r="AI491" s="64"/>
      <c r="AJ491" s="68" t="s">
        <v>96</v>
      </c>
      <c r="AK491" s="69" t="str">
        <f t="shared" si="14"/>
        <v/>
      </c>
      <c r="AL491" s="70" t="s">
        <v>96</v>
      </c>
      <c r="AM491" s="69" t="str">
        <f t="shared" si="15"/>
        <v/>
      </c>
      <c r="AN491" s="71"/>
      <c r="AO491" s="71"/>
      <c r="AP491" s="71"/>
      <c r="AQ491" s="71"/>
      <c r="AR491" s="71" t="s">
        <v>96</v>
      </c>
      <c r="AS491" s="71"/>
      <c r="AT491" s="71" t="s">
        <v>96</v>
      </c>
      <c r="AU491" s="71"/>
      <c r="AV491" s="71" t="s">
        <v>95</v>
      </c>
      <c r="AW491" s="71"/>
      <c r="AX491" s="71"/>
      <c r="AY491" s="71"/>
      <c r="AZ491" s="71"/>
      <c r="BA491" s="71"/>
      <c r="BB491" s="70" t="s">
        <v>218</v>
      </c>
      <c r="BC491" s="70" t="s">
        <v>98</v>
      </c>
      <c r="BD491" s="72" t="str">
        <f>IF('Cálculo MP'!K501="","",'Cálculo MP'!K501)</f>
        <v/>
      </c>
      <c r="BE491" s="72" t="str">
        <f>IF('Cálculo MP'!L501="","",'Cálculo MP'!L501)</f>
        <v/>
      </c>
      <c r="BF491" s="72" t="str">
        <f>IF('Cálculo MP'!M501="","",'Cálculo MP'!M501)</f>
        <v/>
      </c>
      <c r="BG491" s="72" t="str">
        <f>IF('Cálculo MP'!N501="","",'Cálculo MP'!N501)</f>
        <v/>
      </c>
      <c r="BH491" s="72" t="str">
        <f>IF('Cálculo MP'!O501="","",'Cálculo MP'!O501)</f>
        <v/>
      </c>
      <c r="BI491" s="72" t="str">
        <f>IF('Cálculo MP'!P501="","",'Cálculo MP'!P501)</f>
        <v/>
      </c>
      <c r="BJ491" s="72" t="str">
        <f>IF('Cálculo MP'!Q501="","",'Cálculo MP'!Q501)</f>
        <v/>
      </c>
      <c r="BK491" s="72" t="str">
        <f>IF('Cálculo MP'!R501="","",'Cálculo MP'!R501)</f>
        <v/>
      </c>
      <c r="BL491" s="72" t="str">
        <f>IF('Cálculo MP'!S501="","",'Cálculo MP'!S501)</f>
        <v/>
      </c>
      <c r="BM491" s="71"/>
      <c r="BN491" s="71"/>
      <c r="BO491" s="71"/>
      <c r="BP491" s="71"/>
      <c r="BQ491" s="71"/>
      <c r="BR491" s="71"/>
      <c r="BS491" s="71"/>
    </row>
    <row r="492" spans="1:71" ht="19.5" customHeight="1" x14ac:dyDescent="0.15">
      <c r="A492" s="56" t="s">
        <v>985</v>
      </c>
      <c r="B492" s="57" t="s">
        <v>986</v>
      </c>
      <c r="C492" s="58" t="s">
        <v>985</v>
      </c>
      <c r="D492" s="59" t="s">
        <v>985</v>
      </c>
      <c r="E492" s="61"/>
      <c r="F492" s="60" t="s">
        <v>95</v>
      </c>
      <c r="G492" s="61"/>
      <c r="H492" s="62"/>
      <c r="I492" s="75"/>
      <c r="J492" s="60" t="s">
        <v>95</v>
      </c>
      <c r="K492" s="64"/>
      <c r="L492" s="64"/>
      <c r="M492" s="64" t="s">
        <v>96</v>
      </c>
      <c r="N492" s="64" t="s">
        <v>97</v>
      </c>
      <c r="O492" s="65" t="s">
        <v>986</v>
      </c>
      <c r="P492" s="70" t="s">
        <v>96</v>
      </c>
      <c r="Q492" s="60" t="s">
        <v>95</v>
      </c>
      <c r="R492" s="60" t="s">
        <v>96</v>
      </c>
      <c r="S492" s="66" t="s">
        <v>96</v>
      </c>
      <c r="T492" s="67" t="s">
        <v>96</v>
      </c>
      <c r="U492" s="60" t="s">
        <v>96</v>
      </c>
      <c r="V492" s="60" t="s">
        <v>96</v>
      </c>
      <c r="W492" s="60" t="str" cm="1">
        <f t="array" ref="W492">_xlfn.LET(_xlpm.resultados,_xlfn.UNIQUE(_xlfn._xlws.FILTER(Tabla1[Proceso],(Tabla1[Metal Base]=Q492)*(Tabla1[Etiquetas]=_xlfn.TEXTJOIN(" + ",TRUE,IF((TRIM(Upload!R492:V492)="")+(LOWER(TRIM(Upload!R492:V492))="(seleccione)"),"",PROPER(TRIM(Upload!R492:V492)))))*(Tabla1[Línea2]=IFERROR(VLOOKUP(Upload!P492&amp;"*",CAT_Procesos!D:D,1,FALSE),"")))),_xlpm.cantidad,ROWS(_xlpm.resultados),IF(ISERROR(_xlpm.cantidad),"Combinación no existente",IF(_xlpm.cantidad=1,INDEX(_xlpm.resultados,1),"(seleccione)")))</f>
        <v>Combinación no existente</v>
      </c>
      <c r="X492" s="67" t="s">
        <v>96</v>
      </c>
      <c r="Y492" s="64"/>
      <c r="Z492" s="64"/>
      <c r="AA492" s="64"/>
      <c r="AB492" s="133" t="s">
        <v>96</v>
      </c>
      <c r="AC492" s="64"/>
      <c r="AD492" s="64"/>
      <c r="AE492" s="64"/>
      <c r="AF492" s="60" t="s">
        <v>96</v>
      </c>
      <c r="AG492" s="64"/>
      <c r="AH492" s="64"/>
      <c r="AI492" s="64"/>
      <c r="AJ492" s="68" t="s">
        <v>96</v>
      </c>
      <c r="AK492" s="69" t="str">
        <f t="shared" si="14"/>
        <v/>
      </c>
      <c r="AL492" s="70" t="s">
        <v>96</v>
      </c>
      <c r="AM492" s="69" t="str">
        <f t="shared" si="15"/>
        <v/>
      </c>
      <c r="AN492" s="71"/>
      <c r="AO492" s="71"/>
      <c r="AP492" s="71"/>
      <c r="AQ492" s="71"/>
      <c r="AR492" s="71" t="s">
        <v>96</v>
      </c>
      <c r="AS492" s="71"/>
      <c r="AT492" s="71" t="s">
        <v>96</v>
      </c>
      <c r="AU492" s="71"/>
      <c r="AV492" s="71" t="s">
        <v>95</v>
      </c>
      <c r="AW492" s="71"/>
      <c r="AX492" s="71"/>
      <c r="AY492" s="71"/>
      <c r="AZ492" s="71"/>
      <c r="BA492" s="71"/>
      <c r="BB492" s="70" t="s">
        <v>218</v>
      </c>
      <c r="BC492" s="70" t="s">
        <v>98</v>
      </c>
      <c r="BD492" s="72" t="str">
        <f>IF('Cálculo MP'!K502="","",'Cálculo MP'!K502)</f>
        <v/>
      </c>
      <c r="BE492" s="72" t="str">
        <f>IF('Cálculo MP'!L502="","",'Cálculo MP'!L502)</f>
        <v/>
      </c>
      <c r="BF492" s="72" t="str">
        <f>IF('Cálculo MP'!M502="","",'Cálculo MP'!M502)</f>
        <v/>
      </c>
      <c r="BG492" s="72" t="str">
        <f>IF('Cálculo MP'!N502="","",'Cálculo MP'!N502)</f>
        <v/>
      </c>
      <c r="BH492" s="72" t="str">
        <f>IF('Cálculo MP'!O502="","",'Cálculo MP'!O502)</f>
        <v/>
      </c>
      <c r="BI492" s="72" t="str">
        <f>IF('Cálculo MP'!P502="","",'Cálculo MP'!P502)</f>
        <v/>
      </c>
      <c r="BJ492" s="72" t="str">
        <f>IF('Cálculo MP'!Q502="","",'Cálculo MP'!Q502)</f>
        <v/>
      </c>
      <c r="BK492" s="72" t="str">
        <f>IF('Cálculo MP'!R502="","",'Cálculo MP'!R502)</f>
        <v/>
      </c>
      <c r="BL492" s="72" t="str">
        <f>IF('Cálculo MP'!S502="","",'Cálculo MP'!S502)</f>
        <v/>
      </c>
      <c r="BM492" s="71"/>
      <c r="BN492" s="71"/>
      <c r="BO492" s="71"/>
      <c r="BP492" s="71"/>
      <c r="BQ492" s="71"/>
      <c r="BR492" s="71"/>
      <c r="BS492" s="71"/>
    </row>
    <row r="493" spans="1:71" ht="19.5" customHeight="1" x14ac:dyDescent="0.15">
      <c r="A493" s="56" t="s">
        <v>985</v>
      </c>
      <c r="B493" s="57" t="s">
        <v>986</v>
      </c>
      <c r="C493" s="58" t="s">
        <v>985</v>
      </c>
      <c r="D493" s="59" t="s">
        <v>985</v>
      </c>
      <c r="E493" s="61"/>
      <c r="F493" s="60" t="s">
        <v>95</v>
      </c>
      <c r="G493" s="61"/>
      <c r="H493" s="62"/>
      <c r="I493" s="75"/>
      <c r="J493" s="60" t="s">
        <v>95</v>
      </c>
      <c r="K493" s="64"/>
      <c r="L493" s="64"/>
      <c r="M493" s="64" t="s">
        <v>96</v>
      </c>
      <c r="N493" s="64" t="s">
        <v>97</v>
      </c>
      <c r="O493" s="65" t="s">
        <v>986</v>
      </c>
      <c r="P493" s="70" t="s">
        <v>96</v>
      </c>
      <c r="Q493" s="60" t="s">
        <v>95</v>
      </c>
      <c r="R493" s="60" t="s">
        <v>96</v>
      </c>
      <c r="S493" s="66" t="s">
        <v>96</v>
      </c>
      <c r="T493" s="67" t="s">
        <v>96</v>
      </c>
      <c r="U493" s="60" t="s">
        <v>96</v>
      </c>
      <c r="V493" s="60" t="s">
        <v>96</v>
      </c>
      <c r="W493" s="60" t="str" cm="1">
        <f t="array" ref="W493">_xlfn.LET(_xlpm.resultados,_xlfn.UNIQUE(_xlfn._xlws.FILTER(Tabla1[Proceso],(Tabla1[Metal Base]=Q493)*(Tabla1[Etiquetas]=_xlfn.TEXTJOIN(" + ",TRUE,IF((TRIM(Upload!R493:V493)="")+(LOWER(TRIM(Upload!R493:V493))="(seleccione)"),"",PROPER(TRIM(Upload!R493:V493)))))*(Tabla1[Línea2]=IFERROR(VLOOKUP(Upload!P493&amp;"*",CAT_Procesos!D:D,1,FALSE),"")))),_xlpm.cantidad,ROWS(_xlpm.resultados),IF(ISERROR(_xlpm.cantidad),"Combinación no existente",IF(_xlpm.cantidad=1,INDEX(_xlpm.resultados,1),"(seleccione)")))</f>
        <v>Combinación no existente</v>
      </c>
      <c r="X493" s="67" t="s">
        <v>96</v>
      </c>
      <c r="Y493" s="64"/>
      <c r="Z493" s="64"/>
      <c r="AA493" s="64"/>
      <c r="AB493" s="133" t="s">
        <v>96</v>
      </c>
      <c r="AC493" s="64"/>
      <c r="AD493" s="64"/>
      <c r="AE493" s="64"/>
      <c r="AF493" s="60" t="s">
        <v>96</v>
      </c>
      <c r="AG493" s="64"/>
      <c r="AH493" s="64"/>
      <c r="AI493" s="64"/>
      <c r="AJ493" s="68" t="s">
        <v>96</v>
      </c>
      <c r="AK493" s="69" t="str">
        <f t="shared" si="14"/>
        <v/>
      </c>
      <c r="AL493" s="70" t="s">
        <v>96</v>
      </c>
      <c r="AM493" s="69" t="str">
        <f t="shared" si="15"/>
        <v/>
      </c>
      <c r="AN493" s="71"/>
      <c r="AO493" s="71"/>
      <c r="AP493" s="71"/>
      <c r="AQ493" s="71"/>
      <c r="AR493" s="71" t="s">
        <v>96</v>
      </c>
      <c r="AS493" s="71"/>
      <c r="AT493" s="71" t="s">
        <v>96</v>
      </c>
      <c r="AU493" s="71"/>
      <c r="AV493" s="71" t="s">
        <v>95</v>
      </c>
      <c r="AW493" s="71"/>
      <c r="AX493" s="71"/>
      <c r="AY493" s="71"/>
      <c r="AZ493" s="71"/>
      <c r="BA493" s="71"/>
      <c r="BB493" s="70" t="s">
        <v>218</v>
      </c>
      <c r="BC493" s="70" t="s">
        <v>98</v>
      </c>
      <c r="BD493" s="72" t="str">
        <f>IF('Cálculo MP'!K503="","",'Cálculo MP'!K503)</f>
        <v/>
      </c>
      <c r="BE493" s="72" t="str">
        <f>IF('Cálculo MP'!L503="","",'Cálculo MP'!L503)</f>
        <v/>
      </c>
      <c r="BF493" s="72" t="str">
        <f>IF('Cálculo MP'!M503="","",'Cálculo MP'!M503)</f>
        <v/>
      </c>
      <c r="BG493" s="72" t="str">
        <f>IF('Cálculo MP'!N503="","",'Cálculo MP'!N503)</f>
        <v/>
      </c>
      <c r="BH493" s="72" t="str">
        <f>IF('Cálculo MP'!O503="","",'Cálculo MP'!O503)</f>
        <v/>
      </c>
      <c r="BI493" s="72" t="str">
        <f>IF('Cálculo MP'!P503="","",'Cálculo MP'!P503)</f>
        <v/>
      </c>
      <c r="BJ493" s="72" t="str">
        <f>IF('Cálculo MP'!Q503="","",'Cálculo MP'!Q503)</f>
        <v/>
      </c>
      <c r="BK493" s="72" t="str">
        <f>IF('Cálculo MP'!R503="","",'Cálculo MP'!R503)</f>
        <v/>
      </c>
      <c r="BL493" s="72" t="str">
        <f>IF('Cálculo MP'!S503="","",'Cálculo MP'!S503)</f>
        <v/>
      </c>
      <c r="BM493" s="71"/>
      <c r="BN493" s="71"/>
      <c r="BO493" s="71"/>
      <c r="BP493" s="71"/>
      <c r="BQ493" s="71"/>
      <c r="BR493" s="71"/>
      <c r="BS493" s="71"/>
    </row>
    <row r="494" spans="1:71" ht="19.5" customHeight="1" x14ac:dyDescent="0.15">
      <c r="A494" s="56" t="s">
        <v>985</v>
      </c>
      <c r="B494" s="57" t="s">
        <v>986</v>
      </c>
      <c r="C494" s="58" t="s">
        <v>985</v>
      </c>
      <c r="D494" s="59" t="s">
        <v>985</v>
      </c>
      <c r="E494" s="61"/>
      <c r="F494" s="60" t="s">
        <v>95</v>
      </c>
      <c r="G494" s="61"/>
      <c r="H494" s="62"/>
      <c r="I494" s="75"/>
      <c r="J494" s="60" t="s">
        <v>95</v>
      </c>
      <c r="K494" s="64"/>
      <c r="L494" s="64"/>
      <c r="M494" s="64" t="s">
        <v>96</v>
      </c>
      <c r="N494" s="64" t="s">
        <v>97</v>
      </c>
      <c r="O494" s="65" t="s">
        <v>986</v>
      </c>
      <c r="P494" s="70" t="s">
        <v>96</v>
      </c>
      <c r="Q494" s="60" t="s">
        <v>95</v>
      </c>
      <c r="R494" s="60" t="s">
        <v>96</v>
      </c>
      <c r="S494" s="66" t="s">
        <v>96</v>
      </c>
      <c r="T494" s="67" t="s">
        <v>96</v>
      </c>
      <c r="U494" s="60" t="s">
        <v>96</v>
      </c>
      <c r="V494" s="60" t="s">
        <v>96</v>
      </c>
      <c r="W494" s="60" t="str" cm="1">
        <f t="array" ref="W494">_xlfn.LET(_xlpm.resultados,_xlfn.UNIQUE(_xlfn._xlws.FILTER(Tabla1[Proceso],(Tabla1[Metal Base]=Q494)*(Tabla1[Etiquetas]=_xlfn.TEXTJOIN(" + ",TRUE,IF((TRIM(Upload!R494:V494)="")+(LOWER(TRIM(Upload!R494:V494))="(seleccione)"),"",PROPER(TRIM(Upload!R494:V494)))))*(Tabla1[Línea2]=IFERROR(VLOOKUP(Upload!P494&amp;"*",CAT_Procesos!D:D,1,FALSE),"")))),_xlpm.cantidad,ROWS(_xlpm.resultados),IF(ISERROR(_xlpm.cantidad),"Combinación no existente",IF(_xlpm.cantidad=1,INDEX(_xlpm.resultados,1),"(seleccione)")))</f>
        <v>Combinación no existente</v>
      </c>
      <c r="X494" s="67" t="s">
        <v>96</v>
      </c>
      <c r="Y494" s="64"/>
      <c r="Z494" s="64"/>
      <c r="AA494" s="64"/>
      <c r="AB494" s="133" t="s">
        <v>96</v>
      </c>
      <c r="AC494" s="64"/>
      <c r="AD494" s="64"/>
      <c r="AE494" s="64"/>
      <c r="AF494" s="60" t="s">
        <v>96</v>
      </c>
      <c r="AG494" s="64"/>
      <c r="AH494" s="64"/>
      <c r="AI494" s="64"/>
      <c r="AJ494" s="68" t="s">
        <v>96</v>
      </c>
      <c r="AK494" s="69" t="str">
        <f t="shared" si="14"/>
        <v/>
      </c>
      <c r="AL494" s="70" t="s">
        <v>96</v>
      </c>
      <c r="AM494" s="69" t="str">
        <f t="shared" si="15"/>
        <v/>
      </c>
      <c r="AN494" s="71"/>
      <c r="AO494" s="71"/>
      <c r="AP494" s="71"/>
      <c r="AQ494" s="71"/>
      <c r="AR494" s="71" t="s">
        <v>96</v>
      </c>
      <c r="AS494" s="71"/>
      <c r="AT494" s="71" t="s">
        <v>96</v>
      </c>
      <c r="AU494" s="71"/>
      <c r="AV494" s="71" t="s">
        <v>95</v>
      </c>
      <c r="AW494" s="71"/>
      <c r="AX494" s="71"/>
      <c r="AY494" s="71"/>
      <c r="AZ494" s="71"/>
      <c r="BA494" s="71"/>
      <c r="BB494" s="70" t="s">
        <v>218</v>
      </c>
      <c r="BC494" s="70" t="s">
        <v>98</v>
      </c>
      <c r="BD494" s="72" t="str">
        <f>IF('Cálculo MP'!K504="","",'Cálculo MP'!K504)</f>
        <v/>
      </c>
      <c r="BE494" s="72" t="str">
        <f>IF('Cálculo MP'!L504="","",'Cálculo MP'!L504)</f>
        <v/>
      </c>
      <c r="BF494" s="72" t="str">
        <f>IF('Cálculo MP'!M504="","",'Cálculo MP'!M504)</f>
        <v/>
      </c>
      <c r="BG494" s="72" t="str">
        <f>IF('Cálculo MP'!N504="","",'Cálculo MP'!N504)</f>
        <v/>
      </c>
      <c r="BH494" s="72" t="str">
        <f>IF('Cálculo MP'!O504="","",'Cálculo MP'!O504)</f>
        <v/>
      </c>
      <c r="BI494" s="72" t="str">
        <f>IF('Cálculo MP'!P504="","",'Cálculo MP'!P504)</f>
        <v/>
      </c>
      <c r="BJ494" s="72" t="str">
        <f>IF('Cálculo MP'!Q504="","",'Cálculo MP'!Q504)</f>
        <v/>
      </c>
      <c r="BK494" s="72" t="str">
        <f>IF('Cálculo MP'!R504="","",'Cálculo MP'!R504)</f>
        <v/>
      </c>
      <c r="BL494" s="72" t="str">
        <f>IF('Cálculo MP'!S504="","",'Cálculo MP'!S504)</f>
        <v/>
      </c>
      <c r="BM494" s="71"/>
      <c r="BN494" s="71"/>
      <c r="BO494" s="71"/>
      <c r="BP494" s="71"/>
      <c r="BQ494" s="71"/>
      <c r="BR494" s="71"/>
      <c r="BS494" s="71"/>
    </row>
    <row r="495" spans="1:71" ht="19.5" customHeight="1" x14ac:dyDescent="0.15">
      <c r="A495" s="56" t="s">
        <v>985</v>
      </c>
      <c r="B495" s="57" t="s">
        <v>986</v>
      </c>
      <c r="C495" s="58" t="s">
        <v>985</v>
      </c>
      <c r="D495" s="59" t="s">
        <v>985</v>
      </c>
      <c r="E495" s="61"/>
      <c r="F495" s="60" t="s">
        <v>95</v>
      </c>
      <c r="G495" s="61"/>
      <c r="H495" s="62"/>
      <c r="I495" s="75"/>
      <c r="J495" s="60" t="s">
        <v>95</v>
      </c>
      <c r="K495" s="64"/>
      <c r="L495" s="64"/>
      <c r="M495" s="64" t="s">
        <v>96</v>
      </c>
      <c r="N495" s="64" t="s">
        <v>97</v>
      </c>
      <c r="O495" s="65" t="s">
        <v>986</v>
      </c>
      <c r="P495" s="70" t="s">
        <v>96</v>
      </c>
      <c r="Q495" s="60" t="s">
        <v>95</v>
      </c>
      <c r="R495" s="60" t="s">
        <v>96</v>
      </c>
      <c r="S495" s="66" t="s">
        <v>96</v>
      </c>
      <c r="T495" s="67" t="s">
        <v>96</v>
      </c>
      <c r="U495" s="60" t="s">
        <v>96</v>
      </c>
      <c r="V495" s="60" t="s">
        <v>96</v>
      </c>
      <c r="W495" s="60" t="str" cm="1">
        <f t="array" ref="W495">_xlfn.LET(_xlpm.resultados,_xlfn.UNIQUE(_xlfn._xlws.FILTER(Tabla1[Proceso],(Tabla1[Metal Base]=Q495)*(Tabla1[Etiquetas]=_xlfn.TEXTJOIN(" + ",TRUE,IF((TRIM(Upload!R495:V495)="")+(LOWER(TRIM(Upload!R495:V495))="(seleccione)"),"",PROPER(TRIM(Upload!R495:V495)))))*(Tabla1[Línea2]=IFERROR(VLOOKUP(Upload!P495&amp;"*",CAT_Procesos!D:D,1,FALSE),"")))),_xlpm.cantidad,ROWS(_xlpm.resultados),IF(ISERROR(_xlpm.cantidad),"Combinación no existente",IF(_xlpm.cantidad=1,INDEX(_xlpm.resultados,1),"(seleccione)")))</f>
        <v>Combinación no existente</v>
      </c>
      <c r="X495" s="67" t="s">
        <v>96</v>
      </c>
      <c r="Y495" s="64"/>
      <c r="Z495" s="64"/>
      <c r="AA495" s="64"/>
      <c r="AB495" s="133" t="s">
        <v>96</v>
      </c>
      <c r="AC495" s="64"/>
      <c r="AD495" s="64"/>
      <c r="AE495" s="64"/>
      <c r="AF495" s="60" t="s">
        <v>96</v>
      </c>
      <c r="AG495" s="64"/>
      <c r="AH495" s="64"/>
      <c r="AI495" s="64"/>
      <c r="AJ495" s="68" t="s">
        <v>96</v>
      </c>
      <c r="AK495" s="69" t="str">
        <f t="shared" si="14"/>
        <v/>
      </c>
      <c r="AL495" s="70" t="s">
        <v>96</v>
      </c>
      <c r="AM495" s="69" t="str">
        <f t="shared" si="15"/>
        <v/>
      </c>
      <c r="AN495" s="71"/>
      <c r="AO495" s="71"/>
      <c r="AP495" s="71"/>
      <c r="AQ495" s="71"/>
      <c r="AR495" s="71" t="s">
        <v>96</v>
      </c>
      <c r="AS495" s="71"/>
      <c r="AT495" s="71" t="s">
        <v>96</v>
      </c>
      <c r="AU495" s="71"/>
      <c r="AV495" s="71" t="s">
        <v>95</v>
      </c>
      <c r="AW495" s="71"/>
      <c r="AX495" s="71"/>
      <c r="AY495" s="71"/>
      <c r="AZ495" s="71"/>
      <c r="BA495" s="71"/>
      <c r="BB495" s="70" t="s">
        <v>218</v>
      </c>
      <c r="BC495" s="70" t="s">
        <v>98</v>
      </c>
      <c r="BD495" s="72" t="str">
        <f>IF('Cálculo MP'!K505="","",'Cálculo MP'!K505)</f>
        <v/>
      </c>
      <c r="BE495" s="72" t="str">
        <f>IF('Cálculo MP'!L505="","",'Cálculo MP'!L505)</f>
        <v/>
      </c>
      <c r="BF495" s="72" t="str">
        <f>IF('Cálculo MP'!M505="","",'Cálculo MP'!M505)</f>
        <v/>
      </c>
      <c r="BG495" s="72" t="str">
        <f>IF('Cálculo MP'!N505="","",'Cálculo MP'!N505)</f>
        <v/>
      </c>
      <c r="BH495" s="72" t="str">
        <f>IF('Cálculo MP'!O505="","",'Cálculo MP'!O505)</f>
        <v/>
      </c>
      <c r="BI495" s="72" t="str">
        <f>IF('Cálculo MP'!P505="","",'Cálculo MP'!P505)</f>
        <v/>
      </c>
      <c r="BJ495" s="72" t="str">
        <f>IF('Cálculo MP'!Q505="","",'Cálculo MP'!Q505)</f>
        <v/>
      </c>
      <c r="BK495" s="72" t="str">
        <f>IF('Cálculo MP'!R505="","",'Cálculo MP'!R505)</f>
        <v/>
      </c>
      <c r="BL495" s="72" t="str">
        <f>IF('Cálculo MP'!S505="","",'Cálculo MP'!S505)</f>
        <v/>
      </c>
      <c r="BM495" s="71"/>
      <c r="BN495" s="71"/>
      <c r="BO495" s="71"/>
      <c r="BP495" s="71"/>
      <c r="BQ495" s="71"/>
      <c r="BR495" s="71"/>
      <c r="BS495" s="71"/>
    </row>
    <row r="496" spans="1:71" ht="19.5" customHeight="1" x14ac:dyDescent="0.15">
      <c r="A496" s="56" t="s">
        <v>985</v>
      </c>
      <c r="B496" s="57" t="s">
        <v>986</v>
      </c>
      <c r="C496" s="58" t="s">
        <v>985</v>
      </c>
      <c r="D496" s="59" t="s">
        <v>985</v>
      </c>
      <c r="E496" s="61"/>
      <c r="F496" s="60" t="s">
        <v>95</v>
      </c>
      <c r="G496" s="61"/>
      <c r="H496" s="62"/>
      <c r="I496" s="75"/>
      <c r="J496" s="60" t="s">
        <v>95</v>
      </c>
      <c r="K496" s="64"/>
      <c r="L496" s="64"/>
      <c r="M496" s="64" t="s">
        <v>96</v>
      </c>
      <c r="N496" s="64" t="s">
        <v>97</v>
      </c>
      <c r="O496" s="65" t="s">
        <v>986</v>
      </c>
      <c r="P496" s="70" t="s">
        <v>96</v>
      </c>
      <c r="Q496" s="60" t="s">
        <v>95</v>
      </c>
      <c r="R496" s="60" t="s">
        <v>96</v>
      </c>
      <c r="S496" s="66" t="s">
        <v>96</v>
      </c>
      <c r="T496" s="67" t="s">
        <v>96</v>
      </c>
      <c r="U496" s="60" t="s">
        <v>96</v>
      </c>
      <c r="V496" s="60" t="s">
        <v>96</v>
      </c>
      <c r="W496" s="60" t="str" cm="1">
        <f t="array" ref="W496">_xlfn.LET(_xlpm.resultados,_xlfn.UNIQUE(_xlfn._xlws.FILTER(Tabla1[Proceso],(Tabla1[Metal Base]=Q496)*(Tabla1[Etiquetas]=_xlfn.TEXTJOIN(" + ",TRUE,IF((TRIM(Upload!R496:V496)="")+(LOWER(TRIM(Upload!R496:V496))="(seleccione)"),"",PROPER(TRIM(Upload!R496:V496)))))*(Tabla1[Línea2]=IFERROR(VLOOKUP(Upload!P496&amp;"*",CAT_Procesos!D:D,1,FALSE),"")))),_xlpm.cantidad,ROWS(_xlpm.resultados),IF(ISERROR(_xlpm.cantidad),"Combinación no existente",IF(_xlpm.cantidad=1,INDEX(_xlpm.resultados,1),"(seleccione)")))</f>
        <v>Combinación no existente</v>
      </c>
      <c r="X496" s="67" t="s">
        <v>96</v>
      </c>
      <c r="Y496" s="64"/>
      <c r="Z496" s="64"/>
      <c r="AA496" s="64"/>
      <c r="AB496" s="133" t="s">
        <v>96</v>
      </c>
      <c r="AC496" s="64"/>
      <c r="AD496" s="64"/>
      <c r="AE496" s="64"/>
      <c r="AF496" s="60" t="s">
        <v>96</v>
      </c>
      <c r="AG496" s="64"/>
      <c r="AH496" s="64"/>
      <c r="AI496" s="64"/>
      <c r="AJ496" s="68" t="s">
        <v>96</v>
      </c>
      <c r="AK496" s="69" t="str">
        <f t="shared" si="14"/>
        <v/>
      </c>
      <c r="AL496" s="70" t="s">
        <v>96</v>
      </c>
      <c r="AM496" s="69" t="str">
        <f t="shared" si="15"/>
        <v/>
      </c>
      <c r="AN496" s="71"/>
      <c r="AO496" s="71"/>
      <c r="AP496" s="71"/>
      <c r="AQ496" s="71"/>
      <c r="AR496" s="71" t="s">
        <v>96</v>
      </c>
      <c r="AS496" s="71"/>
      <c r="AT496" s="71" t="s">
        <v>96</v>
      </c>
      <c r="AU496" s="71"/>
      <c r="AV496" s="71" t="s">
        <v>95</v>
      </c>
      <c r="AW496" s="71"/>
      <c r="AX496" s="71"/>
      <c r="AY496" s="71"/>
      <c r="AZ496" s="71"/>
      <c r="BA496" s="71"/>
      <c r="BB496" s="70" t="s">
        <v>218</v>
      </c>
      <c r="BC496" s="70" t="s">
        <v>98</v>
      </c>
      <c r="BD496" s="72" t="str">
        <f>IF('Cálculo MP'!K506="","",'Cálculo MP'!K506)</f>
        <v/>
      </c>
      <c r="BE496" s="72" t="str">
        <f>IF('Cálculo MP'!L506="","",'Cálculo MP'!L506)</f>
        <v/>
      </c>
      <c r="BF496" s="72" t="str">
        <f>IF('Cálculo MP'!M506="","",'Cálculo MP'!M506)</f>
        <v/>
      </c>
      <c r="BG496" s="72" t="str">
        <f>IF('Cálculo MP'!N506="","",'Cálculo MP'!N506)</f>
        <v/>
      </c>
      <c r="BH496" s="72" t="str">
        <f>IF('Cálculo MP'!O506="","",'Cálculo MP'!O506)</f>
        <v/>
      </c>
      <c r="BI496" s="72" t="str">
        <f>IF('Cálculo MP'!P506="","",'Cálculo MP'!P506)</f>
        <v/>
      </c>
      <c r="BJ496" s="72" t="str">
        <f>IF('Cálculo MP'!Q506="","",'Cálculo MP'!Q506)</f>
        <v/>
      </c>
      <c r="BK496" s="72" t="str">
        <f>IF('Cálculo MP'!R506="","",'Cálculo MP'!R506)</f>
        <v/>
      </c>
      <c r="BL496" s="72" t="str">
        <f>IF('Cálculo MP'!S506="","",'Cálculo MP'!S506)</f>
        <v/>
      </c>
      <c r="BM496" s="71"/>
      <c r="BN496" s="71"/>
      <c r="BO496" s="71"/>
      <c r="BP496" s="71"/>
      <c r="BQ496" s="71"/>
      <c r="BR496" s="71"/>
      <c r="BS496" s="71"/>
    </row>
    <row r="497" spans="1:71" ht="19.5" customHeight="1" x14ac:dyDescent="0.15">
      <c r="A497" s="56" t="s">
        <v>985</v>
      </c>
      <c r="B497" s="57" t="s">
        <v>986</v>
      </c>
      <c r="C497" s="58" t="s">
        <v>985</v>
      </c>
      <c r="D497" s="59" t="s">
        <v>985</v>
      </c>
      <c r="E497" s="61"/>
      <c r="F497" s="60" t="s">
        <v>95</v>
      </c>
      <c r="G497" s="61"/>
      <c r="H497" s="62"/>
      <c r="I497" s="75"/>
      <c r="J497" s="60" t="s">
        <v>95</v>
      </c>
      <c r="K497" s="64"/>
      <c r="L497" s="64"/>
      <c r="M497" s="64" t="s">
        <v>96</v>
      </c>
      <c r="N497" s="64" t="s">
        <v>97</v>
      </c>
      <c r="O497" s="65" t="s">
        <v>986</v>
      </c>
      <c r="P497" s="70" t="s">
        <v>96</v>
      </c>
      <c r="Q497" s="60" t="s">
        <v>95</v>
      </c>
      <c r="R497" s="60" t="s">
        <v>96</v>
      </c>
      <c r="S497" s="66" t="s">
        <v>96</v>
      </c>
      <c r="T497" s="67" t="s">
        <v>96</v>
      </c>
      <c r="U497" s="60" t="s">
        <v>96</v>
      </c>
      <c r="V497" s="60" t="s">
        <v>96</v>
      </c>
      <c r="W497" s="60" t="str" cm="1">
        <f t="array" ref="W497">_xlfn.LET(_xlpm.resultados,_xlfn.UNIQUE(_xlfn._xlws.FILTER(Tabla1[Proceso],(Tabla1[Metal Base]=Q497)*(Tabla1[Etiquetas]=_xlfn.TEXTJOIN(" + ",TRUE,IF((TRIM(Upload!R497:V497)="")+(LOWER(TRIM(Upload!R497:V497))="(seleccione)"),"",PROPER(TRIM(Upload!R497:V497)))))*(Tabla1[Línea2]=IFERROR(VLOOKUP(Upload!P497&amp;"*",CAT_Procesos!D:D,1,FALSE),"")))),_xlpm.cantidad,ROWS(_xlpm.resultados),IF(ISERROR(_xlpm.cantidad),"Combinación no existente",IF(_xlpm.cantidad=1,INDEX(_xlpm.resultados,1),"(seleccione)")))</f>
        <v>Combinación no existente</v>
      </c>
      <c r="X497" s="67" t="s">
        <v>96</v>
      </c>
      <c r="Y497" s="64"/>
      <c r="Z497" s="64"/>
      <c r="AA497" s="64"/>
      <c r="AB497" s="133" t="s">
        <v>96</v>
      </c>
      <c r="AC497" s="64"/>
      <c r="AD497" s="64"/>
      <c r="AE497" s="64"/>
      <c r="AF497" s="60" t="s">
        <v>96</v>
      </c>
      <c r="AG497" s="64"/>
      <c r="AH497" s="64"/>
      <c r="AI497" s="64"/>
      <c r="AJ497" s="68" t="s">
        <v>96</v>
      </c>
      <c r="AK497" s="69" t="str">
        <f t="shared" si="14"/>
        <v/>
      </c>
      <c r="AL497" s="70" t="s">
        <v>96</v>
      </c>
      <c r="AM497" s="69" t="str">
        <f t="shared" si="15"/>
        <v/>
      </c>
      <c r="AN497" s="71"/>
      <c r="AO497" s="71"/>
      <c r="AP497" s="71"/>
      <c r="AQ497" s="71"/>
      <c r="AR497" s="71" t="s">
        <v>96</v>
      </c>
      <c r="AS497" s="71"/>
      <c r="AT497" s="71" t="s">
        <v>96</v>
      </c>
      <c r="AU497" s="71"/>
      <c r="AV497" s="71" t="s">
        <v>95</v>
      </c>
      <c r="AW497" s="71"/>
      <c r="AX497" s="71"/>
      <c r="AY497" s="71"/>
      <c r="AZ497" s="71"/>
      <c r="BA497" s="71"/>
      <c r="BB497" s="70" t="s">
        <v>218</v>
      </c>
      <c r="BC497" s="70" t="s">
        <v>98</v>
      </c>
      <c r="BD497" s="72" t="str">
        <f>IF('Cálculo MP'!K507="","",'Cálculo MP'!K507)</f>
        <v/>
      </c>
      <c r="BE497" s="72" t="str">
        <f>IF('Cálculo MP'!L507="","",'Cálculo MP'!L507)</f>
        <v/>
      </c>
      <c r="BF497" s="72" t="str">
        <f>IF('Cálculo MP'!M507="","",'Cálculo MP'!M507)</f>
        <v/>
      </c>
      <c r="BG497" s="72" t="str">
        <f>IF('Cálculo MP'!N507="","",'Cálculo MP'!N507)</f>
        <v/>
      </c>
      <c r="BH497" s="72" t="str">
        <f>IF('Cálculo MP'!O507="","",'Cálculo MP'!O507)</f>
        <v/>
      </c>
      <c r="BI497" s="72" t="str">
        <f>IF('Cálculo MP'!P507="","",'Cálculo MP'!P507)</f>
        <v/>
      </c>
      <c r="BJ497" s="72" t="str">
        <f>IF('Cálculo MP'!Q507="","",'Cálculo MP'!Q507)</f>
        <v/>
      </c>
      <c r="BK497" s="72" t="str">
        <f>IF('Cálculo MP'!R507="","",'Cálculo MP'!R507)</f>
        <v/>
      </c>
      <c r="BL497" s="72" t="str">
        <f>IF('Cálculo MP'!S507="","",'Cálculo MP'!S507)</f>
        <v/>
      </c>
      <c r="BM497" s="71"/>
      <c r="BN497" s="71"/>
      <c r="BO497" s="71"/>
      <c r="BP497" s="71"/>
      <c r="BQ497" s="71"/>
      <c r="BR497" s="71"/>
      <c r="BS497" s="71"/>
    </row>
    <row r="498" spans="1:71" ht="19.5" customHeight="1" x14ac:dyDescent="0.15">
      <c r="A498" s="56" t="s">
        <v>985</v>
      </c>
      <c r="B498" s="57" t="s">
        <v>986</v>
      </c>
      <c r="C498" s="58" t="s">
        <v>985</v>
      </c>
      <c r="D498" s="59" t="s">
        <v>985</v>
      </c>
      <c r="E498" s="61"/>
      <c r="F498" s="60" t="s">
        <v>95</v>
      </c>
      <c r="G498" s="61"/>
      <c r="H498" s="62"/>
      <c r="I498" s="75"/>
      <c r="J498" s="60" t="s">
        <v>95</v>
      </c>
      <c r="K498" s="64"/>
      <c r="L498" s="64"/>
      <c r="M498" s="64" t="s">
        <v>96</v>
      </c>
      <c r="N498" s="64" t="s">
        <v>97</v>
      </c>
      <c r="O498" s="65" t="s">
        <v>986</v>
      </c>
      <c r="P498" s="70" t="s">
        <v>96</v>
      </c>
      <c r="Q498" s="60" t="s">
        <v>95</v>
      </c>
      <c r="R498" s="60" t="s">
        <v>96</v>
      </c>
      <c r="S498" s="66" t="s">
        <v>96</v>
      </c>
      <c r="T498" s="67" t="s">
        <v>96</v>
      </c>
      <c r="U498" s="60" t="s">
        <v>96</v>
      </c>
      <c r="V498" s="60" t="s">
        <v>96</v>
      </c>
      <c r="W498" s="60" t="str" cm="1">
        <f t="array" ref="W498">_xlfn.LET(_xlpm.resultados,_xlfn.UNIQUE(_xlfn._xlws.FILTER(Tabla1[Proceso],(Tabla1[Metal Base]=Q498)*(Tabla1[Etiquetas]=_xlfn.TEXTJOIN(" + ",TRUE,IF((TRIM(Upload!R498:V498)="")+(LOWER(TRIM(Upload!R498:V498))="(seleccione)"),"",PROPER(TRIM(Upload!R498:V498)))))*(Tabla1[Línea2]=IFERROR(VLOOKUP(Upload!P498&amp;"*",CAT_Procesos!D:D,1,FALSE),"")))),_xlpm.cantidad,ROWS(_xlpm.resultados),IF(ISERROR(_xlpm.cantidad),"Combinación no existente",IF(_xlpm.cantidad=1,INDEX(_xlpm.resultados,1),"(seleccione)")))</f>
        <v>Combinación no existente</v>
      </c>
      <c r="X498" s="67" t="s">
        <v>96</v>
      </c>
      <c r="Y498" s="64"/>
      <c r="Z498" s="64"/>
      <c r="AA498" s="64"/>
      <c r="AB498" s="133" t="s">
        <v>96</v>
      </c>
      <c r="AC498" s="64"/>
      <c r="AD498" s="64"/>
      <c r="AE498" s="64"/>
      <c r="AF498" s="60" t="s">
        <v>96</v>
      </c>
      <c r="AG498" s="64"/>
      <c r="AH498" s="64"/>
      <c r="AI498" s="64"/>
      <c r="AJ498" s="68" t="s">
        <v>96</v>
      </c>
      <c r="AK498" s="69" t="str">
        <f t="shared" si="14"/>
        <v/>
      </c>
      <c r="AL498" s="70" t="s">
        <v>96</v>
      </c>
      <c r="AM498" s="69" t="str">
        <f t="shared" si="15"/>
        <v/>
      </c>
      <c r="AN498" s="71"/>
      <c r="AO498" s="71"/>
      <c r="AP498" s="71"/>
      <c r="AQ498" s="71"/>
      <c r="AR498" s="71" t="s">
        <v>96</v>
      </c>
      <c r="AS498" s="71"/>
      <c r="AT498" s="71" t="s">
        <v>96</v>
      </c>
      <c r="AU498" s="71"/>
      <c r="AV498" s="71" t="s">
        <v>95</v>
      </c>
      <c r="AW498" s="71"/>
      <c r="AX498" s="71"/>
      <c r="AY498" s="71"/>
      <c r="AZ498" s="71"/>
      <c r="BA498" s="71"/>
      <c r="BB498" s="70" t="s">
        <v>218</v>
      </c>
      <c r="BC498" s="70" t="s">
        <v>98</v>
      </c>
      <c r="BD498" s="72" t="str">
        <f>IF('Cálculo MP'!K508="","",'Cálculo MP'!K508)</f>
        <v/>
      </c>
      <c r="BE498" s="72" t="str">
        <f>IF('Cálculo MP'!L508="","",'Cálculo MP'!L508)</f>
        <v/>
      </c>
      <c r="BF498" s="72" t="str">
        <f>IF('Cálculo MP'!M508="","",'Cálculo MP'!M508)</f>
        <v/>
      </c>
      <c r="BG498" s="72" t="str">
        <f>IF('Cálculo MP'!N508="","",'Cálculo MP'!N508)</f>
        <v/>
      </c>
      <c r="BH498" s="72" t="str">
        <f>IF('Cálculo MP'!O508="","",'Cálculo MP'!O508)</f>
        <v/>
      </c>
      <c r="BI498" s="72" t="str">
        <f>IF('Cálculo MP'!P508="","",'Cálculo MP'!P508)</f>
        <v/>
      </c>
      <c r="BJ498" s="72" t="str">
        <f>IF('Cálculo MP'!Q508="","",'Cálculo MP'!Q508)</f>
        <v/>
      </c>
      <c r="BK498" s="72" t="str">
        <f>IF('Cálculo MP'!R508="","",'Cálculo MP'!R508)</f>
        <v/>
      </c>
      <c r="BL498" s="72" t="str">
        <f>IF('Cálculo MP'!S508="","",'Cálculo MP'!S508)</f>
        <v/>
      </c>
      <c r="BM498" s="71"/>
      <c r="BN498" s="71"/>
      <c r="BO498" s="71"/>
      <c r="BP498" s="71"/>
      <c r="BQ498" s="71"/>
      <c r="BR498" s="71"/>
      <c r="BS498" s="71"/>
    </row>
    <row r="499" spans="1:71" ht="19.5" customHeight="1" x14ac:dyDescent="0.15">
      <c r="A499" s="56" t="s">
        <v>985</v>
      </c>
      <c r="B499" s="57" t="s">
        <v>986</v>
      </c>
      <c r="C499" s="58" t="s">
        <v>985</v>
      </c>
      <c r="D499" s="59" t="s">
        <v>985</v>
      </c>
      <c r="E499" s="61"/>
      <c r="F499" s="60" t="s">
        <v>95</v>
      </c>
      <c r="G499" s="61"/>
      <c r="H499" s="62"/>
      <c r="I499" s="75"/>
      <c r="J499" s="60" t="s">
        <v>95</v>
      </c>
      <c r="K499" s="64"/>
      <c r="L499" s="64"/>
      <c r="M499" s="64" t="s">
        <v>96</v>
      </c>
      <c r="N499" s="64" t="s">
        <v>97</v>
      </c>
      <c r="O499" s="65" t="s">
        <v>986</v>
      </c>
      <c r="P499" s="70" t="s">
        <v>96</v>
      </c>
      <c r="Q499" s="60" t="s">
        <v>95</v>
      </c>
      <c r="R499" s="60" t="s">
        <v>96</v>
      </c>
      <c r="S499" s="66" t="s">
        <v>96</v>
      </c>
      <c r="T499" s="67" t="s">
        <v>96</v>
      </c>
      <c r="U499" s="60" t="s">
        <v>96</v>
      </c>
      <c r="V499" s="60" t="s">
        <v>96</v>
      </c>
      <c r="W499" s="60" t="str" cm="1">
        <f t="array" ref="W499">_xlfn.LET(_xlpm.resultados,_xlfn.UNIQUE(_xlfn._xlws.FILTER(Tabla1[Proceso],(Tabla1[Metal Base]=Q499)*(Tabla1[Etiquetas]=_xlfn.TEXTJOIN(" + ",TRUE,IF((TRIM(Upload!R499:V499)="")+(LOWER(TRIM(Upload!R499:V499))="(seleccione)"),"",PROPER(TRIM(Upload!R499:V499)))))*(Tabla1[Línea2]=IFERROR(VLOOKUP(Upload!P499&amp;"*",CAT_Procesos!D:D,1,FALSE),"")))),_xlpm.cantidad,ROWS(_xlpm.resultados),IF(ISERROR(_xlpm.cantidad),"Combinación no existente",IF(_xlpm.cantidad=1,INDEX(_xlpm.resultados,1),"(seleccione)")))</f>
        <v>Combinación no existente</v>
      </c>
      <c r="X499" s="67" t="s">
        <v>96</v>
      </c>
      <c r="Y499" s="64"/>
      <c r="Z499" s="64"/>
      <c r="AA499" s="64"/>
      <c r="AB499" s="133" t="s">
        <v>96</v>
      </c>
      <c r="AC499" s="64"/>
      <c r="AD499" s="64"/>
      <c r="AE499" s="64"/>
      <c r="AF499" s="60" t="s">
        <v>96</v>
      </c>
      <c r="AG499" s="64"/>
      <c r="AH499" s="64"/>
      <c r="AI499" s="64"/>
      <c r="AJ499" s="68" t="s">
        <v>96</v>
      </c>
      <c r="AK499" s="69" t="str">
        <f t="shared" si="14"/>
        <v/>
      </c>
      <c r="AL499" s="70" t="s">
        <v>96</v>
      </c>
      <c r="AM499" s="69" t="str">
        <f t="shared" si="15"/>
        <v/>
      </c>
      <c r="AN499" s="71"/>
      <c r="AO499" s="71"/>
      <c r="AP499" s="71"/>
      <c r="AQ499" s="71"/>
      <c r="AR499" s="71" t="s">
        <v>96</v>
      </c>
      <c r="AS499" s="71"/>
      <c r="AT499" s="71" t="s">
        <v>96</v>
      </c>
      <c r="AU499" s="71"/>
      <c r="AV499" s="71" t="s">
        <v>95</v>
      </c>
      <c r="AW499" s="71"/>
      <c r="AX499" s="71"/>
      <c r="AY499" s="71"/>
      <c r="AZ499" s="71"/>
      <c r="BA499" s="71"/>
      <c r="BB499" s="70" t="s">
        <v>218</v>
      </c>
      <c r="BC499" s="70" t="s">
        <v>98</v>
      </c>
      <c r="BD499" s="72" t="str">
        <f>IF('Cálculo MP'!K509="","",'Cálculo MP'!K509)</f>
        <v/>
      </c>
      <c r="BE499" s="72" t="str">
        <f>IF('Cálculo MP'!L509="","",'Cálculo MP'!L509)</f>
        <v/>
      </c>
      <c r="BF499" s="72" t="str">
        <f>IF('Cálculo MP'!M509="","",'Cálculo MP'!M509)</f>
        <v/>
      </c>
      <c r="BG499" s="72" t="str">
        <f>IF('Cálculo MP'!N509="","",'Cálculo MP'!N509)</f>
        <v/>
      </c>
      <c r="BH499" s="72" t="str">
        <f>IF('Cálculo MP'!O509="","",'Cálculo MP'!O509)</f>
        <v/>
      </c>
      <c r="BI499" s="72" t="str">
        <f>IF('Cálculo MP'!P509="","",'Cálculo MP'!P509)</f>
        <v/>
      </c>
      <c r="BJ499" s="72" t="str">
        <f>IF('Cálculo MP'!Q509="","",'Cálculo MP'!Q509)</f>
        <v/>
      </c>
      <c r="BK499" s="72" t="str">
        <f>IF('Cálculo MP'!R509="","",'Cálculo MP'!R509)</f>
        <v/>
      </c>
      <c r="BL499" s="72" t="str">
        <f>IF('Cálculo MP'!S509="","",'Cálculo MP'!S509)</f>
        <v/>
      </c>
      <c r="BM499" s="71"/>
      <c r="BN499" s="71"/>
      <c r="BO499" s="71"/>
      <c r="BP499" s="71"/>
      <c r="BQ499" s="71"/>
      <c r="BR499" s="71"/>
      <c r="BS499" s="71"/>
    </row>
    <row r="500" spans="1:71" ht="19.5" customHeight="1" x14ac:dyDescent="0.15">
      <c r="A500" s="56" t="s">
        <v>985</v>
      </c>
      <c r="B500" s="57" t="s">
        <v>986</v>
      </c>
      <c r="C500" s="58" t="s">
        <v>985</v>
      </c>
      <c r="D500" s="59" t="s">
        <v>985</v>
      </c>
      <c r="E500" s="61"/>
      <c r="F500" s="60" t="s">
        <v>95</v>
      </c>
      <c r="G500" s="61"/>
      <c r="H500" s="62"/>
      <c r="I500" s="75"/>
      <c r="J500" s="60" t="s">
        <v>95</v>
      </c>
      <c r="K500" s="64"/>
      <c r="L500" s="64"/>
      <c r="M500" s="64" t="s">
        <v>96</v>
      </c>
      <c r="N500" s="64" t="s">
        <v>97</v>
      </c>
      <c r="O500" s="65" t="s">
        <v>986</v>
      </c>
      <c r="P500" s="70" t="s">
        <v>96</v>
      </c>
      <c r="Q500" s="60" t="s">
        <v>95</v>
      </c>
      <c r="R500" s="60" t="s">
        <v>96</v>
      </c>
      <c r="S500" s="66" t="s">
        <v>96</v>
      </c>
      <c r="T500" s="67" t="s">
        <v>96</v>
      </c>
      <c r="U500" s="60" t="s">
        <v>96</v>
      </c>
      <c r="V500" s="60" t="s">
        <v>96</v>
      </c>
      <c r="W500" s="60" t="str" cm="1">
        <f t="array" ref="W500">_xlfn.LET(_xlpm.resultados,_xlfn.UNIQUE(_xlfn._xlws.FILTER(Tabla1[Proceso],(Tabla1[Metal Base]=Q500)*(Tabla1[Etiquetas]=_xlfn.TEXTJOIN(" + ",TRUE,IF((TRIM(Upload!R500:V500)="")+(LOWER(TRIM(Upload!R500:V500))="(seleccione)"),"",PROPER(TRIM(Upload!R500:V500)))))*(Tabla1[Línea2]=IFERROR(VLOOKUP(Upload!P500&amp;"*",CAT_Procesos!D:D,1,FALSE),"")))),_xlpm.cantidad,ROWS(_xlpm.resultados),IF(ISERROR(_xlpm.cantidad),"Combinación no existente",IF(_xlpm.cantidad=1,INDEX(_xlpm.resultados,1),"(seleccione)")))</f>
        <v>Combinación no existente</v>
      </c>
      <c r="X500" s="67" t="s">
        <v>96</v>
      </c>
      <c r="Y500" s="64"/>
      <c r="Z500" s="64"/>
      <c r="AA500" s="64"/>
      <c r="AB500" s="133" t="s">
        <v>96</v>
      </c>
      <c r="AC500" s="64"/>
      <c r="AD500" s="64"/>
      <c r="AE500" s="64"/>
      <c r="AF500" s="60" t="s">
        <v>96</v>
      </c>
      <c r="AG500" s="64"/>
      <c r="AH500" s="64"/>
      <c r="AI500" s="64"/>
      <c r="AJ500" s="68" t="s">
        <v>96</v>
      </c>
      <c r="AK500" s="69" t="str">
        <f t="shared" si="14"/>
        <v/>
      </c>
      <c r="AL500" s="70" t="s">
        <v>96</v>
      </c>
      <c r="AM500" s="69" t="str">
        <f t="shared" si="15"/>
        <v/>
      </c>
      <c r="AN500" s="71"/>
      <c r="AO500" s="71"/>
      <c r="AP500" s="71"/>
      <c r="AQ500" s="71"/>
      <c r="AR500" s="71" t="s">
        <v>96</v>
      </c>
      <c r="AS500" s="71"/>
      <c r="AT500" s="71" t="s">
        <v>96</v>
      </c>
      <c r="AU500" s="71"/>
      <c r="AV500" s="71" t="s">
        <v>95</v>
      </c>
      <c r="AW500" s="71"/>
      <c r="AX500" s="71"/>
      <c r="AY500" s="71"/>
      <c r="AZ500" s="71"/>
      <c r="BA500" s="71"/>
      <c r="BB500" s="70" t="s">
        <v>218</v>
      </c>
      <c r="BC500" s="70" t="s">
        <v>98</v>
      </c>
      <c r="BD500" s="72" t="str">
        <f>IF('Cálculo MP'!K510="","",'Cálculo MP'!K510)</f>
        <v/>
      </c>
      <c r="BE500" s="72" t="str">
        <f>IF('Cálculo MP'!L510="","",'Cálculo MP'!L510)</f>
        <v/>
      </c>
      <c r="BF500" s="72" t="str">
        <f>IF('Cálculo MP'!M510="","",'Cálculo MP'!M510)</f>
        <v/>
      </c>
      <c r="BG500" s="72" t="str">
        <f>IF('Cálculo MP'!N510="","",'Cálculo MP'!N510)</f>
        <v/>
      </c>
      <c r="BH500" s="72" t="str">
        <f>IF('Cálculo MP'!O510="","",'Cálculo MP'!O510)</f>
        <v/>
      </c>
      <c r="BI500" s="72" t="str">
        <f>IF('Cálculo MP'!P510="","",'Cálculo MP'!P510)</f>
        <v/>
      </c>
      <c r="BJ500" s="72" t="str">
        <f>IF('Cálculo MP'!Q510="","",'Cálculo MP'!Q510)</f>
        <v/>
      </c>
      <c r="BK500" s="72" t="str">
        <f>IF('Cálculo MP'!R510="","",'Cálculo MP'!R510)</f>
        <v/>
      </c>
      <c r="BL500" s="72" t="str">
        <f>IF('Cálculo MP'!S510="","",'Cálculo MP'!S510)</f>
        <v/>
      </c>
      <c r="BM500" s="71"/>
      <c r="BN500" s="71"/>
      <c r="BO500" s="71"/>
      <c r="BP500" s="71"/>
      <c r="BQ500" s="71"/>
      <c r="BR500" s="71"/>
      <c r="BS500" s="71"/>
    </row>
    <row r="501" spans="1:71" ht="19.5" customHeight="1" x14ac:dyDescent="0.15">
      <c r="A501" s="56" t="s">
        <v>985</v>
      </c>
      <c r="B501" s="57" t="s">
        <v>986</v>
      </c>
      <c r="C501" s="58" t="s">
        <v>985</v>
      </c>
      <c r="D501" s="59" t="s">
        <v>985</v>
      </c>
      <c r="E501" s="61"/>
      <c r="F501" s="60" t="s">
        <v>95</v>
      </c>
      <c r="G501" s="61"/>
      <c r="H501" s="62"/>
      <c r="I501" s="75"/>
      <c r="J501" s="60" t="s">
        <v>95</v>
      </c>
      <c r="K501" s="64"/>
      <c r="L501" s="64"/>
      <c r="M501" s="64" t="s">
        <v>96</v>
      </c>
      <c r="N501" s="64" t="s">
        <v>97</v>
      </c>
      <c r="O501" s="65" t="s">
        <v>986</v>
      </c>
      <c r="P501" s="70" t="s">
        <v>96</v>
      </c>
      <c r="Q501" s="60" t="s">
        <v>95</v>
      </c>
      <c r="R501" s="60" t="s">
        <v>96</v>
      </c>
      <c r="S501" s="66" t="s">
        <v>96</v>
      </c>
      <c r="T501" s="67" t="s">
        <v>96</v>
      </c>
      <c r="U501" s="60" t="s">
        <v>96</v>
      </c>
      <c r="V501" s="60" t="s">
        <v>96</v>
      </c>
      <c r="W501" s="60" t="str" cm="1">
        <f t="array" ref="W501">_xlfn.LET(_xlpm.resultados,_xlfn.UNIQUE(_xlfn._xlws.FILTER(Tabla1[Proceso],(Tabla1[Metal Base]=Q501)*(Tabla1[Etiquetas]=_xlfn.TEXTJOIN(" + ",TRUE,IF((TRIM(Upload!R501:V501)="")+(LOWER(TRIM(Upload!R501:V501))="(seleccione)"),"",PROPER(TRIM(Upload!R501:V501)))))*(Tabla1[Línea2]=IFERROR(VLOOKUP(Upload!P501&amp;"*",CAT_Procesos!D:D,1,FALSE),"")))),_xlpm.cantidad,ROWS(_xlpm.resultados),IF(ISERROR(_xlpm.cantidad),"Combinación no existente",IF(_xlpm.cantidad=1,INDEX(_xlpm.resultados,1),"(seleccione)")))</f>
        <v>Combinación no existente</v>
      </c>
      <c r="X501" s="67" t="s">
        <v>96</v>
      </c>
      <c r="Y501" s="64"/>
      <c r="Z501" s="64"/>
      <c r="AA501" s="64"/>
      <c r="AB501" s="133" t="s">
        <v>96</v>
      </c>
      <c r="AC501" s="64"/>
      <c r="AD501" s="64"/>
      <c r="AE501" s="64"/>
      <c r="AF501" s="60" t="s">
        <v>96</v>
      </c>
      <c r="AG501" s="64"/>
      <c r="AH501" s="64"/>
      <c r="AI501" s="64"/>
      <c r="AJ501" s="68" t="s">
        <v>96</v>
      </c>
      <c r="AK501" s="69" t="str">
        <f t="shared" si="14"/>
        <v/>
      </c>
      <c r="AL501" s="70" t="s">
        <v>96</v>
      </c>
      <c r="AM501" s="69" t="str">
        <f t="shared" si="15"/>
        <v/>
      </c>
      <c r="AN501" s="71"/>
      <c r="AO501" s="71"/>
      <c r="AP501" s="71"/>
      <c r="AQ501" s="71"/>
      <c r="AR501" s="71" t="s">
        <v>96</v>
      </c>
      <c r="AS501" s="71"/>
      <c r="AT501" s="71" t="s">
        <v>96</v>
      </c>
      <c r="AU501" s="71"/>
      <c r="AV501" s="71" t="s">
        <v>95</v>
      </c>
      <c r="AW501" s="71"/>
      <c r="AX501" s="71"/>
      <c r="AY501" s="71"/>
      <c r="AZ501" s="71"/>
      <c r="BA501" s="71"/>
      <c r="BB501" s="70" t="s">
        <v>218</v>
      </c>
      <c r="BC501" s="70" t="s">
        <v>98</v>
      </c>
      <c r="BD501" s="72" t="str">
        <f>IF('Cálculo MP'!K511="","",'Cálculo MP'!K511)</f>
        <v/>
      </c>
      <c r="BE501" s="72" t="str">
        <f>IF('Cálculo MP'!L511="","",'Cálculo MP'!L511)</f>
        <v/>
      </c>
      <c r="BF501" s="72" t="str">
        <f>IF('Cálculo MP'!M511="","",'Cálculo MP'!M511)</f>
        <v/>
      </c>
      <c r="BG501" s="72" t="str">
        <f>IF('Cálculo MP'!N511="","",'Cálculo MP'!N511)</f>
        <v/>
      </c>
      <c r="BH501" s="72" t="str">
        <f>IF('Cálculo MP'!O511="","",'Cálculo MP'!O511)</f>
        <v/>
      </c>
      <c r="BI501" s="72" t="str">
        <f>IF('Cálculo MP'!P511="","",'Cálculo MP'!P511)</f>
        <v/>
      </c>
      <c r="BJ501" s="72" t="str">
        <f>IF('Cálculo MP'!Q511="","",'Cálculo MP'!Q511)</f>
        <v/>
      </c>
      <c r="BK501" s="72" t="str">
        <f>IF('Cálculo MP'!R511="","",'Cálculo MP'!R511)</f>
        <v/>
      </c>
      <c r="BL501" s="72" t="str">
        <f>IF('Cálculo MP'!S511="","",'Cálculo MP'!S511)</f>
        <v/>
      </c>
      <c r="BM501" s="71"/>
      <c r="BN501" s="71"/>
      <c r="BO501" s="71"/>
      <c r="BP501" s="71"/>
      <c r="BQ501" s="71"/>
      <c r="BR501" s="71"/>
      <c r="BS501" s="71"/>
    </row>
    <row r="502" spans="1:71" ht="19.5" customHeight="1" x14ac:dyDescent="0.15">
      <c r="A502" s="56" t="s">
        <v>985</v>
      </c>
      <c r="B502" s="57" t="s">
        <v>986</v>
      </c>
      <c r="C502" s="58" t="s">
        <v>985</v>
      </c>
      <c r="D502" s="59" t="s">
        <v>985</v>
      </c>
      <c r="E502" s="61"/>
      <c r="F502" s="60" t="s">
        <v>95</v>
      </c>
      <c r="G502" s="61"/>
      <c r="H502" s="62"/>
      <c r="I502" s="75"/>
      <c r="J502" s="60" t="s">
        <v>95</v>
      </c>
      <c r="K502" s="64"/>
      <c r="L502" s="64"/>
      <c r="M502" s="64" t="s">
        <v>96</v>
      </c>
      <c r="N502" s="64" t="s">
        <v>97</v>
      </c>
      <c r="O502" s="65" t="s">
        <v>986</v>
      </c>
      <c r="P502" s="70" t="s">
        <v>96</v>
      </c>
      <c r="Q502" s="60" t="s">
        <v>95</v>
      </c>
      <c r="R502" s="60" t="s">
        <v>96</v>
      </c>
      <c r="S502" s="66" t="s">
        <v>96</v>
      </c>
      <c r="T502" s="67" t="s">
        <v>96</v>
      </c>
      <c r="U502" s="60" t="s">
        <v>96</v>
      </c>
      <c r="V502" s="60" t="s">
        <v>96</v>
      </c>
      <c r="W502" s="60" t="str" cm="1">
        <f t="array" ref="W502">_xlfn.LET(_xlpm.resultados,_xlfn.UNIQUE(_xlfn._xlws.FILTER(Tabla1[Proceso],(Tabla1[Metal Base]=Q502)*(Tabla1[Etiquetas]=_xlfn.TEXTJOIN(" + ",TRUE,IF((TRIM(Upload!R502:V502)="")+(LOWER(TRIM(Upload!R502:V502))="(seleccione)"),"",PROPER(TRIM(Upload!R502:V502)))))*(Tabla1[Línea2]=IFERROR(VLOOKUP(Upload!P502&amp;"*",CAT_Procesos!D:D,1,FALSE),"")))),_xlpm.cantidad,ROWS(_xlpm.resultados),IF(ISERROR(_xlpm.cantidad),"Combinación no existente",IF(_xlpm.cantidad=1,INDEX(_xlpm.resultados,1),"(seleccione)")))</f>
        <v>Combinación no existente</v>
      </c>
      <c r="X502" s="67" t="s">
        <v>96</v>
      </c>
      <c r="Y502" s="64"/>
      <c r="Z502" s="64"/>
      <c r="AA502" s="64"/>
      <c r="AB502" s="133" t="s">
        <v>96</v>
      </c>
      <c r="AC502" s="64"/>
      <c r="AD502" s="64"/>
      <c r="AE502" s="64"/>
      <c r="AF502" s="60" t="s">
        <v>96</v>
      </c>
      <c r="AG502" s="64"/>
      <c r="AH502" s="64"/>
      <c r="AI502" s="64"/>
      <c r="AJ502" s="68" t="s">
        <v>96</v>
      </c>
      <c r="AK502" s="69" t="str">
        <f t="shared" si="14"/>
        <v/>
      </c>
      <c r="AL502" s="70" t="s">
        <v>96</v>
      </c>
      <c r="AM502" s="69" t="str">
        <f t="shared" si="15"/>
        <v/>
      </c>
      <c r="AN502" s="71"/>
      <c r="AO502" s="71"/>
      <c r="AP502" s="71"/>
      <c r="AQ502" s="71"/>
      <c r="AR502" s="71" t="s">
        <v>96</v>
      </c>
      <c r="AS502" s="71"/>
      <c r="AT502" s="71" t="s">
        <v>96</v>
      </c>
      <c r="AU502" s="71"/>
      <c r="AV502" s="71" t="s">
        <v>95</v>
      </c>
      <c r="AW502" s="71"/>
      <c r="AX502" s="71"/>
      <c r="AY502" s="71"/>
      <c r="AZ502" s="71"/>
      <c r="BA502" s="71"/>
      <c r="BB502" s="70" t="s">
        <v>218</v>
      </c>
      <c r="BC502" s="70" t="s">
        <v>98</v>
      </c>
      <c r="BD502" s="72" t="str">
        <f>IF('Cálculo MP'!K512="","",'Cálculo MP'!K512)</f>
        <v/>
      </c>
      <c r="BE502" s="72" t="str">
        <f>IF('Cálculo MP'!L512="","",'Cálculo MP'!L512)</f>
        <v/>
      </c>
      <c r="BF502" s="72" t="str">
        <f>IF('Cálculo MP'!M512="","",'Cálculo MP'!M512)</f>
        <v/>
      </c>
      <c r="BG502" s="72" t="str">
        <f>IF('Cálculo MP'!N512="","",'Cálculo MP'!N512)</f>
        <v/>
      </c>
      <c r="BH502" s="72" t="str">
        <f>IF('Cálculo MP'!O512="","",'Cálculo MP'!O512)</f>
        <v/>
      </c>
      <c r="BI502" s="72" t="str">
        <f>IF('Cálculo MP'!P512="","",'Cálculo MP'!P512)</f>
        <v/>
      </c>
      <c r="BJ502" s="72" t="str">
        <f>IF('Cálculo MP'!Q512="","",'Cálculo MP'!Q512)</f>
        <v/>
      </c>
      <c r="BK502" s="72" t="str">
        <f>IF('Cálculo MP'!R512="","",'Cálculo MP'!R512)</f>
        <v/>
      </c>
      <c r="BL502" s="72" t="str">
        <f>IF('Cálculo MP'!S512="","",'Cálculo MP'!S512)</f>
        <v/>
      </c>
      <c r="BM502" s="71"/>
      <c r="BN502" s="71"/>
      <c r="BO502" s="71"/>
      <c r="BP502" s="71"/>
      <c r="BQ502" s="71"/>
      <c r="BR502" s="71"/>
      <c r="BS502" s="71"/>
    </row>
    <row r="503" spans="1:71" ht="19.5" customHeight="1" x14ac:dyDescent="0.15">
      <c r="A503" s="56" t="s">
        <v>985</v>
      </c>
      <c r="B503" s="57" t="s">
        <v>986</v>
      </c>
      <c r="C503" s="58" t="s">
        <v>985</v>
      </c>
      <c r="D503" s="59" t="s">
        <v>985</v>
      </c>
      <c r="E503" s="61"/>
      <c r="F503" s="60" t="s">
        <v>95</v>
      </c>
      <c r="G503" s="61"/>
      <c r="H503" s="62"/>
      <c r="I503" s="75"/>
      <c r="J503" s="60" t="s">
        <v>95</v>
      </c>
      <c r="K503" s="64"/>
      <c r="L503" s="64"/>
      <c r="M503" s="64" t="s">
        <v>96</v>
      </c>
      <c r="N503" s="64" t="s">
        <v>97</v>
      </c>
      <c r="O503" s="65" t="s">
        <v>986</v>
      </c>
      <c r="P503" s="70" t="s">
        <v>96</v>
      </c>
      <c r="Q503" s="60" t="s">
        <v>95</v>
      </c>
      <c r="R503" s="60" t="s">
        <v>96</v>
      </c>
      <c r="S503" s="66" t="s">
        <v>96</v>
      </c>
      <c r="T503" s="67" t="s">
        <v>96</v>
      </c>
      <c r="U503" s="60" t="s">
        <v>96</v>
      </c>
      <c r="V503" s="60" t="s">
        <v>96</v>
      </c>
      <c r="W503" s="60" t="str" cm="1">
        <f t="array" ref="W503">_xlfn.LET(_xlpm.resultados,_xlfn.UNIQUE(_xlfn._xlws.FILTER(Tabla1[Proceso],(Tabla1[Metal Base]=Q503)*(Tabla1[Etiquetas]=_xlfn.TEXTJOIN(" + ",TRUE,IF((TRIM(Upload!R503:V503)="")+(LOWER(TRIM(Upload!R503:V503))="(seleccione)"),"",PROPER(TRIM(Upload!R503:V503)))))*(Tabla1[Línea2]=IFERROR(VLOOKUP(Upload!P503&amp;"*",CAT_Procesos!D:D,1,FALSE),"")))),_xlpm.cantidad,ROWS(_xlpm.resultados),IF(ISERROR(_xlpm.cantidad),"Combinación no existente",IF(_xlpm.cantidad=1,INDEX(_xlpm.resultados,1),"(seleccione)")))</f>
        <v>Combinación no existente</v>
      </c>
      <c r="X503" s="67" t="s">
        <v>96</v>
      </c>
      <c r="Y503" s="64"/>
      <c r="Z503" s="64"/>
      <c r="AA503" s="64"/>
      <c r="AB503" s="133" t="s">
        <v>96</v>
      </c>
      <c r="AC503" s="64"/>
      <c r="AD503" s="64"/>
      <c r="AE503" s="64"/>
      <c r="AF503" s="60" t="s">
        <v>96</v>
      </c>
      <c r="AG503" s="64"/>
      <c r="AH503" s="64"/>
      <c r="AI503" s="64"/>
      <c r="AJ503" s="68" t="s">
        <v>96</v>
      </c>
      <c r="AK503" s="69" t="str">
        <f t="shared" si="14"/>
        <v/>
      </c>
      <c r="AL503" s="70" t="s">
        <v>96</v>
      </c>
      <c r="AM503" s="69" t="str">
        <f t="shared" si="15"/>
        <v/>
      </c>
      <c r="AN503" s="71"/>
      <c r="AO503" s="71"/>
      <c r="AP503" s="71"/>
      <c r="AQ503" s="71"/>
      <c r="AR503" s="71" t="s">
        <v>96</v>
      </c>
      <c r="AS503" s="71"/>
      <c r="AT503" s="71" t="s">
        <v>96</v>
      </c>
      <c r="AU503" s="71"/>
      <c r="AV503" s="71" t="s">
        <v>95</v>
      </c>
      <c r="AW503" s="71"/>
      <c r="AX503" s="71"/>
      <c r="AY503" s="71"/>
      <c r="AZ503" s="71"/>
      <c r="BA503" s="71"/>
      <c r="BB503" s="70" t="s">
        <v>218</v>
      </c>
      <c r="BC503" s="70" t="s">
        <v>98</v>
      </c>
      <c r="BD503" s="72" t="str">
        <f>IF('Cálculo MP'!K513="","",'Cálculo MP'!K513)</f>
        <v/>
      </c>
      <c r="BE503" s="72" t="str">
        <f>IF('Cálculo MP'!L513="","",'Cálculo MP'!L513)</f>
        <v/>
      </c>
      <c r="BF503" s="72" t="str">
        <f>IF('Cálculo MP'!M513="","",'Cálculo MP'!M513)</f>
        <v/>
      </c>
      <c r="BG503" s="72" t="str">
        <f>IF('Cálculo MP'!N513="","",'Cálculo MP'!N513)</f>
        <v/>
      </c>
      <c r="BH503" s="72" t="str">
        <f>IF('Cálculo MP'!O513="","",'Cálculo MP'!O513)</f>
        <v/>
      </c>
      <c r="BI503" s="72" t="str">
        <f>IF('Cálculo MP'!P513="","",'Cálculo MP'!P513)</f>
        <v/>
      </c>
      <c r="BJ503" s="72" t="str">
        <f>IF('Cálculo MP'!Q513="","",'Cálculo MP'!Q513)</f>
        <v/>
      </c>
      <c r="BK503" s="72" t="str">
        <f>IF('Cálculo MP'!R513="","",'Cálculo MP'!R513)</f>
        <v/>
      </c>
      <c r="BL503" s="72" t="str">
        <f>IF('Cálculo MP'!S513="","",'Cálculo MP'!S513)</f>
        <v/>
      </c>
      <c r="BM503" s="71"/>
      <c r="BN503" s="71"/>
      <c r="BO503" s="71"/>
      <c r="BP503" s="71"/>
      <c r="BQ503" s="71"/>
      <c r="BR503" s="71"/>
      <c r="BS503" s="71"/>
    </row>
    <row r="504" spans="1:71" ht="19.5" customHeight="1" x14ac:dyDescent="0.15">
      <c r="A504" s="56" t="s">
        <v>985</v>
      </c>
      <c r="B504" s="57" t="s">
        <v>986</v>
      </c>
      <c r="C504" s="58" t="s">
        <v>985</v>
      </c>
      <c r="D504" s="59" t="s">
        <v>985</v>
      </c>
      <c r="E504" s="61"/>
      <c r="F504" s="60" t="s">
        <v>95</v>
      </c>
      <c r="G504" s="61"/>
      <c r="H504" s="62"/>
      <c r="I504" s="75"/>
      <c r="J504" s="60" t="s">
        <v>95</v>
      </c>
      <c r="K504" s="64"/>
      <c r="L504" s="64"/>
      <c r="M504" s="64" t="s">
        <v>96</v>
      </c>
      <c r="N504" s="64" t="s">
        <v>97</v>
      </c>
      <c r="O504" s="65" t="s">
        <v>986</v>
      </c>
      <c r="P504" s="70" t="s">
        <v>96</v>
      </c>
      <c r="Q504" s="60" t="s">
        <v>95</v>
      </c>
      <c r="R504" s="60" t="s">
        <v>96</v>
      </c>
      <c r="S504" s="66" t="s">
        <v>96</v>
      </c>
      <c r="T504" s="67" t="s">
        <v>96</v>
      </c>
      <c r="U504" s="60" t="s">
        <v>96</v>
      </c>
      <c r="V504" s="60" t="s">
        <v>96</v>
      </c>
      <c r="W504" s="60" t="str" cm="1">
        <f t="array" ref="W504">_xlfn.LET(_xlpm.resultados,_xlfn.UNIQUE(_xlfn._xlws.FILTER(Tabla1[Proceso],(Tabla1[Metal Base]=Q504)*(Tabla1[Etiquetas]=_xlfn.TEXTJOIN(" + ",TRUE,IF((TRIM(Upload!R504:V504)="")+(LOWER(TRIM(Upload!R504:V504))="(seleccione)"),"",PROPER(TRIM(Upload!R504:V504)))))*(Tabla1[Línea2]=IFERROR(VLOOKUP(Upload!P504&amp;"*",CAT_Procesos!D:D,1,FALSE),"")))),_xlpm.cantidad,ROWS(_xlpm.resultados),IF(ISERROR(_xlpm.cantidad),"Combinación no existente",IF(_xlpm.cantidad=1,INDEX(_xlpm.resultados,1),"(seleccione)")))</f>
        <v>Combinación no existente</v>
      </c>
      <c r="X504" s="67" t="s">
        <v>96</v>
      </c>
      <c r="Y504" s="64"/>
      <c r="Z504" s="64"/>
      <c r="AA504" s="64"/>
      <c r="AB504" s="133" t="s">
        <v>96</v>
      </c>
      <c r="AC504" s="64"/>
      <c r="AD504" s="64"/>
      <c r="AE504" s="64"/>
      <c r="AF504" s="60" t="s">
        <v>96</v>
      </c>
      <c r="AG504" s="64"/>
      <c r="AH504" s="64"/>
      <c r="AI504" s="64"/>
      <c r="AJ504" s="68" t="s">
        <v>96</v>
      </c>
      <c r="AK504" s="69" t="str">
        <f t="shared" si="14"/>
        <v/>
      </c>
      <c r="AL504" s="70" t="s">
        <v>96</v>
      </c>
      <c r="AM504" s="69" t="str">
        <f t="shared" si="15"/>
        <v/>
      </c>
      <c r="AN504" s="71"/>
      <c r="AO504" s="71"/>
      <c r="AP504" s="71"/>
      <c r="AQ504" s="71"/>
      <c r="AR504" s="71" t="s">
        <v>96</v>
      </c>
      <c r="AS504" s="71"/>
      <c r="AT504" s="71" t="s">
        <v>96</v>
      </c>
      <c r="AU504" s="71"/>
      <c r="AV504" s="71" t="s">
        <v>95</v>
      </c>
      <c r="AW504" s="71"/>
      <c r="AX504" s="71"/>
      <c r="AY504" s="71"/>
      <c r="AZ504" s="71"/>
      <c r="BA504" s="71"/>
      <c r="BB504" s="70" t="s">
        <v>218</v>
      </c>
      <c r="BC504" s="70" t="s">
        <v>98</v>
      </c>
      <c r="BD504" s="72" t="str">
        <f>IF('Cálculo MP'!K514="","",'Cálculo MP'!K514)</f>
        <v/>
      </c>
      <c r="BE504" s="72" t="str">
        <f>IF('Cálculo MP'!L514="","",'Cálculo MP'!L514)</f>
        <v/>
      </c>
      <c r="BF504" s="72" t="str">
        <f>IF('Cálculo MP'!M514="","",'Cálculo MP'!M514)</f>
        <v/>
      </c>
      <c r="BG504" s="72" t="str">
        <f>IF('Cálculo MP'!N514="","",'Cálculo MP'!N514)</f>
        <v/>
      </c>
      <c r="BH504" s="72" t="str">
        <f>IF('Cálculo MP'!O514="","",'Cálculo MP'!O514)</f>
        <v/>
      </c>
      <c r="BI504" s="72" t="str">
        <f>IF('Cálculo MP'!P514="","",'Cálculo MP'!P514)</f>
        <v/>
      </c>
      <c r="BJ504" s="72" t="str">
        <f>IF('Cálculo MP'!Q514="","",'Cálculo MP'!Q514)</f>
        <v/>
      </c>
      <c r="BK504" s="72" t="str">
        <f>IF('Cálculo MP'!R514="","",'Cálculo MP'!R514)</f>
        <v/>
      </c>
      <c r="BL504" s="72" t="str">
        <f>IF('Cálculo MP'!S514="","",'Cálculo MP'!S514)</f>
        <v/>
      </c>
      <c r="BM504" s="71"/>
      <c r="BN504" s="71"/>
      <c r="BO504" s="71"/>
      <c r="BP504" s="71"/>
      <c r="BQ504" s="71"/>
      <c r="BR504" s="71"/>
      <c r="BS504" s="71"/>
    </row>
    <row r="505" spans="1:71" ht="19.5" customHeight="1" x14ac:dyDescent="0.15">
      <c r="A505" s="56" t="s">
        <v>985</v>
      </c>
      <c r="B505" s="57" t="s">
        <v>986</v>
      </c>
      <c r="C505" s="58" t="s">
        <v>985</v>
      </c>
      <c r="D505" s="59" t="s">
        <v>985</v>
      </c>
      <c r="E505" s="61"/>
      <c r="F505" s="60" t="s">
        <v>95</v>
      </c>
      <c r="G505" s="61"/>
      <c r="H505" s="62"/>
      <c r="I505" s="75"/>
      <c r="J505" s="60" t="s">
        <v>95</v>
      </c>
      <c r="K505" s="64"/>
      <c r="L505" s="64"/>
      <c r="M505" s="64" t="s">
        <v>96</v>
      </c>
      <c r="N505" s="64" t="s">
        <v>97</v>
      </c>
      <c r="O505" s="65" t="s">
        <v>986</v>
      </c>
      <c r="P505" s="70" t="s">
        <v>96</v>
      </c>
      <c r="Q505" s="60" t="s">
        <v>95</v>
      </c>
      <c r="R505" s="60" t="s">
        <v>96</v>
      </c>
      <c r="S505" s="66" t="s">
        <v>96</v>
      </c>
      <c r="T505" s="67" t="s">
        <v>96</v>
      </c>
      <c r="U505" s="60" t="s">
        <v>96</v>
      </c>
      <c r="V505" s="60" t="s">
        <v>96</v>
      </c>
      <c r="W505" s="60" t="str" cm="1">
        <f t="array" ref="W505">_xlfn.LET(_xlpm.resultados,_xlfn.UNIQUE(_xlfn._xlws.FILTER(Tabla1[Proceso],(Tabla1[Metal Base]=Q505)*(Tabla1[Etiquetas]=_xlfn.TEXTJOIN(" + ",TRUE,IF((TRIM(Upload!R505:V505)="")+(LOWER(TRIM(Upload!R505:V505))="(seleccione)"),"",PROPER(TRIM(Upload!R505:V505)))))*(Tabla1[Línea2]=IFERROR(VLOOKUP(Upload!P505&amp;"*",CAT_Procesos!D:D,1,FALSE),"")))),_xlpm.cantidad,ROWS(_xlpm.resultados),IF(ISERROR(_xlpm.cantidad),"Combinación no existente",IF(_xlpm.cantidad=1,INDEX(_xlpm.resultados,1),"(seleccione)")))</f>
        <v>Combinación no existente</v>
      </c>
      <c r="X505" s="67" t="s">
        <v>96</v>
      </c>
      <c r="Y505" s="64"/>
      <c r="Z505" s="64"/>
      <c r="AA505" s="64"/>
      <c r="AB505" s="133" t="s">
        <v>96</v>
      </c>
      <c r="AC505" s="64"/>
      <c r="AD505" s="64"/>
      <c r="AE505" s="64"/>
      <c r="AF505" s="60" t="s">
        <v>96</v>
      </c>
      <c r="AG505" s="64"/>
      <c r="AH505" s="64"/>
      <c r="AI505" s="64"/>
      <c r="AJ505" s="68" t="s">
        <v>96</v>
      </c>
      <c r="AK505" s="69" t="str">
        <f t="shared" si="14"/>
        <v/>
      </c>
      <c r="AL505" s="70" t="s">
        <v>96</v>
      </c>
      <c r="AM505" s="69" t="str">
        <f t="shared" si="15"/>
        <v/>
      </c>
      <c r="AN505" s="71"/>
      <c r="AO505" s="71"/>
      <c r="AP505" s="71"/>
      <c r="AQ505" s="71"/>
      <c r="AR505" s="71" t="s">
        <v>96</v>
      </c>
      <c r="AS505" s="71"/>
      <c r="AT505" s="71" t="s">
        <v>96</v>
      </c>
      <c r="AU505" s="71"/>
      <c r="AV505" s="71" t="s">
        <v>95</v>
      </c>
      <c r="AW505" s="71"/>
      <c r="AX505" s="71"/>
      <c r="AY505" s="71"/>
      <c r="AZ505" s="71"/>
      <c r="BA505" s="71"/>
      <c r="BB505" s="70" t="s">
        <v>218</v>
      </c>
      <c r="BC505" s="70" t="s">
        <v>98</v>
      </c>
      <c r="BD505" s="72" t="str">
        <f>IF('Cálculo MP'!K515="","",'Cálculo MP'!K515)</f>
        <v/>
      </c>
      <c r="BE505" s="72" t="str">
        <f>IF('Cálculo MP'!L515="","",'Cálculo MP'!L515)</f>
        <v/>
      </c>
      <c r="BF505" s="72" t="str">
        <f>IF('Cálculo MP'!M515="","",'Cálculo MP'!M515)</f>
        <v/>
      </c>
      <c r="BG505" s="72" t="str">
        <f>IF('Cálculo MP'!N515="","",'Cálculo MP'!N515)</f>
        <v/>
      </c>
      <c r="BH505" s="72" t="str">
        <f>IF('Cálculo MP'!O515="","",'Cálculo MP'!O515)</f>
        <v/>
      </c>
      <c r="BI505" s="72" t="str">
        <f>IF('Cálculo MP'!P515="","",'Cálculo MP'!P515)</f>
        <v/>
      </c>
      <c r="BJ505" s="72" t="str">
        <f>IF('Cálculo MP'!Q515="","",'Cálculo MP'!Q515)</f>
        <v/>
      </c>
      <c r="BK505" s="72" t="str">
        <f>IF('Cálculo MP'!R515="","",'Cálculo MP'!R515)</f>
        <v/>
      </c>
      <c r="BL505" s="72" t="str">
        <f>IF('Cálculo MP'!S515="","",'Cálculo MP'!S515)</f>
        <v/>
      </c>
      <c r="BM505" s="71"/>
      <c r="BN505" s="71"/>
      <c r="BO505" s="71"/>
      <c r="BP505" s="71"/>
      <c r="BQ505" s="71"/>
      <c r="BR505" s="71"/>
      <c r="BS505" s="71"/>
    </row>
    <row r="506" spans="1:71" ht="19.5" customHeight="1" x14ac:dyDescent="0.15">
      <c r="A506" s="56" t="s">
        <v>985</v>
      </c>
      <c r="B506" s="57" t="s">
        <v>986</v>
      </c>
      <c r="C506" s="58" t="s">
        <v>985</v>
      </c>
      <c r="D506" s="59" t="s">
        <v>985</v>
      </c>
      <c r="E506" s="61"/>
      <c r="F506" s="60" t="s">
        <v>95</v>
      </c>
      <c r="G506" s="61"/>
      <c r="H506" s="62"/>
      <c r="I506" s="75"/>
      <c r="J506" s="60" t="s">
        <v>95</v>
      </c>
      <c r="K506" s="64"/>
      <c r="L506" s="64"/>
      <c r="M506" s="64" t="s">
        <v>96</v>
      </c>
      <c r="N506" s="64" t="s">
        <v>97</v>
      </c>
      <c r="O506" s="65" t="s">
        <v>986</v>
      </c>
      <c r="P506" s="70" t="s">
        <v>96</v>
      </c>
      <c r="Q506" s="60" t="s">
        <v>95</v>
      </c>
      <c r="R506" s="60" t="s">
        <v>96</v>
      </c>
      <c r="S506" s="66" t="s">
        <v>96</v>
      </c>
      <c r="T506" s="67" t="s">
        <v>96</v>
      </c>
      <c r="U506" s="60" t="s">
        <v>96</v>
      </c>
      <c r="V506" s="60" t="s">
        <v>96</v>
      </c>
      <c r="W506" s="60" t="str" cm="1">
        <f t="array" ref="W506">_xlfn.LET(_xlpm.resultados,_xlfn.UNIQUE(_xlfn._xlws.FILTER(Tabla1[Proceso],(Tabla1[Metal Base]=Q506)*(Tabla1[Etiquetas]=_xlfn.TEXTJOIN(" + ",TRUE,IF((TRIM(Upload!R506:V506)="")+(LOWER(TRIM(Upload!R506:V506))="(seleccione)"),"",PROPER(TRIM(Upload!R506:V506)))))*(Tabla1[Línea2]=IFERROR(VLOOKUP(Upload!P506&amp;"*",CAT_Procesos!D:D,1,FALSE),"")))),_xlpm.cantidad,ROWS(_xlpm.resultados),IF(ISERROR(_xlpm.cantidad),"Combinación no existente",IF(_xlpm.cantidad=1,INDEX(_xlpm.resultados,1),"(seleccione)")))</f>
        <v>Combinación no existente</v>
      </c>
      <c r="X506" s="67" t="s">
        <v>96</v>
      </c>
      <c r="Y506" s="64"/>
      <c r="Z506" s="64"/>
      <c r="AA506" s="64"/>
      <c r="AB506" s="133" t="s">
        <v>96</v>
      </c>
      <c r="AC506" s="64"/>
      <c r="AD506" s="64"/>
      <c r="AE506" s="64"/>
      <c r="AF506" s="60" t="s">
        <v>96</v>
      </c>
      <c r="AG506" s="64"/>
      <c r="AH506" s="64"/>
      <c r="AI506" s="64"/>
      <c r="AJ506" s="68" t="s">
        <v>96</v>
      </c>
      <c r="AK506" s="69" t="str">
        <f t="shared" si="14"/>
        <v/>
      </c>
      <c r="AL506" s="70" t="s">
        <v>96</v>
      </c>
      <c r="AM506" s="69" t="str">
        <f t="shared" si="15"/>
        <v/>
      </c>
      <c r="AN506" s="71"/>
      <c r="AO506" s="71"/>
      <c r="AP506" s="71"/>
      <c r="AQ506" s="71"/>
      <c r="AR506" s="71" t="s">
        <v>96</v>
      </c>
      <c r="AS506" s="71"/>
      <c r="AT506" s="71" t="s">
        <v>96</v>
      </c>
      <c r="AU506" s="71"/>
      <c r="AV506" s="71" t="s">
        <v>95</v>
      </c>
      <c r="AW506" s="71"/>
      <c r="AX506" s="71"/>
      <c r="AY506" s="71"/>
      <c r="AZ506" s="71"/>
      <c r="BA506" s="71"/>
      <c r="BB506" s="70" t="s">
        <v>218</v>
      </c>
      <c r="BC506" s="70" t="s">
        <v>98</v>
      </c>
      <c r="BD506" s="72" t="str">
        <f>IF('Cálculo MP'!K516="","",'Cálculo MP'!K516)</f>
        <v/>
      </c>
      <c r="BE506" s="72" t="str">
        <f>IF('Cálculo MP'!L516="","",'Cálculo MP'!L516)</f>
        <v/>
      </c>
      <c r="BF506" s="72" t="str">
        <f>IF('Cálculo MP'!M516="","",'Cálculo MP'!M516)</f>
        <v/>
      </c>
      <c r="BG506" s="72" t="str">
        <f>IF('Cálculo MP'!N516="","",'Cálculo MP'!N516)</f>
        <v/>
      </c>
      <c r="BH506" s="72" t="str">
        <f>IF('Cálculo MP'!O516="","",'Cálculo MP'!O516)</f>
        <v/>
      </c>
      <c r="BI506" s="72" t="str">
        <f>IF('Cálculo MP'!P516="","",'Cálculo MP'!P516)</f>
        <v/>
      </c>
      <c r="BJ506" s="72" t="str">
        <f>IF('Cálculo MP'!Q516="","",'Cálculo MP'!Q516)</f>
        <v/>
      </c>
      <c r="BK506" s="72" t="str">
        <f>IF('Cálculo MP'!R516="","",'Cálculo MP'!R516)</f>
        <v/>
      </c>
      <c r="BL506" s="72" t="str">
        <f>IF('Cálculo MP'!S516="","",'Cálculo MP'!S516)</f>
        <v/>
      </c>
      <c r="BM506" s="71"/>
      <c r="BN506" s="71"/>
      <c r="BO506" s="71"/>
      <c r="BP506" s="71"/>
      <c r="BQ506" s="71"/>
      <c r="BR506" s="71"/>
      <c r="BS506" s="71"/>
    </row>
    <row r="507" spans="1:71" ht="19.5" customHeight="1" x14ac:dyDescent="0.15">
      <c r="A507" s="56" t="s">
        <v>985</v>
      </c>
      <c r="B507" s="57" t="s">
        <v>986</v>
      </c>
      <c r="C507" s="58" t="s">
        <v>985</v>
      </c>
      <c r="D507" s="59" t="s">
        <v>985</v>
      </c>
      <c r="E507" s="61"/>
      <c r="F507" s="60" t="s">
        <v>95</v>
      </c>
      <c r="G507" s="61"/>
      <c r="H507" s="62"/>
      <c r="I507" s="75"/>
      <c r="J507" s="60" t="s">
        <v>95</v>
      </c>
      <c r="K507" s="64"/>
      <c r="L507" s="64"/>
      <c r="M507" s="64" t="s">
        <v>96</v>
      </c>
      <c r="N507" s="64" t="s">
        <v>97</v>
      </c>
      <c r="O507" s="65" t="s">
        <v>986</v>
      </c>
      <c r="P507" s="70" t="s">
        <v>96</v>
      </c>
      <c r="Q507" s="60" t="s">
        <v>95</v>
      </c>
      <c r="R507" s="60" t="s">
        <v>96</v>
      </c>
      <c r="S507" s="66" t="s">
        <v>96</v>
      </c>
      <c r="T507" s="67" t="s">
        <v>96</v>
      </c>
      <c r="U507" s="60" t="s">
        <v>96</v>
      </c>
      <c r="V507" s="60" t="s">
        <v>96</v>
      </c>
      <c r="W507" s="60" t="str" cm="1">
        <f t="array" ref="W507">_xlfn.LET(_xlpm.resultados,_xlfn.UNIQUE(_xlfn._xlws.FILTER(Tabla1[Proceso],(Tabla1[Metal Base]=Q507)*(Tabla1[Etiquetas]=_xlfn.TEXTJOIN(" + ",TRUE,IF((TRIM(Upload!R507:V507)="")+(LOWER(TRIM(Upload!R507:V507))="(seleccione)"),"",PROPER(TRIM(Upload!R507:V507)))))*(Tabla1[Línea2]=IFERROR(VLOOKUP(Upload!P507&amp;"*",CAT_Procesos!D:D,1,FALSE),"")))),_xlpm.cantidad,ROWS(_xlpm.resultados),IF(ISERROR(_xlpm.cantidad),"Combinación no existente",IF(_xlpm.cantidad=1,INDEX(_xlpm.resultados,1),"(seleccione)")))</f>
        <v>Combinación no existente</v>
      </c>
      <c r="X507" s="67" t="s">
        <v>96</v>
      </c>
      <c r="Y507" s="64"/>
      <c r="Z507" s="64"/>
      <c r="AA507" s="64"/>
      <c r="AB507" s="133" t="s">
        <v>96</v>
      </c>
      <c r="AC507" s="64"/>
      <c r="AD507" s="64"/>
      <c r="AE507" s="64"/>
      <c r="AF507" s="60" t="s">
        <v>96</v>
      </c>
      <c r="AG507" s="64"/>
      <c r="AH507" s="64"/>
      <c r="AI507" s="64"/>
      <c r="AJ507" s="68" t="s">
        <v>96</v>
      </c>
      <c r="AK507" s="69" t="str">
        <f t="shared" si="14"/>
        <v/>
      </c>
      <c r="AL507" s="70" t="s">
        <v>96</v>
      </c>
      <c r="AM507" s="69" t="str">
        <f t="shared" si="15"/>
        <v/>
      </c>
      <c r="AN507" s="71"/>
      <c r="AO507" s="71"/>
      <c r="AP507" s="71"/>
      <c r="AQ507" s="71"/>
      <c r="AR507" s="71" t="s">
        <v>96</v>
      </c>
      <c r="AS507" s="71"/>
      <c r="AT507" s="71" t="s">
        <v>96</v>
      </c>
      <c r="AU507" s="71"/>
      <c r="AV507" s="71" t="s">
        <v>95</v>
      </c>
      <c r="AW507" s="71"/>
      <c r="AX507" s="71"/>
      <c r="AY507" s="71"/>
      <c r="AZ507" s="71"/>
      <c r="BA507" s="71"/>
      <c r="BB507" s="70" t="s">
        <v>218</v>
      </c>
      <c r="BC507" s="70" t="s">
        <v>98</v>
      </c>
      <c r="BD507" s="72" t="str">
        <f>IF('Cálculo MP'!K517="","",'Cálculo MP'!K517)</f>
        <v/>
      </c>
      <c r="BE507" s="72" t="str">
        <f>IF('Cálculo MP'!L517="","",'Cálculo MP'!L517)</f>
        <v/>
      </c>
      <c r="BF507" s="72" t="str">
        <f>IF('Cálculo MP'!M517="","",'Cálculo MP'!M517)</f>
        <v/>
      </c>
      <c r="BG507" s="72" t="str">
        <f>IF('Cálculo MP'!N517="","",'Cálculo MP'!N517)</f>
        <v/>
      </c>
      <c r="BH507" s="72" t="str">
        <f>IF('Cálculo MP'!O517="","",'Cálculo MP'!O517)</f>
        <v/>
      </c>
      <c r="BI507" s="72" t="str">
        <f>IF('Cálculo MP'!P517="","",'Cálculo MP'!P517)</f>
        <v/>
      </c>
      <c r="BJ507" s="72" t="str">
        <f>IF('Cálculo MP'!Q517="","",'Cálculo MP'!Q517)</f>
        <v/>
      </c>
      <c r="BK507" s="72" t="str">
        <f>IF('Cálculo MP'!R517="","",'Cálculo MP'!R517)</f>
        <v/>
      </c>
      <c r="BL507" s="72" t="str">
        <f>IF('Cálculo MP'!S517="","",'Cálculo MP'!S517)</f>
        <v/>
      </c>
      <c r="BM507" s="71"/>
      <c r="BN507" s="71"/>
      <c r="BO507" s="71"/>
      <c r="BP507" s="71"/>
      <c r="BQ507" s="71"/>
      <c r="BR507" s="71"/>
      <c r="BS507" s="71"/>
    </row>
    <row r="508" spans="1:71" ht="19.5" customHeight="1" x14ac:dyDescent="0.15">
      <c r="A508" s="56" t="s">
        <v>985</v>
      </c>
      <c r="B508" s="57" t="s">
        <v>986</v>
      </c>
      <c r="C508" s="58" t="s">
        <v>985</v>
      </c>
      <c r="D508" s="59" t="s">
        <v>985</v>
      </c>
      <c r="E508" s="61"/>
      <c r="F508" s="60" t="s">
        <v>95</v>
      </c>
      <c r="G508" s="61"/>
      <c r="H508" s="62"/>
      <c r="I508" s="75"/>
      <c r="J508" s="60" t="s">
        <v>95</v>
      </c>
      <c r="K508" s="64"/>
      <c r="L508" s="64"/>
      <c r="M508" s="64" t="s">
        <v>96</v>
      </c>
      <c r="N508" s="64" t="s">
        <v>97</v>
      </c>
      <c r="O508" s="65" t="s">
        <v>986</v>
      </c>
      <c r="P508" s="70" t="s">
        <v>96</v>
      </c>
      <c r="Q508" s="60" t="s">
        <v>95</v>
      </c>
      <c r="R508" s="60" t="s">
        <v>96</v>
      </c>
      <c r="S508" s="66" t="s">
        <v>96</v>
      </c>
      <c r="T508" s="67" t="s">
        <v>96</v>
      </c>
      <c r="U508" s="60" t="s">
        <v>96</v>
      </c>
      <c r="V508" s="60" t="s">
        <v>96</v>
      </c>
      <c r="W508" s="60" t="str" cm="1">
        <f t="array" ref="W508">_xlfn.LET(_xlpm.resultados,_xlfn.UNIQUE(_xlfn._xlws.FILTER(Tabla1[Proceso],(Tabla1[Metal Base]=Q508)*(Tabla1[Etiquetas]=_xlfn.TEXTJOIN(" + ",TRUE,IF((TRIM(Upload!R508:V508)="")+(LOWER(TRIM(Upload!R508:V508))="(seleccione)"),"",PROPER(TRIM(Upload!R508:V508)))))*(Tabla1[Línea2]=IFERROR(VLOOKUP(Upload!P508&amp;"*",CAT_Procesos!D:D,1,FALSE),"")))),_xlpm.cantidad,ROWS(_xlpm.resultados),IF(ISERROR(_xlpm.cantidad),"Combinación no existente",IF(_xlpm.cantidad=1,INDEX(_xlpm.resultados,1),"(seleccione)")))</f>
        <v>Combinación no existente</v>
      </c>
      <c r="X508" s="67" t="s">
        <v>96</v>
      </c>
      <c r="Y508" s="64"/>
      <c r="Z508" s="64"/>
      <c r="AA508" s="64"/>
      <c r="AB508" s="133" t="s">
        <v>96</v>
      </c>
      <c r="AC508" s="64"/>
      <c r="AD508" s="64"/>
      <c r="AE508" s="64"/>
      <c r="AF508" s="60" t="s">
        <v>96</v>
      </c>
      <c r="AG508" s="64"/>
      <c r="AH508" s="64"/>
      <c r="AI508" s="64"/>
      <c r="AJ508" s="68" t="s">
        <v>96</v>
      </c>
      <c r="AK508" s="69" t="str">
        <f t="shared" si="14"/>
        <v/>
      </c>
      <c r="AL508" s="70" t="s">
        <v>96</v>
      </c>
      <c r="AM508" s="69" t="str">
        <f t="shared" si="15"/>
        <v/>
      </c>
      <c r="AN508" s="71"/>
      <c r="AO508" s="71"/>
      <c r="AP508" s="71"/>
      <c r="AQ508" s="71"/>
      <c r="AR508" s="71" t="s">
        <v>96</v>
      </c>
      <c r="AS508" s="71"/>
      <c r="AT508" s="71" t="s">
        <v>96</v>
      </c>
      <c r="AU508" s="71"/>
      <c r="AV508" s="71" t="s">
        <v>95</v>
      </c>
      <c r="AW508" s="71"/>
      <c r="AX508" s="71"/>
      <c r="AY508" s="71"/>
      <c r="AZ508" s="71"/>
      <c r="BA508" s="71"/>
      <c r="BB508" s="70" t="s">
        <v>218</v>
      </c>
      <c r="BC508" s="70" t="s">
        <v>98</v>
      </c>
      <c r="BD508" s="72" t="str">
        <f>IF('Cálculo MP'!K518="","",'Cálculo MP'!K518)</f>
        <v/>
      </c>
      <c r="BE508" s="72" t="str">
        <f>IF('Cálculo MP'!L518="","",'Cálculo MP'!L518)</f>
        <v/>
      </c>
      <c r="BF508" s="72" t="str">
        <f>IF('Cálculo MP'!M518="","",'Cálculo MP'!M518)</f>
        <v/>
      </c>
      <c r="BG508" s="72" t="str">
        <f>IF('Cálculo MP'!N518="","",'Cálculo MP'!N518)</f>
        <v/>
      </c>
      <c r="BH508" s="72" t="str">
        <f>IF('Cálculo MP'!O518="","",'Cálculo MP'!O518)</f>
        <v/>
      </c>
      <c r="BI508" s="72" t="str">
        <f>IF('Cálculo MP'!P518="","",'Cálculo MP'!P518)</f>
        <v/>
      </c>
      <c r="BJ508" s="72" t="str">
        <f>IF('Cálculo MP'!Q518="","",'Cálculo MP'!Q518)</f>
        <v/>
      </c>
      <c r="BK508" s="72" t="str">
        <f>IF('Cálculo MP'!R518="","",'Cálculo MP'!R518)</f>
        <v/>
      </c>
      <c r="BL508" s="72" t="str">
        <f>IF('Cálculo MP'!S518="","",'Cálculo MP'!S518)</f>
        <v/>
      </c>
      <c r="BM508" s="71"/>
      <c r="BN508" s="71"/>
      <c r="BO508" s="71"/>
      <c r="BP508" s="71"/>
      <c r="BQ508" s="71"/>
      <c r="BR508" s="71"/>
      <c r="BS508" s="71"/>
    </row>
  </sheetData>
  <mergeCells count="15">
    <mergeCell ref="A2:H2"/>
    <mergeCell ref="R3:T4"/>
    <mergeCell ref="AJ6:AM6"/>
    <mergeCell ref="AN6:AQ6"/>
    <mergeCell ref="X6:AI6"/>
    <mergeCell ref="A6:D6"/>
    <mergeCell ref="K6:O6"/>
    <mergeCell ref="E6:J6"/>
    <mergeCell ref="P6:V6"/>
    <mergeCell ref="BM6:BS6"/>
    <mergeCell ref="AR6:AU6"/>
    <mergeCell ref="BD6:BL6"/>
    <mergeCell ref="K3:N4"/>
    <mergeCell ref="AV6:BA6"/>
    <mergeCell ref="BB6:BC6"/>
  </mergeCells>
  <dataValidations count="6">
    <dataValidation type="list" sqref="H1" xr:uid="{00000000-0002-0000-0000-000000000000}">
      <formula1>"COTIZACIÓN+NP,SOLO_PN"</formula1>
    </dataValidation>
    <dataValidation type="list" sqref="N9:N508" xr:uid="{00000000-0002-0000-0000-000001000000}">
      <formula1>"USD,MXN"</formula1>
    </dataValidation>
    <dataValidation type="list" sqref="M9:M508 AA9:AA508 AE9:AE508 AI9:AI508" xr:uid="{00000000-0002-0000-0000-000002000000}">
      <formula1>"PZA,KGM,CMK,FTK,LM,LBR,LO"</formula1>
    </dataValidation>
    <dataValidation type="list" showInputMessage="1" showErrorMessage="1" sqref="A9:D508 O9:O508" xr:uid="{00000000-0002-0000-0000-000003000000}">
      <formula1>"V,F"</formula1>
    </dataValidation>
    <dataValidation type="list" sqref="C3" xr:uid="{00000000-0002-0000-0000-000004000000}">
      <formula1>"ECOPLATING,PROQUIPA"</formula1>
    </dataValidation>
    <dataValidation allowBlank="1" showInputMessage="1" sqref="G8" xr:uid="{33E4E912-C184-C642-9FD0-8D0E40073DE9}"/>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xr:uid="{1745CC5A-393D-AE4D-9861-3F087200DAAF}">
          <x14:formula1>
            <xm:f>OFFSET(Listas!$L$2,0,0,COUNTA(Listas!$L:$L)-1,1)</xm:f>
          </x14:formula1>
          <xm:sqref>H4</xm:sqref>
        </x14:dataValidation>
        <x14:dataValidation type="list" allowBlank="1" showInputMessage="1" showErrorMessage="1" xr:uid="{AF5BBD74-34CC-9A43-A5DE-BAE7AF378086}">
          <x14:formula1>
            <xm:f>OFFSET(Listas!$A$2,0,0,COUNTA(Listas!$A:$A)-1,1)</xm:f>
          </x14:formula1>
          <xm:sqref>F9:F508</xm:sqref>
        </x14:dataValidation>
        <x14:dataValidation type="list" allowBlank="1" xr:uid="{3A4554A5-9D0B-DA4E-979E-7D1371872120}">
          <x14:formula1>
            <xm:f>OFFSET(Listas!$M$2,0,0,COUNTA(Listas!$M:$M)-1,1)</xm:f>
          </x14:formula1>
          <xm:sqref>J9:J508</xm:sqref>
        </x14:dataValidation>
        <x14:dataValidation type="list" allowBlank="1" xr:uid="{24D4F85E-A806-6A4E-A212-7D9BE41492CC}">
          <x14:formula1>
            <xm:f>OFFSET(Listas!$I$2,0,0,COUNTA(Listas!$I:$I)-1,1)</xm:f>
          </x14:formula1>
          <xm:sqref>Q9:Q508</xm:sqref>
        </x14:dataValidation>
        <x14:dataValidation type="list" allowBlank="1" showInputMessage="1" showErrorMessage="1" xr:uid="{358373E5-EE8A-6B4E-87BA-FB627EC09169}">
          <x14:formula1>
            <xm:f>OFFSET(Listas!$D$2,0,0,COUNTA(Listas!$D:$D)-1,1)</xm:f>
          </x14:formula1>
          <xm:sqref>R9:V508</xm:sqref>
        </x14:dataValidation>
        <x14:dataValidation type="list" allowBlank="1" showInputMessage="1" showErrorMessage="1" xr:uid="{166E3C38-5E81-7B49-A453-2BA1CB1F5B51}">
          <x14:formula1>
            <xm:f>_xlfn.ANCHORARRAY(CAT_Procesos!$M$2)</xm:f>
          </x14:formula1>
          <xm:sqref>W9:W508</xm:sqref>
        </x14:dataValidation>
        <x14:dataValidation type="list" allowBlank="1" showInputMessage="1" showErrorMessage="1" xr:uid="{C3BB4041-3786-5F47-BC50-C8E25CD1E128}">
          <x14:formula1>
            <xm:f>OFFSET(Listas!$F$2,0,0,COUNTA(Listas!$F:$F)-1,1)</xm:f>
          </x14:formula1>
          <xm:sqref>AR9:AR508</xm:sqref>
        </x14:dataValidation>
        <x14:dataValidation type="list" allowBlank="1" showInputMessage="1" showErrorMessage="1" xr:uid="{5C254711-7EF5-274A-9503-78027C61A37F}">
          <x14:formula1>
            <xm:f>OFFSET(Listas!$G$2,0,0,COUNTA(Listas!$G:$G)-1,1)</xm:f>
          </x14:formula1>
          <xm:sqref>AT9:AT508</xm:sqref>
        </x14:dataValidation>
        <x14:dataValidation type="list" allowBlank="1" showInputMessage="1" showErrorMessage="1" xr:uid="{489FF85B-40F6-8C4C-B54E-1A98AB27B47B}">
          <x14:formula1>
            <xm:f>OFFSET(Listas!$J$2,0,0,COUNTA(Listas!$J:$J)-1,1)</xm:f>
          </x14:formula1>
          <xm:sqref>P9:P508</xm:sqref>
        </x14:dataValidation>
        <x14:dataValidation type="list" allowBlank="1" showInputMessage="1" showErrorMessage="1" xr:uid="{90B61DFA-0CE4-DD4F-8DC7-B82B7CFB3BBD}">
          <x14:formula1>
            <xm:f>OFFSET(Listas!$K$2,0,0,COUNTA(Listas!$K:$K)-1,1)</xm:f>
          </x14:formula1>
          <xm:sqref>BB9:BB508</xm:sqref>
        </x14:dataValidation>
        <x14:dataValidation type="list" allowBlank="1" showInputMessage="1" showErrorMessage="1" xr:uid="{ADD00BFE-6830-6147-9F82-BB503C9B8282}">
          <x14:formula1>
            <xm:f>OFFSET(Listas!$H$2,0,0,COUNTA(Listas!$H:$H)-1,1)</xm:f>
          </x14:formula1>
          <xm:sqref>BC9:BC508</xm:sqref>
        </x14:dataValidation>
        <x14:dataValidation type="list" showInputMessage="1" showErrorMessage="1" xr:uid="{BFC8E5D6-2105-B04C-9EFE-002AEC8556B0}">
          <x14:formula1>
            <xm:f>OFFSET(Listas!$I$2,0,0,COUNTA(Listas!$J:$J)-1,1)</xm:f>
          </x14:formula1>
          <xm:sqref>P9:P508</xm:sqref>
        </x14:dataValidation>
        <x14:dataValidation type="list" allowBlank="1" showInputMessage="1" showErrorMessage="1" xr:uid="{6965E880-F280-6346-A4F6-2E7C5F13B8BF}">
          <x14:formula1>
            <xm:f>OFFSET(Listas!$C$2,0,0,COUNTA(Listas!$C:$C)-1,1)</xm:f>
          </x14:formula1>
          <xm:sqref>X9:X508 AB9:AB508 AF9:AF508</xm:sqref>
        </x14:dataValidation>
        <x14:dataValidation type="list" allowBlank="1" showInputMessage="1" showErrorMessage="1" xr:uid="{EBA8C80D-A00A-4846-B2AA-51BD459554B6}">
          <x14:formula1>
            <xm:f>OFFSET(Listas!$N$2,0,0,COUNTA(Listas!$N:$N)-1,1)</xm:f>
          </x14:formula1>
          <xm:sqref>AV9:AV508</xm:sqref>
        </x14:dataValidation>
        <x14:dataValidation type="list" allowBlank="1" showInputMessage="1" showErrorMessage="1" xr:uid="{E56EC6DF-DF83-5640-BF2F-66F99ADAB588}">
          <x14:formula1>
            <xm:f>_xlfn.ANCHORARRAY(CAT_Specs!$G$2)</xm:f>
          </x14:formula1>
          <xm:sqref>AJ9:AJ508 AL9:AL508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348"/>
  <sheetViews>
    <sheetView workbookViewId="0">
      <pane ySplit="1" topLeftCell="A2" activePane="bottomLeft" state="frozen"/>
      <selection pane="bottomLeft" activeCell="N20" sqref="N20"/>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99</v>
      </c>
      <c r="B1" s="6" t="s">
        <v>100</v>
      </c>
      <c r="C1" s="6" t="s">
        <v>101</v>
      </c>
      <c r="D1" s="6" t="s">
        <v>102</v>
      </c>
      <c r="E1" s="6" t="s">
        <v>103</v>
      </c>
      <c r="F1" s="6" t="s">
        <v>104</v>
      </c>
      <c r="G1" s="6" t="s">
        <v>105</v>
      </c>
      <c r="H1" s="6" t="s">
        <v>106</v>
      </c>
      <c r="I1" s="6" t="s">
        <v>107</v>
      </c>
      <c r="J1" s="6" t="s">
        <v>108</v>
      </c>
      <c r="K1" s="6" t="s">
        <v>109</v>
      </c>
      <c r="L1" s="6" t="s">
        <v>110</v>
      </c>
      <c r="M1" s="6" t="s">
        <v>111</v>
      </c>
      <c r="N1" s="6" t="s">
        <v>1574</v>
      </c>
    </row>
    <row r="2" spans="1:14" x14ac:dyDescent="0.2">
      <c r="A2" s="134" t="s">
        <v>96</v>
      </c>
      <c r="B2" s="134" t="s">
        <v>96</v>
      </c>
      <c r="C2" s="134" t="s">
        <v>96</v>
      </c>
      <c r="D2" s="134" t="s">
        <v>96</v>
      </c>
      <c r="E2" s="134" t="s">
        <v>96</v>
      </c>
      <c r="F2" s="134" t="s">
        <v>96</v>
      </c>
      <c r="G2" s="134" t="s">
        <v>96</v>
      </c>
      <c r="H2" s="134" t="s">
        <v>96</v>
      </c>
      <c r="I2" s="134" t="s">
        <v>95</v>
      </c>
      <c r="J2" s="134" t="s">
        <v>96</v>
      </c>
      <c r="K2" s="134" t="s">
        <v>96</v>
      </c>
      <c r="L2" s="134" t="s">
        <v>96</v>
      </c>
      <c r="M2" s="134" t="s">
        <v>95</v>
      </c>
      <c r="N2" s="134" t="s">
        <v>95</v>
      </c>
    </row>
    <row r="3" spans="1:14" x14ac:dyDescent="0.2">
      <c r="A3" s="134" t="s">
        <v>1037</v>
      </c>
      <c r="B3" s="134" t="s">
        <v>1037</v>
      </c>
      <c r="C3" s="134" t="s">
        <v>1037</v>
      </c>
      <c r="D3" s="134" t="s">
        <v>1037</v>
      </c>
      <c r="E3" s="134" t="s">
        <v>1037</v>
      </c>
      <c r="F3" s="134" t="s">
        <v>1037</v>
      </c>
      <c r="G3" s="134" t="s">
        <v>1037</v>
      </c>
      <c r="H3" s="134" t="s">
        <v>1037</v>
      </c>
      <c r="I3" s="134" t="s">
        <v>1037</v>
      </c>
      <c r="J3" s="134" t="s">
        <v>1037</v>
      </c>
      <c r="K3" s="134" t="s">
        <v>1037</v>
      </c>
      <c r="L3" s="134" t="s">
        <v>1037</v>
      </c>
      <c r="M3" s="134" t="s">
        <v>1037</v>
      </c>
      <c r="N3" s="134" t="s">
        <v>1037</v>
      </c>
    </row>
    <row r="4" spans="1:14" x14ac:dyDescent="0.2">
      <c r="A4" t="s">
        <v>1042</v>
      </c>
      <c r="B4" t="s">
        <v>170</v>
      </c>
      <c r="C4" t="s">
        <v>113</v>
      </c>
      <c r="D4" t="s">
        <v>114</v>
      </c>
      <c r="E4" t="s">
        <v>1349</v>
      </c>
      <c r="F4" t="s">
        <v>115</v>
      </c>
      <c r="G4" t="s">
        <v>116</v>
      </c>
      <c r="H4" t="s">
        <v>98</v>
      </c>
      <c r="I4" t="s">
        <v>117</v>
      </c>
      <c r="J4" t="s">
        <v>1002</v>
      </c>
      <c r="K4" t="s">
        <v>118</v>
      </c>
      <c r="L4" t="s">
        <v>119</v>
      </c>
      <c r="M4" t="s">
        <v>1552</v>
      </c>
      <c r="N4" t="s">
        <v>1571</v>
      </c>
    </row>
    <row r="5" spans="1:14" x14ac:dyDescent="0.2">
      <c r="A5" t="s">
        <v>1043</v>
      </c>
      <c r="B5" t="s">
        <v>2094</v>
      </c>
      <c r="C5" t="s">
        <v>121</v>
      </c>
      <c r="D5" t="s">
        <v>122</v>
      </c>
      <c r="E5" t="s">
        <v>123</v>
      </c>
      <c r="F5" t="s">
        <v>124</v>
      </c>
      <c r="G5" t="s">
        <v>115</v>
      </c>
      <c r="H5" t="s">
        <v>125</v>
      </c>
      <c r="I5" t="s">
        <v>126</v>
      </c>
      <c r="J5" t="s">
        <v>1003</v>
      </c>
      <c r="K5" t="s">
        <v>127</v>
      </c>
      <c r="L5" t="s">
        <v>128</v>
      </c>
      <c r="M5" t="s">
        <v>120</v>
      </c>
      <c r="N5" t="s">
        <v>1566</v>
      </c>
    </row>
    <row r="6" spans="1:14" x14ac:dyDescent="0.2">
      <c r="A6" t="s">
        <v>112</v>
      </c>
      <c r="B6" t="s">
        <v>1089</v>
      </c>
      <c r="C6" t="s">
        <v>130</v>
      </c>
      <c r="D6" t="s">
        <v>1337</v>
      </c>
      <c r="E6" t="s">
        <v>1350</v>
      </c>
      <c r="F6" t="s">
        <v>131</v>
      </c>
      <c r="G6" t="s">
        <v>124</v>
      </c>
      <c r="H6" t="s">
        <v>132</v>
      </c>
      <c r="I6" t="s">
        <v>133</v>
      </c>
      <c r="J6" t="s">
        <v>1004</v>
      </c>
      <c r="K6" t="s">
        <v>134</v>
      </c>
      <c r="L6" t="s">
        <v>1535</v>
      </c>
      <c r="M6" t="s">
        <v>1553</v>
      </c>
      <c r="N6" t="s">
        <v>1572</v>
      </c>
    </row>
    <row r="7" spans="1:14" x14ac:dyDescent="0.2">
      <c r="A7" t="s">
        <v>1044</v>
      </c>
      <c r="B7" t="s">
        <v>1090</v>
      </c>
      <c r="C7" t="s">
        <v>999</v>
      </c>
      <c r="D7" t="s">
        <v>145</v>
      </c>
      <c r="E7" t="s">
        <v>1351</v>
      </c>
      <c r="F7" t="s">
        <v>138</v>
      </c>
      <c r="G7" t="s">
        <v>131</v>
      </c>
      <c r="H7" t="s">
        <v>139</v>
      </c>
      <c r="I7" t="s">
        <v>140</v>
      </c>
      <c r="J7" t="s">
        <v>1005</v>
      </c>
      <c r="K7" t="s">
        <v>141</v>
      </c>
      <c r="L7" t="s">
        <v>2098</v>
      </c>
      <c r="M7" t="s">
        <v>1554</v>
      </c>
      <c r="N7" t="s">
        <v>1561</v>
      </c>
    </row>
    <row r="8" spans="1:14" x14ac:dyDescent="0.2">
      <c r="A8" t="s">
        <v>1045</v>
      </c>
      <c r="B8" t="s">
        <v>1091</v>
      </c>
      <c r="C8" t="s">
        <v>144</v>
      </c>
      <c r="D8" t="s">
        <v>154</v>
      </c>
      <c r="E8" t="s">
        <v>1352</v>
      </c>
      <c r="F8" t="s">
        <v>1529</v>
      </c>
      <c r="G8" t="s">
        <v>147</v>
      </c>
      <c r="H8" t="s">
        <v>148</v>
      </c>
      <c r="I8" t="s">
        <v>149</v>
      </c>
      <c r="J8" t="s">
        <v>1006</v>
      </c>
      <c r="K8" t="s">
        <v>150</v>
      </c>
      <c r="L8" t="s">
        <v>135</v>
      </c>
      <c r="M8" t="s">
        <v>129</v>
      </c>
      <c r="N8" t="s">
        <v>1570</v>
      </c>
    </row>
    <row r="9" spans="1:14" x14ac:dyDescent="0.2">
      <c r="A9" t="s">
        <v>1046</v>
      </c>
      <c r="B9" t="s">
        <v>1092</v>
      </c>
      <c r="C9" t="s">
        <v>153</v>
      </c>
      <c r="D9" t="s">
        <v>163</v>
      </c>
      <c r="E9" t="s">
        <v>1353</v>
      </c>
      <c r="F9" t="s">
        <v>146</v>
      </c>
      <c r="G9" t="s">
        <v>156</v>
      </c>
      <c r="H9" t="s">
        <v>157</v>
      </c>
      <c r="I9" t="s">
        <v>158</v>
      </c>
      <c r="J9" t="s">
        <v>1007</v>
      </c>
      <c r="K9" t="s">
        <v>159</v>
      </c>
      <c r="L9" t="s">
        <v>142</v>
      </c>
      <c r="M9" t="s">
        <v>136</v>
      </c>
      <c r="N9" t="s">
        <v>1573</v>
      </c>
    </row>
    <row r="10" spans="1:14" x14ac:dyDescent="0.2">
      <c r="A10" t="s">
        <v>1047</v>
      </c>
      <c r="B10" t="s">
        <v>1093</v>
      </c>
      <c r="C10" t="s">
        <v>162</v>
      </c>
      <c r="D10" t="s">
        <v>172</v>
      </c>
      <c r="E10" t="s">
        <v>1354</v>
      </c>
      <c r="F10" t="s">
        <v>155</v>
      </c>
      <c r="G10" t="s">
        <v>165</v>
      </c>
      <c r="H10" t="s">
        <v>166</v>
      </c>
      <c r="I10" t="s">
        <v>120</v>
      </c>
      <c r="J10" t="s">
        <v>1008</v>
      </c>
      <c r="K10" t="s">
        <v>167</v>
      </c>
      <c r="L10" t="s">
        <v>151</v>
      </c>
      <c r="M10" t="s">
        <v>143</v>
      </c>
      <c r="N10" t="s">
        <v>1563</v>
      </c>
    </row>
    <row r="11" spans="1:14" x14ac:dyDescent="0.2">
      <c r="A11" t="s">
        <v>1048</v>
      </c>
      <c r="B11" t="s">
        <v>1094</v>
      </c>
      <c r="C11" t="s">
        <v>171</v>
      </c>
      <c r="D11" t="s">
        <v>117</v>
      </c>
      <c r="E11" t="s">
        <v>1355</v>
      </c>
      <c r="F11" t="s">
        <v>1530</v>
      </c>
      <c r="G11" t="s">
        <v>174</v>
      </c>
      <c r="H11" t="s">
        <v>175</v>
      </c>
      <c r="I11" t="s">
        <v>1034</v>
      </c>
      <c r="J11" t="s">
        <v>1009</v>
      </c>
      <c r="K11" t="s">
        <v>176</v>
      </c>
      <c r="L11" t="s">
        <v>160</v>
      </c>
      <c r="M11" t="s">
        <v>152</v>
      </c>
      <c r="N11" t="s">
        <v>1560</v>
      </c>
    </row>
    <row r="12" spans="1:14" x14ac:dyDescent="0.2">
      <c r="A12" t="s">
        <v>1049</v>
      </c>
      <c r="B12" t="s">
        <v>1095</v>
      </c>
      <c r="C12" t="s">
        <v>180</v>
      </c>
      <c r="D12" t="s">
        <v>1338</v>
      </c>
      <c r="E12" t="s">
        <v>1356</v>
      </c>
      <c r="F12" t="s">
        <v>164</v>
      </c>
      <c r="G12" t="s">
        <v>182</v>
      </c>
      <c r="H12" t="s">
        <v>183</v>
      </c>
      <c r="I12" t="s">
        <v>1035</v>
      </c>
      <c r="J12" t="s">
        <v>1010</v>
      </c>
      <c r="K12" t="s">
        <v>1028</v>
      </c>
      <c r="L12" t="s">
        <v>177</v>
      </c>
      <c r="M12" t="s">
        <v>161</v>
      </c>
      <c r="N12" t="s">
        <v>1564</v>
      </c>
    </row>
    <row r="13" spans="1:14" x14ac:dyDescent="0.2">
      <c r="A13" t="s">
        <v>169</v>
      </c>
      <c r="B13" t="s">
        <v>1096</v>
      </c>
      <c r="C13" t="s">
        <v>188</v>
      </c>
      <c r="D13" t="s">
        <v>215</v>
      </c>
      <c r="E13" t="s">
        <v>1357</v>
      </c>
      <c r="F13" t="s">
        <v>173</v>
      </c>
      <c r="G13" t="s">
        <v>190</v>
      </c>
      <c r="H13" t="s">
        <v>1033</v>
      </c>
      <c r="I13" t="s">
        <v>1531</v>
      </c>
      <c r="J13" t="s">
        <v>1011</v>
      </c>
      <c r="K13" t="s">
        <v>184</v>
      </c>
      <c r="L13" t="s">
        <v>185</v>
      </c>
      <c r="M13" t="s">
        <v>1555</v>
      </c>
      <c r="N13" t="s">
        <v>1568</v>
      </c>
    </row>
    <row r="14" spans="1:14" x14ac:dyDescent="0.2">
      <c r="A14" t="s">
        <v>991</v>
      </c>
      <c r="B14" t="s">
        <v>1097</v>
      </c>
      <c r="C14" t="s">
        <v>193</v>
      </c>
      <c r="D14" t="s">
        <v>1339</v>
      </c>
      <c r="E14" t="s">
        <v>1358</v>
      </c>
      <c r="F14" t="s">
        <v>181</v>
      </c>
      <c r="G14" t="s">
        <v>195</v>
      </c>
      <c r="J14" t="s">
        <v>1012</v>
      </c>
      <c r="K14" t="s">
        <v>196</v>
      </c>
      <c r="L14" t="s">
        <v>191</v>
      </c>
      <c r="M14" t="s">
        <v>168</v>
      </c>
      <c r="N14" t="s">
        <v>1562</v>
      </c>
    </row>
    <row r="15" spans="1:14" x14ac:dyDescent="0.2">
      <c r="A15" t="s">
        <v>179</v>
      </c>
      <c r="B15" t="s">
        <v>1098</v>
      </c>
      <c r="C15" t="s">
        <v>201</v>
      </c>
      <c r="D15" t="s">
        <v>223</v>
      </c>
      <c r="E15" t="s">
        <v>1359</v>
      </c>
      <c r="F15" t="s">
        <v>189</v>
      </c>
      <c r="G15" t="s">
        <v>203</v>
      </c>
      <c r="J15" t="s">
        <v>1013</v>
      </c>
      <c r="K15" t="s">
        <v>1029</v>
      </c>
      <c r="L15" t="s">
        <v>197</v>
      </c>
      <c r="M15" t="s">
        <v>178</v>
      </c>
      <c r="N15" t="s">
        <v>1565</v>
      </c>
    </row>
    <row r="16" spans="1:14" x14ac:dyDescent="0.2">
      <c r="A16" t="s">
        <v>187</v>
      </c>
      <c r="B16" t="s">
        <v>1099</v>
      </c>
      <c r="C16" t="s">
        <v>208</v>
      </c>
      <c r="D16" t="s">
        <v>236</v>
      </c>
      <c r="E16" t="s">
        <v>1360</v>
      </c>
      <c r="F16" t="s">
        <v>194</v>
      </c>
      <c r="G16" t="s">
        <v>210</v>
      </c>
      <c r="J16" t="s">
        <v>1014</v>
      </c>
      <c r="K16" t="s">
        <v>218</v>
      </c>
      <c r="L16" t="s">
        <v>204</v>
      </c>
      <c r="M16" t="s">
        <v>186</v>
      </c>
      <c r="N16" t="s">
        <v>1567</v>
      </c>
    </row>
    <row r="17" spans="1:14" x14ac:dyDescent="0.2">
      <c r="A17" t="s">
        <v>1050</v>
      </c>
      <c r="B17" t="s">
        <v>1100</v>
      </c>
      <c r="C17" t="s">
        <v>214</v>
      </c>
      <c r="D17" t="s">
        <v>242</v>
      </c>
      <c r="E17" t="s">
        <v>1361</v>
      </c>
      <c r="F17" t="s">
        <v>202</v>
      </c>
      <c r="G17" t="s">
        <v>217</v>
      </c>
      <c r="J17" t="s">
        <v>1015</v>
      </c>
      <c r="K17" t="s">
        <v>227</v>
      </c>
      <c r="L17" t="s">
        <v>211</v>
      </c>
      <c r="M17" t="s">
        <v>192</v>
      </c>
      <c r="N17" t="s">
        <v>1569</v>
      </c>
    </row>
    <row r="18" spans="1:14" x14ac:dyDescent="0.2">
      <c r="A18" t="s">
        <v>1051</v>
      </c>
      <c r="B18" t="s">
        <v>1101</v>
      </c>
      <c r="C18" t="s">
        <v>222</v>
      </c>
      <c r="D18" t="s">
        <v>248</v>
      </c>
      <c r="E18" t="s">
        <v>1362</v>
      </c>
      <c r="F18" t="s">
        <v>209</v>
      </c>
      <c r="G18" t="s">
        <v>226</v>
      </c>
      <c r="J18" t="s">
        <v>1016</v>
      </c>
      <c r="K18" t="s">
        <v>1030</v>
      </c>
      <c r="L18" t="s">
        <v>219</v>
      </c>
      <c r="M18" t="s">
        <v>198</v>
      </c>
    </row>
    <row r="19" spans="1:14" x14ac:dyDescent="0.2">
      <c r="A19" t="s">
        <v>199</v>
      </c>
      <c r="B19" t="s">
        <v>1102</v>
      </c>
      <c r="C19" t="s">
        <v>230</v>
      </c>
      <c r="D19" t="s">
        <v>254</v>
      </c>
      <c r="E19" t="s">
        <v>1363</v>
      </c>
      <c r="F19" t="s">
        <v>216</v>
      </c>
      <c r="G19" t="s">
        <v>232</v>
      </c>
      <c r="J19" t="s">
        <v>1017</v>
      </c>
      <c r="K19" t="s">
        <v>1031</v>
      </c>
      <c r="L19" t="s">
        <v>228</v>
      </c>
      <c r="M19" t="s">
        <v>205</v>
      </c>
    </row>
    <row r="20" spans="1:14" x14ac:dyDescent="0.2">
      <c r="A20" t="s">
        <v>206</v>
      </c>
      <c r="B20" t="s">
        <v>1103</v>
      </c>
      <c r="C20" t="s">
        <v>235</v>
      </c>
      <c r="D20" t="s">
        <v>260</v>
      </c>
      <c r="E20" t="s">
        <v>1364</v>
      </c>
      <c r="F20" t="s">
        <v>225</v>
      </c>
      <c r="G20" t="s">
        <v>238</v>
      </c>
      <c r="J20" t="s">
        <v>1018</v>
      </c>
      <c r="K20" t="s">
        <v>1032</v>
      </c>
      <c r="L20" t="s">
        <v>233</v>
      </c>
      <c r="M20" t="s">
        <v>212</v>
      </c>
    </row>
    <row r="21" spans="1:14" x14ac:dyDescent="0.2">
      <c r="A21" t="s">
        <v>1052</v>
      </c>
      <c r="B21" t="s">
        <v>1104</v>
      </c>
      <c r="C21" t="s">
        <v>145</v>
      </c>
      <c r="D21" t="s">
        <v>271</v>
      </c>
      <c r="E21" t="s">
        <v>1365</v>
      </c>
      <c r="F21" t="s">
        <v>231</v>
      </c>
      <c r="G21" t="s">
        <v>244</v>
      </c>
      <c r="J21" t="s">
        <v>1019</v>
      </c>
      <c r="K21" t="s">
        <v>239</v>
      </c>
      <c r="L21" t="s">
        <v>240</v>
      </c>
      <c r="M21" t="s">
        <v>220</v>
      </c>
    </row>
    <row r="22" spans="1:14" x14ac:dyDescent="0.2">
      <c r="A22" t="s">
        <v>1053</v>
      </c>
      <c r="B22" t="s">
        <v>1105</v>
      </c>
      <c r="C22" t="s">
        <v>247</v>
      </c>
      <c r="D22" t="s">
        <v>279</v>
      </c>
      <c r="E22" t="s">
        <v>1366</v>
      </c>
      <c r="F22" t="s">
        <v>237</v>
      </c>
      <c r="G22" t="s">
        <v>250</v>
      </c>
      <c r="J22" t="s">
        <v>1020</v>
      </c>
      <c r="L22" t="s">
        <v>245</v>
      </c>
      <c r="M22" t="s">
        <v>1556</v>
      </c>
    </row>
    <row r="23" spans="1:14" x14ac:dyDescent="0.2">
      <c r="A23" t="s">
        <v>1054</v>
      </c>
      <c r="B23" t="s">
        <v>1106</v>
      </c>
      <c r="C23" t="s">
        <v>253</v>
      </c>
      <c r="D23" t="s">
        <v>285</v>
      </c>
      <c r="E23" t="s">
        <v>224</v>
      </c>
      <c r="F23" t="s">
        <v>243</v>
      </c>
      <c r="G23" t="s">
        <v>257</v>
      </c>
      <c r="J23" t="s">
        <v>1021</v>
      </c>
      <c r="L23" t="s">
        <v>251</v>
      </c>
      <c r="M23" t="s">
        <v>1557</v>
      </c>
    </row>
    <row r="24" spans="1:14" x14ac:dyDescent="0.2">
      <c r="A24" t="s">
        <v>1055</v>
      </c>
      <c r="B24" t="s">
        <v>1107</v>
      </c>
      <c r="C24" t="s">
        <v>163</v>
      </c>
      <c r="D24" t="s">
        <v>1000</v>
      </c>
      <c r="E24" t="s">
        <v>1367</v>
      </c>
      <c r="F24" t="s">
        <v>249</v>
      </c>
      <c r="G24" t="s">
        <v>262</v>
      </c>
      <c r="J24" t="s">
        <v>1022</v>
      </c>
      <c r="L24" t="s">
        <v>258</v>
      </c>
    </row>
    <row r="25" spans="1:14" x14ac:dyDescent="0.2">
      <c r="A25" t="s">
        <v>1056</v>
      </c>
      <c r="B25" t="s">
        <v>1108</v>
      </c>
      <c r="C25" t="s">
        <v>265</v>
      </c>
      <c r="D25" t="s">
        <v>367</v>
      </c>
      <c r="E25" t="s">
        <v>1368</v>
      </c>
      <c r="F25" t="s">
        <v>256</v>
      </c>
      <c r="G25" t="s">
        <v>267</v>
      </c>
      <c r="J25" t="s">
        <v>1023</v>
      </c>
      <c r="L25" t="s">
        <v>263</v>
      </c>
    </row>
    <row r="26" spans="1:14" x14ac:dyDescent="0.2">
      <c r="A26" t="s">
        <v>1057</v>
      </c>
      <c r="B26" t="s">
        <v>1109</v>
      </c>
      <c r="C26" t="s">
        <v>270</v>
      </c>
      <c r="D26" t="s">
        <v>292</v>
      </c>
      <c r="E26" t="s">
        <v>1369</v>
      </c>
      <c r="F26" t="s">
        <v>261</v>
      </c>
      <c r="G26" t="s">
        <v>274</v>
      </c>
      <c r="J26" t="s">
        <v>1024</v>
      </c>
      <c r="L26" t="s">
        <v>268</v>
      </c>
    </row>
    <row r="27" spans="1:14" x14ac:dyDescent="0.2">
      <c r="A27" t="s">
        <v>1058</v>
      </c>
      <c r="B27" t="s">
        <v>1110</v>
      </c>
      <c r="C27" t="s">
        <v>278</v>
      </c>
      <c r="D27" t="s">
        <v>299</v>
      </c>
      <c r="E27" t="s">
        <v>1370</v>
      </c>
      <c r="F27" t="s">
        <v>266</v>
      </c>
      <c r="G27" t="s">
        <v>138</v>
      </c>
      <c r="J27" t="s">
        <v>1025</v>
      </c>
      <c r="L27" t="s">
        <v>275</v>
      </c>
    </row>
    <row r="28" spans="1:14" x14ac:dyDescent="0.2">
      <c r="A28" t="s">
        <v>1059</v>
      </c>
      <c r="B28" t="s">
        <v>1111</v>
      </c>
      <c r="C28" t="s">
        <v>284</v>
      </c>
      <c r="D28" t="s">
        <v>1340</v>
      </c>
      <c r="E28" t="s">
        <v>255</v>
      </c>
      <c r="F28" t="s">
        <v>273</v>
      </c>
      <c r="G28" t="s">
        <v>288</v>
      </c>
      <c r="J28" t="s">
        <v>1532</v>
      </c>
      <c r="L28" t="s">
        <v>282</v>
      </c>
    </row>
    <row r="29" spans="1:14" x14ac:dyDescent="0.2">
      <c r="A29" t="s">
        <v>276</v>
      </c>
      <c r="B29" t="s">
        <v>1112</v>
      </c>
      <c r="C29" t="s">
        <v>291</v>
      </c>
      <c r="D29" t="s">
        <v>308</v>
      </c>
      <c r="E29" t="s">
        <v>1371</v>
      </c>
      <c r="F29" t="s">
        <v>281</v>
      </c>
      <c r="G29" t="s">
        <v>295</v>
      </c>
      <c r="J29" t="s">
        <v>1533</v>
      </c>
      <c r="L29" t="s">
        <v>2099</v>
      </c>
    </row>
    <row r="30" spans="1:14" x14ac:dyDescent="0.2">
      <c r="A30" t="s">
        <v>1060</v>
      </c>
      <c r="B30" t="s">
        <v>1113</v>
      </c>
      <c r="C30" t="s">
        <v>298</v>
      </c>
      <c r="D30" t="s">
        <v>313</v>
      </c>
      <c r="E30" t="s">
        <v>1372</v>
      </c>
      <c r="F30" t="s">
        <v>287</v>
      </c>
      <c r="G30" t="s">
        <v>1529</v>
      </c>
      <c r="J30" t="s">
        <v>1026</v>
      </c>
      <c r="L30" t="s">
        <v>289</v>
      </c>
    </row>
    <row r="31" spans="1:14" x14ac:dyDescent="0.2">
      <c r="A31" t="s">
        <v>1061</v>
      </c>
      <c r="B31" t="s">
        <v>1114</v>
      </c>
      <c r="C31" t="s">
        <v>303</v>
      </c>
      <c r="D31" t="s">
        <v>102</v>
      </c>
      <c r="E31" t="s">
        <v>272</v>
      </c>
      <c r="F31" t="s">
        <v>294</v>
      </c>
      <c r="G31" t="s">
        <v>146</v>
      </c>
      <c r="J31" t="s">
        <v>1027</v>
      </c>
      <c r="L31" t="s">
        <v>296</v>
      </c>
    </row>
    <row r="32" spans="1:14" x14ac:dyDescent="0.2">
      <c r="A32" t="s">
        <v>1062</v>
      </c>
      <c r="B32" t="s">
        <v>1115</v>
      </c>
      <c r="C32" t="s">
        <v>307</v>
      </c>
      <c r="D32" t="s">
        <v>326</v>
      </c>
      <c r="E32" t="s">
        <v>280</v>
      </c>
      <c r="F32" t="s">
        <v>300</v>
      </c>
      <c r="G32" t="s">
        <v>155</v>
      </c>
      <c r="J32" t="s">
        <v>1534</v>
      </c>
      <c r="L32" t="s">
        <v>301</v>
      </c>
    </row>
    <row r="33" spans="1:12" x14ac:dyDescent="0.2">
      <c r="A33" t="s">
        <v>311</v>
      </c>
      <c r="B33" t="s">
        <v>200</v>
      </c>
      <c r="C33" t="s">
        <v>254</v>
      </c>
      <c r="D33" t="s">
        <v>332</v>
      </c>
      <c r="E33" t="s">
        <v>286</v>
      </c>
      <c r="F33" t="s">
        <v>304</v>
      </c>
      <c r="G33" t="s">
        <v>1530</v>
      </c>
      <c r="L33" t="s">
        <v>305</v>
      </c>
    </row>
    <row r="34" spans="1:12" x14ac:dyDescent="0.2">
      <c r="A34" t="s">
        <v>317</v>
      </c>
      <c r="B34" t="s">
        <v>1116</v>
      </c>
      <c r="C34" t="s">
        <v>319</v>
      </c>
      <c r="D34" t="s">
        <v>342</v>
      </c>
      <c r="E34" t="s">
        <v>293</v>
      </c>
      <c r="F34" t="s">
        <v>309</v>
      </c>
      <c r="G34" t="s">
        <v>164</v>
      </c>
      <c r="L34" t="s">
        <v>310</v>
      </c>
    </row>
    <row r="35" spans="1:12" x14ac:dyDescent="0.2">
      <c r="A35" t="s">
        <v>323</v>
      </c>
      <c r="B35" t="s">
        <v>207</v>
      </c>
      <c r="C35" t="s">
        <v>325</v>
      </c>
      <c r="D35" t="s">
        <v>347</v>
      </c>
      <c r="E35" t="s">
        <v>1373</v>
      </c>
      <c r="F35" t="s">
        <v>314</v>
      </c>
      <c r="G35" t="s">
        <v>315</v>
      </c>
      <c r="L35" t="s">
        <v>316</v>
      </c>
    </row>
    <row r="36" spans="1:12" x14ac:dyDescent="0.2">
      <c r="A36" t="s">
        <v>329</v>
      </c>
      <c r="B36" t="s">
        <v>1117</v>
      </c>
      <c r="C36" t="s">
        <v>331</v>
      </c>
      <c r="D36" t="s">
        <v>353</v>
      </c>
      <c r="E36" t="s">
        <v>1374</v>
      </c>
      <c r="F36" t="s">
        <v>320</v>
      </c>
      <c r="G36" t="s">
        <v>321</v>
      </c>
      <c r="L36" t="s">
        <v>1536</v>
      </c>
    </row>
    <row r="37" spans="1:12" x14ac:dyDescent="0.2">
      <c r="A37" t="s">
        <v>335</v>
      </c>
      <c r="B37" t="s">
        <v>213</v>
      </c>
      <c r="C37" t="s">
        <v>337</v>
      </c>
      <c r="D37" t="s">
        <v>1341</v>
      </c>
      <c r="E37" t="s">
        <v>1375</v>
      </c>
      <c r="G37" t="s">
        <v>327</v>
      </c>
      <c r="L37" t="s">
        <v>322</v>
      </c>
    </row>
    <row r="38" spans="1:12" x14ac:dyDescent="0.2">
      <c r="A38" t="s">
        <v>1063</v>
      </c>
      <c r="B38" t="s">
        <v>221</v>
      </c>
      <c r="C38" t="s">
        <v>341</v>
      </c>
      <c r="D38" t="s">
        <v>362</v>
      </c>
      <c r="E38" t="s">
        <v>1376</v>
      </c>
      <c r="G38" t="s">
        <v>333</v>
      </c>
      <c r="L38" t="s">
        <v>328</v>
      </c>
    </row>
    <row r="39" spans="1:12" x14ac:dyDescent="0.2">
      <c r="A39" t="s">
        <v>345</v>
      </c>
      <c r="B39" t="s">
        <v>1118</v>
      </c>
      <c r="C39" t="s">
        <v>346</v>
      </c>
      <c r="D39" t="s">
        <v>368</v>
      </c>
      <c r="E39" t="s">
        <v>1377</v>
      </c>
      <c r="G39" t="s">
        <v>338</v>
      </c>
      <c r="L39" t="s">
        <v>334</v>
      </c>
    </row>
    <row r="40" spans="1:12" x14ac:dyDescent="0.2">
      <c r="A40" t="s">
        <v>350</v>
      </c>
      <c r="B40" t="s">
        <v>229</v>
      </c>
      <c r="C40" t="s">
        <v>352</v>
      </c>
      <c r="D40" t="s">
        <v>1342</v>
      </c>
      <c r="E40" t="s">
        <v>1378</v>
      </c>
      <c r="G40" t="s">
        <v>343</v>
      </c>
      <c r="L40" t="s">
        <v>339</v>
      </c>
    </row>
    <row r="41" spans="1:12" x14ac:dyDescent="0.2">
      <c r="A41" t="s">
        <v>1064</v>
      </c>
      <c r="B41" t="s">
        <v>1119</v>
      </c>
      <c r="C41" t="s">
        <v>271</v>
      </c>
      <c r="D41" t="s">
        <v>372</v>
      </c>
      <c r="E41" t="s">
        <v>1379</v>
      </c>
      <c r="G41" t="s">
        <v>348</v>
      </c>
      <c r="L41" t="s">
        <v>344</v>
      </c>
    </row>
    <row r="42" spans="1:12" x14ac:dyDescent="0.2">
      <c r="A42" t="s">
        <v>365</v>
      </c>
      <c r="B42" t="s">
        <v>234</v>
      </c>
      <c r="C42" t="s">
        <v>361</v>
      </c>
      <c r="D42" t="s">
        <v>377</v>
      </c>
      <c r="E42" t="s">
        <v>1380</v>
      </c>
      <c r="G42" t="s">
        <v>354</v>
      </c>
      <c r="L42" t="s">
        <v>349</v>
      </c>
    </row>
    <row r="43" spans="1:12" x14ac:dyDescent="0.2">
      <c r="A43" t="s">
        <v>1065</v>
      </c>
      <c r="B43" t="s">
        <v>241</v>
      </c>
      <c r="C43" t="s">
        <v>367</v>
      </c>
      <c r="D43" t="s">
        <v>381</v>
      </c>
      <c r="E43" t="s">
        <v>1381</v>
      </c>
      <c r="G43" t="s">
        <v>358</v>
      </c>
      <c r="L43" t="s">
        <v>355</v>
      </c>
    </row>
    <row r="44" spans="1:12" x14ac:dyDescent="0.2">
      <c r="A44" t="s">
        <v>374</v>
      </c>
      <c r="B44" t="s">
        <v>246</v>
      </c>
      <c r="C44" t="s">
        <v>371</v>
      </c>
      <c r="D44" t="s">
        <v>1343</v>
      </c>
      <c r="E44" t="s">
        <v>1382</v>
      </c>
      <c r="G44" t="s">
        <v>363</v>
      </c>
      <c r="L44" t="s">
        <v>359</v>
      </c>
    </row>
    <row r="45" spans="1:12" x14ac:dyDescent="0.2">
      <c r="A45" t="s">
        <v>1066</v>
      </c>
      <c r="B45" t="s">
        <v>252</v>
      </c>
      <c r="C45" t="s">
        <v>376</v>
      </c>
      <c r="D45" t="s">
        <v>386</v>
      </c>
      <c r="E45" t="s">
        <v>1383</v>
      </c>
      <c r="G45" t="s">
        <v>369</v>
      </c>
      <c r="L45" t="s">
        <v>364</v>
      </c>
    </row>
    <row r="46" spans="1:12" x14ac:dyDescent="0.2">
      <c r="A46" t="s">
        <v>1067</v>
      </c>
      <c r="B46" t="s">
        <v>1120</v>
      </c>
      <c r="C46" t="s">
        <v>380</v>
      </c>
      <c r="D46" t="s">
        <v>390</v>
      </c>
      <c r="E46" t="s">
        <v>1384</v>
      </c>
      <c r="G46" t="s">
        <v>173</v>
      </c>
      <c r="L46" t="s">
        <v>370</v>
      </c>
    </row>
    <row r="47" spans="1:12" x14ac:dyDescent="0.2">
      <c r="A47" t="s">
        <v>383</v>
      </c>
      <c r="B47" t="s">
        <v>1121</v>
      </c>
      <c r="C47" t="s">
        <v>385</v>
      </c>
      <c r="D47" t="s">
        <v>396</v>
      </c>
      <c r="E47" t="s">
        <v>1385</v>
      </c>
      <c r="G47" t="s">
        <v>181</v>
      </c>
      <c r="L47" t="s">
        <v>373</v>
      </c>
    </row>
    <row r="48" spans="1:12" x14ac:dyDescent="0.2">
      <c r="A48" t="s">
        <v>1068</v>
      </c>
      <c r="B48" t="s">
        <v>1122</v>
      </c>
      <c r="C48" t="s">
        <v>389</v>
      </c>
      <c r="D48" t="s">
        <v>401</v>
      </c>
      <c r="E48" t="s">
        <v>1386</v>
      </c>
      <c r="G48" t="s">
        <v>189</v>
      </c>
      <c r="L48" t="s">
        <v>378</v>
      </c>
    </row>
    <row r="49" spans="1:12" x14ac:dyDescent="0.2">
      <c r="A49" t="s">
        <v>393</v>
      </c>
      <c r="B49" t="s">
        <v>1123</v>
      </c>
      <c r="C49" t="s">
        <v>395</v>
      </c>
      <c r="D49" t="s">
        <v>404</v>
      </c>
      <c r="E49" t="s">
        <v>1387</v>
      </c>
      <c r="G49" t="s">
        <v>194</v>
      </c>
      <c r="L49" t="s">
        <v>382</v>
      </c>
    </row>
    <row r="50" spans="1:12" x14ac:dyDescent="0.2">
      <c r="A50" t="s">
        <v>1069</v>
      </c>
      <c r="B50" t="s">
        <v>1124</v>
      </c>
      <c r="C50" t="s">
        <v>400</v>
      </c>
      <c r="D50" t="s">
        <v>1344</v>
      </c>
      <c r="E50" t="s">
        <v>1388</v>
      </c>
      <c r="G50" t="s">
        <v>391</v>
      </c>
      <c r="L50" t="s">
        <v>387</v>
      </c>
    </row>
    <row r="51" spans="1:12" x14ac:dyDescent="0.2">
      <c r="A51" t="s">
        <v>1070</v>
      </c>
      <c r="B51" t="s">
        <v>1125</v>
      </c>
      <c r="C51" t="s">
        <v>403</v>
      </c>
      <c r="D51" t="s">
        <v>409</v>
      </c>
      <c r="E51" t="s">
        <v>1389</v>
      </c>
      <c r="G51" t="s">
        <v>397</v>
      </c>
      <c r="L51" t="s">
        <v>392</v>
      </c>
    </row>
    <row r="52" spans="1:12" x14ac:dyDescent="0.2">
      <c r="A52" t="s">
        <v>406</v>
      </c>
      <c r="B52" t="s">
        <v>1126</v>
      </c>
      <c r="C52" t="s">
        <v>408</v>
      </c>
      <c r="D52" t="s">
        <v>1345</v>
      </c>
      <c r="E52" t="s">
        <v>1390</v>
      </c>
      <c r="G52" t="s">
        <v>202</v>
      </c>
      <c r="L52" t="s">
        <v>398</v>
      </c>
    </row>
    <row r="53" spans="1:12" x14ac:dyDescent="0.2">
      <c r="A53" t="s">
        <v>1071</v>
      </c>
      <c r="B53" t="s">
        <v>1127</v>
      </c>
      <c r="C53" t="s">
        <v>412</v>
      </c>
      <c r="D53" t="s">
        <v>413</v>
      </c>
      <c r="E53" t="s">
        <v>1391</v>
      </c>
      <c r="G53" t="s">
        <v>209</v>
      </c>
      <c r="L53" t="s">
        <v>402</v>
      </c>
    </row>
    <row r="54" spans="1:12" x14ac:dyDescent="0.2">
      <c r="A54" t="s">
        <v>1072</v>
      </c>
      <c r="B54" t="s">
        <v>1128</v>
      </c>
      <c r="C54" t="s">
        <v>357</v>
      </c>
      <c r="D54" t="s">
        <v>415</v>
      </c>
      <c r="E54" t="s">
        <v>1392</v>
      </c>
      <c r="G54" t="s">
        <v>216</v>
      </c>
      <c r="L54" t="s">
        <v>405</v>
      </c>
    </row>
    <row r="55" spans="1:12" x14ac:dyDescent="0.2">
      <c r="A55" t="s">
        <v>417</v>
      </c>
      <c r="B55" t="s">
        <v>259</v>
      </c>
      <c r="C55" t="s">
        <v>419</v>
      </c>
      <c r="D55" t="s">
        <v>420</v>
      </c>
      <c r="E55" t="s">
        <v>1393</v>
      </c>
      <c r="G55" t="s">
        <v>225</v>
      </c>
      <c r="L55" t="s">
        <v>410</v>
      </c>
    </row>
    <row r="56" spans="1:12" x14ac:dyDescent="0.2">
      <c r="A56" t="s">
        <v>1073</v>
      </c>
      <c r="B56" t="s">
        <v>1129</v>
      </c>
      <c r="C56" t="s">
        <v>362</v>
      </c>
      <c r="D56" t="s">
        <v>1001</v>
      </c>
      <c r="E56" t="s">
        <v>1394</v>
      </c>
      <c r="G56" t="s">
        <v>231</v>
      </c>
      <c r="L56" t="s">
        <v>414</v>
      </c>
    </row>
    <row r="57" spans="1:12" x14ac:dyDescent="0.2">
      <c r="A57" t="s">
        <v>1074</v>
      </c>
      <c r="B57" t="s">
        <v>264</v>
      </c>
      <c r="C57" t="s">
        <v>427</v>
      </c>
      <c r="D57" t="s">
        <v>423</v>
      </c>
      <c r="E57" t="s">
        <v>1395</v>
      </c>
      <c r="G57" t="s">
        <v>421</v>
      </c>
      <c r="L57" t="s">
        <v>416</v>
      </c>
    </row>
    <row r="58" spans="1:12" x14ac:dyDescent="0.2">
      <c r="A58" t="s">
        <v>431</v>
      </c>
      <c r="B58" t="s">
        <v>1130</v>
      </c>
      <c r="C58" t="s">
        <v>432</v>
      </c>
      <c r="D58" t="s">
        <v>428</v>
      </c>
      <c r="E58" t="s">
        <v>1396</v>
      </c>
      <c r="G58" t="s">
        <v>424</v>
      </c>
      <c r="L58" t="s">
        <v>422</v>
      </c>
    </row>
    <row r="59" spans="1:12" x14ac:dyDescent="0.2">
      <c r="A59" t="s">
        <v>1075</v>
      </c>
      <c r="B59" t="s">
        <v>1131</v>
      </c>
      <c r="C59" t="s">
        <v>436</v>
      </c>
      <c r="D59" t="s">
        <v>433</v>
      </c>
      <c r="E59" t="s">
        <v>1397</v>
      </c>
      <c r="G59" t="s">
        <v>429</v>
      </c>
      <c r="L59" t="s">
        <v>425</v>
      </c>
    </row>
    <row r="60" spans="1:12" x14ac:dyDescent="0.2">
      <c r="A60" t="s">
        <v>440</v>
      </c>
      <c r="B60" t="s">
        <v>1132</v>
      </c>
      <c r="C60" t="s">
        <v>441</v>
      </c>
      <c r="D60" t="s">
        <v>437</v>
      </c>
      <c r="E60" t="s">
        <v>1398</v>
      </c>
      <c r="G60" t="s">
        <v>434</v>
      </c>
      <c r="L60" t="s">
        <v>430</v>
      </c>
    </row>
    <row r="61" spans="1:12" x14ac:dyDescent="0.2">
      <c r="A61" t="s">
        <v>992</v>
      </c>
      <c r="B61" t="s">
        <v>269</v>
      </c>
      <c r="C61" t="s">
        <v>446</v>
      </c>
      <c r="D61" t="s">
        <v>442</v>
      </c>
      <c r="E61" t="s">
        <v>1399</v>
      </c>
      <c r="G61" t="s">
        <v>438</v>
      </c>
      <c r="L61" t="s">
        <v>435</v>
      </c>
    </row>
    <row r="62" spans="1:12" x14ac:dyDescent="0.2">
      <c r="A62" t="s">
        <v>445</v>
      </c>
      <c r="B62" t="s">
        <v>277</v>
      </c>
      <c r="C62" t="s">
        <v>451</v>
      </c>
      <c r="D62" t="s">
        <v>447</v>
      </c>
      <c r="E62" t="s">
        <v>1400</v>
      </c>
      <c r="G62" t="s">
        <v>443</v>
      </c>
      <c r="L62" t="s">
        <v>439</v>
      </c>
    </row>
    <row r="63" spans="1:12" x14ac:dyDescent="0.2">
      <c r="A63" t="s">
        <v>450</v>
      </c>
      <c r="B63" t="s">
        <v>1133</v>
      </c>
      <c r="C63" t="s">
        <v>456</v>
      </c>
      <c r="D63" t="s">
        <v>452</v>
      </c>
      <c r="E63" t="s">
        <v>1401</v>
      </c>
      <c r="G63" t="s">
        <v>448</v>
      </c>
      <c r="L63" t="s">
        <v>1537</v>
      </c>
    </row>
    <row r="64" spans="1:12" x14ac:dyDescent="0.2">
      <c r="A64" t="s">
        <v>455</v>
      </c>
      <c r="B64" t="s">
        <v>283</v>
      </c>
      <c r="C64" t="s">
        <v>460</v>
      </c>
      <c r="D64" t="s">
        <v>457</v>
      </c>
      <c r="E64" t="s">
        <v>1402</v>
      </c>
      <c r="G64" t="s">
        <v>453</v>
      </c>
      <c r="L64" t="s">
        <v>444</v>
      </c>
    </row>
    <row r="65" spans="1:12" x14ac:dyDescent="0.2">
      <c r="A65" t="s">
        <v>459</v>
      </c>
      <c r="B65" t="s">
        <v>1134</v>
      </c>
      <c r="C65" t="s">
        <v>463</v>
      </c>
      <c r="D65" t="s">
        <v>464</v>
      </c>
      <c r="E65" t="s">
        <v>1403</v>
      </c>
      <c r="G65" t="s">
        <v>237</v>
      </c>
      <c r="L65" t="s">
        <v>449</v>
      </c>
    </row>
    <row r="66" spans="1:12" x14ac:dyDescent="0.2">
      <c r="A66" t="s">
        <v>462</v>
      </c>
      <c r="B66" t="s">
        <v>290</v>
      </c>
      <c r="C66" t="s">
        <v>467</v>
      </c>
      <c r="D66" t="s">
        <v>468</v>
      </c>
      <c r="E66" t="s">
        <v>1404</v>
      </c>
      <c r="G66" t="s">
        <v>243</v>
      </c>
      <c r="L66" t="s">
        <v>454</v>
      </c>
    </row>
    <row r="67" spans="1:12" x14ac:dyDescent="0.2">
      <c r="A67" t="s">
        <v>1076</v>
      </c>
      <c r="B67" t="s">
        <v>297</v>
      </c>
      <c r="C67" t="s">
        <v>423</v>
      </c>
      <c r="D67" t="s">
        <v>472</v>
      </c>
      <c r="E67" t="s">
        <v>1405</v>
      </c>
      <c r="G67" t="s">
        <v>465</v>
      </c>
      <c r="L67" t="s">
        <v>458</v>
      </c>
    </row>
    <row r="68" spans="1:12" x14ac:dyDescent="0.2">
      <c r="A68" t="s">
        <v>470</v>
      </c>
      <c r="B68" t="s">
        <v>302</v>
      </c>
      <c r="C68" t="s">
        <v>428</v>
      </c>
      <c r="D68" t="s">
        <v>475</v>
      </c>
      <c r="E68" t="s">
        <v>1406</v>
      </c>
      <c r="G68" t="s">
        <v>249</v>
      </c>
      <c r="L68" t="s">
        <v>461</v>
      </c>
    </row>
    <row r="69" spans="1:12" x14ac:dyDescent="0.2">
      <c r="A69" t="s">
        <v>1077</v>
      </c>
      <c r="B69" t="s">
        <v>1135</v>
      </c>
      <c r="C69" t="s">
        <v>474</v>
      </c>
      <c r="D69" t="s">
        <v>480</v>
      </c>
      <c r="E69" t="s">
        <v>1407</v>
      </c>
      <c r="G69" t="s">
        <v>256</v>
      </c>
      <c r="L69" t="s">
        <v>466</v>
      </c>
    </row>
    <row r="70" spans="1:12" x14ac:dyDescent="0.2">
      <c r="A70" t="s">
        <v>1078</v>
      </c>
      <c r="B70" t="s">
        <v>306</v>
      </c>
      <c r="C70" t="s">
        <v>477</v>
      </c>
      <c r="D70" t="s">
        <v>1346</v>
      </c>
      <c r="E70" t="s">
        <v>1408</v>
      </c>
      <c r="G70" t="s">
        <v>261</v>
      </c>
      <c r="L70" t="s">
        <v>469</v>
      </c>
    </row>
    <row r="71" spans="1:12" x14ac:dyDescent="0.2">
      <c r="A71" t="s">
        <v>1079</v>
      </c>
      <c r="B71" t="s">
        <v>312</v>
      </c>
      <c r="C71" t="s">
        <v>479</v>
      </c>
      <c r="D71" t="s">
        <v>484</v>
      </c>
      <c r="E71" t="s">
        <v>1409</v>
      </c>
      <c r="G71" t="s">
        <v>266</v>
      </c>
      <c r="L71" t="s">
        <v>471</v>
      </c>
    </row>
    <row r="72" spans="1:12" x14ac:dyDescent="0.2">
      <c r="A72" t="s">
        <v>1080</v>
      </c>
      <c r="B72" t="s">
        <v>1136</v>
      </c>
      <c r="C72" t="s">
        <v>483</v>
      </c>
      <c r="D72" t="s">
        <v>488</v>
      </c>
      <c r="E72" t="s">
        <v>1410</v>
      </c>
      <c r="G72" t="s">
        <v>273</v>
      </c>
      <c r="L72" t="s">
        <v>473</v>
      </c>
    </row>
    <row r="73" spans="1:12" x14ac:dyDescent="0.2">
      <c r="A73" t="s">
        <v>1081</v>
      </c>
      <c r="B73" t="s">
        <v>1137</v>
      </c>
      <c r="C73" t="s">
        <v>487</v>
      </c>
      <c r="D73" t="s">
        <v>491</v>
      </c>
      <c r="E73" t="s">
        <v>1411</v>
      </c>
      <c r="G73" t="s">
        <v>481</v>
      </c>
      <c r="L73" t="s">
        <v>476</v>
      </c>
    </row>
    <row r="74" spans="1:12" x14ac:dyDescent="0.2">
      <c r="A74" t="s">
        <v>1082</v>
      </c>
      <c r="B74" t="s">
        <v>1138</v>
      </c>
      <c r="C74" t="s">
        <v>490</v>
      </c>
      <c r="D74" t="s">
        <v>1347</v>
      </c>
      <c r="E74" t="s">
        <v>1412</v>
      </c>
      <c r="G74" t="s">
        <v>485</v>
      </c>
      <c r="L74" t="s">
        <v>478</v>
      </c>
    </row>
    <row r="75" spans="1:12" x14ac:dyDescent="0.2">
      <c r="A75" t="s">
        <v>1083</v>
      </c>
      <c r="B75" t="s">
        <v>1139</v>
      </c>
      <c r="C75" t="s">
        <v>494</v>
      </c>
      <c r="D75" t="s">
        <v>495</v>
      </c>
      <c r="E75" t="s">
        <v>1413</v>
      </c>
      <c r="G75" t="s">
        <v>281</v>
      </c>
      <c r="L75" t="s">
        <v>482</v>
      </c>
    </row>
    <row r="76" spans="1:12" x14ac:dyDescent="0.2">
      <c r="A76" t="s">
        <v>1084</v>
      </c>
      <c r="B76" t="s">
        <v>1140</v>
      </c>
      <c r="C76" t="s">
        <v>497</v>
      </c>
      <c r="D76" t="s">
        <v>498</v>
      </c>
      <c r="E76" t="s">
        <v>1414</v>
      </c>
      <c r="G76" t="s">
        <v>287</v>
      </c>
      <c r="L76" t="s">
        <v>486</v>
      </c>
    </row>
    <row r="77" spans="1:12" x14ac:dyDescent="0.2">
      <c r="A77" t="s">
        <v>1085</v>
      </c>
      <c r="B77" t="s">
        <v>1141</v>
      </c>
      <c r="C77" t="s">
        <v>502</v>
      </c>
      <c r="D77" t="s">
        <v>503</v>
      </c>
      <c r="E77" t="s">
        <v>1415</v>
      </c>
      <c r="G77" t="s">
        <v>294</v>
      </c>
      <c r="L77" t="s">
        <v>489</v>
      </c>
    </row>
    <row r="78" spans="1:12" x14ac:dyDescent="0.2">
      <c r="A78" t="s">
        <v>493</v>
      </c>
      <c r="B78" t="s">
        <v>1142</v>
      </c>
      <c r="C78" t="s">
        <v>507</v>
      </c>
      <c r="D78" t="s">
        <v>508</v>
      </c>
      <c r="E78" t="s">
        <v>1416</v>
      </c>
      <c r="G78" t="s">
        <v>499</v>
      </c>
      <c r="L78" t="s">
        <v>492</v>
      </c>
    </row>
    <row r="79" spans="1:12" x14ac:dyDescent="0.2">
      <c r="A79" t="s">
        <v>1086</v>
      </c>
      <c r="B79" t="s">
        <v>1143</v>
      </c>
      <c r="C79" t="s">
        <v>511</v>
      </c>
      <c r="D79" t="s">
        <v>1348</v>
      </c>
      <c r="E79" t="s">
        <v>1417</v>
      </c>
      <c r="G79" t="s">
        <v>504</v>
      </c>
      <c r="L79" t="s">
        <v>496</v>
      </c>
    </row>
    <row r="80" spans="1:12" x14ac:dyDescent="0.2">
      <c r="A80" t="s">
        <v>501</v>
      </c>
      <c r="B80" t="s">
        <v>1144</v>
      </c>
      <c r="C80" t="s">
        <v>514</v>
      </c>
      <c r="D80" t="s">
        <v>515</v>
      </c>
      <c r="E80" t="s">
        <v>1418</v>
      </c>
      <c r="G80" t="s">
        <v>509</v>
      </c>
      <c r="L80" t="s">
        <v>500</v>
      </c>
    </row>
    <row r="81" spans="1:12" x14ac:dyDescent="0.2">
      <c r="A81" t="s">
        <v>506</v>
      </c>
      <c r="B81" t="s">
        <v>1145</v>
      </c>
      <c r="C81" t="s">
        <v>519</v>
      </c>
      <c r="D81" t="s">
        <v>520</v>
      </c>
      <c r="E81" t="s">
        <v>1419</v>
      </c>
      <c r="G81" t="s">
        <v>512</v>
      </c>
      <c r="L81" t="s">
        <v>505</v>
      </c>
    </row>
    <row r="82" spans="1:12" x14ac:dyDescent="0.2">
      <c r="A82" t="s">
        <v>1087</v>
      </c>
      <c r="B82" t="s">
        <v>1146</v>
      </c>
      <c r="C82" t="s">
        <v>523</v>
      </c>
      <c r="D82" t="s">
        <v>523</v>
      </c>
      <c r="E82" t="s">
        <v>1420</v>
      </c>
      <c r="G82" t="s">
        <v>516</v>
      </c>
      <c r="L82" t="s">
        <v>510</v>
      </c>
    </row>
    <row r="83" spans="1:12" x14ac:dyDescent="0.2">
      <c r="A83" t="s">
        <v>1088</v>
      </c>
      <c r="B83" t="s">
        <v>1147</v>
      </c>
      <c r="C83" t="s">
        <v>526</v>
      </c>
      <c r="E83" t="s">
        <v>1421</v>
      </c>
      <c r="G83" t="s">
        <v>300</v>
      </c>
      <c r="L83" t="s">
        <v>1538</v>
      </c>
    </row>
    <row r="84" spans="1:12" x14ac:dyDescent="0.2">
      <c r="A84" t="s">
        <v>518</v>
      </c>
      <c r="B84" t="s">
        <v>1148</v>
      </c>
      <c r="E84" t="s">
        <v>1422</v>
      </c>
      <c r="G84" t="s">
        <v>524</v>
      </c>
      <c r="L84" t="s">
        <v>2100</v>
      </c>
    </row>
    <row r="85" spans="1:12" x14ac:dyDescent="0.2">
      <c r="B85" t="s">
        <v>1149</v>
      </c>
      <c r="E85" t="s">
        <v>1423</v>
      </c>
      <c r="G85" t="s">
        <v>527</v>
      </c>
      <c r="L85" t="s">
        <v>513</v>
      </c>
    </row>
    <row r="86" spans="1:12" x14ac:dyDescent="0.2">
      <c r="B86" t="s">
        <v>1150</v>
      </c>
      <c r="E86" t="s">
        <v>1424</v>
      </c>
      <c r="G86" t="s">
        <v>529</v>
      </c>
      <c r="L86" t="s">
        <v>517</v>
      </c>
    </row>
    <row r="87" spans="1:12" x14ac:dyDescent="0.2">
      <c r="B87" t="s">
        <v>1151</v>
      </c>
      <c r="E87" t="s">
        <v>1425</v>
      </c>
      <c r="G87" t="s">
        <v>531</v>
      </c>
      <c r="L87" t="s">
        <v>521</v>
      </c>
    </row>
    <row r="88" spans="1:12" x14ac:dyDescent="0.2">
      <c r="B88" t="s">
        <v>1152</v>
      </c>
      <c r="E88" t="s">
        <v>1426</v>
      </c>
      <c r="G88" t="s">
        <v>533</v>
      </c>
      <c r="L88" t="s">
        <v>525</v>
      </c>
    </row>
    <row r="89" spans="1:12" x14ac:dyDescent="0.2">
      <c r="B89" t="s">
        <v>1153</v>
      </c>
      <c r="E89" t="s">
        <v>1427</v>
      </c>
      <c r="G89" t="s">
        <v>535</v>
      </c>
      <c r="L89" t="s">
        <v>528</v>
      </c>
    </row>
    <row r="90" spans="1:12" x14ac:dyDescent="0.2">
      <c r="B90" t="s">
        <v>1154</v>
      </c>
      <c r="E90" t="s">
        <v>1428</v>
      </c>
      <c r="G90" t="s">
        <v>538</v>
      </c>
      <c r="L90" t="s">
        <v>1539</v>
      </c>
    </row>
    <row r="91" spans="1:12" x14ac:dyDescent="0.2">
      <c r="B91" t="s">
        <v>1155</v>
      </c>
      <c r="E91" t="s">
        <v>1429</v>
      </c>
      <c r="G91" t="s">
        <v>541</v>
      </c>
      <c r="L91" t="s">
        <v>1540</v>
      </c>
    </row>
    <row r="92" spans="1:12" x14ac:dyDescent="0.2">
      <c r="B92" t="s">
        <v>1156</v>
      </c>
      <c r="E92" t="s">
        <v>1430</v>
      </c>
      <c r="G92" t="s">
        <v>544</v>
      </c>
      <c r="L92" t="s">
        <v>530</v>
      </c>
    </row>
    <row r="93" spans="1:12" x14ac:dyDescent="0.2">
      <c r="B93" t="s">
        <v>1157</v>
      </c>
      <c r="E93" t="s">
        <v>1431</v>
      </c>
      <c r="G93" t="s">
        <v>547</v>
      </c>
      <c r="L93" t="s">
        <v>532</v>
      </c>
    </row>
    <row r="94" spans="1:12" x14ac:dyDescent="0.2">
      <c r="B94" t="s">
        <v>1158</v>
      </c>
      <c r="E94" t="s">
        <v>1432</v>
      </c>
      <c r="G94" t="s">
        <v>550</v>
      </c>
      <c r="L94" t="s">
        <v>534</v>
      </c>
    </row>
    <row r="95" spans="1:12" x14ac:dyDescent="0.2">
      <c r="B95" t="s">
        <v>1159</v>
      </c>
      <c r="E95" t="s">
        <v>1433</v>
      </c>
      <c r="G95" t="s">
        <v>553</v>
      </c>
      <c r="L95" t="s">
        <v>536</v>
      </c>
    </row>
    <row r="96" spans="1:12" x14ac:dyDescent="0.2">
      <c r="B96" t="s">
        <v>1160</v>
      </c>
      <c r="E96" t="s">
        <v>1434</v>
      </c>
      <c r="G96" t="s">
        <v>304</v>
      </c>
      <c r="L96" t="s">
        <v>539</v>
      </c>
    </row>
    <row r="97" spans="2:12" x14ac:dyDescent="0.2">
      <c r="B97" t="s">
        <v>1161</v>
      </c>
      <c r="E97" t="s">
        <v>1435</v>
      </c>
      <c r="G97" t="s">
        <v>309</v>
      </c>
      <c r="L97" t="s">
        <v>542</v>
      </c>
    </row>
    <row r="98" spans="2:12" x14ac:dyDescent="0.2">
      <c r="B98" t="s">
        <v>1162</v>
      </c>
      <c r="E98" t="s">
        <v>1436</v>
      </c>
      <c r="G98" t="s">
        <v>314</v>
      </c>
      <c r="L98" t="s">
        <v>545</v>
      </c>
    </row>
    <row r="99" spans="2:12" x14ac:dyDescent="0.2">
      <c r="B99" t="s">
        <v>318</v>
      </c>
      <c r="E99" t="s">
        <v>1437</v>
      </c>
      <c r="G99" t="s">
        <v>320</v>
      </c>
      <c r="L99" t="s">
        <v>548</v>
      </c>
    </row>
    <row r="100" spans="2:12" x14ac:dyDescent="0.2">
      <c r="B100" t="s">
        <v>1163</v>
      </c>
      <c r="E100" t="s">
        <v>1438</v>
      </c>
      <c r="L100" t="s">
        <v>551</v>
      </c>
    </row>
    <row r="101" spans="2:12" x14ac:dyDescent="0.2">
      <c r="B101" t="s">
        <v>324</v>
      </c>
      <c r="E101" t="s">
        <v>1439</v>
      </c>
      <c r="L101" t="s">
        <v>554</v>
      </c>
    </row>
    <row r="102" spans="2:12" x14ac:dyDescent="0.2">
      <c r="B102" t="s">
        <v>330</v>
      </c>
      <c r="E102" t="s">
        <v>1038</v>
      </c>
      <c r="L102" t="s">
        <v>556</v>
      </c>
    </row>
    <row r="103" spans="2:12" x14ac:dyDescent="0.2">
      <c r="B103" t="s">
        <v>336</v>
      </c>
      <c r="E103" t="s">
        <v>1440</v>
      </c>
      <c r="L103" t="s">
        <v>558</v>
      </c>
    </row>
    <row r="104" spans="2:12" x14ac:dyDescent="0.2">
      <c r="B104" t="s">
        <v>340</v>
      </c>
      <c r="E104" t="s">
        <v>1441</v>
      </c>
      <c r="L104" t="s">
        <v>560</v>
      </c>
    </row>
    <row r="105" spans="2:12" x14ac:dyDescent="0.2">
      <c r="B105" t="s">
        <v>993</v>
      </c>
      <c r="E105" t="s">
        <v>1442</v>
      </c>
      <c r="L105" t="s">
        <v>562</v>
      </c>
    </row>
    <row r="106" spans="2:12" x14ac:dyDescent="0.2">
      <c r="B106" t="s">
        <v>351</v>
      </c>
      <c r="E106" t="s">
        <v>1443</v>
      </c>
      <c r="L106" t="s">
        <v>565</v>
      </c>
    </row>
    <row r="107" spans="2:12" x14ac:dyDescent="0.2">
      <c r="B107" t="s">
        <v>356</v>
      </c>
      <c r="E107" t="s">
        <v>1039</v>
      </c>
      <c r="L107" t="s">
        <v>567</v>
      </c>
    </row>
    <row r="108" spans="2:12" x14ac:dyDescent="0.2">
      <c r="B108" t="s">
        <v>360</v>
      </c>
      <c r="E108" t="s">
        <v>1444</v>
      </c>
      <c r="L108" t="s">
        <v>569</v>
      </c>
    </row>
    <row r="109" spans="2:12" x14ac:dyDescent="0.2">
      <c r="B109" t="s">
        <v>366</v>
      </c>
      <c r="E109" t="s">
        <v>1445</v>
      </c>
      <c r="L109" t="s">
        <v>571</v>
      </c>
    </row>
    <row r="110" spans="2:12" x14ac:dyDescent="0.2">
      <c r="B110" t="s">
        <v>375</v>
      </c>
      <c r="E110" t="s">
        <v>1446</v>
      </c>
      <c r="L110" t="s">
        <v>572</v>
      </c>
    </row>
    <row r="111" spans="2:12" x14ac:dyDescent="0.2">
      <c r="B111" t="s">
        <v>1164</v>
      </c>
      <c r="E111" t="s">
        <v>1447</v>
      </c>
      <c r="L111" t="s">
        <v>574</v>
      </c>
    </row>
    <row r="112" spans="2:12" x14ac:dyDescent="0.2">
      <c r="B112" t="s">
        <v>1165</v>
      </c>
      <c r="E112" t="s">
        <v>1448</v>
      </c>
      <c r="L112" t="s">
        <v>576</v>
      </c>
    </row>
    <row r="113" spans="2:12" x14ac:dyDescent="0.2">
      <c r="B113" t="s">
        <v>379</v>
      </c>
      <c r="E113" t="s">
        <v>1449</v>
      </c>
      <c r="L113" t="s">
        <v>578</v>
      </c>
    </row>
    <row r="114" spans="2:12" x14ac:dyDescent="0.2">
      <c r="B114" t="s">
        <v>1166</v>
      </c>
      <c r="E114" t="s">
        <v>1450</v>
      </c>
      <c r="L114" t="s">
        <v>580</v>
      </c>
    </row>
    <row r="115" spans="2:12" x14ac:dyDescent="0.2">
      <c r="B115" t="s">
        <v>2095</v>
      </c>
      <c r="E115" t="s">
        <v>1451</v>
      </c>
      <c r="L115" t="s">
        <v>582</v>
      </c>
    </row>
    <row r="116" spans="2:12" x14ac:dyDescent="0.2">
      <c r="B116" t="s">
        <v>388</v>
      </c>
      <c r="E116" t="s">
        <v>1452</v>
      </c>
      <c r="L116" t="s">
        <v>584</v>
      </c>
    </row>
    <row r="117" spans="2:12" x14ac:dyDescent="0.2">
      <c r="B117" t="s">
        <v>394</v>
      </c>
      <c r="E117" t="s">
        <v>1453</v>
      </c>
      <c r="L117" t="s">
        <v>586</v>
      </c>
    </row>
    <row r="118" spans="2:12" x14ac:dyDescent="0.2">
      <c r="B118" t="s">
        <v>399</v>
      </c>
      <c r="E118" t="s">
        <v>1454</v>
      </c>
      <c r="L118" t="s">
        <v>2101</v>
      </c>
    </row>
    <row r="119" spans="2:12" x14ac:dyDescent="0.2">
      <c r="B119" t="s">
        <v>1167</v>
      </c>
      <c r="E119" t="s">
        <v>1455</v>
      </c>
      <c r="L119" t="s">
        <v>588</v>
      </c>
    </row>
    <row r="120" spans="2:12" x14ac:dyDescent="0.2">
      <c r="B120" t="s">
        <v>1168</v>
      </c>
      <c r="E120" t="s">
        <v>1456</v>
      </c>
      <c r="L120" t="s">
        <v>589</v>
      </c>
    </row>
    <row r="121" spans="2:12" x14ac:dyDescent="0.2">
      <c r="B121" t="s">
        <v>1169</v>
      </c>
      <c r="E121" t="s">
        <v>1457</v>
      </c>
      <c r="L121" t="s">
        <v>590</v>
      </c>
    </row>
    <row r="122" spans="2:12" x14ac:dyDescent="0.2">
      <c r="B122" t="s">
        <v>407</v>
      </c>
      <c r="E122" t="s">
        <v>1458</v>
      </c>
      <c r="L122" t="s">
        <v>591</v>
      </c>
    </row>
    <row r="123" spans="2:12" x14ac:dyDescent="0.2">
      <c r="B123" t="s">
        <v>411</v>
      </c>
      <c r="E123" t="s">
        <v>1459</v>
      </c>
      <c r="L123" t="s">
        <v>592</v>
      </c>
    </row>
    <row r="124" spans="2:12" x14ac:dyDescent="0.2">
      <c r="B124" t="s">
        <v>1170</v>
      </c>
      <c r="E124" t="s">
        <v>1460</v>
      </c>
      <c r="L124" t="s">
        <v>593</v>
      </c>
    </row>
    <row r="125" spans="2:12" x14ac:dyDescent="0.2">
      <c r="B125" t="s">
        <v>1171</v>
      </c>
      <c r="E125" t="s">
        <v>1461</v>
      </c>
      <c r="L125" t="s">
        <v>594</v>
      </c>
    </row>
    <row r="126" spans="2:12" x14ac:dyDescent="0.2">
      <c r="B126" t="s">
        <v>1172</v>
      </c>
      <c r="E126" t="s">
        <v>1462</v>
      </c>
      <c r="L126" t="s">
        <v>596</v>
      </c>
    </row>
    <row r="127" spans="2:12" x14ac:dyDescent="0.2">
      <c r="B127" t="s">
        <v>1173</v>
      </c>
      <c r="E127" t="s">
        <v>1463</v>
      </c>
      <c r="L127" t="s">
        <v>598</v>
      </c>
    </row>
    <row r="128" spans="2:12" x14ac:dyDescent="0.2">
      <c r="B128" t="s">
        <v>1174</v>
      </c>
      <c r="E128" t="s">
        <v>1464</v>
      </c>
      <c r="L128" t="s">
        <v>600</v>
      </c>
    </row>
    <row r="129" spans="2:12" x14ac:dyDescent="0.2">
      <c r="B129" t="s">
        <v>1175</v>
      </c>
      <c r="E129" t="s">
        <v>1465</v>
      </c>
      <c r="L129" t="s">
        <v>1541</v>
      </c>
    </row>
    <row r="130" spans="2:12" x14ac:dyDescent="0.2">
      <c r="B130" t="s">
        <v>1176</v>
      </c>
      <c r="E130" t="s">
        <v>1466</v>
      </c>
      <c r="L130" t="s">
        <v>602</v>
      </c>
    </row>
    <row r="131" spans="2:12" x14ac:dyDescent="0.2">
      <c r="B131" t="s">
        <v>418</v>
      </c>
      <c r="E131" t="s">
        <v>1467</v>
      </c>
      <c r="L131" t="s">
        <v>604</v>
      </c>
    </row>
    <row r="132" spans="2:12" x14ac:dyDescent="0.2">
      <c r="B132" t="s">
        <v>1177</v>
      </c>
      <c r="E132" t="s">
        <v>1468</v>
      </c>
      <c r="L132" t="s">
        <v>605</v>
      </c>
    </row>
    <row r="133" spans="2:12" x14ac:dyDescent="0.2">
      <c r="B133" t="s">
        <v>1178</v>
      </c>
      <c r="E133" t="s">
        <v>1469</v>
      </c>
      <c r="L133" t="s">
        <v>2102</v>
      </c>
    </row>
    <row r="134" spans="2:12" x14ac:dyDescent="0.2">
      <c r="B134" t="s">
        <v>426</v>
      </c>
      <c r="E134" t="s">
        <v>1470</v>
      </c>
      <c r="L134" t="s">
        <v>608</v>
      </c>
    </row>
    <row r="135" spans="2:12" x14ac:dyDescent="0.2">
      <c r="B135" t="s">
        <v>1179</v>
      </c>
      <c r="E135" t="s">
        <v>1471</v>
      </c>
      <c r="L135" t="s">
        <v>610</v>
      </c>
    </row>
    <row r="136" spans="2:12" x14ac:dyDescent="0.2">
      <c r="B136" t="s">
        <v>2096</v>
      </c>
      <c r="E136" t="s">
        <v>1472</v>
      </c>
      <c r="L136" t="s">
        <v>612</v>
      </c>
    </row>
    <row r="137" spans="2:12" x14ac:dyDescent="0.2">
      <c r="B137" t="s">
        <v>1181</v>
      </c>
      <c r="E137" t="s">
        <v>1473</v>
      </c>
      <c r="L137" t="s">
        <v>2103</v>
      </c>
    </row>
    <row r="138" spans="2:12" x14ac:dyDescent="0.2">
      <c r="B138" t="s">
        <v>1182</v>
      </c>
      <c r="E138" t="s">
        <v>1474</v>
      </c>
      <c r="L138" t="s">
        <v>614</v>
      </c>
    </row>
    <row r="139" spans="2:12" x14ac:dyDescent="0.2">
      <c r="B139" t="s">
        <v>1183</v>
      </c>
      <c r="E139" t="s">
        <v>1475</v>
      </c>
      <c r="L139" t="s">
        <v>616</v>
      </c>
    </row>
    <row r="140" spans="2:12" x14ac:dyDescent="0.2">
      <c r="B140" t="s">
        <v>1184</v>
      </c>
      <c r="E140" t="s">
        <v>1476</v>
      </c>
      <c r="L140" t="s">
        <v>617</v>
      </c>
    </row>
    <row r="141" spans="2:12" x14ac:dyDescent="0.2">
      <c r="B141" t="s">
        <v>1185</v>
      </c>
      <c r="E141" t="s">
        <v>1477</v>
      </c>
      <c r="L141" t="s">
        <v>1542</v>
      </c>
    </row>
    <row r="142" spans="2:12" x14ac:dyDescent="0.2">
      <c r="B142" t="s">
        <v>1186</v>
      </c>
      <c r="E142" t="s">
        <v>1478</v>
      </c>
      <c r="L142" t="s">
        <v>618</v>
      </c>
    </row>
    <row r="143" spans="2:12" x14ac:dyDescent="0.2">
      <c r="B143" t="s">
        <v>1187</v>
      </c>
      <c r="E143" t="s">
        <v>1479</v>
      </c>
      <c r="L143" t="s">
        <v>620</v>
      </c>
    </row>
    <row r="144" spans="2:12" x14ac:dyDescent="0.2">
      <c r="B144" t="s">
        <v>2097</v>
      </c>
      <c r="E144" t="s">
        <v>1480</v>
      </c>
      <c r="L144" t="s">
        <v>622</v>
      </c>
    </row>
    <row r="145" spans="2:12" x14ac:dyDescent="0.2">
      <c r="B145" t="s">
        <v>1189</v>
      </c>
      <c r="E145" t="s">
        <v>1481</v>
      </c>
      <c r="L145" t="s">
        <v>624</v>
      </c>
    </row>
    <row r="146" spans="2:12" x14ac:dyDescent="0.2">
      <c r="B146" t="s">
        <v>1190</v>
      </c>
      <c r="E146" t="s">
        <v>1482</v>
      </c>
      <c r="L146" t="s">
        <v>625</v>
      </c>
    </row>
    <row r="147" spans="2:12" x14ac:dyDescent="0.2">
      <c r="B147" t="s">
        <v>1191</v>
      </c>
      <c r="E147" t="s">
        <v>1483</v>
      </c>
      <c r="L147" t="s">
        <v>626</v>
      </c>
    </row>
    <row r="148" spans="2:12" x14ac:dyDescent="0.2">
      <c r="B148" t="s">
        <v>1192</v>
      </c>
      <c r="E148" t="s">
        <v>1484</v>
      </c>
      <c r="L148" t="s">
        <v>627</v>
      </c>
    </row>
    <row r="149" spans="2:12" x14ac:dyDescent="0.2">
      <c r="B149" t="s">
        <v>1193</v>
      </c>
      <c r="E149" t="s">
        <v>1485</v>
      </c>
      <c r="L149" t="s">
        <v>629</v>
      </c>
    </row>
    <row r="150" spans="2:12" x14ac:dyDescent="0.2">
      <c r="B150" t="s">
        <v>1194</v>
      </c>
      <c r="E150" t="s">
        <v>1486</v>
      </c>
      <c r="L150" t="s">
        <v>630</v>
      </c>
    </row>
    <row r="151" spans="2:12" x14ac:dyDescent="0.2">
      <c r="B151" t="s">
        <v>1195</v>
      </c>
      <c r="E151" t="s">
        <v>1487</v>
      </c>
      <c r="L151" t="s">
        <v>632</v>
      </c>
    </row>
    <row r="152" spans="2:12" x14ac:dyDescent="0.2">
      <c r="B152" t="s">
        <v>1196</v>
      </c>
      <c r="E152" t="s">
        <v>1488</v>
      </c>
      <c r="L152" t="s">
        <v>634</v>
      </c>
    </row>
    <row r="153" spans="2:12" x14ac:dyDescent="0.2">
      <c r="B153" t="s">
        <v>1197</v>
      </c>
      <c r="E153" t="s">
        <v>1489</v>
      </c>
      <c r="L153" t="s">
        <v>635</v>
      </c>
    </row>
    <row r="154" spans="2:12" x14ac:dyDescent="0.2">
      <c r="B154" t="s">
        <v>1198</v>
      </c>
      <c r="E154" t="s">
        <v>1490</v>
      </c>
      <c r="L154" t="s">
        <v>636</v>
      </c>
    </row>
    <row r="155" spans="2:12" x14ac:dyDescent="0.2">
      <c r="B155" t="s">
        <v>1199</v>
      </c>
      <c r="E155" t="s">
        <v>1491</v>
      </c>
      <c r="L155" t="s">
        <v>2104</v>
      </c>
    </row>
    <row r="156" spans="2:12" x14ac:dyDescent="0.2">
      <c r="B156" t="s">
        <v>1200</v>
      </c>
      <c r="E156" t="s">
        <v>1492</v>
      </c>
      <c r="L156" t="s">
        <v>638</v>
      </c>
    </row>
    <row r="157" spans="2:12" x14ac:dyDescent="0.2">
      <c r="B157" t="s">
        <v>1201</v>
      </c>
      <c r="E157" t="s">
        <v>1493</v>
      </c>
      <c r="L157" t="s">
        <v>640</v>
      </c>
    </row>
    <row r="158" spans="2:12" x14ac:dyDescent="0.2">
      <c r="B158" t="s">
        <v>1202</v>
      </c>
      <c r="E158" t="s">
        <v>1494</v>
      </c>
      <c r="L158" t="s">
        <v>642</v>
      </c>
    </row>
    <row r="159" spans="2:12" x14ac:dyDescent="0.2">
      <c r="B159" t="s">
        <v>1203</v>
      </c>
      <c r="E159" t="s">
        <v>1495</v>
      </c>
      <c r="L159" t="s">
        <v>644</v>
      </c>
    </row>
    <row r="160" spans="2:12" x14ac:dyDescent="0.2">
      <c r="B160" t="s">
        <v>1204</v>
      </c>
      <c r="E160" t="s">
        <v>1496</v>
      </c>
      <c r="L160" t="s">
        <v>645</v>
      </c>
    </row>
    <row r="161" spans="2:12" x14ac:dyDescent="0.2">
      <c r="B161" t="s">
        <v>1205</v>
      </c>
      <c r="E161" t="s">
        <v>1497</v>
      </c>
      <c r="L161" t="s">
        <v>646</v>
      </c>
    </row>
    <row r="162" spans="2:12" x14ac:dyDescent="0.2">
      <c r="B162" t="s">
        <v>1206</v>
      </c>
      <c r="E162" t="s">
        <v>1498</v>
      </c>
      <c r="L162" t="s">
        <v>648</v>
      </c>
    </row>
    <row r="163" spans="2:12" x14ac:dyDescent="0.2">
      <c r="B163" t="s">
        <v>1207</v>
      </c>
      <c r="E163" t="s">
        <v>1499</v>
      </c>
      <c r="L163" t="s">
        <v>649</v>
      </c>
    </row>
    <row r="164" spans="2:12" x14ac:dyDescent="0.2">
      <c r="B164" t="s">
        <v>1208</v>
      </c>
      <c r="E164" t="s">
        <v>1500</v>
      </c>
      <c r="L164" t="s">
        <v>651</v>
      </c>
    </row>
    <row r="165" spans="2:12" x14ac:dyDescent="0.2">
      <c r="B165" t="s">
        <v>1209</v>
      </c>
      <c r="E165" t="s">
        <v>1501</v>
      </c>
      <c r="L165" t="s">
        <v>652</v>
      </c>
    </row>
    <row r="166" spans="2:12" x14ac:dyDescent="0.2">
      <c r="B166" t="s">
        <v>1210</v>
      </c>
      <c r="E166" t="s">
        <v>1502</v>
      </c>
      <c r="L166" t="s">
        <v>654</v>
      </c>
    </row>
    <row r="167" spans="2:12" x14ac:dyDescent="0.2">
      <c r="B167" t="s">
        <v>1211</v>
      </c>
      <c r="E167" t="s">
        <v>1503</v>
      </c>
      <c r="L167" t="s">
        <v>655</v>
      </c>
    </row>
    <row r="168" spans="2:12" x14ac:dyDescent="0.2">
      <c r="B168" t="s">
        <v>1212</v>
      </c>
      <c r="E168" t="s">
        <v>1504</v>
      </c>
      <c r="L168" t="s">
        <v>657</v>
      </c>
    </row>
    <row r="169" spans="2:12" x14ac:dyDescent="0.2">
      <c r="B169" t="s">
        <v>1213</v>
      </c>
      <c r="E169" t="s">
        <v>1505</v>
      </c>
      <c r="L169" t="s">
        <v>658</v>
      </c>
    </row>
    <row r="170" spans="2:12" x14ac:dyDescent="0.2">
      <c r="B170" t="s">
        <v>1214</v>
      </c>
      <c r="E170" t="s">
        <v>1506</v>
      </c>
      <c r="L170" t="s">
        <v>659</v>
      </c>
    </row>
    <row r="171" spans="2:12" x14ac:dyDescent="0.2">
      <c r="B171" t="s">
        <v>1215</v>
      </c>
      <c r="E171" t="s">
        <v>1507</v>
      </c>
      <c r="L171" t="s">
        <v>660</v>
      </c>
    </row>
    <row r="172" spans="2:12" x14ac:dyDescent="0.2">
      <c r="B172" t="s">
        <v>1216</v>
      </c>
      <c r="E172" t="s">
        <v>1508</v>
      </c>
      <c r="L172" t="s">
        <v>662</v>
      </c>
    </row>
    <row r="173" spans="2:12" x14ac:dyDescent="0.2">
      <c r="B173" t="s">
        <v>1217</v>
      </c>
      <c r="E173" t="s">
        <v>1509</v>
      </c>
      <c r="L173" t="s">
        <v>664</v>
      </c>
    </row>
    <row r="174" spans="2:12" x14ac:dyDescent="0.2">
      <c r="B174" t="s">
        <v>1218</v>
      </c>
      <c r="E174" t="s">
        <v>1510</v>
      </c>
      <c r="L174" t="s">
        <v>665</v>
      </c>
    </row>
    <row r="175" spans="2:12" x14ac:dyDescent="0.2">
      <c r="B175" t="s">
        <v>1219</v>
      </c>
      <c r="E175" t="s">
        <v>1511</v>
      </c>
      <c r="L175" t="s">
        <v>666</v>
      </c>
    </row>
    <row r="176" spans="2:12" x14ac:dyDescent="0.2">
      <c r="B176" t="s">
        <v>1220</v>
      </c>
      <c r="E176" t="s">
        <v>1512</v>
      </c>
      <c r="L176" t="s">
        <v>667</v>
      </c>
    </row>
    <row r="177" spans="2:12" x14ac:dyDescent="0.2">
      <c r="B177" t="s">
        <v>1221</v>
      </c>
      <c r="E177" t="s">
        <v>1513</v>
      </c>
      <c r="L177" t="s">
        <v>668</v>
      </c>
    </row>
    <row r="178" spans="2:12" x14ac:dyDescent="0.2">
      <c r="B178" t="s">
        <v>1222</v>
      </c>
      <c r="E178" t="s">
        <v>1514</v>
      </c>
      <c r="L178" t="s">
        <v>669</v>
      </c>
    </row>
    <row r="179" spans="2:12" x14ac:dyDescent="0.2">
      <c r="B179" t="s">
        <v>1223</v>
      </c>
      <c r="E179" t="s">
        <v>1515</v>
      </c>
      <c r="L179" t="s">
        <v>670</v>
      </c>
    </row>
    <row r="180" spans="2:12" x14ac:dyDescent="0.2">
      <c r="B180" t="s">
        <v>1224</v>
      </c>
      <c r="E180" t="s">
        <v>1516</v>
      </c>
      <c r="L180" t="s">
        <v>671</v>
      </c>
    </row>
    <row r="181" spans="2:12" x14ac:dyDescent="0.2">
      <c r="B181" t="s">
        <v>1225</v>
      </c>
      <c r="E181" t="s">
        <v>1517</v>
      </c>
      <c r="L181" t="s">
        <v>672</v>
      </c>
    </row>
    <row r="182" spans="2:12" x14ac:dyDescent="0.2">
      <c r="B182" t="s">
        <v>1226</v>
      </c>
      <c r="E182" t="s">
        <v>1518</v>
      </c>
      <c r="L182" t="s">
        <v>673</v>
      </c>
    </row>
    <row r="183" spans="2:12" x14ac:dyDescent="0.2">
      <c r="B183" t="s">
        <v>1227</v>
      </c>
      <c r="E183" t="s">
        <v>1519</v>
      </c>
      <c r="L183" t="s">
        <v>674</v>
      </c>
    </row>
    <row r="184" spans="2:12" x14ac:dyDescent="0.2">
      <c r="B184" t="s">
        <v>1228</v>
      </c>
      <c r="E184" t="s">
        <v>1520</v>
      </c>
      <c r="L184" t="s">
        <v>675</v>
      </c>
    </row>
    <row r="185" spans="2:12" x14ac:dyDescent="0.2">
      <c r="B185" t="s">
        <v>1229</v>
      </c>
      <c r="E185" t="s">
        <v>1521</v>
      </c>
      <c r="L185" t="s">
        <v>676</v>
      </c>
    </row>
    <row r="186" spans="2:12" x14ac:dyDescent="0.2">
      <c r="B186" t="s">
        <v>1230</v>
      </c>
      <c r="E186" t="s">
        <v>1522</v>
      </c>
      <c r="L186" t="s">
        <v>677</v>
      </c>
    </row>
    <row r="187" spans="2:12" x14ac:dyDescent="0.2">
      <c r="B187" t="s">
        <v>1231</v>
      </c>
      <c r="E187" t="s">
        <v>1523</v>
      </c>
      <c r="L187" t="s">
        <v>678</v>
      </c>
    </row>
    <row r="188" spans="2:12" x14ac:dyDescent="0.2">
      <c r="B188" t="s">
        <v>522</v>
      </c>
      <c r="E188" t="s">
        <v>1524</v>
      </c>
      <c r="L188" t="s">
        <v>679</v>
      </c>
    </row>
    <row r="189" spans="2:12" x14ac:dyDescent="0.2">
      <c r="B189" t="s">
        <v>1232</v>
      </c>
      <c r="E189" t="s">
        <v>1525</v>
      </c>
      <c r="L189" t="s">
        <v>680</v>
      </c>
    </row>
    <row r="190" spans="2:12" x14ac:dyDescent="0.2">
      <c r="B190" t="s">
        <v>1233</v>
      </c>
      <c r="E190" t="s">
        <v>1526</v>
      </c>
      <c r="L190" t="s">
        <v>681</v>
      </c>
    </row>
    <row r="191" spans="2:12" x14ac:dyDescent="0.2">
      <c r="B191" t="s">
        <v>1234</v>
      </c>
      <c r="E191" t="s">
        <v>1527</v>
      </c>
      <c r="L191" t="s">
        <v>682</v>
      </c>
    </row>
    <row r="192" spans="2:12" x14ac:dyDescent="0.2">
      <c r="B192" t="s">
        <v>1235</v>
      </c>
      <c r="E192" t="s">
        <v>1528</v>
      </c>
      <c r="L192" t="s">
        <v>683</v>
      </c>
    </row>
    <row r="193" spans="2:12" x14ac:dyDescent="0.2">
      <c r="B193" t="s">
        <v>1236</v>
      </c>
      <c r="L193" t="s">
        <v>684</v>
      </c>
    </row>
    <row r="194" spans="2:12" x14ac:dyDescent="0.2">
      <c r="B194" t="s">
        <v>1237</v>
      </c>
      <c r="L194" t="s">
        <v>685</v>
      </c>
    </row>
    <row r="195" spans="2:12" x14ac:dyDescent="0.2">
      <c r="B195" t="s">
        <v>1238</v>
      </c>
      <c r="L195" t="s">
        <v>1543</v>
      </c>
    </row>
    <row r="196" spans="2:12" x14ac:dyDescent="0.2">
      <c r="B196" t="s">
        <v>1239</v>
      </c>
      <c r="L196" t="s">
        <v>686</v>
      </c>
    </row>
    <row r="197" spans="2:12" x14ac:dyDescent="0.2">
      <c r="B197" t="s">
        <v>1240</v>
      </c>
      <c r="L197" t="s">
        <v>687</v>
      </c>
    </row>
    <row r="198" spans="2:12" x14ac:dyDescent="0.2">
      <c r="B198" t="s">
        <v>994</v>
      </c>
      <c r="L198" t="s">
        <v>688</v>
      </c>
    </row>
    <row r="199" spans="2:12" x14ac:dyDescent="0.2">
      <c r="B199" t="s">
        <v>537</v>
      </c>
      <c r="L199" t="s">
        <v>689</v>
      </c>
    </row>
    <row r="200" spans="2:12" x14ac:dyDescent="0.2">
      <c r="B200" t="s">
        <v>540</v>
      </c>
      <c r="L200" t="s">
        <v>690</v>
      </c>
    </row>
    <row r="201" spans="2:12" x14ac:dyDescent="0.2">
      <c r="B201" t="s">
        <v>1241</v>
      </c>
      <c r="L201" t="s">
        <v>691</v>
      </c>
    </row>
    <row r="202" spans="2:12" x14ac:dyDescent="0.2">
      <c r="B202" t="s">
        <v>543</v>
      </c>
      <c r="L202" t="s">
        <v>692</v>
      </c>
    </row>
    <row r="203" spans="2:12" x14ac:dyDescent="0.2">
      <c r="B203" t="s">
        <v>546</v>
      </c>
      <c r="L203" t="s">
        <v>693</v>
      </c>
    </row>
    <row r="204" spans="2:12" x14ac:dyDescent="0.2">
      <c r="B204" t="s">
        <v>549</v>
      </c>
      <c r="L204" t="s">
        <v>694</v>
      </c>
    </row>
    <row r="205" spans="2:12" x14ac:dyDescent="0.2">
      <c r="B205" t="s">
        <v>1242</v>
      </c>
      <c r="L205" t="s">
        <v>695</v>
      </c>
    </row>
    <row r="206" spans="2:12" x14ac:dyDescent="0.2">
      <c r="B206" t="s">
        <v>552</v>
      </c>
      <c r="L206" t="s">
        <v>696</v>
      </c>
    </row>
    <row r="207" spans="2:12" x14ac:dyDescent="0.2">
      <c r="B207" t="s">
        <v>555</v>
      </c>
      <c r="L207" t="s">
        <v>697</v>
      </c>
    </row>
    <row r="208" spans="2:12" x14ac:dyDescent="0.2">
      <c r="B208" t="s">
        <v>1243</v>
      </c>
      <c r="L208" t="s">
        <v>698</v>
      </c>
    </row>
    <row r="209" spans="2:12" x14ac:dyDescent="0.2">
      <c r="B209" t="s">
        <v>1244</v>
      </c>
      <c r="L209" t="s">
        <v>699</v>
      </c>
    </row>
    <row r="210" spans="2:12" x14ac:dyDescent="0.2">
      <c r="B210" t="s">
        <v>1245</v>
      </c>
      <c r="L210" t="s">
        <v>700</v>
      </c>
    </row>
    <row r="211" spans="2:12" x14ac:dyDescent="0.2">
      <c r="B211" t="s">
        <v>1246</v>
      </c>
      <c r="L211" t="s">
        <v>701</v>
      </c>
    </row>
    <row r="212" spans="2:12" x14ac:dyDescent="0.2">
      <c r="B212" t="s">
        <v>557</v>
      </c>
      <c r="L212" t="s">
        <v>702</v>
      </c>
    </row>
    <row r="213" spans="2:12" x14ac:dyDescent="0.2">
      <c r="B213" t="s">
        <v>559</v>
      </c>
      <c r="L213" t="s">
        <v>703</v>
      </c>
    </row>
    <row r="214" spans="2:12" x14ac:dyDescent="0.2">
      <c r="B214" t="s">
        <v>561</v>
      </c>
      <c r="L214" t="s">
        <v>1544</v>
      </c>
    </row>
    <row r="215" spans="2:12" x14ac:dyDescent="0.2">
      <c r="B215" t="s">
        <v>1247</v>
      </c>
      <c r="L215" t="s">
        <v>704</v>
      </c>
    </row>
    <row r="216" spans="2:12" x14ac:dyDescent="0.2">
      <c r="B216" t="s">
        <v>1248</v>
      </c>
      <c r="L216" t="s">
        <v>2105</v>
      </c>
    </row>
    <row r="217" spans="2:12" x14ac:dyDescent="0.2">
      <c r="B217" t="s">
        <v>563</v>
      </c>
      <c r="L217" t="s">
        <v>705</v>
      </c>
    </row>
    <row r="218" spans="2:12" x14ac:dyDescent="0.2">
      <c r="B218" t="s">
        <v>564</v>
      </c>
      <c r="L218" t="s">
        <v>706</v>
      </c>
    </row>
    <row r="219" spans="2:12" x14ac:dyDescent="0.2">
      <c r="B219" t="s">
        <v>566</v>
      </c>
      <c r="L219" t="s">
        <v>707</v>
      </c>
    </row>
    <row r="220" spans="2:12" x14ac:dyDescent="0.2">
      <c r="B220" t="s">
        <v>568</v>
      </c>
      <c r="L220" t="s">
        <v>708</v>
      </c>
    </row>
    <row r="221" spans="2:12" x14ac:dyDescent="0.2">
      <c r="B221" t="s">
        <v>570</v>
      </c>
      <c r="L221" t="s">
        <v>709</v>
      </c>
    </row>
    <row r="222" spans="2:12" x14ac:dyDescent="0.2">
      <c r="B222" t="s">
        <v>573</v>
      </c>
      <c r="L222" t="s">
        <v>2106</v>
      </c>
    </row>
    <row r="223" spans="2:12" x14ac:dyDescent="0.2">
      <c r="B223" t="s">
        <v>575</v>
      </c>
      <c r="L223" t="s">
        <v>710</v>
      </c>
    </row>
    <row r="224" spans="2:12" x14ac:dyDescent="0.2">
      <c r="B224" t="s">
        <v>577</v>
      </c>
      <c r="L224" t="s">
        <v>2107</v>
      </c>
    </row>
    <row r="225" spans="2:12" x14ac:dyDescent="0.2">
      <c r="B225" t="s">
        <v>579</v>
      </c>
      <c r="L225" t="s">
        <v>711</v>
      </c>
    </row>
    <row r="226" spans="2:12" x14ac:dyDescent="0.2">
      <c r="B226" t="s">
        <v>581</v>
      </c>
      <c r="L226" t="s">
        <v>1545</v>
      </c>
    </row>
    <row r="227" spans="2:12" x14ac:dyDescent="0.2">
      <c r="B227" t="s">
        <v>583</v>
      </c>
      <c r="L227" t="s">
        <v>712</v>
      </c>
    </row>
    <row r="228" spans="2:12" x14ac:dyDescent="0.2">
      <c r="B228" t="s">
        <v>585</v>
      </c>
      <c r="L228" t="s">
        <v>713</v>
      </c>
    </row>
    <row r="229" spans="2:12" x14ac:dyDescent="0.2">
      <c r="B229" t="s">
        <v>587</v>
      </c>
      <c r="L229" t="s">
        <v>714</v>
      </c>
    </row>
    <row r="230" spans="2:12" x14ac:dyDescent="0.2">
      <c r="B230" t="s">
        <v>1249</v>
      </c>
      <c r="L230" t="s">
        <v>715</v>
      </c>
    </row>
    <row r="231" spans="2:12" x14ac:dyDescent="0.2">
      <c r="B231" t="s">
        <v>1250</v>
      </c>
      <c r="L231" t="s">
        <v>716</v>
      </c>
    </row>
    <row r="232" spans="2:12" x14ac:dyDescent="0.2">
      <c r="B232" t="s">
        <v>1251</v>
      </c>
      <c r="L232" t="s">
        <v>717</v>
      </c>
    </row>
    <row r="233" spans="2:12" x14ac:dyDescent="0.2">
      <c r="B233" t="s">
        <v>1252</v>
      </c>
      <c r="L233" t="s">
        <v>718</v>
      </c>
    </row>
    <row r="234" spans="2:12" x14ac:dyDescent="0.2">
      <c r="B234" t="s">
        <v>1253</v>
      </c>
      <c r="L234" t="s">
        <v>719</v>
      </c>
    </row>
    <row r="235" spans="2:12" x14ac:dyDescent="0.2">
      <c r="B235" t="s">
        <v>1254</v>
      </c>
      <c r="L235" t="s">
        <v>1546</v>
      </c>
    </row>
    <row r="236" spans="2:12" x14ac:dyDescent="0.2">
      <c r="B236" t="s">
        <v>1255</v>
      </c>
      <c r="L236" t="s">
        <v>720</v>
      </c>
    </row>
    <row r="237" spans="2:12" x14ac:dyDescent="0.2">
      <c r="B237" t="s">
        <v>1256</v>
      </c>
      <c r="L237" t="s">
        <v>721</v>
      </c>
    </row>
    <row r="238" spans="2:12" x14ac:dyDescent="0.2">
      <c r="B238" t="s">
        <v>595</v>
      </c>
      <c r="L238" t="s">
        <v>722</v>
      </c>
    </row>
    <row r="239" spans="2:12" x14ac:dyDescent="0.2">
      <c r="B239" t="s">
        <v>597</v>
      </c>
      <c r="L239" t="s">
        <v>723</v>
      </c>
    </row>
    <row r="240" spans="2:12" x14ac:dyDescent="0.2">
      <c r="B240" t="s">
        <v>599</v>
      </c>
      <c r="L240" t="s">
        <v>2108</v>
      </c>
    </row>
    <row r="241" spans="2:12" x14ac:dyDescent="0.2">
      <c r="B241" t="s">
        <v>601</v>
      </c>
      <c r="L241" t="s">
        <v>724</v>
      </c>
    </row>
    <row r="242" spans="2:12" x14ac:dyDescent="0.2">
      <c r="B242" t="s">
        <v>1257</v>
      </c>
      <c r="L242" t="s">
        <v>725</v>
      </c>
    </row>
    <row r="243" spans="2:12" x14ac:dyDescent="0.2">
      <c r="B243" t="s">
        <v>603</v>
      </c>
      <c r="L243" t="s">
        <v>726</v>
      </c>
    </row>
    <row r="244" spans="2:12" x14ac:dyDescent="0.2">
      <c r="B244" t="s">
        <v>1258</v>
      </c>
      <c r="L244" t="s">
        <v>727</v>
      </c>
    </row>
    <row r="245" spans="2:12" x14ac:dyDescent="0.2">
      <c r="B245" t="s">
        <v>995</v>
      </c>
      <c r="L245" t="s">
        <v>728</v>
      </c>
    </row>
    <row r="246" spans="2:12" x14ac:dyDescent="0.2">
      <c r="B246" t="s">
        <v>996</v>
      </c>
      <c r="L246" t="s">
        <v>729</v>
      </c>
    </row>
    <row r="247" spans="2:12" x14ac:dyDescent="0.2">
      <c r="B247" t="s">
        <v>997</v>
      </c>
      <c r="L247" t="s">
        <v>730</v>
      </c>
    </row>
    <row r="248" spans="2:12" x14ac:dyDescent="0.2">
      <c r="B248" t="s">
        <v>606</v>
      </c>
      <c r="L248" t="s">
        <v>2109</v>
      </c>
    </row>
    <row r="249" spans="2:12" x14ac:dyDescent="0.2">
      <c r="B249" t="s">
        <v>607</v>
      </c>
      <c r="L249" t="s">
        <v>2110</v>
      </c>
    </row>
    <row r="250" spans="2:12" x14ac:dyDescent="0.2">
      <c r="B250" t="s">
        <v>609</v>
      </c>
      <c r="L250" t="s">
        <v>1547</v>
      </c>
    </row>
    <row r="251" spans="2:12" x14ac:dyDescent="0.2">
      <c r="B251" t="s">
        <v>611</v>
      </c>
      <c r="L251" t="s">
        <v>731</v>
      </c>
    </row>
    <row r="252" spans="2:12" x14ac:dyDescent="0.2">
      <c r="B252" t="s">
        <v>1259</v>
      </c>
      <c r="L252" t="s">
        <v>732</v>
      </c>
    </row>
    <row r="253" spans="2:12" x14ac:dyDescent="0.2">
      <c r="B253" t="s">
        <v>613</v>
      </c>
      <c r="L253" t="s">
        <v>733</v>
      </c>
    </row>
    <row r="254" spans="2:12" x14ac:dyDescent="0.2">
      <c r="B254" t="s">
        <v>615</v>
      </c>
      <c r="L254" t="s">
        <v>734</v>
      </c>
    </row>
    <row r="255" spans="2:12" x14ac:dyDescent="0.2">
      <c r="B255" t="s">
        <v>1260</v>
      </c>
      <c r="L255" t="s">
        <v>735</v>
      </c>
    </row>
    <row r="256" spans="2:12" x14ac:dyDescent="0.2">
      <c r="B256" t="s">
        <v>1261</v>
      </c>
      <c r="L256" t="s">
        <v>736</v>
      </c>
    </row>
    <row r="257" spans="2:12" x14ac:dyDescent="0.2">
      <c r="B257" t="s">
        <v>1262</v>
      </c>
      <c r="L257" t="s">
        <v>737</v>
      </c>
    </row>
    <row r="258" spans="2:12" x14ac:dyDescent="0.2">
      <c r="B258" t="s">
        <v>1263</v>
      </c>
      <c r="L258" t="s">
        <v>8</v>
      </c>
    </row>
    <row r="259" spans="2:12" x14ac:dyDescent="0.2">
      <c r="B259" t="s">
        <v>1264</v>
      </c>
      <c r="L259" t="s">
        <v>738</v>
      </c>
    </row>
    <row r="260" spans="2:12" x14ac:dyDescent="0.2">
      <c r="B260" t="s">
        <v>1265</v>
      </c>
      <c r="L260" t="s">
        <v>739</v>
      </c>
    </row>
    <row r="261" spans="2:12" x14ac:dyDescent="0.2">
      <c r="B261" t="s">
        <v>1266</v>
      </c>
      <c r="L261" t="s">
        <v>740</v>
      </c>
    </row>
    <row r="262" spans="2:12" x14ac:dyDescent="0.2">
      <c r="B262" t="s">
        <v>1267</v>
      </c>
      <c r="L262" t="s">
        <v>741</v>
      </c>
    </row>
    <row r="263" spans="2:12" x14ac:dyDescent="0.2">
      <c r="B263" t="s">
        <v>1268</v>
      </c>
      <c r="L263" t="s">
        <v>742</v>
      </c>
    </row>
    <row r="264" spans="2:12" x14ac:dyDescent="0.2">
      <c r="B264" t="s">
        <v>619</v>
      </c>
      <c r="L264" t="s">
        <v>743</v>
      </c>
    </row>
    <row r="265" spans="2:12" x14ac:dyDescent="0.2">
      <c r="B265" t="s">
        <v>1269</v>
      </c>
      <c r="L265" t="s">
        <v>744</v>
      </c>
    </row>
    <row r="266" spans="2:12" x14ac:dyDescent="0.2">
      <c r="B266" t="s">
        <v>1270</v>
      </c>
      <c r="L266" t="s">
        <v>745</v>
      </c>
    </row>
    <row r="267" spans="2:12" x14ac:dyDescent="0.2">
      <c r="B267" t="s">
        <v>1271</v>
      </c>
      <c r="L267" t="s">
        <v>746</v>
      </c>
    </row>
    <row r="268" spans="2:12" x14ac:dyDescent="0.2">
      <c r="B268" t="s">
        <v>1272</v>
      </c>
      <c r="L268" t="s">
        <v>747</v>
      </c>
    </row>
    <row r="269" spans="2:12" x14ac:dyDescent="0.2">
      <c r="B269" t="s">
        <v>1273</v>
      </c>
      <c r="L269" t="s">
        <v>748</v>
      </c>
    </row>
    <row r="270" spans="2:12" x14ac:dyDescent="0.2">
      <c r="B270" t="s">
        <v>1274</v>
      </c>
      <c r="L270" t="s">
        <v>749</v>
      </c>
    </row>
    <row r="271" spans="2:12" x14ac:dyDescent="0.2">
      <c r="B271" t="s">
        <v>1275</v>
      </c>
      <c r="L271" t="s">
        <v>750</v>
      </c>
    </row>
    <row r="272" spans="2:12" x14ac:dyDescent="0.2">
      <c r="B272" t="s">
        <v>1276</v>
      </c>
      <c r="L272" t="s">
        <v>751</v>
      </c>
    </row>
    <row r="273" spans="2:12" x14ac:dyDescent="0.2">
      <c r="B273" t="s">
        <v>1277</v>
      </c>
      <c r="L273" t="s">
        <v>752</v>
      </c>
    </row>
    <row r="274" spans="2:12" x14ac:dyDescent="0.2">
      <c r="B274" t="s">
        <v>1278</v>
      </c>
      <c r="L274" t="s">
        <v>753</v>
      </c>
    </row>
    <row r="275" spans="2:12" x14ac:dyDescent="0.2">
      <c r="B275" t="s">
        <v>1279</v>
      </c>
      <c r="L275" t="s">
        <v>754</v>
      </c>
    </row>
    <row r="276" spans="2:12" x14ac:dyDescent="0.2">
      <c r="B276" t="s">
        <v>1280</v>
      </c>
      <c r="L276" t="s">
        <v>755</v>
      </c>
    </row>
    <row r="277" spans="2:12" x14ac:dyDescent="0.2">
      <c r="B277" t="s">
        <v>1281</v>
      </c>
      <c r="L277" t="s">
        <v>756</v>
      </c>
    </row>
    <row r="278" spans="2:12" x14ac:dyDescent="0.2">
      <c r="B278" t="s">
        <v>1282</v>
      </c>
      <c r="L278" t="s">
        <v>2111</v>
      </c>
    </row>
    <row r="279" spans="2:12" x14ac:dyDescent="0.2">
      <c r="B279" t="s">
        <v>1283</v>
      </c>
      <c r="L279" t="s">
        <v>757</v>
      </c>
    </row>
    <row r="280" spans="2:12" x14ac:dyDescent="0.2">
      <c r="B280" t="s">
        <v>1284</v>
      </c>
      <c r="L280" t="s">
        <v>1548</v>
      </c>
    </row>
    <row r="281" spans="2:12" x14ac:dyDescent="0.2">
      <c r="B281" t="s">
        <v>1285</v>
      </c>
      <c r="L281" t="s">
        <v>758</v>
      </c>
    </row>
    <row r="282" spans="2:12" x14ac:dyDescent="0.2">
      <c r="B282" t="s">
        <v>621</v>
      </c>
      <c r="L282" t="s">
        <v>759</v>
      </c>
    </row>
    <row r="283" spans="2:12" x14ac:dyDescent="0.2">
      <c r="B283" t="s">
        <v>1286</v>
      </c>
      <c r="L283" t="s">
        <v>760</v>
      </c>
    </row>
    <row r="284" spans="2:12" x14ac:dyDescent="0.2">
      <c r="B284" t="s">
        <v>1287</v>
      </c>
      <c r="L284" t="s">
        <v>761</v>
      </c>
    </row>
    <row r="285" spans="2:12" x14ac:dyDescent="0.2">
      <c r="B285" t="s">
        <v>623</v>
      </c>
      <c r="L285" t="s">
        <v>762</v>
      </c>
    </row>
    <row r="286" spans="2:12" x14ac:dyDescent="0.2">
      <c r="B286" t="s">
        <v>1288</v>
      </c>
      <c r="L286" t="s">
        <v>763</v>
      </c>
    </row>
    <row r="287" spans="2:12" x14ac:dyDescent="0.2">
      <c r="B287" t="s">
        <v>1289</v>
      </c>
      <c r="L287" t="s">
        <v>764</v>
      </c>
    </row>
    <row r="288" spans="2:12" x14ac:dyDescent="0.2">
      <c r="B288" t="s">
        <v>1290</v>
      </c>
      <c r="L288" t="s">
        <v>765</v>
      </c>
    </row>
    <row r="289" spans="2:12" x14ac:dyDescent="0.2">
      <c r="B289" t="s">
        <v>628</v>
      </c>
      <c r="L289" t="s">
        <v>766</v>
      </c>
    </row>
    <row r="290" spans="2:12" x14ac:dyDescent="0.2">
      <c r="B290" t="s">
        <v>1291</v>
      </c>
      <c r="L290" t="s">
        <v>767</v>
      </c>
    </row>
    <row r="291" spans="2:12" x14ac:dyDescent="0.2">
      <c r="B291" t="s">
        <v>1292</v>
      </c>
      <c r="L291" t="s">
        <v>768</v>
      </c>
    </row>
    <row r="292" spans="2:12" x14ac:dyDescent="0.2">
      <c r="B292" t="s">
        <v>1293</v>
      </c>
      <c r="L292" t="s">
        <v>769</v>
      </c>
    </row>
    <row r="293" spans="2:12" x14ac:dyDescent="0.2">
      <c r="B293" t="s">
        <v>1294</v>
      </c>
      <c r="L293" t="s">
        <v>2112</v>
      </c>
    </row>
    <row r="294" spans="2:12" x14ac:dyDescent="0.2">
      <c r="B294" t="s">
        <v>998</v>
      </c>
      <c r="L294" t="s">
        <v>770</v>
      </c>
    </row>
    <row r="295" spans="2:12" x14ac:dyDescent="0.2">
      <c r="B295" t="s">
        <v>631</v>
      </c>
      <c r="L295" t="s">
        <v>1549</v>
      </c>
    </row>
    <row r="296" spans="2:12" x14ac:dyDescent="0.2">
      <c r="B296" t="s">
        <v>633</v>
      </c>
      <c r="L296" t="s">
        <v>771</v>
      </c>
    </row>
    <row r="297" spans="2:12" x14ac:dyDescent="0.2">
      <c r="B297" t="s">
        <v>1295</v>
      </c>
      <c r="L297" t="s">
        <v>772</v>
      </c>
    </row>
    <row r="298" spans="2:12" x14ac:dyDescent="0.2">
      <c r="B298" t="s">
        <v>1296</v>
      </c>
      <c r="L298" t="s">
        <v>773</v>
      </c>
    </row>
    <row r="299" spans="2:12" x14ac:dyDescent="0.2">
      <c r="B299" t="s">
        <v>1297</v>
      </c>
      <c r="L299" t="s">
        <v>774</v>
      </c>
    </row>
    <row r="300" spans="2:12" x14ac:dyDescent="0.2">
      <c r="B300" t="s">
        <v>1298</v>
      </c>
      <c r="L300" t="s">
        <v>2113</v>
      </c>
    </row>
    <row r="301" spans="2:12" x14ac:dyDescent="0.2">
      <c r="B301" t="s">
        <v>637</v>
      </c>
      <c r="L301" t="s">
        <v>775</v>
      </c>
    </row>
    <row r="302" spans="2:12" x14ac:dyDescent="0.2">
      <c r="B302" t="s">
        <v>639</v>
      </c>
      <c r="L302" t="s">
        <v>776</v>
      </c>
    </row>
    <row r="303" spans="2:12" x14ac:dyDescent="0.2">
      <c r="B303" t="s">
        <v>1299</v>
      </c>
      <c r="L303" t="s">
        <v>777</v>
      </c>
    </row>
    <row r="304" spans="2:12" x14ac:dyDescent="0.2">
      <c r="B304" t="s">
        <v>1300</v>
      </c>
      <c r="L304" t="s">
        <v>778</v>
      </c>
    </row>
    <row r="305" spans="2:12" x14ac:dyDescent="0.2">
      <c r="B305" t="s">
        <v>1301</v>
      </c>
      <c r="L305" t="s">
        <v>779</v>
      </c>
    </row>
    <row r="306" spans="2:12" x14ac:dyDescent="0.2">
      <c r="B306" t="s">
        <v>641</v>
      </c>
      <c r="L306" t="s">
        <v>780</v>
      </c>
    </row>
    <row r="307" spans="2:12" x14ac:dyDescent="0.2">
      <c r="B307" t="s">
        <v>643</v>
      </c>
      <c r="L307" t="s">
        <v>781</v>
      </c>
    </row>
    <row r="308" spans="2:12" x14ac:dyDescent="0.2">
      <c r="B308" t="s">
        <v>1302</v>
      </c>
      <c r="L308" t="s">
        <v>782</v>
      </c>
    </row>
    <row r="309" spans="2:12" x14ac:dyDescent="0.2">
      <c r="B309" t="s">
        <v>1303</v>
      </c>
      <c r="L309" t="s">
        <v>1550</v>
      </c>
    </row>
    <row r="310" spans="2:12" x14ac:dyDescent="0.2">
      <c r="B310" t="s">
        <v>1304</v>
      </c>
      <c r="L310" t="s">
        <v>783</v>
      </c>
    </row>
    <row r="311" spans="2:12" x14ac:dyDescent="0.2">
      <c r="B311" t="s">
        <v>647</v>
      </c>
      <c r="L311" t="s">
        <v>2114</v>
      </c>
    </row>
    <row r="312" spans="2:12" x14ac:dyDescent="0.2">
      <c r="B312" t="s">
        <v>1305</v>
      </c>
      <c r="L312" t="s">
        <v>1551</v>
      </c>
    </row>
    <row r="313" spans="2:12" x14ac:dyDescent="0.2">
      <c r="B313" t="s">
        <v>650</v>
      </c>
      <c r="L313" t="s">
        <v>784</v>
      </c>
    </row>
    <row r="314" spans="2:12" x14ac:dyDescent="0.2">
      <c r="B314" t="s">
        <v>1306</v>
      </c>
    </row>
    <row r="315" spans="2:12" x14ac:dyDescent="0.2">
      <c r="B315" t="s">
        <v>1307</v>
      </c>
    </row>
    <row r="316" spans="2:12" x14ac:dyDescent="0.2">
      <c r="B316" t="s">
        <v>1308</v>
      </c>
    </row>
    <row r="317" spans="2:12" x14ac:dyDescent="0.2">
      <c r="B317" t="s">
        <v>1309</v>
      </c>
    </row>
    <row r="318" spans="2:12" x14ac:dyDescent="0.2">
      <c r="B318" t="s">
        <v>1310</v>
      </c>
    </row>
    <row r="319" spans="2:12" x14ac:dyDescent="0.2">
      <c r="B319" t="s">
        <v>1311</v>
      </c>
    </row>
    <row r="320" spans="2:12" x14ac:dyDescent="0.2">
      <c r="B320" t="s">
        <v>1312</v>
      </c>
    </row>
    <row r="321" spans="2:2" x14ac:dyDescent="0.2">
      <c r="B321" t="s">
        <v>1313</v>
      </c>
    </row>
    <row r="322" spans="2:2" x14ac:dyDescent="0.2">
      <c r="B322" t="s">
        <v>1314</v>
      </c>
    </row>
    <row r="323" spans="2:2" x14ac:dyDescent="0.2">
      <c r="B323" t="s">
        <v>1315</v>
      </c>
    </row>
    <row r="324" spans="2:2" x14ac:dyDescent="0.2">
      <c r="B324" t="s">
        <v>1316</v>
      </c>
    </row>
    <row r="325" spans="2:2" x14ac:dyDescent="0.2">
      <c r="B325" t="s">
        <v>1317</v>
      </c>
    </row>
    <row r="326" spans="2:2" x14ac:dyDescent="0.2">
      <c r="B326" t="s">
        <v>1318</v>
      </c>
    </row>
    <row r="327" spans="2:2" x14ac:dyDescent="0.2">
      <c r="B327" t="s">
        <v>653</v>
      </c>
    </row>
    <row r="328" spans="2:2" x14ac:dyDescent="0.2">
      <c r="B328" t="s">
        <v>1319</v>
      </c>
    </row>
    <row r="329" spans="2:2" x14ac:dyDescent="0.2">
      <c r="B329" t="s">
        <v>1320</v>
      </c>
    </row>
    <row r="330" spans="2:2" x14ac:dyDescent="0.2">
      <c r="B330" t="s">
        <v>656</v>
      </c>
    </row>
    <row r="331" spans="2:2" x14ac:dyDescent="0.2">
      <c r="B331" t="s">
        <v>1321</v>
      </c>
    </row>
    <row r="332" spans="2:2" x14ac:dyDescent="0.2">
      <c r="B332" t="s">
        <v>1322</v>
      </c>
    </row>
    <row r="333" spans="2:2" x14ac:dyDescent="0.2">
      <c r="B333" t="s">
        <v>1323</v>
      </c>
    </row>
    <row r="334" spans="2:2" x14ac:dyDescent="0.2">
      <c r="B334" t="s">
        <v>1324</v>
      </c>
    </row>
    <row r="335" spans="2:2" x14ac:dyDescent="0.2">
      <c r="B335" t="s">
        <v>1325</v>
      </c>
    </row>
    <row r="336" spans="2:2" x14ac:dyDescent="0.2">
      <c r="B336" t="s">
        <v>1326</v>
      </c>
    </row>
    <row r="337" spans="2:2" x14ac:dyDescent="0.2">
      <c r="B337" t="s">
        <v>661</v>
      </c>
    </row>
    <row r="338" spans="2:2" x14ac:dyDescent="0.2">
      <c r="B338" t="s">
        <v>663</v>
      </c>
    </row>
    <row r="339" spans="2:2" x14ac:dyDescent="0.2">
      <c r="B339" t="s">
        <v>1327</v>
      </c>
    </row>
    <row r="340" spans="2:2" x14ac:dyDescent="0.2">
      <c r="B340" t="s">
        <v>1328</v>
      </c>
    </row>
    <row r="341" spans="2:2" x14ac:dyDescent="0.2">
      <c r="B341" t="s">
        <v>1329</v>
      </c>
    </row>
    <row r="342" spans="2:2" x14ac:dyDescent="0.2">
      <c r="B342" t="s">
        <v>1330</v>
      </c>
    </row>
    <row r="343" spans="2:2" x14ac:dyDescent="0.2">
      <c r="B343" t="s">
        <v>1331</v>
      </c>
    </row>
    <row r="344" spans="2:2" x14ac:dyDescent="0.2">
      <c r="B344" t="s">
        <v>1332</v>
      </c>
    </row>
    <row r="345" spans="2:2" x14ac:dyDescent="0.2">
      <c r="B345" t="s">
        <v>1333</v>
      </c>
    </row>
    <row r="346" spans="2:2" x14ac:dyDescent="0.2">
      <c r="B346" t="s">
        <v>1334</v>
      </c>
    </row>
    <row r="347" spans="2:2" x14ac:dyDescent="0.2">
      <c r="B347" t="s">
        <v>1335</v>
      </c>
    </row>
    <row r="348" spans="2:2" x14ac:dyDescent="0.2">
      <c r="B348" t="s">
        <v>1336</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L21" sqref="L21"/>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69" t="s">
        <v>785</v>
      </c>
      <c r="B1" s="170"/>
      <c r="C1" s="170"/>
      <c r="D1" s="170"/>
      <c r="E1" s="170"/>
      <c r="F1" s="170"/>
      <c r="G1" s="170"/>
      <c r="H1" s="170"/>
      <c r="I1" s="170"/>
      <c r="J1" s="170"/>
      <c r="K1" s="170"/>
      <c r="L1" s="170"/>
      <c r="M1" s="170"/>
      <c r="N1" s="170"/>
      <c r="O1" s="170"/>
    </row>
    <row r="2" spans="1:15" x14ac:dyDescent="0.2">
      <c r="A2" s="7" t="s">
        <v>786</v>
      </c>
    </row>
    <row r="3" spans="1:15" x14ac:dyDescent="0.2">
      <c r="A3" s="7" t="s">
        <v>787</v>
      </c>
    </row>
    <row r="5" spans="1:15" ht="28" customHeight="1" x14ac:dyDescent="0.2">
      <c r="A5" s="10" t="s">
        <v>91</v>
      </c>
      <c r="B5" s="10" t="s">
        <v>788</v>
      </c>
      <c r="C5" s="10" t="s">
        <v>789</v>
      </c>
      <c r="D5" s="10" t="s">
        <v>790</v>
      </c>
      <c r="E5" s="10" t="s">
        <v>791</v>
      </c>
      <c r="F5" s="10" t="s">
        <v>792</v>
      </c>
      <c r="G5" s="10" t="s">
        <v>793</v>
      </c>
      <c r="H5" s="10" t="s">
        <v>794</v>
      </c>
    </row>
    <row r="6" spans="1:15" x14ac:dyDescent="0.2">
      <c r="A6" s="11">
        <v>1</v>
      </c>
      <c r="B6" s="11" t="s">
        <v>433</v>
      </c>
      <c r="C6" s="11" t="s">
        <v>795</v>
      </c>
      <c r="D6" s="12">
        <v>10.5</v>
      </c>
      <c r="E6" s="11">
        <v>364506</v>
      </c>
      <c r="F6" s="11" t="s">
        <v>796</v>
      </c>
      <c r="G6" s="11" t="s">
        <v>797</v>
      </c>
      <c r="H6" s="11" t="s">
        <v>433</v>
      </c>
    </row>
    <row r="7" spans="1:15" x14ac:dyDescent="0.2">
      <c r="A7" s="11">
        <v>2</v>
      </c>
      <c r="B7" s="11" t="s">
        <v>308</v>
      </c>
      <c r="C7" s="11" t="s">
        <v>798</v>
      </c>
      <c r="D7" s="12">
        <v>7.3</v>
      </c>
      <c r="E7" s="11">
        <v>397490</v>
      </c>
      <c r="F7" s="11" t="s">
        <v>799</v>
      </c>
      <c r="G7" s="11" t="s">
        <v>797</v>
      </c>
      <c r="H7" s="11" t="s">
        <v>308</v>
      </c>
    </row>
    <row r="8" spans="1:15" x14ac:dyDescent="0.2">
      <c r="A8" s="11">
        <v>3</v>
      </c>
      <c r="B8" s="11" t="s">
        <v>800</v>
      </c>
      <c r="C8" s="11" t="s">
        <v>801</v>
      </c>
      <c r="D8" s="12">
        <v>8.9</v>
      </c>
      <c r="E8" s="11">
        <v>412305</v>
      </c>
      <c r="F8" s="11" t="s">
        <v>802</v>
      </c>
      <c r="G8" s="11" t="s">
        <v>797</v>
      </c>
      <c r="H8" s="11" t="s">
        <v>800</v>
      </c>
    </row>
    <row r="9" spans="1:15" x14ac:dyDescent="0.2">
      <c r="A9" s="11">
        <v>4</v>
      </c>
      <c r="B9" s="11" t="s">
        <v>520</v>
      </c>
      <c r="C9" s="11" t="s">
        <v>803</v>
      </c>
      <c r="D9" s="12">
        <v>7.13</v>
      </c>
      <c r="E9" s="11">
        <v>412805</v>
      </c>
      <c r="F9" s="11" t="s">
        <v>804</v>
      </c>
      <c r="G9" s="11" t="s">
        <v>797</v>
      </c>
      <c r="H9" s="11" t="s">
        <v>520</v>
      </c>
    </row>
    <row r="10" spans="1:15" x14ac:dyDescent="0.2">
      <c r="A10" s="11">
        <v>5</v>
      </c>
      <c r="B10" s="11" t="s">
        <v>117</v>
      </c>
      <c r="C10" s="11" t="s">
        <v>805</v>
      </c>
      <c r="D10" s="12">
        <v>8.9600000000000009</v>
      </c>
      <c r="E10" s="11">
        <v>412479</v>
      </c>
      <c r="F10" s="11" t="s">
        <v>806</v>
      </c>
      <c r="G10" s="11" t="s">
        <v>797</v>
      </c>
      <c r="H10" s="11" t="s">
        <v>117</v>
      </c>
    </row>
    <row r="11" spans="1:15" x14ac:dyDescent="0.2">
      <c r="A11" s="11">
        <v>6</v>
      </c>
      <c r="B11" s="11" t="s">
        <v>145</v>
      </c>
      <c r="C11" s="11" t="s">
        <v>807</v>
      </c>
      <c r="D11" s="12"/>
      <c r="E11" s="11">
        <v>412723</v>
      </c>
      <c r="F11" s="11" t="s">
        <v>808</v>
      </c>
      <c r="G11" s="11" t="s">
        <v>809</v>
      </c>
      <c r="H11" s="11" t="s">
        <v>145</v>
      </c>
    </row>
    <row r="12" spans="1:15" x14ac:dyDescent="0.2">
      <c r="A12" s="11">
        <v>7</v>
      </c>
      <c r="B12" s="11" t="s">
        <v>810</v>
      </c>
      <c r="C12" s="11" t="s">
        <v>807</v>
      </c>
      <c r="D12" s="12"/>
      <c r="E12" s="11">
        <v>702767</v>
      </c>
      <c r="F12" s="11" t="s">
        <v>811</v>
      </c>
      <c r="G12" s="11" t="s">
        <v>812</v>
      </c>
      <c r="H12" s="11" t="s">
        <v>813</v>
      </c>
    </row>
    <row r="13" spans="1:15" x14ac:dyDescent="0.2">
      <c r="A13" s="11">
        <v>8</v>
      </c>
      <c r="B13" s="11" t="s">
        <v>814</v>
      </c>
      <c r="C13" s="11" t="s">
        <v>807</v>
      </c>
      <c r="D13" s="12"/>
      <c r="E13" s="11">
        <v>702769</v>
      </c>
      <c r="F13" s="11" t="s">
        <v>815</v>
      </c>
      <c r="G13" s="11" t="s">
        <v>812</v>
      </c>
      <c r="H13" s="11" t="s">
        <v>813</v>
      </c>
    </row>
    <row r="14" spans="1:15" x14ac:dyDescent="0.2">
      <c r="A14" s="11">
        <v>9</v>
      </c>
      <c r="B14" s="11" t="s">
        <v>816</v>
      </c>
      <c r="C14" s="11" t="s">
        <v>807</v>
      </c>
      <c r="D14" s="12"/>
      <c r="E14" s="11">
        <v>702768</v>
      </c>
      <c r="F14" s="11" t="s">
        <v>817</v>
      </c>
      <c r="G14" s="11" t="s">
        <v>812</v>
      </c>
      <c r="H14" s="11" t="s">
        <v>813</v>
      </c>
    </row>
    <row r="16" spans="1:15" x14ac:dyDescent="0.2">
      <c r="A16" s="13" t="s">
        <v>818</v>
      </c>
    </row>
    <row r="17" spans="1:19" ht="28" customHeight="1" x14ac:dyDescent="0.2">
      <c r="A17" s="10" t="s">
        <v>91</v>
      </c>
      <c r="B17" s="10" t="s">
        <v>819</v>
      </c>
      <c r="C17" s="10" t="s">
        <v>1036</v>
      </c>
      <c r="D17" s="10" t="s">
        <v>820</v>
      </c>
      <c r="E17" s="10" t="s">
        <v>59</v>
      </c>
      <c r="F17" s="10" t="s">
        <v>821</v>
      </c>
      <c r="G17" s="10" t="s">
        <v>822</v>
      </c>
      <c r="H17" s="10" t="s">
        <v>823</v>
      </c>
      <c r="I17" s="10" t="s">
        <v>824</v>
      </c>
      <c r="J17" s="8"/>
      <c r="K17" s="8" t="s">
        <v>825</v>
      </c>
      <c r="L17" s="8" t="s">
        <v>826</v>
      </c>
      <c r="M17" s="8" t="s">
        <v>827</v>
      </c>
      <c r="N17" s="8" t="s">
        <v>828</v>
      </c>
      <c r="O17" s="8" t="s">
        <v>829</v>
      </c>
      <c r="P17" s="8" t="s">
        <v>830</v>
      </c>
      <c r="Q17" s="8" t="s">
        <v>831</v>
      </c>
      <c r="R17" s="8" t="s">
        <v>832</v>
      </c>
      <c r="S17" s="8" t="s">
        <v>833</v>
      </c>
    </row>
    <row r="18" spans="1:19" x14ac:dyDescent="0.2">
      <c r="A18" s="14" t="s">
        <v>834</v>
      </c>
      <c r="B18" s="14" t="s">
        <v>834</v>
      </c>
      <c r="C18" s="14" t="s">
        <v>834</v>
      </c>
      <c r="D18" s="14" t="s">
        <v>834</v>
      </c>
      <c r="E18" s="14" t="s">
        <v>834</v>
      </c>
      <c r="F18" s="14" t="s">
        <v>834</v>
      </c>
      <c r="G18" s="14" t="s">
        <v>834</v>
      </c>
      <c r="H18" s="14" t="s">
        <v>834</v>
      </c>
      <c r="I18" s="14" t="s">
        <v>834</v>
      </c>
      <c r="J18" s="14"/>
      <c r="K18" s="14" t="s">
        <v>835</v>
      </c>
      <c r="L18" s="14" t="s">
        <v>835</v>
      </c>
      <c r="M18" s="14" t="s">
        <v>835</v>
      </c>
      <c r="N18" s="14" t="s">
        <v>835</v>
      </c>
      <c r="O18" s="14" t="s">
        <v>835</v>
      </c>
      <c r="P18" s="14" t="s">
        <v>835</v>
      </c>
      <c r="Q18" s="14" t="s">
        <v>835</v>
      </c>
      <c r="R18" s="14" t="s">
        <v>835</v>
      </c>
      <c r="S18" s="14" t="s">
        <v>835</v>
      </c>
    </row>
    <row r="19" spans="1:19" x14ac:dyDescent="0.2">
      <c r="A19" s="9" t="e">
        <f t="shared" ref="A19:A82" ca="1" si="0">_xludf.ROW()-18</f>
        <v>#NAME?</v>
      </c>
      <c r="B19" s="9">
        <f>Upload!G9</f>
        <v>0</v>
      </c>
      <c r="C19" s="9">
        <f>Upload!AN9</f>
        <v>0</v>
      </c>
      <c r="D19" s="9">
        <f>Upload!AO9</f>
        <v>0</v>
      </c>
      <c r="E19" s="9">
        <f>Upload!AP9</f>
        <v>0</v>
      </c>
      <c r="F19" s="9" t="str">
        <f>Upload!AK9</f>
        <v/>
      </c>
      <c r="G19" s="9" t="str">
        <f>Upload!AM9</f>
        <v/>
      </c>
      <c r="H19" s="9" t="str">
        <f>Upload!AJ9</f>
        <v>(seleccione)</v>
      </c>
      <c r="I19" s="9" t="str">
        <f>Upload!AL9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IF(OR(C19="",NOT(OR(ISNUMBER(SEARCH("Antitarnish",Upload!R9&amp;Upload!S9&amp;Upload!T9&amp;Upload!U9&amp;Upload!V9)),ISNUMBER(SEARCH("Anti Tarnish",Upload!R9&amp;Upload!S9&amp;Upload!T9&amp;Upload!U9&amp;Upload!V9))))),"",0.0012*C19)</f>
        <v/>
      </c>
      <c r="Q19" s="15" t="str">
        <f>IF(OR(E19="",NOT(OR(ISNUMBER(SEARCH("Epóxico MT",Upload!R9&amp;Upload!S9&amp;Upload!T9&amp;Upload!U9&amp;Upload!V9))))),"",E19*0.000035)</f>
        <v/>
      </c>
      <c r="R19" s="15" t="str">
        <f>IF(OR(F19="",NOT(OR(ISNUMBER(SEARCH("Epóxico BT",Upload!S9&amp;Upload!T9&amp;Upload!U9&amp;Upload!V9&amp;Upload!W9))))),"",F19*0.000035)</f>
        <v/>
      </c>
      <c r="S19" s="15" t="str">
        <f>IF(OR(G19="",NOT(OR(ISNUMBER(SEARCH("Epóxico Rojo",Upload!T9&amp;Upload!U9&amp;Upload!V9&amp;Upload!W9&amp;Upload!X9))))),"",G19*0.000035)</f>
        <v/>
      </c>
    </row>
    <row r="20" spans="1:19" x14ac:dyDescent="0.2">
      <c r="A20" s="9" t="e">
        <f t="shared" ca="1" si="0"/>
        <v>#NAME?</v>
      </c>
      <c r="B20" s="9">
        <f>Upload!G10</f>
        <v>0</v>
      </c>
      <c r="C20" s="9">
        <f>Upload!AN10</f>
        <v>0</v>
      </c>
      <c r="D20" s="9">
        <f>Upload!AO10</f>
        <v>0</v>
      </c>
      <c r="E20" s="9">
        <f>Upload!AP10</f>
        <v>0</v>
      </c>
      <c r="F20" s="9" t="str">
        <f>Upload!AK10</f>
        <v/>
      </c>
      <c r="G20" s="9" t="str">
        <f>Upload!AM10</f>
        <v/>
      </c>
      <c r="H20" s="9" t="str">
        <f>Upload!AJ10</f>
        <v>(seleccione)</v>
      </c>
      <c r="I20" s="9" t="str">
        <f>Upload!AL10</f>
        <v>(seleccione)</v>
      </c>
      <c r="K20" s="15" t="str">
        <f t="shared" si="1"/>
        <v/>
      </c>
      <c r="L20" s="15" t="str">
        <f t="shared" si="2"/>
        <v/>
      </c>
      <c r="M20" s="15" t="str">
        <f t="shared" si="3"/>
        <v/>
      </c>
      <c r="N20" s="15" t="str">
        <f t="shared" si="4"/>
        <v/>
      </c>
      <c r="O20" s="15" t="str">
        <f t="shared" si="5"/>
        <v/>
      </c>
      <c r="P20" s="15" t="str">
        <f>IF(OR(C20="",NOT(OR(ISNUMBER(SEARCH("Antitarnish",Upload!R10&amp;Upload!S10&amp;Upload!T10&amp;Upload!U10&amp;Upload!V10)),ISNUMBER(SEARCH("Anti Tarnish",Upload!R10&amp;Upload!S10&amp;Upload!T10&amp;Upload!U10&amp;Upload!V10))))),"",0.0012*C20)</f>
        <v/>
      </c>
      <c r="Q20" s="15" t="str">
        <f>IF(OR(E20="",NOT(OR(ISNUMBER(SEARCH("Epóxico MT",Upload!R10&amp;Upload!S10&amp;Upload!T10&amp;Upload!U10&amp;Upload!V10))))),"",E20*0.000035)</f>
        <v/>
      </c>
      <c r="R20" s="15" t="str">
        <f>IF(OR(F20="",NOT(OR(ISNUMBER(SEARCH("Epóxico BT",Upload!S10&amp;Upload!T10&amp;Upload!U10&amp;Upload!V10&amp;Upload!W10))))),"",F20*0.000035)</f>
        <v/>
      </c>
      <c r="S20" s="15" t="str">
        <f>IF(OR(G20="",NOT(OR(ISNUMBER(SEARCH("Epóxico Rojo",Upload!T10&amp;Upload!U10&amp;Upload!V10&amp;Upload!W10&amp;Upload!X10))))),"",G20*0.000035)</f>
        <v/>
      </c>
    </row>
    <row r="21" spans="1:19" x14ac:dyDescent="0.2">
      <c r="A21" s="9" t="e">
        <f t="shared" ca="1" si="0"/>
        <v>#NAME?</v>
      </c>
      <c r="B21" s="9">
        <f>Upload!G11</f>
        <v>0</v>
      </c>
      <c r="C21" s="9">
        <f>Upload!AN11</f>
        <v>0</v>
      </c>
      <c r="D21" s="9">
        <f>Upload!AO11</f>
        <v>0</v>
      </c>
      <c r="E21" s="9">
        <f>Upload!AP11</f>
        <v>0</v>
      </c>
      <c r="F21" s="9" t="str">
        <f>Upload!AK11</f>
        <v/>
      </c>
      <c r="G21" s="9" t="str">
        <f>Upload!AM11</f>
        <v/>
      </c>
      <c r="H21" s="9" t="str">
        <f>Upload!AJ11</f>
        <v>(seleccione)</v>
      </c>
      <c r="I21" s="9" t="str">
        <f>Upload!AL11</f>
        <v>(seleccione)</v>
      </c>
      <c r="K21" s="15" t="str">
        <f t="shared" si="1"/>
        <v/>
      </c>
      <c r="L21" s="15" t="str">
        <f t="shared" si="2"/>
        <v/>
      </c>
      <c r="M21" s="15" t="str">
        <f t="shared" si="3"/>
        <v/>
      </c>
      <c r="N21" s="15" t="str">
        <f t="shared" si="4"/>
        <v/>
      </c>
      <c r="O21" s="15" t="str">
        <f t="shared" si="5"/>
        <v/>
      </c>
      <c r="P21" s="15" t="str">
        <f>IF(OR(C21="",NOT(OR(ISNUMBER(SEARCH("Antitarnish",Upload!R11&amp;Upload!S11&amp;Upload!T11&amp;Upload!U11&amp;Upload!V11)),ISNUMBER(SEARCH("Anti Tarnish",Upload!R11&amp;Upload!S11&amp;Upload!T11&amp;Upload!U11&amp;Upload!V11))))),"",0.0012*C21)</f>
        <v/>
      </c>
      <c r="Q21" s="15" t="str">
        <f>IF(OR(E21="",NOT(OR(ISNUMBER(SEARCH("Epóxico MT",Upload!R11&amp;Upload!S11&amp;Upload!T11&amp;Upload!U11&amp;Upload!V11))))),"",E21*0.000035)</f>
        <v/>
      </c>
      <c r="R21" s="15" t="str">
        <f>IF(OR(F21="",NOT(OR(ISNUMBER(SEARCH("Epóxico BT",Upload!S11&amp;Upload!T11&amp;Upload!U11&amp;Upload!V11&amp;Upload!W11))))),"",F21*0.000035)</f>
        <v/>
      </c>
      <c r="S21" s="15" t="str">
        <f>IF(OR(G21="",NOT(OR(ISNUMBER(SEARCH("Epóxico Rojo",Upload!T11&amp;Upload!U11&amp;Upload!V11&amp;Upload!W11&amp;Upload!X11))))),"",G21*0.000035)</f>
        <v/>
      </c>
    </row>
    <row r="22" spans="1:19" x14ac:dyDescent="0.2">
      <c r="A22" s="9" t="e">
        <f t="shared" ca="1" si="0"/>
        <v>#NAME?</v>
      </c>
      <c r="B22" s="9">
        <f>Upload!G12</f>
        <v>0</v>
      </c>
      <c r="C22" s="9">
        <f>Upload!AN12</f>
        <v>0</v>
      </c>
      <c r="D22" s="9">
        <f>Upload!AO12</f>
        <v>0</v>
      </c>
      <c r="E22" s="9">
        <f>Upload!AP12</f>
        <v>0</v>
      </c>
      <c r="F22" s="9" t="str">
        <f>Upload!AK12</f>
        <v/>
      </c>
      <c r="G22" s="9" t="str">
        <f>Upload!AM12</f>
        <v/>
      </c>
      <c r="H22" s="9" t="str">
        <f>Upload!AJ12</f>
        <v>(seleccione)</v>
      </c>
      <c r="I22" s="9" t="str">
        <f>Upload!AL12</f>
        <v>(seleccione)</v>
      </c>
      <c r="K22" s="15" t="str">
        <f t="shared" si="1"/>
        <v/>
      </c>
      <c r="L22" s="15" t="str">
        <f t="shared" si="2"/>
        <v/>
      </c>
      <c r="M22" s="15" t="str">
        <f t="shared" si="3"/>
        <v/>
      </c>
      <c r="N22" s="15" t="str">
        <f t="shared" si="4"/>
        <v/>
      </c>
      <c r="O22" s="15" t="str">
        <f t="shared" si="5"/>
        <v/>
      </c>
      <c r="P22" s="15" t="str">
        <f>IF(OR(C22="",NOT(OR(ISNUMBER(SEARCH("Antitarnish",Upload!R12&amp;Upload!S12&amp;Upload!T12&amp;Upload!U12&amp;Upload!V12)),ISNUMBER(SEARCH("Anti Tarnish",Upload!R12&amp;Upload!S12&amp;Upload!T12&amp;Upload!U12&amp;Upload!V12))))),"",0.0012*C22)</f>
        <v/>
      </c>
      <c r="Q22" s="15" t="str">
        <f>IF(OR(E22="",NOT(OR(ISNUMBER(SEARCH("Epóxico MT",Upload!R12&amp;Upload!S12&amp;Upload!T12&amp;Upload!U12&amp;Upload!V12))))),"",E22*0.000035)</f>
        <v/>
      </c>
      <c r="R22" s="15" t="str">
        <f>IF(OR(F22="",NOT(OR(ISNUMBER(SEARCH("Epóxico BT",Upload!S12&amp;Upload!T12&amp;Upload!U12&amp;Upload!V12&amp;Upload!W12))))),"",F22*0.000035)</f>
        <v/>
      </c>
      <c r="S22" s="15" t="str">
        <f>IF(OR(G22="",NOT(OR(ISNUMBER(SEARCH("Epóxico Rojo",Upload!T12&amp;Upload!U12&amp;Upload!V12&amp;Upload!W12&amp;Upload!X12))))),"",G22*0.000035)</f>
        <v/>
      </c>
    </row>
    <row r="23" spans="1:19" x14ac:dyDescent="0.2">
      <c r="A23" s="9" t="e">
        <f t="shared" ca="1" si="0"/>
        <v>#NAME?</v>
      </c>
      <c r="B23" s="9">
        <f>Upload!G13</f>
        <v>0</v>
      </c>
      <c r="C23" s="9">
        <f>Upload!AN13</f>
        <v>0</v>
      </c>
      <c r="D23" s="9">
        <f>Upload!AO13</f>
        <v>0</v>
      </c>
      <c r="E23" s="9">
        <f>Upload!AP13</f>
        <v>0</v>
      </c>
      <c r="F23" s="9" t="str">
        <f>Upload!AK13</f>
        <v/>
      </c>
      <c r="G23" s="9" t="str">
        <f>Upload!AM13</f>
        <v/>
      </c>
      <c r="H23" s="9" t="str">
        <f>Upload!AJ13</f>
        <v>(seleccione)</v>
      </c>
      <c r="I23" s="9" t="str">
        <f>Upload!AL13</f>
        <v>(seleccione)</v>
      </c>
      <c r="K23" s="15" t="str">
        <f t="shared" si="1"/>
        <v/>
      </c>
      <c r="L23" s="15" t="str">
        <f t="shared" si="2"/>
        <v/>
      </c>
      <c r="M23" s="15" t="str">
        <f t="shared" si="3"/>
        <v/>
      </c>
      <c r="N23" s="15" t="str">
        <f t="shared" si="4"/>
        <v/>
      </c>
      <c r="O23" s="15" t="str">
        <f t="shared" si="5"/>
        <v/>
      </c>
      <c r="P23" s="15" t="str">
        <f>IF(OR(C23="",NOT(OR(ISNUMBER(SEARCH("Antitarnish",Upload!R13&amp;Upload!S13&amp;Upload!T13&amp;Upload!U13&amp;Upload!V13)),ISNUMBER(SEARCH("Anti Tarnish",Upload!R13&amp;Upload!S13&amp;Upload!T13&amp;Upload!U13&amp;Upload!V13))))),"",0.0012*C23)</f>
        <v/>
      </c>
      <c r="Q23" s="15" t="str">
        <f>IF(OR(E23="",NOT(OR(ISNUMBER(SEARCH("Epóxico MT",Upload!R13&amp;Upload!S13&amp;Upload!T13&amp;Upload!U13&amp;Upload!V13))))),"",E23*0.000035)</f>
        <v/>
      </c>
      <c r="R23" s="15" t="str">
        <f>IF(OR(F23="",NOT(OR(ISNUMBER(SEARCH("Epóxico BT",Upload!S13&amp;Upload!T13&amp;Upload!U13&amp;Upload!V13&amp;Upload!W13))))),"",F23*0.000035)</f>
        <v/>
      </c>
      <c r="S23" s="15" t="str">
        <f>IF(OR(G23="",NOT(OR(ISNUMBER(SEARCH("Epóxico Rojo",Upload!T13&amp;Upload!U13&amp;Upload!V13&amp;Upload!W13&amp;Upload!X13))))),"",G23*0.000035)</f>
        <v/>
      </c>
    </row>
    <row r="24" spans="1:19" x14ac:dyDescent="0.2">
      <c r="A24" s="9" t="e">
        <f t="shared" ca="1" si="0"/>
        <v>#NAME?</v>
      </c>
      <c r="B24" s="9">
        <f>Upload!G14</f>
        <v>0</v>
      </c>
      <c r="C24" s="9">
        <f>Upload!AN14</f>
        <v>0</v>
      </c>
      <c r="D24" s="9">
        <f>Upload!AO14</f>
        <v>0</v>
      </c>
      <c r="E24" s="9">
        <f>Upload!AP14</f>
        <v>0</v>
      </c>
      <c r="F24" s="9" t="str">
        <f>Upload!AK14</f>
        <v/>
      </c>
      <c r="G24" s="9" t="str">
        <f>Upload!AM14</f>
        <v/>
      </c>
      <c r="H24" s="9" t="str">
        <f>Upload!AJ14</f>
        <v>(seleccione)</v>
      </c>
      <c r="I24" s="9" t="str">
        <f>Upload!AL14</f>
        <v>(seleccione)</v>
      </c>
      <c r="K24" s="15" t="str">
        <f t="shared" si="1"/>
        <v/>
      </c>
      <c r="L24" s="15" t="str">
        <f t="shared" si="2"/>
        <v/>
      </c>
      <c r="M24" s="15" t="str">
        <f t="shared" si="3"/>
        <v/>
      </c>
      <c r="N24" s="15" t="str">
        <f t="shared" si="4"/>
        <v/>
      </c>
      <c r="O24" s="15" t="str">
        <f t="shared" si="5"/>
        <v/>
      </c>
      <c r="P24" s="15" t="str">
        <f>IF(OR(C24="",NOT(OR(ISNUMBER(SEARCH("Antitarnish",Upload!R14&amp;Upload!S14&amp;Upload!T14&amp;Upload!U14&amp;Upload!V14)),ISNUMBER(SEARCH("Anti Tarnish",Upload!R14&amp;Upload!S14&amp;Upload!T14&amp;Upload!U14&amp;Upload!V14))))),"",0.0012*C24)</f>
        <v/>
      </c>
      <c r="Q24" s="15" t="str">
        <f>IF(OR(E24="",NOT(OR(ISNUMBER(SEARCH("Epóxico MT",Upload!R14&amp;Upload!S14&amp;Upload!T14&amp;Upload!U14&amp;Upload!V14))))),"",E24*0.000035)</f>
        <v/>
      </c>
      <c r="R24" s="15" t="str">
        <f>IF(OR(F24="",NOT(OR(ISNUMBER(SEARCH("Epóxico BT",Upload!S14&amp;Upload!T14&amp;Upload!U14&amp;Upload!V14&amp;Upload!W14))))),"",F24*0.000035)</f>
        <v/>
      </c>
      <c r="S24" s="15" t="str">
        <f>IF(OR(G24="",NOT(OR(ISNUMBER(SEARCH("Epóxico Rojo",Upload!T14&amp;Upload!U14&amp;Upload!V14&amp;Upload!W14&amp;Upload!X14))))),"",G24*0.000035)</f>
        <v/>
      </c>
    </row>
    <row r="25" spans="1:19" x14ac:dyDescent="0.2">
      <c r="A25" s="9" t="e">
        <f t="shared" ca="1" si="0"/>
        <v>#NAME?</v>
      </c>
      <c r="B25" s="9">
        <f>Upload!G15</f>
        <v>0</v>
      </c>
      <c r="C25" s="9">
        <f>Upload!AN15</f>
        <v>0</v>
      </c>
      <c r="D25" s="9">
        <f>Upload!AO15</f>
        <v>0</v>
      </c>
      <c r="E25" s="9">
        <f>Upload!AP15</f>
        <v>0</v>
      </c>
      <c r="F25" s="9" t="str">
        <f>Upload!AK15</f>
        <v/>
      </c>
      <c r="G25" s="9" t="str">
        <f>Upload!AM15</f>
        <v/>
      </c>
      <c r="H25" s="9" t="str">
        <f>Upload!AJ15</f>
        <v>(seleccione)</v>
      </c>
      <c r="I25" s="9" t="str">
        <f>Upload!AL15</f>
        <v>(seleccione)</v>
      </c>
      <c r="K25" s="15" t="str">
        <f t="shared" si="1"/>
        <v/>
      </c>
      <c r="L25" s="15" t="str">
        <f t="shared" si="2"/>
        <v/>
      </c>
      <c r="M25" s="15" t="str">
        <f t="shared" si="3"/>
        <v/>
      </c>
      <c r="N25" s="15" t="str">
        <f t="shared" si="4"/>
        <v/>
      </c>
      <c r="O25" s="15" t="str">
        <f t="shared" si="5"/>
        <v/>
      </c>
      <c r="P25" s="15" t="str">
        <f>IF(OR(C25="",NOT(OR(ISNUMBER(SEARCH("Antitarnish",Upload!R15&amp;Upload!S15&amp;Upload!T15&amp;Upload!U15&amp;Upload!V15)),ISNUMBER(SEARCH("Anti Tarnish",Upload!R15&amp;Upload!S15&amp;Upload!T15&amp;Upload!U15&amp;Upload!V15))))),"",0.0012*C25)</f>
        <v/>
      </c>
      <c r="Q25" s="15" t="str">
        <f>IF(OR(E25="",NOT(OR(ISNUMBER(SEARCH("Epóxico MT",Upload!R15&amp;Upload!S15&amp;Upload!T15&amp;Upload!U15&amp;Upload!V15))))),"",E25*0.000035)</f>
        <v/>
      </c>
      <c r="R25" s="15" t="str">
        <f>IF(OR(F25="",NOT(OR(ISNUMBER(SEARCH("Epóxico BT",Upload!S15&amp;Upload!T15&amp;Upload!U15&amp;Upload!V15&amp;Upload!W15))))),"",F25*0.000035)</f>
        <v/>
      </c>
      <c r="S25" s="15" t="str">
        <f>IF(OR(G25="",NOT(OR(ISNUMBER(SEARCH("Epóxico Rojo",Upload!T15&amp;Upload!U15&amp;Upload!V15&amp;Upload!W15&amp;Upload!X15))))),"",G25*0.000035)</f>
        <v/>
      </c>
    </row>
    <row r="26" spans="1:19" x14ac:dyDescent="0.2">
      <c r="A26" s="9" t="e">
        <f t="shared" ca="1" si="0"/>
        <v>#NAME?</v>
      </c>
      <c r="B26" s="9">
        <f>Upload!G16</f>
        <v>0</v>
      </c>
      <c r="C26" s="9">
        <f>Upload!AN16</f>
        <v>0</v>
      </c>
      <c r="D26" s="9">
        <f>Upload!AO16</f>
        <v>0</v>
      </c>
      <c r="E26" s="9">
        <f>Upload!AP16</f>
        <v>0</v>
      </c>
      <c r="F26" s="9" t="str">
        <f>Upload!AK16</f>
        <v/>
      </c>
      <c r="G26" s="9" t="str">
        <f>Upload!AM16</f>
        <v/>
      </c>
      <c r="H26" s="9" t="str">
        <f>Upload!AJ16</f>
        <v>(seleccione)</v>
      </c>
      <c r="I26" s="9" t="str">
        <f>Upload!AL16</f>
        <v>(seleccione)</v>
      </c>
      <c r="K26" s="15" t="str">
        <f t="shared" si="1"/>
        <v/>
      </c>
      <c r="L26" s="15" t="str">
        <f t="shared" si="2"/>
        <v/>
      </c>
      <c r="M26" s="15" t="str">
        <f t="shared" si="3"/>
        <v/>
      </c>
      <c r="N26" s="15" t="str">
        <f t="shared" si="4"/>
        <v/>
      </c>
      <c r="O26" s="15" t="str">
        <f t="shared" si="5"/>
        <v/>
      </c>
      <c r="P26" s="15" t="str">
        <f>IF(OR(C26="",NOT(OR(ISNUMBER(SEARCH("Antitarnish",Upload!R16&amp;Upload!S16&amp;Upload!T16&amp;Upload!U16&amp;Upload!V16)),ISNUMBER(SEARCH("Anti Tarnish",Upload!R16&amp;Upload!S16&amp;Upload!T16&amp;Upload!U16&amp;Upload!V16))))),"",0.0012*C26)</f>
        <v/>
      </c>
      <c r="Q26" s="15" t="str">
        <f>IF(OR(E26="",NOT(OR(ISNUMBER(SEARCH("Epóxico MT",Upload!R16&amp;Upload!S16&amp;Upload!T16&amp;Upload!U16&amp;Upload!V16))))),"",E26*0.000035)</f>
        <v/>
      </c>
      <c r="R26" s="15" t="str">
        <f>IF(OR(F26="",NOT(OR(ISNUMBER(SEARCH("Epóxico BT",Upload!S16&amp;Upload!T16&amp;Upload!U16&amp;Upload!V16&amp;Upload!W16))))),"",F26*0.000035)</f>
        <v/>
      </c>
      <c r="S26" s="15" t="str">
        <f>IF(OR(G26="",NOT(OR(ISNUMBER(SEARCH("Epóxico Rojo",Upload!T16&amp;Upload!U16&amp;Upload!V16&amp;Upload!W16&amp;Upload!X16))))),"",G26*0.000035)</f>
        <v/>
      </c>
    </row>
    <row r="27" spans="1:19" x14ac:dyDescent="0.2">
      <c r="A27" s="9" t="e">
        <f t="shared" ca="1" si="0"/>
        <v>#NAME?</v>
      </c>
      <c r="B27" s="9">
        <f>Upload!G17</f>
        <v>0</v>
      </c>
      <c r="C27" s="9">
        <f>Upload!AN17</f>
        <v>0</v>
      </c>
      <c r="D27" s="9">
        <f>Upload!AO17</f>
        <v>0</v>
      </c>
      <c r="E27" s="9">
        <f>Upload!AP17</f>
        <v>0</v>
      </c>
      <c r="F27" s="9" t="str">
        <f>Upload!AK17</f>
        <v/>
      </c>
      <c r="G27" s="9" t="str">
        <f>Upload!AM17</f>
        <v/>
      </c>
      <c r="H27" s="9" t="str">
        <f>Upload!AJ17</f>
        <v>(seleccione)</v>
      </c>
      <c r="I27" s="9" t="str">
        <f>Upload!AL17</f>
        <v>(seleccione)</v>
      </c>
      <c r="K27" s="15" t="str">
        <f t="shared" si="1"/>
        <v/>
      </c>
      <c r="L27" s="15" t="str">
        <f t="shared" si="2"/>
        <v/>
      </c>
      <c r="M27" s="15" t="str">
        <f t="shared" si="3"/>
        <v/>
      </c>
      <c r="N27" s="15" t="str">
        <f t="shared" si="4"/>
        <v/>
      </c>
      <c r="O27" s="15" t="str">
        <f t="shared" si="5"/>
        <v/>
      </c>
      <c r="P27" s="15" t="str">
        <f>IF(OR(C27="",NOT(OR(ISNUMBER(SEARCH("Antitarnish",Upload!R17&amp;Upload!S17&amp;Upload!T17&amp;Upload!U17&amp;Upload!V17)),ISNUMBER(SEARCH("Anti Tarnish",Upload!R17&amp;Upload!S17&amp;Upload!T17&amp;Upload!U17&amp;Upload!V17))))),"",0.0012*C27)</f>
        <v/>
      </c>
      <c r="Q27" s="15" t="str">
        <f>IF(OR(E27="",NOT(OR(ISNUMBER(SEARCH("Epóxico MT",Upload!R17&amp;Upload!S17&amp;Upload!T17&amp;Upload!U17&amp;Upload!V17))))),"",E27*0.000035)</f>
        <v/>
      </c>
      <c r="R27" s="15" t="str">
        <f>IF(OR(F27="",NOT(OR(ISNUMBER(SEARCH("Epóxico BT",Upload!S17&amp;Upload!T17&amp;Upload!U17&amp;Upload!V17&amp;Upload!W17))))),"",F27*0.000035)</f>
        <v/>
      </c>
      <c r="S27" s="15" t="str">
        <f>IF(OR(G27="",NOT(OR(ISNUMBER(SEARCH("Epóxico Rojo",Upload!T17&amp;Upload!U17&amp;Upload!V17&amp;Upload!W17&amp;Upload!X17))))),"",G27*0.000035)</f>
        <v/>
      </c>
    </row>
    <row r="28" spans="1:19" x14ac:dyDescent="0.2">
      <c r="A28" s="9" t="e">
        <f t="shared" ca="1" si="0"/>
        <v>#NAME?</v>
      </c>
      <c r="B28" s="9">
        <f>Upload!G18</f>
        <v>0</v>
      </c>
      <c r="C28" s="9">
        <f>Upload!AN18</f>
        <v>0</v>
      </c>
      <c r="D28" s="9">
        <f>Upload!AO18</f>
        <v>0</v>
      </c>
      <c r="E28" s="9">
        <f>Upload!AP18</f>
        <v>0</v>
      </c>
      <c r="F28" s="9" t="str">
        <f>Upload!AK18</f>
        <v/>
      </c>
      <c r="G28" s="9" t="str">
        <f>Upload!AM18</f>
        <v/>
      </c>
      <c r="H28" s="9" t="str">
        <f>Upload!AJ18</f>
        <v>(seleccione)</v>
      </c>
      <c r="I28" s="9" t="str">
        <f>Upload!AL18</f>
        <v>(seleccione)</v>
      </c>
      <c r="K28" s="15" t="str">
        <f t="shared" si="1"/>
        <v/>
      </c>
      <c r="L28" s="15" t="str">
        <f t="shared" si="2"/>
        <v/>
      </c>
      <c r="M28" s="15" t="str">
        <f t="shared" si="3"/>
        <v/>
      </c>
      <c r="N28" s="15" t="str">
        <f t="shared" si="4"/>
        <v/>
      </c>
      <c r="O28" s="15" t="str">
        <f t="shared" si="5"/>
        <v/>
      </c>
      <c r="P28" s="15" t="str">
        <f>IF(OR(C28="",NOT(OR(ISNUMBER(SEARCH("Antitarnish",Upload!R18&amp;Upload!S18&amp;Upload!T18&amp;Upload!U18&amp;Upload!V18)),ISNUMBER(SEARCH("Anti Tarnish",Upload!R18&amp;Upload!S18&amp;Upload!T18&amp;Upload!U18&amp;Upload!V18))))),"",0.0012*C28)</f>
        <v/>
      </c>
      <c r="Q28" s="15" t="str">
        <f>IF(OR(E28="",NOT(OR(ISNUMBER(SEARCH("Epóxico MT",Upload!R18&amp;Upload!S18&amp;Upload!T18&amp;Upload!U18&amp;Upload!V18))))),"",E28*0.000035)</f>
        <v/>
      </c>
      <c r="R28" s="15" t="str">
        <f>IF(OR(F28="",NOT(OR(ISNUMBER(SEARCH("Epóxico BT",Upload!S18&amp;Upload!T18&amp;Upload!U18&amp;Upload!V18&amp;Upload!W18))))),"",F28*0.000035)</f>
        <v/>
      </c>
      <c r="S28" s="15" t="str">
        <f>IF(OR(G28="",NOT(OR(ISNUMBER(SEARCH("Epóxico Rojo",Upload!T18&amp;Upload!U18&amp;Upload!V18&amp;Upload!W18&amp;Upload!X18))))),"",G28*0.000035)</f>
        <v/>
      </c>
    </row>
    <row r="29" spans="1:19" x14ac:dyDescent="0.2">
      <c r="A29" s="9" t="e">
        <f t="shared" ca="1" si="0"/>
        <v>#NAME?</v>
      </c>
      <c r="B29" s="9">
        <f>Upload!G19</f>
        <v>0</v>
      </c>
      <c r="C29" s="9">
        <f>Upload!AN19</f>
        <v>0</v>
      </c>
      <c r="D29" s="9">
        <f>Upload!AO19</f>
        <v>0</v>
      </c>
      <c r="E29" s="9">
        <f>Upload!AP19</f>
        <v>0</v>
      </c>
      <c r="F29" s="9" t="str">
        <f>Upload!AK19</f>
        <v/>
      </c>
      <c r="G29" s="9" t="str">
        <f>Upload!AM19</f>
        <v/>
      </c>
      <c r="H29" s="9" t="str">
        <f>Upload!AJ19</f>
        <v>(seleccione)</v>
      </c>
      <c r="I29" s="9" t="str">
        <f>Upload!AL19</f>
        <v>(seleccione)</v>
      </c>
      <c r="K29" s="15" t="str">
        <f t="shared" si="1"/>
        <v/>
      </c>
      <c r="L29" s="15" t="str">
        <f t="shared" si="2"/>
        <v/>
      </c>
      <c r="M29" s="15" t="str">
        <f t="shared" si="3"/>
        <v/>
      </c>
      <c r="N29" s="15" t="str">
        <f t="shared" si="4"/>
        <v/>
      </c>
      <c r="O29" s="15" t="str">
        <f t="shared" si="5"/>
        <v/>
      </c>
      <c r="P29" s="15" t="str">
        <f>IF(OR(C29="",NOT(OR(ISNUMBER(SEARCH("Antitarnish",Upload!R19&amp;Upload!S19&amp;Upload!T19&amp;Upload!U19&amp;Upload!V19)),ISNUMBER(SEARCH("Anti Tarnish",Upload!R19&amp;Upload!S19&amp;Upload!T19&amp;Upload!U19&amp;Upload!V19))))),"",0.0012*C29)</f>
        <v/>
      </c>
      <c r="Q29" s="15" t="str">
        <f>IF(OR(E29="",NOT(OR(ISNUMBER(SEARCH("Epóxico MT",Upload!R19&amp;Upload!S19&amp;Upload!T19&amp;Upload!U19&amp;Upload!V19))))),"",E29*0.000035)</f>
        <v/>
      </c>
      <c r="R29" s="15" t="str">
        <f>IF(OR(F29="",NOT(OR(ISNUMBER(SEARCH("Epóxico BT",Upload!S19&amp;Upload!T19&amp;Upload!U19&amp;Upload!V19&amp;Upload!W19))))),"",F29*0.000035)</f>
        <v/>
      </c>
      <c r="S29" s="15" t="str">
        <f>IF(OR(G29="",NOT(OR(ISNUMBER(SEARCH("Epóxico Rojo",Upload!T19&amp;Upload!U19&amp;Upload!V19&amp;Upload!W19&amp;Upload!X19))))),"",G29*0.000035)</f>
        <v/>
      </c>
    </row>
    <row r="30" spans="1:19" x14ac:dyDescent="0.2">
      <c r="A30" s="9" t="e">
        <f t="shared" ca="1" si="0"/>
        <v>#NAME?</v>
      </c>
      <c r="B30" s="9">
        <f>Upload!G20</f>
        <v>0</v>
      </c>
      <c r="C30" s="9">
        <f>Upload!AN20</f>
        <v>0</v>
      </c>
      <c r="D30" s="9">
        <f>Upload!AO20</f>
        <v>0</v>
      </c>
      <c r="E30" s="9">
        <f>Upload!AP20</f>
        <v>0</v>
      </c>
      <c r="F30" s="9" t="str">
        <f>Upload!AK20</f>
        <v/>
      </c>
      <c r="G30" s="9" t="str">
        <f>Upload!AM20</f>
        <v/>
      </c>
      <c r="H30" s="9" t="str">
        <f>Upload!AJ20</f>
        <v>(seleccione)</v>
      </c>
      <c r="I30" s="9" t="str">
        <f>Upload!AL20</f>
        <v>(seleccione)</v>
      </c>
      <c r="K30" s="15" t="str">
        <f t="shared" si="1"/>
        <v/>
      </c>
      <c r="L30" s="15" t="str">
        <f t="shared" si="2"/>
        <v/>
      </c>
      <c r="M30" s="15" t="str">
        <f t="shared" si="3"/>
        <v/>
      </c>
      <c r="N30" s="15" t="str">
        <f t="shared" si="4"/>
        <v/>
      </c>
      <c r="O30" s="15" t="str">
        <f t="shared" si="5"/>
        <v/>
      </c>
      <c r="P30" s="15" t="str">
        <f>IF(OR(C30="",NOT(OR(ISNUMBER(SEARCH("Antitarnish",Upload!R20&amp;Upload!S20&amp;Upload!T20&amp;Upload!U20&amp;Upload!V20)),ISNUMBER(SEARCH("Anti Tarnish",Upload!R20&amp;Upload!S20&amp;Upload!T20&amp;Upload!U20&amp;Upload!V20))))),"",0.0012*C30)</f>
        <v/>
      </c>
      <c r="Q30" s="15" t="str">
        <f>IF(OR(E30="",NOT(OR(ISNUMBER(SEARCH("Epóxico MT",Upload!R20&amp;Upload!S20&amp;Upload!T20&amp;Upload!U20&amp;Upload!V20))))),"",E30*0.000035)</f>
        <v/>
      </c>
      <c r="R30" s="15" t="str">
        <f>IF(OR(F30="",NOT(OR(ISNUMBER(SEARCH("Epóxico BT",Upload!S20&amp;Upload!T20&amp;Upload!U20&amp;Upload!V20&amp;Upload!W20))))),"",F30*0.000035)</f>
        <v/>
      </c>
      <c r="S30" s="15" t="str">
        <f>IF(OR(G30="",NOT(OR(ISNUMBER(SEARCH("Epóxico Rojo",Upload!T20&amp;Upload!U20&amp;Upload!V20&amp;Upload!W20&amp;Upload!X20))))),"",G30*0.000035)</f>
        <v/>
      </c>
    </row>
    <row r="31" spans="1:19" x14ac:dyDescent="0.2">
      <c r="A31" s="9" t="e">
        <f t="shared" ca="1" si="0"/>
        <v>#NAME?</v>
      </c>
      <c r="B31" s="9">
        <f>Upload!G21</f>
        <v>0</v>
      </c>
      <c r="C31" s="9">
        <f>Upload!AN21</f>
        <v>0</v>
      </c>
      <c r="D31" s="9">
        <f>Upload!AO21</f>
        <v>0</v>
      </c>
      <c r="E31" s="9">
        <f>Upload!AP21</f>
        <v>0</v>
      </c>
      <c r="F31" s="9" t="str">
        <f>Upload!AK21</f>
        <v/>
      </c>
      <c r="G31" s="9" t="str">
        <f>Upload!AM21</f>
        <v/>
      </c>
      <c r="H31" s="9" t="str">
        <f>Upload!AJ21</f>
        <v>(seleccione)</v>
      </c>
      <c r="I31" s="9" t="str">
        <f>Upload!AL21</f>
        <v>(seleccione)</v>
      </c>
      <c r="K31" s="15" t="str">
        <f t="shared" si="1"/>
        <v/>
      </c>
      <c r="L31" s="15" t="str">
        <f t="shared" si="2"/>
        <v/>
      </c>
      <c r="M31" s="15" t="str">
        <f t="shared" si="3"/>
        <v/>
      </c>
      <c r="N31" s="15" t="str">
        <f t="shared" si="4"/>
        <v/>
      </c>
      <c r="O31" s="15" t="str">
        <f t="shared" si="5"/>
        <v/>
      </c>
      <c r="P31" s="15" t="str">
        <f>IF(OR(C31="",NOT(OR(ISNUMBER(SEARCH("Antitarnish",Upload!R21&amp;Upload!S21&amp;Upload!T21&amp;Upload!U21&amp;Upload!V21)),ISNUMBER(SEARCH("Anti Tarnish",Upload!R21&amp;Upload!S21&amp;Upload!T21&amp;Upload!U21&amp;Upload!V21))))),"",0.0012*C31)</f>
        <v/>
      </c>
      <c r="Q31" s="15" t="str">
        <f>IF(OR(E31="",NOT(OR(ISNUMBER(SEARCH("Epóxico MT",Upload!R21&amp;Upload!S21&amp;Upload!T21&amp;Upload!U21&amp;Upload!V21))))),"",E31*0.000035)</f>
        <v/>
      </c>
      <c r="R31" s="15" t="str">
        <f>IF(OR(F31="",NOT(OR(ISNUMBER(SEARCH("Epóxico BT",Upload!S21&amp;Upload!T21&amp;Upload!U21&amp;Upload!V21&amp;Upload!W21))))),"",F31*0.000035)</f>
        <v/>
      </c>
      <c r="S31" s="15" t="str">
        <f>IF(OR(G31="",NOT(OR(ISNUMBER(SEARCH("Epóxico Rojo",Upload!T21&amp;Upload!U21&amp;Upload!V21&amp;Upload!W21&amp;Upload!X21))))),"",G31*0.000035)</f>
        <v/>
      </c>
    </row>
    <row r="32" spans="1:19" x14ac:dyDescent="0.2">
      <c r="A32" s="9" t="e">
        <f t="shared" ca="1" si="0"/>
        <v>#NAME?</v>
      </c>
      <c r="B32" s="9">
        <f>Upload!G22</f>
        <v>0</v>
      </c>
      <c r="C32" s="9">
        <f>Upload!AN22</f>
        <v>0</v>
      </c>
      <c r="D32" s="9">
        <f>Upload!AO22</f>
        <v>0</v>
      </c>
      <c r="E32" s="9">
        <f>Upload!AP22</f>
        <v>0</v>
      </c>
      <c r="F32" s="9" t="str">
        <f>Upload!AK22</f>
        <v/>
      </c>
      <c r="G32" s="9" t="str">
        <f>Upload!AM22</f>
        <v/>
      </c>
      <c r="H32" s="9" t="str">
        <f>Upload!AJ22</f>
        <v>(seleccione)</v>
      </c>
      <c r="I32" s="9" t="str">
        <f>Upload!AL22</f>
        <v>(seleccione)</v>
      </c>
      <c r="K32" s="15" t="str">
        <f t="shared" si="1"/>
        <v/>
      </c>
      <c r="L32" s="15" t="str">
        <f t="shared" si="2"/>
        <v/>
      </c>
      <c r="M32" s="15" t="str">
        <f t="shared" si="3"/>
        <v/>
      </c>
      <c r="N32" s="15" t="str">
        <f t="shared" si="4"/>
        <v/>
      </c>
      <c r="O32" s="15" t="str">
        <f t="shared" si="5"/>
        <v/>
      </c>
      <c r="P32" s="15" t="str">
        <f>IF(OR(C32="",NOT(OR(ISNUMBER(SEARCH("Antitarnish",Upload!R22&amp;Upload!S22&amp;Upload!T22&amp;Upload!U22&amp;Upload!V22)),ISNUMBER(SEARCH("Anti Tarnish",Upload!R22&amp;Upload!S22&amp;Upload!T22&amp;Upload!U22&amp;Upload!V22))))),"",0.0012*C32)</f>
        <v/>
      </c>
      <c r="Q32" s="15" t="str">
        <f>IF(OR(E32="",NOT(OR(ISNUMBER(SEARCH("Epóxico MT",Upload!R22&amp;Upload!S22&amp;Upload!T22&amp;Upload!U22&amp;Upload!V22))))),"",E32*0.000035)</f>
        <v/>
      </c>
      <c r="R32" s="15" t="str">
        <f>IF(OR(F32="",NOT(OR(ISNUMBER(SEARCH("Epóxico BT",Upload!S22&amp;Upload!T22&amp;Upload!U22&amp;Upload!V22&amp;Upload!W22))))),"",F32*0.000035)</f>
        <v/>
      </c>
      <c r="S32" s="15" t="str">
        <f>IF(OR(G32="",NOT(OR(ISNUMBER(SEARCH("Epóxico Rojo",Upload!T22&amp;Upload!U22&amp;Upload!V22&amp;Upload!W22&amp;Upload!X22))))),"",G32*0.000035)</f>
        <v/>
      </c>
    </row>
    <row r="33" spans="1:19" x14ac:dyDescent="0.2">
      <c r="A33" s="9" t="e">
        <f t="shared" ca="1" si="0"/>
        <v>#NAME?</v>
      </c>
      <c r="B33" s="9">
        <f>Upload!G23</f>
        <v>0</v>
      </c>
      <c r="C33" s="9">
        <f>Upload!AN23</f>
        <v>0</v>
      </c>
      <c r="D33" s="9">
        <f>Upload!AO23</f>
        <v>0</v>
      </c>
      <c r="E33" s="9">
        <f>Upload!AP23</f>
        <v>0</v>
      </c>
      <c r="F33" s="9" t="str">
        <f>Upload!AK23</f>
        <v/>
      </c>
      <c r="G33" s="9" t="str">
        <f>Upload!AM23</f>
        <v/>
      </c>
      <c r="H33" s="9" t="str">
        <f>Upload!AJ23</f>
        <v>(seleccione)</v>
      </c>
      <c r="I33" s="9" t="str">
        <f>Upload!AL23</f>
        <v>(seleccione)</v>
      </c>
      <c r="K33" s="15" t="str">
        <f t="shared" si="1"/>
        <v/>
      </c>
      <c r="L33" s="15" t="str">
        <f t="shared" si="2"/>
        <v/>
      </c>
      <c r="M33" s="15" t="str">
        <f t="shared" si="3"/>
        <v/>
      </c>
      <c r="N33" s="15" t="str">
        <f t="shared" si="4"/>
        <v/>
      </c>
      <c r="O33" s="15" t="str">
        <f t="shared" si="5"/>
        <v/>
      </c>
      <c r="P33" s="15" t="str">
        <f>IF(OR(C33="",NOT(OR(ISNUMBER(SEARCH("Antitarnish",Upload!R23&amp;Upload!S23&amp;Upload!T23&amp;Upload!U23&amp;Upload!V23)),ISNUMBER(SEARCH("Anti Tarnish",Upload!R23&amp;Upload!S23&amp;Upload!T23&amp;Upload!U23&amp;Upload!V23))))),"",0.0012*C33)</f>
        <v/>
      </c>
      <c r="Q33" s="15" t="str">
        <f>IF(OR(E33="",NOT(OR(ISNUMBER(SEARCH("Epóxico MT",Upload!R23&amp;Upload!S23&amp;Upload!T23&amp;Upload!U23&amp;Upload!V23))))),"",E33*0.000035)</f>
        <v/>
      </c>
      <c r="R33" s="15" t="str">
        <f>IF(OR(F33="",NOT(OR(ISNUMBER(SEARCH("Epóxico BT",Upload!S23&amp;Upload!T23&amp;Upload!U23&amp;Upload!V23&amp;Upload!W23))))),"",F33*0.000035)</f>
        <v/>
      </c>
      <c r="S33" s="15" t="str">
        <f>IF(OR(G33="",NOT(OR(ISNUMBER(SEARCH("Epóxico Rojo",Upload!T23&amp;Upload!U23&amp;Upload!V23&amp;Upload!W23&amp;Upload!X23))))),"",G33*0.000035)</f>
        <v/>
      </c>
    </row>
    <row r="34" spans="1:19" x14ac:dyDescent="0.2">
      <c r="A34" s="9" t="e">
        <f t="shared" ca="1" si="0"/>
        <v>#NAME?</v>
      </c>
      <c r="B34" s="9">
        <f>Upload!G24</f>
        <v>0</v>
      </c>
      <c r="C34" s="9">
        <f>Upload!AN24</f>
        <v>0</v>
      </c>
      <c r="D34" s="9">
        <f>Upload!AO24</f>
        <v>0</v>
      </c>
      <c r="E34" s="9">
        <f>Upload!AP24</f>
        <v>0</v>
      </c>
      <c r="F34" s="9" t="str">
        <f>Upload!AK24</f>
        <v/>
      </c>
      <c r="G34" s="9" t="str">
        <f>Upload!AM24</f>
        <v/>
      </c>
      <c r="H34" s="9" t="str">
        <f>Upload!AJ24</f>
        <v>(seleccione)</v>
      </c>
      <c r="I34" s="9" t="str">
        <f>Upload!AL24</f>
        <v>(seleccione)</v>
      </c>
      <c r="K34" s="15" t="str">
        <f t="shared" si="1"/>
        <v/>
      </c>
      <c r="L34" s="15" t="str">
        <f t="shared" si="2"/>
        <v/>
      </c>
      <c r="M34" s="15" t="str">
        <f t="shared" si="3"/>
        <v/>
      </c>
      <c r="N34" s="15" t="str">
        <f t="shared" si="4"/>
        <v/>
      </c>
      <c r="O34" s="15" t="str">
        <f t="shared" si="5"/>
        <v/>
      </c>
      <c r="P34" s="15" t="str">
        <f>IF(OR(C34="",NOT(OR(ISNUMBER(SEARCH("Antitarnish",Upload!R24&amp;Upload!S24&amp;Upload!T24&amp;Upload!U24&amp;Upload!V24)),ISNUMBER(SEARCH("Anti Tarnish",Upload!R24&amp;Upload!S24&amp;Upload!T24&amp;Upload!U24&amp;Upload!V24))))),"",0.0012*C34)</f>
        <v/>
      </c>
      <c r="Q34" s="15" t="str">
        <f>IF(OR(E34="",NOT(OR(ISNUMBER(SEARCH("Epóxico MT",Upload!R24&amp;Upload!S24&amp;Upload!T24&amp;Upload!U24&amp;Upload!V24))))),"",E34*0.000035)</f>
        <v/>
      </c>
      <c r="R34" s="15" t="str">
        <f>IF(OR(F34="",NOT(OR(ISNUMBER(SEARCH("Epóxico BT",Upload!S24&amp;Upload!T24&amp;Upload!U24&amp;Upload!V24&amp;Upload!W24))))),"",F34*0.000035)</f>
        <v/>
      </c>
      <c r="S34" s="15" t="str">
        <f>IF(OR(G34="",NOT(OR(ISNUMBER(SEARCH("Epóxico Rojo",Upload!T24&amp;Upload!U24&amp;Upload!V24&amp;Upload!W24&amp;Upload!X24))))),"",G34*0.000035)</f>
        <v/>
      </c>
    </row>
    <row r="35" spans="1:19" x14ac:dyDescent="0.2">
      <c r="A35" s="9" t="e">
        <f t="shared" ca="1" si="0"/>
        <v>#NAME?</v>
      </c>
      <c r="B35" s="9">
        <f>Upload!G25</f>
        <v>0</v>
      </c>
      <c r="C35" s="9">
        <f>Upload!AN25</f>
        <v>0</v>
      </c>
      <c r="D35" s="9">
        <f>Upload!AO25</f>
        <v>0</v>
      </c>
      <c r="E35" s="9">
        <f>Upload!AP25</f>
        <v>0</v>
      </c>
      <c r="F35" s="9" t="str">
        <f>Upload!AK25</f>
        <v/>
      </c>
      <c r="G35" s="9" t="str">
        <f>Upload!AM25</f>
        <v/>
      </c>
      <c r="H35" s="9" t="str">
        <f>Upload!AJ25</f>
        <v>(seleccione)</v>
      </c>
      <c r="I35" s="9" t="str">
        <f>Upload!AL25</f>
        <v>(seleccione)</v>
      </c>
      <c r="K35" s="15" t="str">
        <f t="shared" si="1"/>
        <v/>
      </c>
      <c r="L35" s="15" t="str">
        <f t="shared" si="2"/>
        <v/>
      </c>
      <c r="M35" s="15" t="str">
        <f t="shared" si="3"/>
        <v/>
      </c>
      <c r="N35" s="15" t="str">
        <f t="shared" si="4"/>
        <v/>
      </c>
      <c r="O35" s="15" t="str">
        <f t="shared" si="5"/>
        <v/>
      </c>
      <c r="P35" s="15" t="str">
        <f>IF(OR(C35="",NOT(OR(ISNUMBER(SEARCH("Antitarnish",Upload!R25&amp;Upload!S25&amp;Upload!T25&amp;Upload!U25&amp;Upload!V25)),ISNUMBER(SEARCH("Anti Tarnish",Upload!R25&amp;Upload!S25&amp;Upload!T25&amp;Upload!U25&amp;Upload!V25))))),"",0.0012*C35)</f>
        <v/>
      </c>
      <c r="Q35" s="15" t="str">
        <f>IF(OR(E35="",NOT(OR(ISNUMBER(SEARCH("Epóxico MT",Upload!R25&amp;Upload!S25&amp;Upload!T25&amp;Upload!U25&amp;Upload!V25))))),"",E35*0.000035)</f>
        <v/>
      </c>
      <c r="R35" s="15" t="str">
        <f>IF(OR(F35="",NOT(OR(ISNUMBER(SEARCH("Epóxico BT",Upload!S25&amp;Upload!T25&amp;Upload!U25&amp;Upload!V25&amp;Upload!W25))))),"",F35*0.000035)</f>
        <v/>
      </c>
      <c r="S35" s="15" t="str">
        <f>IF(OR(G35="",NOT(OR(ISNUMBER(SEARCH("Epóxico Rojo",Upload!T25&amp;Upload!U25&amp;Upload!V25&amp;Upload!W25&amp;Upload!X25))))),"",G35*0.000035)</f>
        <v/>
      </c>
    </row>
    <row r="36" spans="1:19" x14ac:dyDescent="0.2">
      <c r="A36" s="9" t="e">
        <f t="shared" ca="1" si="0"/>
        <v>#NAME?</v>
      </c>
      <c r="B36" s="9">
        <f>Upload!G26</f>
        <v>0</v>
      </c>
      <c r="C36" s="9">
        <f>Upload!AN26</f>
        <v>0</v>
      </c>
      <c r="D36" s="9">
        <f>Upload!AO26</f>
        <v>0</v>
      </c>
      <c r="E36" s="9">
        <f>Upload!AP26</f>
        <v>0</v>
      </c>
      <c r="F36" s="9" t="str">
        <f>Upload!AK26</f>
        <v/>
      </c>
      <c r="G36" s="9" t="str">
        <f>Upload!AM26</f>
        <v/>
      </c>
      <c r="H36" s="9" t="str">
        <f>Upload!AJ26</f>
        <v>(seleccione)</v>
      </c>
      <c r="I36" s="9" t="str">
        <f>Upload!AL26</f>
        <v>(seleccione)</v>
      </c>
      <c r="K36" s="15" t="str">
        <f t="shared" si="1"/>
        <v/>
      </c>
      <c r="L36" s="15" t="str">
        <f t="shared" si="2"/>
        <v/>
      </c>
      <c r="M36" s="15" t="str">
        <f t="shared" si="3"/>
        <v/>
      </c>
      <c r="N36" s="15" t="str">
        <f t="shared" si="4"/>
        <v/>
      </c>
      <c r="O36" s="15" t="str">
        <f t="shared" si="5"/>
        <v/>
      </c>
      <c r="P36" s="15" t="str">
        <f>IF(OR(C36="",NOT(OR(ISNUMBER(SEARCH("Antitarnish",Upload!R26&amp;Upload!S26&amp;Upload!T26&amp;Upload!U26&amp;Upload!V26)),ISNUMBER(SEARCH("Anti Tarnish",Upload!R26&amp;Upload!S26&amp;Upload!T26&amp;Upload!U26&amp;Upload!V26))))),"",0.0012*C36)</f>
        <v/>
      </c>
      <c r="Q36" s="15" t="str">
        <f>IF(OR(E36="",NOT(OR(ISNUMBER(SEARCH("Epóxico MT",Upload!R26&amp;Upload!S26&amp;Upload!T26&amp;Upload!U26&amp;Upload!V26))))),"",E36*0.000035)</f>
        <v/>
      </c>
      <c r="R36" s="15" t="str">
        <f>IF(OR(F36="",NOT(OR(ISNUMBER(SEARCH("Epóxico BT",Upload!S26&amp;Upload!T26&amp;Upload!U26&amp;Upload!V26&amp;Upload!W26))))),"",F36*0.000035)</f>
        <v/>
      </c>
      <c r="S36" s="15" t="str">
        <f>IF(OR(G36="",NOT(OR(ISNUMBER(SEARCH("Epóxico Rojo",Upload!T26&amp;Upload!U26&amp;Upload!V26&amp;Upload!W26&amp;Upload!X26))))),"",G36*0.000035)</f>
        <v/>
      </c>
    </row>
    <row r="37" spans="1:19" x14ac:dyDescent="0.2">
      <c r="A37" s="9" t="e">
        <f t="shared" ca="1" si="0"/>
        <v>#NAME?</v>
      </c>
      <c r="B37" s="9">
        <f>Upload!G27</f>
        <v>0</v>
      </c>
      <c r="C37" s="9">
        <f>Upload!AN27</f>
        <v>0</v>
      </c>
      <c r="D37" s="9">
        <f>Upload!AO27</f>
        <v>0</v>
      </c>
      <c r="E37" s="9">
        <f>Upload!AP27</f>
        <v>0</v>
      </c>
      <c r="F37" s="9" t="str">
        <f>Upload!AK27</f>
        <v/>
      </c>
      <c r="G37" s="9" t="str">
        <f>Upload!AM27</f>
        <v/>
      </c>
      <c r="H37" s="9" t="str">
        <f>Upload!AJ27</f>
        <v>(seleccione)</v>
      </c>
      <c r="I37" s="9" t="str">
        <f>Upload!AL27</f>
        <v>(seleccione)</v>
      </c>
      <c r="K37" s="15" t="str">
        <f t="shared" si="1"/>
        <v/>
      </c>
      <c r="L37" s="15" t="str">
        <f t="shared" si="2"/>
        <v/>
      </c>
      <c r="M37" s="15" t="str">
        <f t="shared" si="3"/>
        <v/>
      </c>
      <c r="N37" s="15" t="str">
        <f t="shared" si="4"/>
        <v/>
      </c>
      <c r="O37" s="15" t="str">
        <f t="shared" si="5"/>
        <v/>
      </c>
      <c r="P37" s="15" t="str">
        <f>IF(OR(C37="",NOT(OR(ISNUMBER(SEARCH("Antitarnish",Upload!R27&amp;Upload!S27&amp;Upload!T27&amp;Upload!U27&amp;Upload!V27)),ISNUMBER(SEARCH("Anti Tarnish",Upload!R27&amp;Upload!S27&amp;Upload!T27&amp;Upload!U27&amp;Upload!V27))))),"",0.0012*C37)</f>
        <v/>
      </c>
      <c r="Q37" s="15" t="str">
        <f>IF(OR(E37="",NOT(OR(ISNUMBER(SEARCH("Epóxico MT",Upload!R27&amp;Upload!S27&amp;Upload!T27&amp;Upload!U27&amp;Upload!V27))))),"",E37*0.000035)</f>
        <v/>
      </c>
      <c r="R37" s="15" t="str">
        <f>IF(OR(F37="",NOT(OR(ISNUMBER(SEARCH("Epóxico BT",Upload!S27&amp;Upload!T27&amp;Upload!U27&amp;Upload!V27&amp;Upload!W27))))),"",F37*0.000035)</f>
        <v/>
      </c>
      <c r="S37" s="15" t="str">
        <f>IF(OR(G37="",NOT(OR(ISNUMBER(SEARCH("Epóxico Rojo",Upload!T27&amp;Upload!U27&amp;Upload!V27&amp;Upload!W27&amp;Upload!X27))))),"",G37*0.000035)</f>
        <v/>
      </c>
    </row>
    <row r="38" spans="1:19" x14ac:dyDescent="0.2">
      <c r="A38" s="9" t="e">
        <f t="shared" ca="1" si="0"/>
        <v>#NAME?</v>
      </c>
      <c r="B38" s="9">
        <f>Upload!G28</f>
        <v>0</v>
      </c>
      <c r="C38" s="9">
        <f>Upload!AN28</f>
        <v>0</v>
      </c>
      <c r="D38" s="9">
        <f>Upload!AO28</f>
        <v>0</v>
      </c>
      <c r="E38" s="9">
        <f>Upload!AP28</f>
        <v>0</v>
      </c>
      <c r="F38" s="9" t="str">
        <f>Upload!AK28</f>
        <v/>
      </c>
      <c r="G38" s="9" t="str">
        <f>Upload!AM28</f>
        <v/>
      </c>
      <c r="H38" s="9" t="str">
        <f>Upload!AJ28</f>
        <v>(seleccione)</v>
      </c>
      <c r="I38" s="9" t="str">
        <f>Upload!AL28</f>
        <v>(seleccione)</v>
      </c>
      <c r="K38" s="15" t="str">
        <f t="shared" si="1"/>
        <v/>
      </c>
      <c r="L38" s="15" t="str">
        <f t="shared" si="2"/>
        <v/>
      </c>
      <c r="M38" s="15" t="str">
        <f t="shared" si="3"/>
        <v/>
      </c>
      <c r="N38" s="15" t="str">
        <f t="shared" si="4"/>
        <v/>
      </c>
      <c r="O38" s="15" t="str">
        <f t="shared" si="5"/>
        <v/>
      </c>
      <c r="P38" s="15" t="str">
        <f>IF(OR(C38="",NOT(OR(ISNUMBER(SEARCH("Antitarnish",Upload!R28&amp;Upload!S28&amp;Upload!T28&amp;Upload!U28&amp;Upload!V28)),ISNUMBER(SEARCH("Anti Tarnish",Upload!R28&amp;Upload!S28&amp;Upload!T28&amp;Upload!U28&amp;Upload!V28))))),"",0.0012*C38)</f>
        <v/>
      </c>
      <c r="Q38" s="15" t="str">
        <f>IF(OR(E38="",NOT(OR(ISNUMBER(SEARCH("Epóxico MT",Upload!R28&amp;Upload!S28&amp;Upload!T28&amp;Upload!U28&amp;Upload!V28))))),"",E38*0.000035)</f>
        <v/>
      </c>
      <c r="R38" s="15" t="str">
        <f>IF(OR(F38="",NOT(OR(ISNUMBER(SEARCH("Epóxico BT",Upload!S28&amp;Upload!T28&amp;Upload!U28&amp;Upload!V28&amp;Upload!W28))))),"",F38*0.000035)</f>
        <v/>
      </c>
      <c r="S38" s="15" t="str">
        <f>IF(OR(G38="",NOT(OR(ISNUMBER(SEARCH("Epóxico Rojo",Upload!T28&amp;Upload!U28&amp;Upload!V28&amp;Upload!W28&amp;Upload!X28))))),"",G38*0.000035)</f>
        <v/>
      </c>
    </row>
    <row r="39" spans="1:19" x14ac:dyDescent="0.2">
      <c r="A39" s="9" t="e">
        <f t="shared" ca="1" si="0"/>
        <v>#NAME?</v>
      </c>
      <c r="B39" s="9">
        <f>Upload!G29</f>
        <v>0</v>
      </c>
      <c r="C39" s="9">
        <f>Upload!AN29</f>
        <v>0</v>
      </c>
      <c r="D39" s="9">
        <f>Upload!AO29</f>
        <v>0</v>
      </c>
      <c r="E39" s="9">
        <f>Upload!AP29</f>
        <v>0</v>
      </c>
      <c r="F39" s="9" t="str">
        <f>Upload!AK29</f>
        <v/>
      </c>
      <c r="G39" s="9" t="str">
        <f>Upload!AM29</f>
        <v/>
      </c>
      <c r="H39" s="9" t="str">
        <f>Upload!AJ29</f>
        <v>(seleccione)</v>
      </c>
      <c r="I39" s="9" t="str">
        <f>Upload!AL29</f>
        <v>(seleccione)</v>
      </c>
      <c r="K39" s="15" t="str">
        <f t="shared" si="1"/>
        <v/>
      </c>
      <c r="L39" s="15" t="str">
        <f t="shared" si="2"/>
        <v/>
      </c>
      <c r="M39" s="15" t="str">
        <f t="shared" si="3"/>
        <v/>
      </c>
      <c r="N39" s="15" t="str">
        <f t="shared" si="4"/>
        <v/>
      </c>
      <c r="O39" s="15" t="str">
        <f t="shared" si="5"/>
        <v/>
      </c>
      <c r="P39" s="15" t="str">
        <f>IF(OR(C39="",NOT(OR(ISNUMBER(SEARCH("Antitarnish",Upload!R29&amp;Upload!S29&amp;Upload!T29&amp;Upload!U29&amp;Upload!V29)),ISNUMBER(SEARCH("Anti Tarnish",Upload!R29&amp;Upload!S29&amp;Upload!T29&amp;Upload!U29&amp;Upload!V29))))),"",0.0012*C39)</f>
        <v/>
      </c>
      <c r="Q39" s="15" t="str">
        <f>IF(OR(E39="",NOT(OR(ISNUMBER(SEARCH("Epóxico MT",Upload!R29&amp;Upload!S29&amp;Upload!T29&amp;Upload!U29&amp;Upload!V29))))),"",E39*0.000035)</f>
        <v/>
      </c>
      <c r="R39" s="15" t="str">
        <f>IF(OR(F39="",NOT(OR(ISNUMBER(SEARCH("Epóxico BT",Upload!S29&amp;Upload!T29&amp;Upload!U29&amp;Upload!V29&amp;Upload!W29))))),"",F39*0.000035)</f>
        <v/>
      </c>
      <c r="S39" s="15" t="str">
        <f>IF(OR(G39="",NOT(OR(ISNUMBER(SEARCH("Epóxico Rojo",Upload!T29&amp;Upload!U29&amp;Upload!V29&amp;Upload!W29&amp;Upload!X29))))),"",G39*0.000035)</f>
        <v/>
      </c>
    </row>
    <row r="40" spans="1:19" x14ac:dyDescent="0.2">
      <c r="A40" s="9" t="e">
        <f t="shared" ca="1" si="0"/>
        <v>#NAME?</v>
      </c>
      <c r="B40" s="9">
        <f>Upload!G30</f>
        <v>0</v>
      </c>
      <c r="C40" s="9">
        <f>Upload!AN30</f>
        <v>0</v>
      </c>
      <c r="D40" s="9">
        <f>Upload!AO30</f>
        <v>0</v>
      </c>
      <c r="E40" s="9">
        <f>Upload!AP30</f>
        <v>0</v>
      </c>
      <c r="F40" s="9" t="str">
        <f>Upload!AK30</f>
        <v/>
      </c>
      <c r="G40" s="9" t="str">
        <f>Upload!AM30</f>
        <v/>
      </c>
      <c r="H40" s="9" t="str">
        <f>Upload!AJ30</f>
        <v>(seleccione)</v>
      </c>
      <c r="I40" s="9" t="str">
        <f>Upload!AL30</f>
        <v>(seleccione)</v>
      </c>
      <c r="K40" s="15" t="str">
        <f t="shared" si="1"/>
        <v/>
      </c>
      <c r="L40" s="15" t="str">
        <f t="shared" si="2"/>
        <v/>
      </c>
      <c r="M40" s="15" t="str">
        <f t="shared" si="3"/>
        <v/>
      </c>
      <c r="N40" s="15" t="str">
        <f t="shared" si="4"/>
        <v/>
      </c>
      <c r="O40" s="15" t="str">
        <f t="shared" si="5"/>
        <v/>
      </c>
      <c r="P40" s="15" t="str">
        <f>IF(OR(C40="",NOT(OR(ISNUMBER(SEARCH("Antitarnish",Upload!R30&amp;Upload!S30&amp;Upload!T30&amp;Upload!U30&amp;Upload!V30)),ISNUMBER(SEARCH("Anti Tarnish",Upload!R30&amp;Upload!S30&amp;Upload!T30&amp;Upload!U30&amp;Upload!V30))))),"",0.0012*C40)</f>
        <v/>
      </c>
      <c r="Q40" s="15" t="str">
        <f>IF(OR(E40="",NOT(OR(ISNUMBER(SEARCH("Epóxico MT",Upload!R30&amp;Upload!S30&amp;Upload!T30&amp;Upload!U30&amp;Upload!V30))))),"",E40*0.000035)</f>
        <v/>
      </c>
      <c r="R40" s="15" t="str">
        <f>IF(OR(F40="",NOT(OR(ISNUMBER(SEARCH("Epóxico BT",Upload!S30&amp;Upload!T30&amp;Upload!U30&amp;Upload!V30&amp;Upload!W30))))),"",F40*0.000035)</f>
        <v/>
      </c>
      <c r="S40" s="15" t="str">
        <f>IF(OR(G40="",NOT(OR(ISNUMBER(SEARCH("Epóxico Rojo",Upload!T30&amp;Upload!U30&amp;Upload!V30&amp;Upload!W30&amp;Upload!X30))))),"",G40*0.000035)</f>
        <v/>
      </c>
    </row>
    <row r="41" spans="1:19" x14ac:dyDescent="0.2">
      <c r="A41" s="9" t="e">
        <f t="shared" ca="1" si="0"/>
        <v>#NAME?</v>
      </c>
      <c r="B41" s="9">
        <f>Upload!G31</f>
        <v>0</v>
      </c>
      <c r="C41" s="9">
        <f>Upload!AN31</f>
        <v>0</v>
      </c>
      <c r="D41" s="9">
        <f>Upload!AO31</f>
        <v>0</v>
      </c>
      <c r="E41" s="9">
        <f>Upload!AP31</f>
        <v>0</v>
      </c>
      <c r="F41" s="9" t="str">
        <f>Upload!AK31</f>
        <v/>
      </c>
      <c r="G41" s="9" t="str">
        <f>Upload!AM31</f>
        <v/>
      </c>
      <c r="H41" s="9" t="str">
        <f>Upload!AJ31</f>
        <v>(seleccione)</v>
      </c>
      <c r="I41" s="9" t="str">
        <f>Upload!AL31</f>
        <v>(seleccione)</v>
      </c>
      <c r="K41" s="15" t="str">
        <f t="shared" si="1"/>
        <v/>
      </c>
      <c r="L41" s="15" t="str">
        <f t="shared" si="2"/>
        <v/>
      </c>
      <c r="M41" s="15" t="str">
        <f t="shared" si="3"/>
        <v/>
      </c>
      <c r="N41" s="15" t="str">
        <f t="shared" si="4"/>
        <v/>
      </c>
      <c r="O41" s="15" t="str">
        <f t="shared" si="5"/>
        <v/>
      </c>
      <c r="P41" s="15" t="str">
        <f>IF(OR(C41="",NOT(OR(ISNUMBER(SEARCH("Antitarnish",Upload!R31&amp;Upload!S31&amp;Upload!T31&amp;Upload!U31&amp;Upload!V31)),ISNUMBER(SEARCH("Anti Tarnish",Upload!R31&amp;Upload!S31&amp;Upload!T31&amp;Upload!U31&amp;Upload!V31))))),"",0.0012*C41)</f>
        <v/>
      </c>
      <c r="Q41" s="15" t="str">
        <f>IF(OR(E41="",NOT(OR(ISNUMBER(SEARCH("Epóxico MT",Upload!R31&amp;Upload!S31&amp;Upload!T31&amp;Upload!U31&amp;Upload!V31))))),"",E41*0.000035)</f>
        <v/>
      </c>
      <c r="R41" s="15" t="str">
        <f>IF(OR(F41="",NOT(OR(ISNUMBER(SEARCH("Epóxico BT",Upload!S31&amp;Upload!T31&amp;Upload!U31&amp;Upload!V31&amp;Upload!W31))))),"",F41*0.000035)</f>
        <v/>
      </c>
      <c r="S41" s="15" t="str">
        <f>IF(OR(G41="",NOT(OR(ISNUMBER(SEARCH("Epóxico Rojo",Upload!T31&amp;Upload!U31&amp;Upload!V31&amp;Upload!W31&amp;Upload!X31))))),"",G41*0.000035)</f>
        <v/>
      </c>
    </row>
    <row r="42" spans="1:19" x14ac:dyDescent="0.2">
      <c r="A42" s="9" t="e">
        <f t="shared" ca="1" si="0"/>
        <v>#NAME?</v>
      </c>
      <c r="B42" s="9">
        <f>Upload!G32</f>
        <v>0</v>
      </c>
      <c r="C42" s="9">
        <f>Upload!AN32</f>
        <v>0</v>
      </c>
      <c r="D42" s="9">
        <f>Upload!AO32</f>
        <v>0</v>
      </c>
      <c r="E42" s="9">
        <f>Upload!AP32</f>
        <v>0</v>
      </c>
      <c r="F42" s="9" t="str">
        <f>Upload!AK32</f>
        <v/>
      </c>
      <c r="G42" s="9" t="str">
        <f>Upload!AM32</f>
        <v/>
      </c>
      <c r="H42" s="9" t="str">
        <f>Upload!AJ32</f>
        <v>(seleccione)</v>
      </c>
      <c r="I42" s="9" t="str">
        <f>Upload!AL32</f>
        <v>(seleccione)</v>
      </c>
      <c r="K42" s="15" t="str">
        <f t="shared" si="1"/>
        <v/>
      </c>
      <c r="L42" s="15" t="str">
        <f t="shared" si="2"/>
        <v/>
      </c>
      <c r="M42" s="15" t="str">
        <f t="shared" si="3"/>
        <v/>
      </c>
      <c r="N42" s="15" t="str">
        <f t="shared" si="4"/>
        <v/>
      </c>
      <c r="O42" s="15" t="str">
        <f t="shared" si="5"/>
        <v/>
      </c>
      <c r="P42" s="15" t="str">
        <f>IF(OR(C42="",NOT(OR(ISNUMBER(SEARCH("Antitarnish",Upload!R32&amp;Upload!S32&amp;Upload!T32&amp;Upload!U32&amp;Upload!V32)),ISNUMBER(SEARCH("Anti Tarnish",Upload!R32&amp;Upload!S32&amp;Upload!T32&amp;Upload!U32&amp;Upload!V32))))),"",0.0012*C42)</f>
        <v/>
      </c>
      <c r="Q42" s="15" t="str">
        <f>IF(OR(E42="",NOT(OR(ISNUMBER(SEARCH("Epóxico MT",Upload!R32&amp;Upload!S32&amp;Upload!T32&amp;Upload!U32&amp;Upload!V32))))),"",E42*0.000035)</f>
        <v/>
      </c>
      <c r="R42" s="15" t="str">
        <f>IF(OR(F42="",NOT(OR(ISNUMBER(SEARCH("Epóxico BT",Upload!S32&amp;Upload!T32&amp;Upload!U32&amp;Upload!V32&amp;Upload!W32))))),"",F42*0.000035)</f>
        <v/>
      </c>
      <c r="S42" s="15" t="str">
        <f>IF(OR(G42="",NOT(OR(ISNUMBER(SEARCH("Epóxico Rojo",Upload!T32&amp;Upload!U32&amp;Upload!V32&amp;Upload!W32&amp;Upload!X32))))),"",G42*0.000035)</f>
        <v/>
      </c>
    </row>
    <row r="43" spans="1:19" x14ac:dyDescent="0.2">
      <c r="A43" s="9" t="e">
        <f t="shared" ca="1" si="0"/>
        <v>#NAME?</v>
      </c>
      <c r="B43" s="9">
        <f>Upload!G33</f>
        <v>0</v>
      </c>
      <c r="C43" s="9">
        <f>Upload!AN33</f>
        <v>0</v>
      </c>
      <c r="D43" s="9">
        <f>Upload!AO33</f>
        <v>0</v>
      </c>
      <c r="E43" s="9">
        <f>Upload!AP33</f>
        <v>0</v>
      </c>
      <c r="F43" s="9" t="str">
        <f>Upload!AK33</f>
        <v/>
      </c>
      <c r="G43" s="9" t="str">
        <f>Upload!AM33</f>
        <v/>
      </c>
      <c r="H43" s="9" t="str">
        <f>Upload!AJ33</f>
        <v>(seleccione)</v>
      </c>
      <c r="I43" s="9" t="str">
        <f>Upload!AL33</f>
        <v>(seleccione)</v>
      </c>
      <c r="K43" s="15" t="str">
        <f t="shared" si="1"/>
        <v/>
      </c>
      <c r="L43" s="15" t="str">
        <f t="shared" si="2"/>
        <v/>
      </c>
      <c r="M43" s="15" t="str">
        <f t="shared" si="3"/>
        <v/>
      </c>
      <c r="N43" s="15" t="str">
        <f t="shared" si="4"/>
        <v/>
      </c>
      <c r="O43" s="15" t="str">
        <f t="shared" si="5"/>
        <v/>
      </c>
      <c r="P43" s="15" t="str">
        <f>IF(OR(C43="",NOT(OR(ISNUMBER(SEARCH("Antitarnish",Upload!R33&amp;Upload!S33&amp;Upload!T33&amp;Upload!U33&amp;Upload!V33)),ISNUMBER(SEARCH("Anti Tarnish",Upload!R33&amp;Upload!S33&amp;Upload!T33&amp;Upload!U33&amp;Upload!V33))))),"",0.0012*C43)</f>
        <v/>
      </c>
      <c r="Q43" s="15" t="str">
        <f>IF(OR(E43="",NOT(OR(ISNUMBER(SEARCH("Epóxico MT",Upload!R33&amp;Upload!S33&amp;Upload!T33&amp;Upload!U33&amp;Upload!V33))))),"",E43*0.000035)</f>
        <v/>
      </c>
      <c r="R43" s="15" t="str">
        <f>IF(OR(F43="",NOT(OR(ISNUMBER(SEARCH("Epóxico BT",Upload!S33&amp;Upload!T33&amp;Upload!U33&amp;Upload!V33&amp;Upload!W33))))),"",F43*0.000035)</f>
        <v/>
      </c>
      <c r="S43" s="15" t="str">
        <f>IF(OR(G43="",NOT(OR(ISNUMBER(SEARCH("Epóxico Rojo",Upload!T33&amp;Upload!U33&amp;Upload!V33&amp;Upload!W33&amp;Upload!X33))))),"",G43*0.000035)</f>
        <v/>
      </c>
    </row>
    <row r="44" spans="1:19" x14ac:dyDescent="0.2">
      <c r="A44" s="9" t="e">
        <f t="shared" ca="1" si="0"/>
        <v>#NAME?</v>
      </c>
      <c r="B44" s="9">
        <f>Upload!G34</f>
        <v>0</v>
      </c>
      <c r="C44" s="9">
        <f>Upload!AN34</f>
        <v>0</v>
      </c>
      <c r="D44" s="9">
        <f>Upload!AO34</f>
        <v>0</v>
      </c>
      <c r="E44" s="9">
        <f>Upload!AP34</f>
        <v>0</v>
      </c>
      <c r="F44" s="9" t="str">
        <f>Upload!AK34</f>
        <v/>
      </c>
      <c r="G44" s="9" t="str">
        <f>Upload!AM34</f>
        <v/>
      </c>
      <c r="H44" s="9" t="str">
        <f>Upload!AJ34</f>
        <v>(seleccione)</v>
      </c>
      <c r="I44" s="9" t="str">
        <f>Upload!AL34</f>
        <v>(seleccione)</v>
      </c>
      <c r="K44" s="15" t="str">
        <f t="shared" si="1"/>
        <v/>
      </c>
      <c r="L44" s="15" t="str">
        <f t="shared" si="2"/>
        <v/>
      </c>
      <c r="M44" s="15" t="str">
        <f t="shared" si="3"/>
        <v/>
      </c>
      <c r="N44" s="15" t="str">
        <f t="shared" si="4"/>
        <v/>
      </c>
      <c r="O44" s="15" t="str">
        <f t="shared" si="5"/>
        <v/>
      </c>
      <c r="P44" s="15" t="str">
        <f>IF(OR(C44="",NOT(OR(ISNUMBER(SEARCH("Antitarnish",Upload!R34&amp;Upload!S34&amp;Upload!T34&amp;Upload!U34&amp;Upload!V34)),ISNUMBER(SEARCH("Anti Tarnish",Upload!R34&amp;Upload!S34&amp;Upload!T34&amp;Upload!U34&amp;Upload!V34))))),"",0.0012*C44)</f>
        <v/>
      </c>
      <c r="Q44" s="15" t="str">
        <f>IF(OR(E44="",NOT(OR(ISNUMBER(SEARCH("Epóxico MT",Upload!R34&amp;Upload!S34&amp;Upload!T34&amp;Upload!U34&amp;Upload!V34))))),"",E44*0.000035)</f>
        <v/>
      </c>
      <c r="R44" s="15" t="str">
        <f>IF(OR(F44="",NOT(OR(ISNUMBER(SEARCH("Epóxico BT",Upload!S34&amp;Upload!T34&amp;Upload!U34&amp;Upload!V34&amp;Upload!W34))))),"",F44*0.000035)</f>
        <v/>
      </c>
      <c r="S44" s="15" t="str">
        <f>IF(OR(G44="",NOT(OR(ISNUMBER(SEARCH("Epóxico Rojo",Upload!T34&amp;Upload!U34&amp;Upload!V34&amp;Upload!W34&amp;Upload!X34))))),"",G44*0.000035)</f>
        <v/>
      </c>
    </row>
    <row r="45" spans="1:19" x14ac:dyDescent="0.2">
      <c r="A45" s="9" t="e">
        <f t="shared" ca="1" si="0"/>
        <v>#NAME?</v>
      </c>
      <c r="B45" s="9">
        <f>Upload!G35</f>
        <v>0</v>
      </c>
      <c r="C45" s="9">
        <f>Upload!AN35</f>
        <v>0</v>
      </c>
      <c r="D45" s="9">
        <f>Upload!AO35</f>
        <v>0</v>
      </c>
      <c r="E45" s="9">
        <f>Upload!AP35</f>
        <v>0</v>
      </c>
      <c r="F45" s="9" t="str">
        <f>Upload!AK35</f>
        <v/>
      </c>
      <c r="G45" s="9" t="str">
        <f>Upload!AM35</f>
        <v/>
      </c>
      <c r="H45" s="9" t="str">
        <f>Upload!AJ35</f>
        <v>(seleccione)</v>
      </c>
      <c r="I45" s="9" t="str">
        <f>Upload!AL35</f>
        <v>(seleccione)</v>
      </c>
      <c r="K45" s="15" t="str">
        <f t="shared" si="1"/>
        <v/>
      </c>
      <c r="L45" s="15" t="str">
        <f t="shared" si="2"/>
        <v/>
      </c>
      <c r="M45" s="15" t="str">
        <f t="shared" si="3"/>
        <v/>
      </c>
      <c r="N45" s="15" t="str">
        <f t="shared" si="4"/>
        <v/>
      </c>
      <c r="O45" s="15" t="str">
        <f t="shared" si="5"/>
        <v/>
      </c>
      <c r="P45" s="15" t="str">
        <f>IF(OR(C45="",NOT(OR(ISNUMBER(SEARCH("Antitarnish",Upload!R35&amp;Upload!S35&amp;Upload!T35&amp;Upload!U35&amp;Upload!V35)),ISNUMBER(SEARCH("Anti Tarnish",Upload!R35&amp;Upload!S35&amp;Upload!T35&amp;Upload!U35&amp;Upload!V35))))),"",0.0012*C45)</f>
        <v/>
      </c>
      <c r="Q45" s="15" t="str">
        <f>IF(OR(E45="",NOT(OR(ISNUMBER(SEARCH("Epóxico MT",Upload!R35&amp;Upload!S35&amp;Upload!T35&amp;Upload!U35&amp;Upload!V35))))),"",E45*0.000035)</f>
        <v/>
      </c>
      <c r="R45" s="15" t="str">
        <f>IF(OR(F45="",NOT(OR(ISNUMBER(SEARCH("Epóxico BT",Upload!S35&amp;Upload!T35&amp;Upload!U35&amp;Upload!V35&amp;Upload!W35))))),"",F45*0.000035)</f>
        <v/>
      </c>
      <c r="S45" s="15" t="str">
        <f>IF(OR(G45="",NOT(OR(ISNUMBER(SEARCH("Epóxico Rojo",Upload!T35&amp;Upload!U35&amp;Upload!V35&amp;Upload!W35&amp;Upload!X35))))),"",G45*0.000035)</f>
        <v/>
      </c>
    </row>
    <row r="46" spans="1:19" x14ac:dyDescent="0.2">
      <c r="A46" s="9" t="e">
        <f t="shared" ca="1" si="0"/>
        <v>#NAME?</v>
      </c>
      <c r="B46" s="9">
        <f>Upload!G36</f>
        <v>0</v>
      </c>
      <c r="C46" s="9">
        <f>Upload!AN36</f>
        <v>0</v>
      </c>
      <c r="D46" s="9">
        <f>Upload!AO36</f>
        <v>0</v>
      </c>
      <c r="E46" s="9">
        <f>Upload!AP36</f>
        <v>0</v>
      </c>
      <c r="F46" s="9" t="str">
        <f>Upload!AK36</f>
        <v/>
      </c>
      <c r="G46" s="9" t="str">
        <f>Upload!AM36</f>
        <v/>
      </c>
      <c r="H46" s="9" t="str">
        <f>Upload!AJ36</f>
        <v>(seleccione)</v>
      </c>
      <c r="I46" s="9" t="str">
        <f>Upload!AL36</f>
        <v>(seleccione)</v>
      </c>
      <c r="K46" s="15" t="str">
        <f t="shared" si="1"/>
        <v/>
      </c>
      <c r="L46" s="15" t="str">
        <f t="shared" si="2"/>
        <v/>
      </c>
      <c r="M46" s="15" t="str">
        <f t="shared" si="3"/>
        <v/>
      </c>
      <c r="N46" s="15" t="str">
        <f t="shared" si="4"/>
        <v/>
      </c>
      <c r="O46" s="15" t="str">
        <f t="shared" si="5"/>
        <v/>
      </c>
      <c r="P46" s="15" t="str">
        <f>IF(OR(C46="",NOT(OR(ISNUMBER(SEARCH("Antitarnish",Upload!R36&amp;Upload!S36&amp;Upload!T36&amp;Upload!U36&amp;Upload!V36)),ISNUMBER(SEARCH("Anti Tarnish",Upload!R36&amp;Upload!S36&amp;Upload!T36&amp;Upload!U36&amp;Upload!V36))))),"",0.0012*C46)</f>
        <v/>
      </c>
      <c r="Q46" s="15" t="str">
        <f>IF(OR(E46="",NOT(OR(ISNUMBER(SEARCH("Epóxico MT",Upload!R36&amp;Upload!S36&amp;Upload!T36&amp;Upload!U36&amp;Upload!V36))))),"",E46*0.000035)</f>
        <v/>
      </c>
      <c r="R46" s="15" t="str">
        <f>IF(OR(F46="",NOT(OR(ISNUMBER(SEARCH("Epóxico BT",Upload!S36&amp;Upload!T36&amp;Upload!U36&amp;Upload!V36&amp;Upload!W36))))),"",F46*0.000035)</f>
        <v/>
      </c>
      <c r="S46" s="15" t="str">
        <f>IF(OR(G46="",NOT(OR(ISNUMBER(SEARCH("Epóxico Rojo",Upload!T36&amp;Upload!U36&amp;Upload!V36&amp;Upload!W36&amp;Upload!X36))))),"",G46*0.000035)</f>
        <v/>
      </c>
    </row>
    <row r="47" spans="1:19" x14ac:dyDescent="0.2">
      <c r="A47" s="9" t="e">
        <f t="shared" ca="1" si="0"/>
        <v>#NAME?</v>
      </c>
      <c r="B47" s="9">
        <f>Upload!G37</f>
        <v>0</v>
      </c>
      <c r="C47" s="9">
        <f>Upload!AN37</f>
        <v>0</v>
      </c>
      <c r="D47" s="9">
        <f>Upload!AO37</f>
        <v>0</v>
      </c>
      <c r="E47" s="9">
        <f>Upload!AP37</f>
        <v>0</v>
      </c>
      <c r="F47" s="9" t="str">
        <f>Upload!AK37</f>
        <v/>
      </c>
      <c r="G47" s="9" t="str">
        <f>Upload!AM37</f>
        <v/>
      </c>
      <c r="H47" s="9" t="str">
        <f>Upload!AJ37</f>
        <v>(seleccione)</v>
      </c>
      <c r="I47" s="9" t="str">
        <f>Upload!AL37</f>
        <v>(seleccione)</v>
      </c>
      <c r="K47" s="15" t="str">
        <f t="shared" si="1"/>
        <v/>
      </c>
      <c r="L47" s="15" t="str">
        <f t="shared" si="2"/>
        <v/>
      </c>
      <c r="M47" s="15" t="str">
        <f t="shared" si="3"/>
        <v/>
      </c>
      <c r="N47" s="15" t="str">
        <f t="shared" si="4"/>
        <v/>
      </c>
      <c r="O47" s="15" t="str">
        <f t="shared" si="5"/>
        <v/>
      </c>
      <c r="P47" s="15" t="str">
        <f>IF(OR(C47="",NOT(OR(ISNUMBER(SEARCH("Antitarnish",Upload!R37&amp;Upload!S37&amp;Upload!T37&amp;Upload!U37&amp;Upload!V37)),ISNUMBER(SEARCH("Anti Tarnish",Upload!R37&amp;Upload!S37&amp;Upload!T37&amp;Upload!U37&amp;Upload!V37))))),"",0.0012*C47)</f>
        <v/>
      </c>
      <c r="Q47" s="15" t="str">
        <f>IF(OR(E47="",NOT(OR(ISNUMBER(SEARCH("Epóxico MT",Upload!R37&amp;Upload!S37&amp;Upload!T37&amp;Upload!U37&amp;Upload!V37))))),"",E47*0.000035)</f>
        <v/>
      </c>
      <c r="R47" s="15" t="str">
        <f>IF(OR(F47="",NOT(OR(ISNUMBER(SEARCH("Epóxico BT",Upload!S37&amp;Upload!T37&amp;Upload!U37&amp;Upload!V37&amp;Upload!W37))))),"",F47*0.000035)</f>
        <v/>
      </c>
      <c r="S47" s="15" t="str">
        <f>IF(OR(G47="",NOT(OR(ISNUMBER(SEARCH("Epóxico Rojo",Upload!T37&amp;Upload!U37&amp;Upload!V37&amp;Upload!W37&amp;Upload!X37))))),"",G47*0.000035)</f>
        <v/>
      </c>
    </row>
    <row r="48" spans="1:19" x14ac:dyDescent="0.2">
      <c r="A48" s="9" t="e">
        <f t="shared" ca="1" si="0"/>
        <v>#NAME?</v>
      </c>
      <c r="B48" s="9">
        <f>Upload!G38</f>
        <v>0</v>
      </c>
      <c r="C48" s="9">
        <f>Upload!AN38</f>
        <v>0</v>
      </c>
      <c r="D48" s="9">
        <f>Upload!AO38</f>
        <v>0</v>
      </c>
      <c r="E48" s="9">
        <f>Upload!AP38</f>
        <v>0</v>
      </c>
      <c r="F48" s="9" t="str">
        <f>Upload!AK38</f>
        <v/>
      </c>
      <c r="G48" s="9" t="str">
        <f>Upload!AM38</f>
        <v/>
      </c>
      <c r="H48" s="9" t="str">
        <f>Upload!AJ38</f>
        <v>(seleccione)</v>
      </c>
      <c r="I48" s="9" t="str">
        <f>Upload!AL38</f>
        <v>(seleccione)</v>
      </c>
      <c r="K48" s="15" t="str">
        <f t="shared" si="1"/>
        <v/>
      </c>
      <c r="L48" s="15" t="str">
        <f t="shared" si="2"/>
        <v/>
      </c>
      <c r="M48" s="15" t="str">
        <f t="shared" si="3"/>
        <v/>
      </c>
      <c r="N48" s="15" t="str">
        <f t="shared" si="4"/>
        <v/>
      </c>
      <c r="O48" s="15" t="str">
        <f t="shared" si="5"/>
        <v/>
      </c>
      <c r="P48" s="15" t="str">
        <f>IF(OR(C48="",NOT(OR(ISNUMBER(SEARCH("Antitarnish",Upload!R38&amp;Upload!S38&amp;Upload!T38&amp;Upload!U38&amp;Upload!V38)),ISNUMBER(SEARCH("Anti Tarnish",Upload!R38&amp;Upload!S38&amp;Upload!T38&amp;Upload!U38&amp;Upload!V38))))),"",0.0012*C48)</f>
        <v/>
      </c>
      <c r="Q48" s="15" t="str">
        <f>IF(OR(E48="",NOT(OR(ISNUMBER(SEARCH("Epóxico MT",Upload!R38&amp;Upload!S38&amp;Upload!T38&amp;Upload!U38&amp;Upload!V38))))),"",E48*0.000035)</f>
        <v/>
      </c>
      <c r="R48" s="15" t="str">
        <f>IF(OR(F48="",NOT(OR(ISNUMBER(SEARCH("Epóxico BT",Upload!S38&amp;Upload!T38&amp;Upload!U38&amp;Upload!V38&amp;Upload!W38))))),"",F48*0.000035)</f>
        <v/>
      </c>
      <c r="S48" s="15" t="str">
        <f>IF(OR(G48="",NOT(OR(ISNUMBER(SEARCH("Epóxico Rojo",Upload!T38&amp;Upload!U38&amp;Upload!V38&amp;Upload!W38&amp;Upload!X38))))),"",G48*0.000035)</f>
        <v/>
      </c>
    </row>
    <row r="49" spans="1:19" x14ac:dyDescent="0.2">
      <c r="A49" s="9" t="e">
        <f t="shared" ca="1" si="0"/>
        <v>#NAME?</v>
      </c>
      <c r="B49" s="9">
        <f>Upload!G39</f>
        <v>0</v>
      </c>
      <c r="C49" s="9">
        <f>Upload!AN39</f>
        <v>0</v>
      </c>
      <c r="D49" s="9">
        <f>Upload!AO39</f>
        <v>0</v>
      </c>
      <c r="E49" s="9">
        <f>Upload!AP39</f>
        <v>0</v>
      </c>
      <c r="F49" s="9" t="str">
        <f>Upload!AK39</f>
        <v/>
      </c>
      <c r="G49" s="9" t="str">
        <f>Upload!AM39</f>
        <v/>
      </c>
      <c r="H49" s="9" t="str">
        <f>Upload!AJ39</f>
        <v>(seleccione)</v>
      </c>
      <c r="I49" s="9" t="str">
        <f>Upload!AL39</f>
        <v>(seleccione)</v>
      </c>
      <c r="K49" s="15" t="str">
        <f t="shared" si="1"/>
        <v/>
      </c>
      <c r="L49" s="15" t="str">
        <f t="shared" si="2"/>
        <v/>
      </c>
      <c r="M49" s="15" t="str">
        <f t="shared" si="3"/>
        <v/>
      </c>
      <c r="N49" s="15" t="str">
        <f t="shared" si="4"/>
        <v/>
      </c>
      <c r="O49" s="15" t="str">
        <f t="shared" si="5"/>
        <v/>
      </c>
      <c r="P49" s="15" t="str">
        <f>IF(OR(C49="",NOT(OR(ISNUMBER(SEARCH("Antitarnish",Upload!R39&amp;Upload!S39&amp;Upload!T39&amp;Upload!U39&amp;Upload!V39)),ISNUMBER(SEARCH("Anti Tarnish",Upload!R39&amp;Upload!S39&amp;Upload!T39&amp;Upload!U39&amp;Upload!V39))))),"",0.0012*C49)</f>
        <v/>
      </c>
      <c r="Q49" s="15" t="str">
        <f>IF(OR(E49="",NOT(OR(ISNUMBER(SEARCH("Epóxico MT",Upload!R39&amp;Upload!S39&amp;Upload!T39&amp;Upload!U39&amp;Upload!V39))))),"",E49*0.000035)</f>
        <v/>
      </c>
      <c r="R49" s="15" t="str">
        <f>IF(OR(F49="",NOT(OR(ISNUMBER(SEARCH("Epóxico BT",Upload!S39&amp;Upload!T39&amp;Upload!U39&amp;Upload!V39&amp;Upload!W39))))),"",F49*0.000035)</f>
        <v/>
      </c>
      <c r="S49" s="15" t="str">
        <f>IF(OR(G49="",NOT(OR(ISNUMBER(SEARCH("Epóxico Rojo",Upload!T39&amp;Upload!U39&amp;Upload!V39&amp;Upload!W39&amp;Upload!X39))))),"",G49*0.000035)</f>
        <v/>
      </c>
    </row>
    <row r="50" spans="1:19" x14ac:dyDescent="0.2">
      <c r="A50" s="9" t="e">
        <f t="shared" ca="1" si="0"/>
        <v>#NAME?</v>
      </c>
      <c r="B50" s="9">
        <f>Upload!G40</f>
        <v>0</v>
      </c>
      <c r="C50" s="9">
        <f>Upload!AN40</f>
        <v>0</v>
      </c>
      <c r="D50" s="9">
        <f>Upload!AO40</f>
        <v>0</v>
      </c>
      <c r="E50" s="9">
        <f>Upload!AP40</f>
        <v>0</v>
      </c>
      <c r="F50" s="9" t="str">
        <f>Upload!AK40</f>
        <v/>
      </c>
      <c r="G50" s="9" t="str">
        <f>Upload!AM40</f>
        <v/>
      </c>
      <c r="H50" s="9" t="str">
        <f>Upload!AJ40</f>
        <v>(seleccione)</v>
      </c>
      <c r="I50" s="9" t="str">
        <f>Upload!AL40</f>
        <v>(seleccione)</v>
      </c>
      <c r="K50" s="15" t="str">
        <f t="shared" si="1"/>
        <v/>
      </c>
      <c r="L50" s="15" t="str">
        <f t="shared" si="2"/>
        <v/>
      </c>
      <c r="M50" s="15" t="str">
        <f t="shared" si="3"/>
        <v/>
      </c>
      <c r="N50" s="15" t="str">
        <f t="shared" si="4"/>
        <v/>
      </c>
      <c r="O50" s="15" t="str">
        <f t="shared" si="5"/>
        <v/>
      </c>
      <c r="P50" s="15" t="str">
        <f>IF(OR(C50="",NOT(OR(ISNUMBER(SEARCH("Antitarnish",Upload!R40&amp;Upload!S40&amp;Upload!T40&amp;Upload!U40&amp;Upload!V40)),ISNUMBER(SEARCH("Anti Tarnish",Upload!R40&amp;Upload!S40&amp;Upload!T40&amp;Upload!U40&amp;Upload!V40))))),"",0.0012*C50)</f>
        <v/>
      </c>
      <c r="Q50" s="15" t="str">
        <f>IF(OR(E50="",NOT(OR(ISNUMBER(SEARCH("Epóxico MT",Upload!R40&amp;Upload!S40&amp;Upload!T40&amp;Upload!U40&amp;Upload!V40))))),"",E50*0.000035)</f>
        <v/>
      </c>
      <c r="R50" s="15" t="str">
        <f>IF(OR(F50="",NOT(OR(ISNUMBER(SEARCH("Epóxico BT",Upload!S40&amp;Upload!T40&amp;Upload!U40&amp;Upload!V40&amp;Upload!W40))))),"",F50*0.000035)</f>
        <v/>
      </c>
      <c r="S50" s="15" t="str">
        <f>IF(OR(G50="",NOT(OR(ISNUMBER(SEARCH("Epóxico Rojo",Upload!T40&amp;Upload!U40&amp;Upload!V40&amp;Upload!W40&amp;Upload!X40))))),"",G50*0.000035)</f>
        <v/>
      </c>
    </row>
    <row r="51" spans="1:19" x14ac:dyDescent="0.2">
      <c r="A51" s="9" t="e">
        <f t="shared" ca="1" si="0"/>
        <v>#NAME?</v>
      </c>
      <c r="B51" s="9">
        <f>Upload!G41</f>
        <v>0</v>
      </c>
      <c r="C51" s="9">
        <f>Upload!AN41</f>
        <v>0</v>
      </c>
      <c r="D51" s="9">
        <f>Upload!AO41</f>
        <v>0</v>
      </c>
      <c r="E51" s="9">
        <f>Upload!AP41</f>
        <v>0</v>
      </c>
      <c r="F51" s="9" t="str">
        <f>Upload!AK41</f>
        <v/>
      </c>
      <c r="G51" s="9" t="str">
        <f>Upload!AM41</f>
        <v/>
      </c>
      <c r="H51" s="9" t="str">
        <f>Upload!AJ41</f>
        <v>(seleccione)</v>
      </c>
      <c r="I51" s="9" t="str">
        <f>Upload!AL41</f>
        <v>(seleccione)</v>
      </c>
      <c r="K51" s="15" t="str">
        <f t="shared" si="1"/>
        <v/>
      </c>
      <c r="L51" s="15" t="str">
        <f t="shared" si="2"/>
        <v/>
      </c>
      <c r="M51" s="15" t="str">
        <f t="shared" si="3"/>
        <v/>
      </c>
      <c r="N51" s="15" t="str">
        <f t="shared" si="4"/>
        <v/>
      </c>
      <c r="O51" s="15" t="str">
        <f t="shared" si="5"/>
        <v/>
      </c>
      <c r="P51" s="15" t="str">
        <f>IF(OR(C51="",NOT(OR(ISNUMBER(SEARCH("Antitarnish",Upload!R41&amp;Upload!S41&amp;Upload!T41&amp;Upload!U41&amp;Upload!V41)),ISNUMBER(SEARCH("Anti Tarnish",Upload!R41&amp;Upload!S41&amp;Upload!T41&amp;Upload!U41&amp;Upload!V41))))),"",0.0012*C51)</f>
        <v/>
      </c>
      <c r="Q51" s="15" t="str">
        <f>IF(OR(E51="",NOT(OR(ISNUMBER(SEARCH("Epóxico MT",Upload!R41&amp;Upload!S41&amp;Upload!T41&amp;Upload!U41&amp;Upload!V41))))),"",E51*0.000035)</f>
        <v/>
      </c>
      <c r="R51" s="15" t="str">
        <f>IF(OR(F51="",NOT(OR(ISNUMBER(SEARCH("Epóxico BT",Upload!S41&amp;Upload!T41&amp;Upload!U41&amp;Upload!V41&amp;Upload!W41))))),"",F51*0.000035)</f>
        <v/>
      </c>
      <c r="S51" s="15" t="str">
        <f>IF(OR(G51="",NOT(OR(ISNUMBER(SEARCH("Epóxico Rojo",Upload!T41&amp;Upload!U41&amp;Upload!V41&amp;Upload!W41&amp;Upload!X41))))),"",G51*0.000035)</f>
        <v/>
      </c>
    </row>
    <row r="52" spans="1:19" x14ac:dyDescent="0.2">
      <c r="A52" s="9" t="e">
        <f t="shared" ca="1" si="0"/>
        <v>#NAME?</v>
      </c>
      <c r="B52" s="9">
        <f>Upload!G42</f>
        <v>0</v>
      </c>
      <c r="C52" s="9">
        <f>Upload!AN42</f>
        <v>0</v>
      </c>
      <c r="D52" s="9">
        <f>Upload!AO42</f>
        <v>0</v>
      </c>
      <c r="E52" s="9">
        <f>Upload!AP42</f>
        <v>0</v>
      </c>
      <c r="F52" s="9" t="str">
        <f>Upload!AK42</f>
        <v/>
      </c>
      <c r="G52" s="9" t="str">
        <f>Upload!AM42</f>
        <v/>
      </c>
      <c r="H52" s="9" t="str">
        <f>Upload!AJ42</f>
        <v>(seleccione)</v>
      </c>
      <c r="I52" s="9" t="str">
        <f>Upload!AL42</f>
        <v>(seleccione)</v>
      </c>
      <c r="K52" s="15" t="str">
        <f t="shared" si="1"/>
        <v/>
      </c>
      <c r="L52" s="15" t="str">
        <f t="shared" si="2"/>
        <v/>
      </c>
      <c r="M52" s="15" t="str">
        <f t="shared" si="3"/>
        <v/>
      </c>
      <c r="N52" s="15" t="str">
        <f t="shared" si="4"/>
        <v/>
      </c>
      <c r="O52" s="15" t="str">
        <f t="shared" si="5"/>
        <v/>
      </c>
      <c r="P52" s="15" t="str">
        <f>IF(OR(C52="",NOT(OR(ISNUMBER(SEARCH("Antitarnish",Upload!R42&amp;Upload!S42&amp;Upload!T42&amp;Upload!U42&amp;Upload!V42)),ISNUMBER(SEARCH("Anti Tarnish",Upload!R42&amp;Upload!S42&amp;Upload!T42&amp;Upload!U42&amp;Upload!V42))))),"",0.0012*C52)</f>
        <v/>
      </c>
      <c r="Q52" s="15" t="str">
        <f>IF(OR(E52="",NOT(OR(ISNUMBER(SEARCH("Epóxico MT",Upload!R42&amp;Upload!S42&amp;Upload!T42&amp;Upload!U42&amp;Upload!V42))))),"",E52*0.000035)</f>
        <v/>
      </c>
      <c r="R52" s="15" t="str">
        <f>IF(OR(F52="",NOT(OR(ISNUMBER(SEARCH("Epóxico BT",Upload!S42&amp;Upload!T42&amp;Upload!U42&amp;Upload!V42&amp;Upload!W42))))),"",F52*0.000035)</f>
        <v/>
      </c>
      <c r="S52" s="15" t="str">
        <f>IF(OR(G52="",NOT(OR(ISNUMBER(SEARCH("Epóxico Rojo",Upload!T42&amp;Upload!U42&amp;Upload!V42&amp;Upload!W42&amp;Upload!X42))))),"",G52*0.000035)</f>
        <v/>
      </c>
    </row>
    <row r="53" spans="1:19" x14ac:dyDescent="0.2">
      <c r="A53" s="9" t="e">
        <f t="shared" ca="1" si="0"/>
        <v>#NAME?</v>
      </c>
      <c r="B53" s="9">
        <f>Upload!G43</f>
        <v>0</v>
      </c>
      <c r="C53" s="9">
        <f>Upload!AN43</f>
        <v>0</v>
      </c>
      <c r="D53" s="9">
        <f>Upload!AO43</f>
        <v>0</v>
      </c>
      <c r="E53" s="9">
        <f>Upload!AP43</f>
        <v>0</v>
      </c>
      <c r="F53" s="9" t="str">
        <f>Upload!AK43</f>
        <v/>
      </c>
      <c r="G53" s="9" t="str">
        <f>Upload!AM43</f>
        <v/>
      </c>
      <c r="H53" s="9" t="str">
        <f>Upload!AJ43</f>
        <v>(seleccione)</v>
      </c>
      <c r="I53" s="9" t="str">
        <f>Upload!AL43</f>
        <v>(seleccione)</v>
      </c>
      <c r="K53" s="15" t="str">
        <f t="shared" si="1"/>
        <v/>
      </c>
      <c r="L53" s="15" t="str">
        <f t="shared" si="2"/>
        <v/>
      </c>
      <c r="M53" s="15" t="str">
        <f t="shared" si="3"/>
        <v/>
      </c>
      <c r="N53" s="15" t="str">
        <f t="shared" si="4"/>
        <v/>
      </c>
      <c r="O53" s="15" t="str">
        <f t="shared" si="5"/>
        <v/>
      </c>
      <c r="P53" s="15" t="str">
        <f>IF(OR(C53="",NOT(OR(ISNUMBER(SEARCH("Antitarnish",Upload!R43&amp;Upload!S43&amp;Upload!T43&amp;Upload!U43&amp;Upload!V43)),ISNUMBER(SEARCH("Anti Tarnish",Upload!R43&amp;Upload!S43&amp;Upload!T43&amp;Upload!U43&amp;Upload!V43))))),"",0.0012*C53)</f>
        <v/>
      </c>
      <c r="Q53" s="15" t="str">
        <f>IF(OR(E53="",NOT(OR(ISNUMBER(SEARCH("Epóxico MT",Upload!R43&amp;Upload!S43&amp;Upload!T43&amp;Upload!U43&amp;Upload!V43))))),"",E53*0.000035)</f>
        <v/>
      </c>
      <c r="R53" s="15" t="str">
        <f>IF(OR(F53="",NOT(OR(ISNUMBER(SEARCH("Epóxico BT",Upload!S43&amp;Upload!T43&amp;Upload!U43&amp;Upload!V43&amp;Upload!W43))))),"",F53*0.000035)</f>
        <v/>
      </c>
      <c r="S53" s="15" t="str">
        <f>IF(OR(G53="",NOT(OR(ISNUMBER(SEARCH("Epóxico Rojo",Upload!T43&amp;Upload!U43&amp;Upload!V43&amp;Upload!W43&amp;Upload!X43))))),"",G53*0.000035)</f>
        <v/>
      </c>
    </row>
    <row r="54" spans="1:19" x14ac:dyDescent="0.2">
      <c r="A54" s="9" t="e">
        <f t="shared" ca="1" si="0"/>
        <v>#NAME?</v>
      </c>
      <c r="B54" s="9">
        <f>Upload!G44</f>
        <v>0</v>
      </c>
      <c r="C54" s="9">
        <f>Upload!AN44</f>
        <v>0</v>
      </c>
      <c r="D54" s="9">
        <f>Upload!AO44</f>
        <v>0</v>
      </c>
      <c r="E54" s="9">
        <f>Upload!AP44</f>
        <v>0</v>
      </c>
      <c r="F54" s="9" t="str">
        <f>Upload!AK44</f>
        <v/>
      </c>
      <c r="G54" s="9" t="str">
        <f>Upload!AM44</f>
        <v/>
      </c>
      <c r="H54" s="9" t="str">
        <f>Upload!AJ44</f>
        <v>(seleccione)</v>
      </c>
      <c r="I54" s="9" t="str">
        <f>Upload!AL44</f>
        <v>(seleccione)</v>
      </c>
      <c r="K54" s="15" t="str">
        <f t="shared" si="1"/>
        <v/>
      </c>
      <c r="L54" s="15" t="str">
        <f t="shared" si="2"/>
        <v/>
      </c>
      <c r="M54" s="15" t="str">
        <f t="shared" si="3"/>
        <v/>
      </c>
      <c r="N54" s="15" t="str">
        <f t="shared" si="4"/>
        <v/>
      </c>
      <c r="O54" s="15" t="str">
        <f t="shared" si="5"/>
        <v/>
      </c>
      <c r="P54" s="15" t="str">
        <f>IF(OR(C54="",NOT(OR(ISNUMBER(SEARCH("Antitarnish",Upload!R44&amp;Upload!S44&amp;Upload!T44&amp;Upload!U44&amp;Upload!V44)),ISNUMBER(SEARCH("Anti Tarnish",Upload!R44&amp;Upload!S44&amp;Upload!T44&amp;Upload!U44&amp;Upload!V44))))),"",0.0012*C54)</f>
        <v/>
      </c>
      <c r="Q54" s="15" t="str">
        <f>IF(OR(E54="",NOT(OR(ISNUMBER(SEARCH("Epóxico MT",Upload!R44&amp;Upload!S44&amp;Upload!T44&amp;Upload!U44&amp;Upload!V44))))),"",E54*0.000035)</f>
        <v/>
      </c>
      <c r="R54" s="15" t="str">
        <f>IF(OR(F54="",NOT(OR(ISNUMBER(SEARCH("Epóxico BT",Upload!S44&amp;Upload!T44&amp;Upload!U44&amp;Upload!V44&amp;Upload!W44))))),"",F54*0.000035)</f>
        <v/>
      </c>
      <c r="S54" s="15" t="str">
        <f>IF(OR(G54="",NOT(OR(ISNUMBER(SEARCH("Epóxico Rojo",Upload!T44&amp;Upload!U44&amp;Upload!V44&amp;Upload!W44&amp;Upload!X44))))),"",G54*0.000035)</f>
        <v/>
      </c>
    </row>
    <row r="55" spans="1:19" x14ac:dyDescent="0.2">
      <c r="A55" s="9" t="e">
        <f t="shared" ca="1" si="0"/>
        <v>#NAME?</v>
      </c>
      <c r="B55" s="9">
        <f>Upload!G45</f>
        <v>0</v>
      </c>
      <c r="C55" s="9">
        <f>Upload!AN45</f>
        <v>0</v>
      </c>
      <c r="D55" s="9">
        <f>Upload!AO45</f>
        <v>0</v>
      </c>
      <c r="E55" s="9">
        <f>Upload!AP45</f>
        <v>0</v>
      </c>
      <c r="F55" s="9" t="str">
        <f>Upload!AK45</f>
        <v/>
      </c>
      <c r="G55" s="9" t="str">
        <f>Upload!AM45</f>
        <v/>
      </c>
      <c r="H55" s="9" t="str">
        <f>Upload!AJ45</f>
        <v>(seleccione)</v>
      </c>
      <c r="I55" s="9" t="str">
        <f>Upload!AL45</f>
        <v>(seleccione)</v>
      </c>
      <c r="K55" s="15" t="str">
        <f t="shared" si="1"/>
        <v/>
      </c>
      <c r="L55" s="15" t="str">
        <f t="shared" si="2"/>
        <v/>
      </c>
      <c r="M55" s="15" t="str">
        <f t="shared" si="3"/>
        <v/>
      </c>
      <c r="N55" s="15" t="str">
        <f t="shared" si="4"/>
        <v/>
      </c>
      <c r="O55" s="15" t="str">
        <f t="shared" si="5"/>
        <v/>
      </c>
      <c r="P55" s="15" t="str">
        <f>IF(OR(C55="",NOT(OR(ISNUMBER(SEARCH("Antitarnish",Upload!R45&amp;Upload!S45&amp;Upload!T45&amp;Upload!U45&amp;Upload!V45)),ISNUMBER(SEARCH("Anti Tarnish",Upload!R45&amp;Upload!S45&amp;Upload!T45&amp;Upload!U45&amp;Upload!V45))))),"",0.0012*C55)</f>
        <v/>
      </c>
      <c r="Q55" s="15" t="str">
        <f>IF(OR(E55="",NOT(OR(ISNUMBER(SEARCH("Epóxico MT",Upload!R45&amp;Upload!S45&amp;Upload!T45&amp;Upload!U45&amp;Upload!V45))))),"",E55*0.000035)</f>
        <v/>
      </c>
      <c r="R55" s="15" t="str">
        <f>IF(OR(F55="",NOT(OR(ISNUMBER(SEARCH("Epóxico BT",Upload!S45&amp;Upload!T45&amp;Upload!U45&amp;Upload!V45&amp;Upload!W45))))),"",F55*0.000035)</f>
        <v/>
      </c>
      <c r="S55" s="15" t="str">
        <f>IF(OR(G55="",NOT(OR(ISNUMBER(SEARCH("Epóxico Rojo",Upload!T45&amp;Upload!U45&amp;Upload!V45&amp;Upload!W45&amp;Upload!X45))))),"",G55*0.000035)</f>
        <v/>
      </c>
    </row>
    <row r="56" spans="1:19" x14ac:dyDescent="0.2">
      <c r="A56" s="9" t="e">
        <f t="shared" ca="1" si="0"/>
        <v>#NAME?</v>
      </c>
      <c r="B56" s="9">
        <f>Upload!G46</f>
        <v>0</v>
      </c>
      <c r="C56" s="9">
        <f>Upload!AN46</f>
        <v>0</v>
      </c>
      <c r="D56" s="9">
        <f>Upload!AO46</f>
        <v>0</v>
      </c>
      <c r="E56" s="9">
        <f>Upload!AP46</f>
        <v>0</v>
      </c>
      <c r="F56" s="9" t="str">
        <f>Upload!AK46</f>
        <v/>
      </c>
      <c r="G56" s="9" t="str">
        <f>Upload!AM46</f>
        <v/>
      </c>
      <c r="H56" s="9" t="str">
        <f>Upload!AJ46</f>
        <v>(seleccione)</v>
      </c>
      <c r="I56" s="9" t="str">
        <f>Upload!AL46</f>
        <v>(seleccione)</v>
      </c>
      <c r="K56" s="15" t="str">
        <f t="shared" si="1"/>
        <v/>
      </c>
      <c r="L56" s="15" t="str">
        <f t="shared" si="2"/>
        <v/>
      </c>
      <c r="M56" s="15" t="str">
        <f t="shared" si="3"/>
        <v/>
      </c>
      <c r="N56" s="15" t="str">
        <f t="shared" si="4"/>
        <v/>
      </c>
      <c r="O56" s="15" t="str">
        <f t="shared" si="5"/>
        <v/>
      </c>
      <c r="P56" s="15" t="str">
        <f>IF(OR(C56="",NOT(OR(ISNUMBER(SEARCH("Antitarnish",Upload!R46&amp;Upload!S46&amp;Upload!T46&amp;Upload!U46&amp;Upload!V46)),ISNUMBER(SEARCH("Anti Tarnish",Upload!R46&amp;Upload!S46&amp;Upload!T46&amp;Upload!U46&amp;Upload!V46))))),"",0.0012*C56)</f>
        <v/>
      </c>
      <c r="Q56" s="15" t="str">
        <f>IF(OR(E56="",NOT(OR(ISNUMBER(SEARCH("Epóxico MT",Upload!R46&amp;Upload!S46&amp;Upload!T46&amp;Upload!U46&amp;Upload!V46))))),"",E56*0.000035)</f>
        <v/>
      </c>
      <c r="R56" s="15" t="str">
        <f>IF(OR(F56="",NOT(OR(ISNUMBER(SEARCH("Epóxico BT",Upload!S46&amp;Upload!T46&amp;Upload!U46&amp;Upload!V46&amp;Upload!W46))))),"",F56*0.000035)</f>
        <v/>
      </c>
      <c r="S56" s="15" t="str">
        <f>IF(OR(G56="",NOT(OR(ISNUMBER(SEARCH("Epóxico Rojo",Upload!T46&amp;Upload!U46&amp;Upload!V46&amp;Upload!W46&amp;Upload!X46))))),"",G56*0.000035)</f>
        <v/>
      </c>
    </row>
    <row r="57" spans="1:19" x14ac:dyDescent="0.2">
      <c r="A57" s="9" t="e">
        <f t="shared" ca="1" si="0"/>
        <v>#NAME?</v>
      </c>
      <c r="B57" s="9">
        <f>Upload!G47</f>
        <v>0</v>
      </c>
      <c r="C57" s="9">
        <f>Upload!AN47</f>
        <v>0</v>
      </c>
      <c r="D57" s="9">
        <f>Upload!AO47</f>
        <v>0</v>
      </c>
      <c r="E57" s="9">
        <f>Upload!AP47</f>
        <v>0</v>
      </c>
      <c r="F57" s="9" t="str">
        <f>Upload!AK47</f>
        <v/>
      </c>
      <c r="G57" s="9" t="str">
        <f>Upload!AM47</f>
        <v/>
      </c>
      <c r="H57" s="9" t="str">
        <f>Upload!AJ47</f>
        <v>(seleccione)</v>
      </c>
      <c r="I57" s="9" t="str">
        <f>Upload!AL47</f>
        <v>(seleccione)</v>
      </c>
      <c r="K57" s="15" t="str">
        <f t="shared" si="1"/>
        <v/>
      </c>
      <c r="L57" s="15" t="str">
        <f t="shared" si="2"/>
        <v/>
      </c>
      <c r="M57" s="15" t="str">
        <f t="shared" si="3"/>
        <v/>
      </c>
      <c r="N57" s="15" t="str">
        <f t="shared" si="4"/>
        <v/>
      </c>
      <c r="O57" s="15" t="str">
        <f t="shared" si="5"/>
        <v/>
      </c>
      <c r="P57" s="15" t="str">
        <f>IF(OR(C57="",NOT(OR(ISNUMBER(SEARCH("Antitarnish",Upload!R47&amp;Upload!S47&amp;Upload!T47&amp;Upload!U47&amp;Upload!V47)),ISNUMBER(SEARCH("Anti Tarnish",Upload!R47&amp;Upload!S47&amp;Upload!T47&amp;Upload!U47&amp;Upload!V47))))),"",0.0012*C57)</f>
        <v/>
      </c>
      <c r="Q57" s="15" t="str">
        <f>IF(OR(E57="",NOT(OR(ISNUMBER(SEARCH("Epóxico MT",Upload!R47&amp;Upload!S47&amp;Upload!T47&amp;Upload!U47&amp;Upload!V47))))),"",E57*0.000035)</f>
        <v/>
      </c>
      <c r="R57" s="15" t="str">
        <f>IF(OR(F57="",NOT(OR(ISNUMBER(SEARCH("Epóxico BT",Upload!S47&amp;Upload!T47&amp;Upload!U47&amp;Upload!V47&amp;Upload!W47))))),"",F57*0.000035)</f>
        <v/>
      </c>
      <c r="S57" s="15" t="str">
        <f>IF(OR(G57="",NOT(OR(ISNUMBER(SEARCH("Epóxico Rojo",Upload!T47&amp;Upload!U47&amp;Upload!V47&amp;Upload!W47&amp;Upload!X47))))),"",G57*0.000035)</f>
        <v/>
      </c>
    </row>
    <row r="58" spans="1:19" x14ac:dyDescent="0.2">
      <c r="A58" s="9" t="e">
        <f t="shared" ca="1" si="0"/>
        <v>#NAME?</v>
      </c>
      <c r="B58" s="9">
        <f>Upload!G48</f>
        <v>0</v>
      </c>
      <c r="C58" s="9">
        <f>Upload!AN48</f>
        <v>0</v>
      </c>
      <c r="D58" s="9">
        <f>Upload!AO48</f>
        <v>0</v>
      </c>
      <c r="E58" s="9">
        <f>Upload!AP48</f>
        <v>0</v>
      </c>
      <c r="F58" s="9" t="str">
        <f>Upload!AK48</f>
        <v/>
      </c>
      <c r="G58" s="9" t="str">
        <f>Upload!AM48</f>
        <v/>
      </c>
      <c r="H58" s="9" t="str">
        <f>Upload!AJ48</f>
        <v>(seleccione)</v>
      </c>
      <c r="I58" s="9" t="str">
        <f>Upload!AL48</f>
        <v>(seleccione)</v>
      </c>
      <c r="K58" s="15" t="str">
        <f t="shared" si="1"/>
        <v/>
      </c>
      <c r="L58" s="15" t="str">
        <f t="shared" si="2"/>
        <v/>
      </c>
      <c r="M58" s="15" t="str">
        <f t="shared" si="3"/>
        <v/>
      </c>
      <c r="N58" s="15" t="str">
        <f t="shared" si="4"/>
        <v/>
      </c>
      <c r="O58" s="15" t="str">
        <f t="shared" si="5"/>
        <v/>
      </c>
      <c r="P58" s="15" t="str">
        <f>IF(OR(C58="",NOT(OR(ISNUMBER(SEARCH("Antitarnish",Upload!R48&amp;Upload!S48&amp;Upload!T48&amp;Upload!U48&amp;Upload!V48)),ISNUMBER(SEARCH("Anti Tarnish",Upload!R48&amp;Upload!S48&amp;Upload!T48&amp;Upload!U48&amp;Upload!V48))))),"",0.0012*C58)</f>
        <v/>
      </c>
      <c r="Q58" s="15" t="str">
        <f>IF(OR(E58="",NOT(OR(ISNUMBER(SEARCH("Epóxico MT",Upload!R48&amp;Upload!S48&amp;Upload!T48&amp;Upload!U48&amp;Upload!V48))))),"",E58*0.000035)</f>
        <v/>
      </c>
      <c r="R58" s="15" t="str">
        <f>IF(OR(F58="",NOT(OR(ISNUMBER(SEARCH("Epóxico BT",Upload!S48&amp;Upload!T48&amp;Upload!U48&amp;Upload!V48&amp;Upload!W48))))),"",F58*0.000035)</f>
        <v/>
      </c>
      <c r="S58" s="15" t="str">
        <f>IF(OR(G58="",NOT(OR(ISNUMBER(SEARCH("Epóxico Rojo",Upload!T48&amp;Upload!U48&amp;Upload!V48&amp;Upload!W48&amp;Upload!X48))))),"",G58*0.000035)</f>
        <v/>
      </c>
    </row>
    <row r="59" spans="1:19" x14ac:dyDescent="0.2">
      <c r="A59" s="9" t="e">
        <f t="shared" ca="1" si="0"/>
        <v>#NAME?</v>
      </c>
      <c r="B59" s="9">
        <f>Upload!G49</f>
        <v>0</v>
      </c>
      <c r="C59" s="9">
        <f>Upload!AN49</f>
        <v>0</v>
      </c>
      <c r="D59" s="9">
        <f>Upload!AO49</f>
        <v>0</v>
      </c>
      <c r="E59" s="9">
        <f>Upload!AP49</f>
        <v>0</v>
      </c>
      <c r="F59" s="9" t="str">
        <f>Upload!AK49</f>
        <v/>
      </c>
      <c r="G59" s="9" t="str">
        <f>Upload!AM49</f>
        <v/>
      </c>
      <c r="H59" s="9" t="str">
        <f>Upload!AJ49</f>
        <v>(seleccione)</v>
      </c>
      <c r="I59" s="9" t="str">
        <f>Upload!AL49</f>
        <v>(seleccione)</v>
      </c>
      <c r="K59" s="15" t="str">
        <f t="shared" si="1"/>
        <v/>
      </c>
      <c r="L59" s="15" t="str">
        <f t="shared" si="2"/>
        <v/>
      </c>
      <c r="M59" s="15" t="str">
        <f t="shared" si="3"/>
        <v/>
      </c>
      <c r="N59" s="15" t="str">
        <f t="shared" si="4"/>
        <v/>
      </c>
      <c r="O59" s="15" t="str">
        <f t="shared" si="5"/>
        <v/>
      </c>
      <c r="P59" s="15" t="str">
        <f>IF(OR(C59="",NOT(OR(ISNUMBER(SEARCH("Antitarnish",Upload!R49&amp;Upload!S49&amp;Upload!T49&amp;Upload!U49&amp;Upload!V49)),ISNUMBER(SEARCH("Anti Tarnish",Upload!R49&amp;Upload!S49&amp;Upload!T49&amp;Upload!U49&amp;Upload!V49))))),"",0.0012*C59)</f>
        <v/>
      </c>
      <c r="Q59" s="15" t="str">
        <f>IF(OR(E59="",NOT(OR(ISNUMBER(SEARCH("Epóxico MT",Upload!R49&amp;Upload!S49&amp;Upload!T49&amp;Upload!U49&amp;Upload!V49))))),"",E59*0.000035)</f>
        <v/>
      </c>
      <c r="R59" s="15" t="str">
        <f>IF(OR(F59="",NOT(OR(ISNUMBER(SEARCH("Epóxico BT",Upload!S49&amp;Upload!T49&amp;Upload!U49&amp;Upload!V49&amp;Upload!W49))))),"",F59*0.000035)</f>
        <v/>
      </c>
      <c r="S59" s="15" t="str">
        <f>IF(OR(G59="",NOT(OR(ISNUMBER(SEARCH("Epóxico Rojo",Upload!T49&amp;Upload!U49&amp;Upload!V49&amp;Upload!W49&amp;Upload!X49))))),"",G59*0.000035)</f>
        <v/>
      </c>
    </row>
    <row r="60" spans="1:19" x14ac:dyDescent="0.2">
      <c r="A60" s="9" t="e">
        <f t="shared" ca="1" si="0"/>
        <v>#NAME?</v>
      </c>
      <c r="B60" s="9">
        <f>Upload!G50</f>
        <v>0</v>
      </c>
      <c r="C60" s="9">
        <f>Upload!AN50</f>
        <v>0</v>
      </c>
      <c r="D60" s="9">
        <f>Upload!AO50</f>
        <v>0</v>
      </c>
      <c r="E60" s="9">
        <f>Upload!AP50</f>
        <v>0</v>
      </c>
      <c r="F60" s="9" t="str">
        <f>Upload!AK50</f>
        <v/>
      </c>
      <c r="G60" s="9" t="str">
        <f>Upload!AM50</f>
        <v/>
      </c>
      <c r="H60" s="9" t="str">
        <f>Upload!AJ50</f>
        <v>(seleccione)</v>
      </c>
      <c r="I60" s="9" t="str">
        <f>Upload!AL50</f>
        <v>(seleccione)</v>
      </c>
      <c r="K60" s="15" t="str">
        <f t="shared" si="1"/>
        <v/>
      </c>
      <c r="L60" s="15" t="str">
        <f t="shared" si="2"/>
        <v/>
      </c>
      <c r="M60" s="15" t="str">
        <f t="shared" si="3"/>
        <v/>
      </c>
      <c r="N60" s="15" t="str">
        <f t="shared" si="4"/>
        <v/>
      </c>
      <c r="O60" s="15" t="str">
        <f t="shared" si="5"/>
        <v/>
      </c>
      <c r="P60" s="15" t="str">
        <f>IF(OR(C60="",NOT(OR(ISNUMBER(SEARCH("Antitarnish",Upload!R50&amp;Upload!S50&amp;Upload!T50&amp;Upload!U50&amp;Upload!V50)),ISNUMBER(SEARCH("Anti Tarnish",Upload!R50&amp;Upload!S50&amp;Upload!T50&amp;Upload!U50&amp;Upload!V50))))),"",0.0012*C60)</f>
        <v/>
      </c>
      <c r="Q60" s="15" t="str">
        <f>IF(OR(E60="",NOT(OR(ISNUMBER(SEARCH("Epóxico MT",Upload!R50&amp;Upload!S50&amp;Upload!T50&amp;Upload!U50&amp;Upload!V50))))),"",E60*0.000035)</f>
        <v/>
      </c>
      <c r="R60" s="15" t="str">
        <f>IF(OR(F60="",NOT(OR(ISNUMBER(SEARCH("Epóxico BT",Upload!S50&amp;Upload!T50&amp;Upload!U50&amp;Upload!V50&amp;Upload!W50))))),"",F60*0.000035)</f>
        <v/>
      </c>
      <c r="S60" s="15" t="str">
        <f>IF(OR(G60="",NOT(OR(ISNUMBER(SEARCH("Epóxico Rojo",Upload!T50&amp;Upload!U50&amp;Upload!V50&amp;Upload!W50&amp;Upload!X50))))),"",G60*0.000035)</f>
        <v/>
      </c>
    </row>
    <row r="61" spans="1:19" x14ac:dyDescent="0.2">
      <c r="A61" s="9" t="e">
        <f t="shared" ca="1" si="0"/>
        <v>#NAME?</v>
      </c>
      <c r="B61" s="9">
        <f>Upload!G51</f>
        <v>0</v>
      </c>
      <c r="C61" s="9">
        <f>Upload!AN51</f>
        <v>0</v>
      </c>
      <c r="D61" s="9">
        <f>Upload!AO51</f>
        <v>0</v>
      </c>
      <c r="E61" s="9">
        <f>Upload!AP51</f>
        <v>0</v>
      </c>
      <c r="F61" s="9" t="str">
        <f>Upload!AK51</f>
        <v/>
      </c>
      <c r="G61" s="9" t="str">
        <f>Upload!AM51</f>
        <v/>
      </c>
      <c r="H61" s="9" t="str">
        <f>Upload!AJ51</f>
        <v>(seleccione)</v>
      </c>
      <c r="I61" s="9" t="str">
        <f>Upload!AL51</f>
        <v>(seleccione)</v>
      </c>
      <c r="K61" s="15" t="str">
        <f t="shared" si="1"/>
        <v/>
      </c>
      <c r="L61" s="15" t="str">
        <f t="shared" si="2"/>
        <v/>
      </c>
      <c r="M61" s="15" t="str">
        <f t="shared" si="3"/>
        <v/>
      </c>
      <c r="N61" s="15" t="str">
        <f t="shared" si="4"/>
        <v/>
      </c>
      <c r="O61" s="15" t="str">
        <f t="shared" si="5"/>
        <v/>
      </c>
      <c r="P61" s="15" t="str">
        <f>IF(OR(C61="",NOT(OR(ISNUMBER(SEARCH("Antitarnish",Upload!R51&amp;Upload!S51&amp;Upload!T51&amp;Upload!U51&amp;Upload!V51)),ISNUMBER(SEARCH("Anti Tarnish",Upload!R51&amp;Upload!S51&amp;Upload!T51&amp;Upload!U51&amp;Upload!V51))))),"",0.0012*C61)</f>
        <v/>
      </c>
      <c r="Q61" s="15" t="str">
        <f>IF(OR(E61="",NOT(OR(ISNUMBER(SEARCH("Epóxico MT",Upload!R51&amp;Upload!S51&amp;Upload!T51&amp;Upload!U51&amp;Upload!V51))))),"",E61*0.000035)</f>
        <v/>
      </c>
      <c r="R61" s="15" t="str">
        <f>IF(OR(F61="",NOT(OR(ISNUMBER(SEARCH("Epóxico BT",Upload!S51&amp;Upload!T51&amp;Upload!U51&amp;Upload!V51&amp;Upload!W51))))),"",F61*0.000035)</f>
        <v/>
      </c>
      <c r="S61" s="15" t="str">
        <f>IF(OR(G61="",NOT(OR(ISNUMBER(SEARCH("Epóxico Rojo",Upload!T51&amp;Upload!U51&amp;Upload!V51&amp;Upload!W51&amp;Upload!X51))))),"",G61*0.000035)</f>
        <v/>
      </c>
    </row>
    <row r="62" spans="1:19" x14ac:dyDescent="0.2">
      <c r="A62" s="9" t="e">
        <f t="shared" ca="1" si="0"/>
        <v>#NAME?</v>
      </c>
      <c r="B62" s="9">
        <f>Upload!G52</f>
        <v>0</v>
      </c>
      <c r="C62" s="9">
        <f>Upload!AN52</f>
        <v>0</v>
      </c>
      <c r="D62" s="9">
        <f>Upload!AO52</f>
        <v>0</v>
      </c>
      <c r="E62" s="9">
        <f>Upload!AP52</f>
        <v>0</v>
      </c>
      <c r="F62" s="9" t="str">
        <f>Upload!AK52</f>
        <v/>
      </c>
      <c r="G62" s="9" t="str">
        <f>Upload!AM52</f>
        <v/>
      </c>
      <c r="H62" s="9" t="str">
        <f>Upload!AJ52</f>
        <v>(seleccione)</v>
      </c>
      <c r="I62" s="9" t="str">
        <f>Upload!AL52</f>
        <v>(seleccione)</v>
      </c>
      <c r="K62" s="15" t="str">
        <f t="shared" si="1"/>
        <v/>
      </c>
      <c r="L62" s="15" t="str">
        <f t="shared" si="2"/>
        <v/>
      </c>
      <c r="M62" s="15" t="str">
        <f t="shared" si="3"/>
        <v/>
      </c>
      <c r="N62" s="15" t="str">
        <f t="shared" si="4"/>
        <v/>
      </c>
      <c r="O62" s="15" t="str">
        <f t="shared" si="5"/>
        <v/>
      </c>
      <c r="P62" s="15" t="str">
        <f>IF(OR(C62="",NOT(OR(ISNUMBER(SEARCH("Antitarnish",Upload!R52&amp;Upload!S52&amp;Upload!T52&amp;Upload!U52&amp;Upload!V52)),ISNUMBER(SEARCH("Anti Tarnish",Upload!R52&amp;Upload!S52&amp;Upload!T52&amp;Upload!U52&amp;Upload!V52))))),"",0.0012*C62)</f>
        <v/>
      </c>
      <c r="Q62" s="15" t="str">
        <f>IF(OR(E62="",NOT(OR(ISNUMBER(SEARCH("Epóxico MT",Upload!R52&amp;Upload!S52&amp;Upload!T52&amp;Upload!U52&amp;Upload!V52))))),"",E62*0.000035)</f>
        <v/>
      </c>
      <c r="R62" s="15" t="str">
        <f>IF(OR(F62="",NOT(OR(ISNUMBER(SEARCH("Epóxico BT",Upload!S52&amp;Upload!T52&amp;Upload!U52&amp;Upload!V52&amp;Upload!W52))))),"",F62*0.000035)</f>
        <v/>
      </c>
      <c r="S62" s="15" t="str">
        <f>IF(OR(G62="",NOT(OR(ISNUMBER(SEARCH("Epóxico Rojo",Upload!T52&amp;Upload!U52&amp;Upload!V52&amp;Upload!W52&amp;Upload!X52))))),"",G62*0.000035)</f>
        <v/>
      </c>
    </row>
    <row r="63" spans="1:19" x14ac:dyDescent="0.2">
      <c r="A63" s="9" t="e">
        <f t="shared" ca="1" si="0"/>
        <v>#NAME?</v>
      </c>
      <c r="B63" s="9">
        <f>Upload!G53</f>
        <v>0</v>
      </c>
      <c r="C63" s="9">
        <f>Upload!AN53</f>
        <v>0</v>
      </c>
      <c r="D63" s="9">
        <f>Upload!AO53</f>
        <v>0</v>
      </c>
      <c r="E63" s="9">
        <f>Upload!AP53</f>
        <v>0</v>
      </c>
      <c r="F63" s="9" t="str">
        <f>Upload!AK53</f>
        <v/>
      </c>
      <c r="G63" s="9" t="str">
        <f>Upload!AM53</f>
        <v/>
      </c>
      <c r="H63" s="9" t="str">
        <f>Upload!AJ53</f>
        <v>(seleccione)</v>
      </c>
      <c r="I63" s="9" t="str">
        <f>Upload!AL53</f>
        <v>(seleccione)</v>
      </c>
      <c r="K63" s="15" t="str">
        <f t="shared" si="1"/>
        <v/>
      </c>
      <c r="L63" s="15" t="str">
        <f t="shared" si="2"/>
        <v/>
      </c>
      <c r="M63" s="15" t="str">
        <f t="shared" si="3"/>
        <v/>
      </c>
      <c r="N63" s="15" t="str">
        <f t="shared" si="4"/>
        <v/>
      </c>
      <c r="O63" s="15" t="str">
        <f t="shared" si="5"/>
        <v/>
      </c>
      <c r="P63" s="15" t="str">
        <f>IF(OR(C63="",NOT(OR(ISNUMBER(SEARCH("Antitarnish",Upload!R53&amp;Upload!S53&amp;Upload!T53&amp;Upload!U53&amp;Upload!V53)),ISNUMBER(SEARCH("Anti Tarnish",Upload!R53&amp;Upload!S53&amp;Upload!T53&amp;Upload!U53&amp;Upload!V53))))),"",0.0012*C63)</f>
        <v/>
      </c>
      <c r="Q63" s="15" t="str">
        <f>IF(OR(E63="",NOT(OR(ISNUMBER(SEARCH("Epóxico MT",Upload!R53&amp;Upload!S53&amp;Upload!T53&amp;Upload!U53&amp;Upload!V53))))),"",E63*0.000035)</f>
        <v/>
      </c>
      <c r="R63" s="15" t="str">
        <f>IF(OR(F63="",NOT(OR(ISNUMBER(SEARCH("Epóxico BT",Upload!S53&amp;Upload!T53&amp;Upload!U53&amp;Upload!V53&amp;Upload!W53))))),"",F63*0.000035)</f>
        <v/>
      </c>
      <c r="S63" s="15" t="str">
        <f>IF(OR(G63="",NOT(OR(ISNUMBER(SEARCH("Epóxico Rojo",Upload!T53&amp;Upload!U53&amp;Upload!V53&amp;Upload!W53&amp;Upload!X53))))),"",G63*0.000035)</f>
        <v/>
      </c>
    </row>
    <row r="64" spans="1:19" x14ac:dyDescent="0.2">
      <c r="A64" s="9" t="e">
        <f t="shared" ca="1" si="0"/>
        <v>#NAME?</v>
      </c>
      <c r="B64" s="9">
        <f>Upload!G54</f>
        <v>0</v>
      </c>
      <c r="C64" s="9">
        <f>Upload!AN54</f>
        <v>0</v>
      </c>
      <c r="D64" s="9">
        <f>Upload!AO54</f>
        <v>0</v>
      </c>
      <c r="E64" s="9">
        <f>Upload!AP54</f>
        <v>0</v>
      </c>
      <c r="F64" s="9" t="str">
        <f>Upload!AK54</f>
        <v/>
      </c>
      <c r="G64" s="9" t="str">
        <f>Upload!AM54</f>
        <v/>
      </c>
      <c r="H64" s="9" t="str">
        <f>Upload!AJ54</f>
        <v>(seleccione)</v>
      </c>
      <c r="I64" s="9" t="str">
        <f>Upload!AL54</f>
        <v>(seleccione)</v>
      </c>
      <c r="K64" s="15" t="str">
        <f t="shared" si="1"/>
        <v/>
      </c>
      <c r="L64" s="15" t="str">
        <f t="shared" si="2"/>
        <v/>
      </c>
      <c r="M64" s="15" t="str">
        <f t="shared" si="3"/>
        <v/>
      </c>
      <c r="N64" s="15" t="str">
        <f t="shared" si="4"/>
        <v/>
      </c>
      <c r="O64" s="15" t="str">
        <f t="shared" si="5"/>
        <v/>
      </c>
      <c r="P64" s="15" t="str">
        <f>IF(OR(C64="",NOT(OR(ISNUMBER(SEARCH("Antitarnish",Upload!R54&amp;Upload!S54&amp;Upload!T54&amp;Upload!U54&amp;Upload!V54)),ISNUMBER(SEARCH("Anti Tarnish",Upload!R54&amp;Upload!S54&amp;Upload!T54&amp;Upload!U54&amp;Upload!V54))))),"",0.0012*C64)</f>
        <v/>
      </c>
      <c r="Q64" s="15" t="str">
        <f>IF(OR(E64="",NOT(OR(ISNUMBER(SEARCH("Epóxico MT",Upload!R54&amp;Upload!S54&amp;Upload!T54&amp;Upload!U54&amp;Upload!V54))))),"",E64*0.000035)</f>
        <v/>
      </c>
      <c r="R64" s="15" t="str">
        <f>IF(OR(F64="",NOT(OR(ISNUMBER(SEARCH("Epóxico BT",Upload!S54&amp;Upload!T54&amp;Upload!U54&amp;Upload!V54&amp;Upload!W54))))),"",F64*0.000035)</f>
        <v/>
      </c>
      <c r="S64" s="15" t="str">
        <f>IF(OR(G64="",NOT(OR(ISNUMBER(SEARCH("Epóxico Rojo",Upload!T54&amp;Upload!U54&amp;Upload!V54&amp;Upload!W54&amp;Upload!X54))))),"",G64*0.000035)</f>
        <v/>
      </c>
    </row>
    <row r="65" spans="1:19" x14ac:dyDescent="0.2">
      <c r="A65" s="9" t="e">
        <f t="shared" ca="1" si="0"/>
        <v>#NAME?</v>
      </c>
      <c r="B65" s="9">
        <f>Upload!G55</f>
        <v>0</v>
      </c>
      <c r="C65" s="9">
        <f>Upload!AN55</f>
        <v>0</v>
      </c>
      <c r="D65" s="9">
        <f>Upload!AO55</f>
        <v>0</v>
      </c>
      <c r="E65" s="9">
        <f>Upload!AP55</f>
        <v>0</v>
      </c>
      <c r="F65" s="9" t="str">
        <f>Upload!AK55</f>
        <v/>
      </c>
      <c r="G65" s="9" t="str">
        <f>Upload!AM55</f>
        <v/>
      </c>
      <c r="H65" s="9" t="str">
        <f>Upload!AJ55</f>
        <v>(seleccione)</v>
      </c>
      <c r="I65" s="9" t="str">
        <f>Upload!AL55</f>
        <v>(seleccione)</v>
      </c>
      <c r="K65" s="15" t="str">
        <f t="shared" si="1"/>
        <v/>
      </c>
      <c r="L65" s="15" t="str">
        <f t="shared" si="2"/>
        <v/>
      </c>
      <c r="M65" s="15" t="str">
        <f t="shared" si="3"/>
        <v/>
      </c>
      <c r="N65" s="15" t="str">
        <f t="shared" si="4"/>
        <v/>
      </c>
      <c r="O65" s="15" t="str">
        <f t="shared" si="5"/>
        <v/>
      </c>
      <c r="P65" s="15" t="str">
        <f>IF(OR(C65="",NOT(OR(ISNUMBER(SEARCH("Antitarnish",Upload!R55&amp;Upload!S55&amp;Upload!T55&amp;Upload!U55&amp;Upload!V55)),ISNUMBER(SEARCH("Anti Tarnish",Upload!R55&amp;Upload!S55&amp;Upload!T55&amp;Upload!U55&amp;Upload!V55))))),"",0.0012*C65)</f>
        <v/>
      </c>
      <c r="Q65" s="15" t="str">
        <f>IF(OR(E65="",NOT(OR(ISNUMBER(SEARCH("Epóxico MT",Upload!R55&amp;Upload!S55&amp;Upload!T55&amp;Upload!U55&amp;Upload!V55))))),"",E65*0.000035)</f>
        <v/>
      </c>
      <c r="R65" s="15" t="str">
        <f>IF(OR(F65="",NOT(OR(ISNUMBER(SEARCH("Epóxico BT",Upload!S55&amp;Upload!T55&amp;Upload!U55&amp;Upload!V55&amp;Upload!W55))))),"",F65*0.000035)</f>
        <v/>
      </c>
      <c r="S65" s="15" t="str">
        <f>IF(OR(G65="",NOT(OR(ISNUMBER(SEARCH("Epóxico Rojo",Upload!T55&amp;Upload!U55&amp;Upload!V55&amp;Upload!W55&amp;Upload!X55))))),"",G65*0.000035)</f>
        <v/>
      </c>
    </row>
    <row r="66" spans="1:19" x14ac:dyDescent="0.2">
      <c r="A66" s="9" t="e">
        <f t="shared" ca="1" si="0"/>
        <v>#NAME?</v>
      </c>
      <c r="B66" s="9">
        <f>Upload!G56</f>
        <v>0</v>
      </c>
      <c r="C66" s="9">
        <f>Upload!AN56</f>
        <v>0</v>
      </c>
      <c r="D66" s="9">
        <f>Upload!AO56</f>
        <v>0</v>
      </c>
      <c r="E66" s="9">
        <f>Upload!AP56</f>
        <v>0</v>
      </c>
      <c r="F66" s="9" t="str">
        <f>Upload!AK56</f>
        <v/>
      </c>
      <c r="G66" s="9" t="str">
        <f>Upload!AM56</f>
        <v/>
      </c>
      <c r="H66" s="9" t="str">
        <f>Upload!AJ56</f>
        <v>(seleccione)</v>
      </c>
      <c r="I66" s="9" t="str">
        <f>Upload!AL56</f>
        <v>(seleccione)</v>
      </c>
      <c r="K66" s="15" t="str">
        <f t="shared" si="1"/>
        <v/>
      </c>
      <c r="L66" s="15" t="str">
        <f t="shared" si="2"/>
        <v/>
      </c>
      <c r="M66" s="15" t="str">
        <f t="shared" si="3"/>
        <v/>
      </c>
      <c r="N66" s="15" t="str">
        <f t="shared" si="4"/>
        <v/>
      </c>
      <c r="O66" s="15" t="str">
        <f t="shared" si="5"/>
        <v/>
      </c>
      <c r="P66" s="15" t="str">
        <f>IF(OR(C66="",NOT(OR(ISNUMBER(SEARCH("Antitarnish",Upload!R56&amp;Upload!S56&amp;Upload!T56&amp;Upload!U56&amp;Upload!V56)),ISNUMBER(SEARCH("Anti Tarnish",Upload!R56&amp;Upload!S56&amp;Upload!T56&amp;Upload!U56&amp;Upload!V56))))),"",0.0012*C66)</f>
        <v/>
      </c>
      <c r="Q66" s="15" t="str">
        <f>IF(OR(E66="",NOT(OR(ISNUMBER(SEARCH("Epóxico MT",Upload!R56&amp;Upload!S56&amp;Upload!T56&amp;Upload!U56&amp;Upload!V56))))),"",E66*0.000035)</f>
        <v/>
      </c>
      <c r="R66" s="15" t="str">
        <f>IF(OR(F66="",NOT(OR(ISNUMBER(SEARCH("Epóxico BT",Upload!S56&amp;Upload!T56&amp;Upload!U56&amp;Upload!V56&amp;Upload!W56))))),"",F66*0.000035)</f>
        <v/>
      </c>
      <c r="S66" s="15" t="str">
        <f>IF(OR(G66="",NOT(OR(ISNUMBER(SEARCH("Epóxico Rojo",Upload!T56&amp;Upload!U56&amp;Upload!V56&amp;Upload!W56&amp;Upload!X56))))),"",G66*0.000035)</f>
        <v/>
      </c>
    </row>
    <row r="67" spans="1:19" x14ac:dyDescent="0.2">
      <c r="A67" s="9" t="e">
        <f t="shared" ca="1" si="0"/>
        <v>#NAME?</v>
      </c>
      <c r="B67" s="9">
        <f>Upload!G57</f>
        <v>0</v>
      </c>
      <c r="C67" s="9">
        <f>Upload!AN57</f>
        <v>0</v>
      </c>
      <c r="D67" s="9">
        <f>Upload!AO57</f>
        <v>0</v>
      </c>
      <c r="E67" s="9">
        <f>Upload!AP57</f>
        <v>0</v>
      </c>
      <c r="F67" s="9" t="str">
        <f>Upload!AK57</f>
        <v/>
      </c>
      <c r="G67" s="9" t="str">
        <f>Upload!AM57</f>
        <v/>
      </c>
      <c r="H67" s="9" t="str">
        <f>Upload!AJ57</f>
        <v>(seleccione)</v>
      </c>
      <c r="I67" s="9" t="str">
        <f>Upload!AL57</f>
        <v>(seleccione)</v>
      </c>
      <c r="K67" s="15" t="str">
        <f t="shared" si="1"/>
        <v/>
      </c>
      <c r="L67" s="15" t="str">
        <f t="shared" si="2"/>
        <v/>
      </c>
      <c r="M67" s="15" t="str">
        <f t="shared" si="3"/>
        <v/>
      </c>
      <c r="N67" s="15" t="str">
        <f t="shared" si="4"/>
        <v/>
      </c>
      <c r="O67" s="15" t="str">
        <f t="shared" si="5"/>
        <v/>
      </c>
      <c r="P67" s="15" t="str">
        <f>IF(OR(C67="",NOT(OR(ISNUMBER(SEARCH("Antitarnish",Upload!R57&amp;Upload!S57&amp;Upload!T57&amp;Upload!U57&amp;Upload!V57)),ISNUMBER(SEARCH("Anti Tarnish",Upload!R57&amp;Upload!S57&amp;Upload!T57&amp;Upload!U57&amp;Upload!V57))))),"",0.0012*C67)</f>
        <v/>
      </c>
      <c r="Q67" s="15" t="str">
        <f>IF(OR(E67="",NOT(OR(ISNUMBER(SEARCH("Epóxico MT",Upload!R57&amp;Upload!S57&amp;Upload!T57&amp;Upload!U57&amp;Upload!V57))))),"",E67*0.000035)</f>
        <v/>
      </c>
      <c r="R67" s="15" t="str">
        <f>IF(OR(F67="",NOT(OR(ISNUMBER(SEARCH("Epóxico BT",Upload!S57&amp;Upload!T57&amp;Upload!U57&amp;Upload!V57&amp;Upload!W57))))),"",F67*0.000035)</f>
        <v/>
      </c>
      <c r="S67" s="15" t="str">
        <f>IF(OR(G67="",NOT(OR(ISNUMBER(SEARCH("Epóxico Rojo",Upload!T57&amp;Upload!U57&amp;Upload!V57&amp;Upload!W57&amp;Upload!X57))))),"",G67*0.000035)</f>
        <v/>
      </c>
    </row>
    <row r="68" spans="1:19" x14ac:dyDescent="0.2">
      <c r="A68" s="9" t="e">
        <f t="shared" ca="1" si="0"/>
        <v>#NAME?</v>
      </c>
      <c r="B68" s="9">
        <f>Upload!G58</f>
        <v>0</v>
      </c>
      <c r="C68" s="9">
        <f>Upload!AN58</f>
        <v>0</v>
      </c>
      <c r="D68" s="9">
        <f>Upload!AO58</f>
        <v>0</v>
      </c>
      <c r="E68" s="9">
        <f>Upload!AP58</f>
        <v>0</v>
      </c>
      <c r="F68" s="9" t="str">
        <f>Upload!AK58</f>
        <v/>
      </c>
      <c r="G68" s="9" t="str">
        <f>Upload!AM58</f>
        <v/>
      </c>
      <c r="H68" s="9" t="str">
        <f>Upload!AJ58</f>
        <v>(seleccione)</v>
      </c>
      <c r="I68" s="9" t="str">
        <f>Upload!AL58</f>
        <v>(seleccione)</v>
      </c>
      <c r="K68" s="15" t="str">
        <f t="shared" si="1"/>
        <v/>
      </c>
      <c r="L68" s="15" t="str">
        <f t="shared" si="2"/>
        <v/>
      </c>
      <c r="M68" s="15" t="str">
        <f t="shared" si="3"/>
        <v/>
      </c>
      <c r="N68" s="15" t="str">
        <f t="shared" si="4"/>
        <v/>
      </c>
      <c r="O68" s="15" t="str">
        <f t="shared" si="5"/>
        <v/>
      </c>
      <c r="P68" s="15" t="str">
        <f>IF(OR(C68="",NOT(OR(ISNUMBER(SEARCH("Antitarnish",Upload!R58&amp;Upload!S58&amp;Upload!T58&amp;Upload!U58&amp;Upload!V58)),ISNUMBER(SEARCH("Anti Tarnish",Upload!R58&amp;Upload!S58&amp;Upload!T58&amp;Upload!U58&amp;Upload!V58))))),"",0.0012*C68)</f>
        <v/>
      </c>
      <c r="Q68" s="15" t="str">
        <f>IF(OR(E68="",NOT(OR(ISNUMBER(SEARCH("Epóxico MT",Upload!R58&amp;Upload!S58&amp;Upload!T58&amp;Upload!U58&amp;Upload!V58))))),"",E68*0.000035)</f>
        <v/>
      </c>
      <c r="R68" s="15" t="str">
        <f>IF(OR(F68="",NOT(OR(ISNUMBER(SEARCH("Epóxico BT",Upload!S58&amp;Upload!T58&amp;Upload!U58&amp;Upload!V58&amp;Upload!W58))))),"",F68*0.000035)</f>
        <v/>
      </c>
      <c r="S68" s="15" t="str">
        <f>IF(OR(G68="",NOT(OR(ISNUMBER(SEARCH("Epóxico Rojo",Upload!T58&amp;Upload!U58&amp;Upload!V58&amp;Upload!W58&amp;Upload!X58))))),"",G68*0.000035)</f>
        <v/>
      </c>
    </row>
    <row r="69" spans="1:19" x14ac:dyDescent="0.2">
      <c r="A69" s="9" t="e">
        <f t="shared" ca="1" si="0"/>
        <v>#NAME?</v>
      </c>
      <c r="B69" s="9">
        <f>Upload!G59</f>
        <v>0</v>
      </c>
      <c r="C69" s="9">
        <f>Upload!AN59</f>
        <v>0</v>
      </c>
      <c r="D69" s="9">
        <f>Upload!AO59</f>
        <v>0</v>
      </c>
      <c r="E69" s="9">
        <f>Upload!AP59</f>
        <v>0</v>
      </c>
      <c r="F69" s="9" t="str">
        <f>Upload!AK59</f>
        <v/>
      </c>
      <c r="G69" s="9" t="str">
        <f>Upload!AM59</f>
        <v/>
      </c>
      <c r="H69" s="9" t="str">
        <f>Upload!AJ59</f>
        <v>(seleccione)</v>
      </c>
      <c r="I69" s="9" t="str">
        <f>Upload!AL59</f>
        <v>(seleccione)</v>
      </c>
      <c r="K69" s="15" t="str">
        <f t="shared" si="1"/>
        <v/>
      </c>
      <c r="L69" s="15" t="str">
        <f t="shared" si="2"/>
        <v/>
      </c>
      <c r="M69" s="15" t="str">
        <f t="shared" si="3"/>
        <v/>
      </c>
      <c r="N69" s="15" t="str">
        <f t="shared" si="4"/>
        <v/>
      </c>
      <c r="O69" s="15" t="str">
        <f t="shared" si="5"/>
        <v/>
      </c>
      <c r="P69" s="15" t="str">
        <f>IF(OR(C69="",NOT(OR(ISNUMBER(SEARCH("Antitarnish",Upload!R59&amp;Upload!S59&amp;Upload!T59&amp;Upload!U59&amp;Upload!V59)),ISNUMBER(SEARCH("Anti Tarnish",Upload!R59&amp;Upload!S59&amp;Upload!T59&amp;Upload!U59&amp;Upload!V59))))),"",0.0012*C69)</f>
        <v/>
      </c>
      <c r="Q69" s="15" t="str">
        <f>IF(OR(E69="",NOT(OR(ISNUMBER(SEARCH("Epóxico MT",Upload!R59&amp;Upload!S59&amp;Upload!T59&amp;Upload!U59&amp;Upload!V59))))),"",E69*0.000035)</f>
        <v/>
      </c>
      <c r="R69" s="15" t="str">
        <f>IF(OR(F69="",NOT(OR(ISNUMBER(SEARCH("Epóxico BT",Upload!S59&amp;Upload!T59&amp;Upload!U59&amp;Upload!V59&amp;Upload!W59))))),"",F69*0.000035)</f>
        <v/>
      </c>
      <c r="S69" s="15" t="str">
        <f>IF(OR(G69="",NOT(OR(ISNUMBER(SEARCH("Epóxico Rojo",Upload!T59&amp;Upload!U59&amp;Upload!V59&amp;Upload!W59&amp;Upload!X59))))),"",G69*0.000035)</f>
        <v/>
      </c>
    </row>
    <row r="70" spans="1:19" x14ac:dyDescent="0.2">
      <c r="A70" s="9" t="e">
        <f t="shared" ca="1" si="0"/>
        <v>#NAME?</v>
      </c>
      <c r="B70" s="9">
        <f>Upload!G60</f>
        <v>0</v>
      </c>
      <c r="C70" s="9">
        <f>Upload!AN60</f>
        <v>0</v>
      </c>
      <c r="D70" s="9">
        <f>Upload!AO60</f>
        <v>0</v>
      </c>
      <c r="E70" s="9">
        <f>Upload!AP60</f>
        <v>0</v>
      </c>
      <c r="F70" s="9" t="str">
        <f>Upload!AK60</f>
        <v/>
      </c>
      <c r="G70" s="9" t="str">
        <f>Upload!AM60</f>
        <v/>
      </c>
      <c r="H70" s="9" t="str">
        <f>Upload!AJ60</f>
        <v>(seleccione)</v>
      </c>
      <c r="I70" s="9" t="str">
        <f>Upload!AL60</f>
        <v>(seleccione)</v>
      </c>
      <c r="K70" s="15" t="str">
        <f t="shared" si="1"/>
        <v/>
      </c>
      <c r="L70" s="15" t="str">
        <f t="shared" si="2"/>
        <v/>
      </c>
      <c r="M70" s="15" t="str">
        <f t="shared" si="3"/>
        <v/>
      </c>
      <c r="N70" s="15" t="str">
        <f t="shared" si="4"/>
        <v/>
      </c>
      <c r="O70" s="15" t="str">
        <f t="shared" si="5"/>
        <v/>
      </c>
      <c r="P70" s="15" t="str">
        <f>IF(OR(C70="",NOT(OR(ISNUMBER(SEARCH("Antitarnish",Upload!R60&amp;Upload!S60&amp;Upload!T60&amp;Upload!U60&amp;Upload!V60)),ISNUMBER(SEARCH("Anti Tarnish",Upload!R60&amp;Upload!S60&amp;Upload!T60&amp;Upload!U60&amp;Upload!V60))))),"",0.0012*C70)</f>
        <v/>
      </c>
      <c r="Q70" s="15" t="str">
        <f>IF(OR(E70="",NOT(OR(ISNUMBER(SEARCH("Epóxico MT",Upload!R60&amp;Upload!S60&amp;Upload!T60&amp;Upload!U60&amp;Upload!V60))))),"",E70*0.000035)</f>
        <v/>
      </c>
      <c r="R70" s="15" t="str">
        <f>IF(OR(F70="",NOT(OR(ISNUMBER(SEARCH("Epóxico BT",Upload!S60&amp;Upload!T60&amp;Upload!U60&amp;Upload!V60&amp;Upload!W60))))),"",F70*0.000035)</f>
        <v/>
      </c>
      <c r="S70" s="15" t="str">
        <f>IF(OR(G70="",NOT(OR(ISNUMBER(SEARCH("Epóxico Rojo",Upload!T60&amp;Upload!U60&amp;Upload!V60&amp;Upload!W60&amp;Upload!X60))))),"",G70*0.000035)</f>
        <v/>
      </c>
    </row>
    <row r="71" spans="1:19" x14ac:dyDescent="0.2">
      <c r="A71" s="9" t="e">
        <f t="shared" ca="1" si="0"/>
        <v>#NAME?</v>
      </c>
      <c r="B71" s="9">
        <f>Upload!G61</f>
        <v>0</v>
      </c>
      <c r="C71" s="9">
        <f>Upload!AN61</f>
        <v>0</v>
      </c>
      <c r="D71" s="9">
        <f>Upload!AO61</f>
        <v>0</v>
      </c>
      <c r="E71" s="9">
        <f>Upload!AP61</f>
        <v>0</v>
      </c>
      <c r="F71" s="9" t="str">
        <f>Upload!AK61</f>
        <v/>
      </c>
      <c r="G71" s="9" t="str">
        <f>Upload!AM61</f>
        <v/>
      </c>
      <c r="H71" s="9" t="str">
        <f>Upload!AJ61</f>
        <v>(seleccione)</v>
      </c>
      <c r="I71" s="9" t="str">
        <f>Upload!AL61</f>
        <v>(seleccione)</v>
      </c>
      <c r="K71" s="15" t="str">
        <f t="shared" si="1"/>
        <v/>
      </c>
      <c r="L71" s="15" t="str">
        <f t="shared" si="2"/>
        <v/>
      </c>
      <c r="M71" s="15" t="str">
        <f t="shared" si="3"/>
        <v/>
      </c>
      <c r="N71" s="15" t="str">
        <f t="shared" si="4"/>
        <v/>
      </c>
      <c r="O71" s="15" t="str">
        <f t="shared" si="5"/>
        <v/>
      </c>
      <c r="P71" s="15" t="str">
        <f>IF(OR(C71="",NOT(OR(ISNUMBER(SEARCH("Antitarnish",Upload!R61&amp;Upload!S61&amp;Upload!T61&amp;Upload!U61&amp;Upload!V61)),ISNUMBER(SEARCH("Anti Tarnish",Upload!R61&amp;Upload!S61&amp;Upload!T61&amp;Upload!U61&amp;Upload!V61))))),"",0.0012*C71)</f>
        <v/>
      </c>
      <c r="Q71" s="15" t="str">
        <f>IF(OR(E71="",NOT(OR(ISNUMBER(SEARCH("Epóxico MT",Upload!R61&amp;Upload!S61&amp;Upload!T61&amp;Upload!U61&amp;Upload!V61))))),"",E71*0.000035)</f>
        <v/>
      </c>
      <c r="R71" s="15" t="str">
        <f>IF(OR(F71="",NOT(OR(ISNUMBER(SEARCH("Epóxico BT",Upload!S61&amp;Upload!T61&amp;Upload!U61&amp;Upload!V61&amp;Upload!W61))))),"",F71*0.000035)</f>
        <v/>
      </c>
      <c r="S71" s="15" t="str">
        <f>IF(OR(G71="",NOT(OR(ISNUMBER(SEARCH("Epóxico Rojo",Upload!T61&amp;Upload!U61&amp;Upload!V61&amp;Upload!W61&amp;Upload!X61))))),"",G71*0.000035)</f>
        <v/>
      </c>
    </row>
    <row r="72" spans="1:19" x14ac:dyDescent="0.2">
      <c r="A72" s="9" t="e">
        <f t="shared" ca="1" si="0"/>
        <v>#NAME?</v>
      </c>
      <c r="B72" s="9">
        <f>Upload!G62</f>
        <v>0</v>
      </c>
      <c r="C72" s="9">
        <f>Upload!AN62</f>
        <v>0</v>
      </c>
      <c r="D72" s="9">
        <f>Upload!AO62</f>
        <v>0</v>
      </c>
      <c r="E72" s="9">
        <f>Upload!AP62</f>
        <v>0</v>
      </c>
      <c r="F72" s="9" t="str">
        <f>Upload!AK62</f>
        <v/>
      </c>
      <c r="G72" s="9" t="str">
        <f>Upload!AM62</f>
        <v/>
      </c>
      <c r="H72" s="9" t="str">
        <f>Upload!AJ62</f>
        <v>(seleccione)</v>
      </c>
      <c r="I72" s="9" t="str">
        <f>Upload!AL62</f>
        <v>(seleccione)</v>
      </c>
      <c r="K72" s="15" t="str">
        <f t="shared" si="1"/>
        <v/>
      </c>
      <c r="L72" s="15" t="str">
        <f t="shared" si="2"/>
        <v/>
      </c>
      <c r="M72" s="15" t="str">
        <f t="shared" si="3"/>
        <v/>
      </c>
      <c r="N72" s="15" t="str">
        <f t="shared" si="4"/>
        <v/>
      </c>
      <c r="O72" s="15" t="str">
        <f t="shared" si="5"/>
        <v/>
      </c>
      <c r="P72" s="15" t="str">
        <f>IF(OR(C72="",NOT(OR(ISNUMBER(SEARCH("Antitarnish",Upload!R62&amp;Upload!S62&amp;Upload!T62&amp;Upload!U62&amp;Upload!V62)),ISNUMBER(SEARCH("Anti Tarnish",Upload!R62&amp;Upload!S62&amp;Upload!T62&amp;Upload!U62&amp;Upload!V62))))),"",0.0012*C72)</f>
        <v/>
      </c>
      <c r="Q72" s="15" t="str">
        <f>IF(OR(E72="",NOT(OR(ISNUMBER(SEARCH("Epóxico MT",Upload!R62&amp;Upload!S62&amp;Upload!T62&amp;Upload!U62&amp;Upload!V62))))),"",E72*0.000035)</f>
        <v/>
      </c>
      <c r="R72" s="15" t="str">
        <f>IF(OR(F72="",NOT(OR(ISNUMBER(SEARCH("Epóxico BT",Upload!S62&amp;Upload!T62&amp;Upload!U62&amp;Upload!V62&amp;Upload!W62))))),"",F72*0.000035)</f>
        <v/>
      </c>
      <c r="S72" s="15" t="str">
        <f>IF(OR(G72="",NOT(OR(ISNUMBER(SEARCH("Epóxico Rojo",Upload!T62&amp;Upload!U62&amp;Upload!V62&amp;Upload!W62&amp;Upload!X62))))),"",G72*0.000035)</f>
        <v/>
      </c>
    </row>
    <row r="73" spans="1:19" x14ac:dyDescent="0.2">
      <c r="A73" s="9" t="e">
        <f t="shared" ca="1" si="0"/>
        <v>#NAME?</v>
      </c>
      <c r="B73" s="9">
        <f>Upload!G63</f>
        <v>0</v>
      </c>
      <c r="C73" s="9">
        <f>Upload!AN63</f>
        <v>0</v>
      </c>
      <c r="D73" s="9">
        <f>Upload!AO63</f>
        <v>0</v>
      </c>
      <c r="E73" s="9">
        <f>Upload!AP63</f>
        <v>0</v>
      </c>
      <c r="F73" s="9" t="str">
        <f>Upload!AK63</f>
        <v/>
      </c>
      <c r="G73" s="9" t="str">
        <f>Upload!AM63</f>
        <v/>
      </c>
      <c r="H73" s="9" t="str">
        <f>Upload!AJ63</f>
        <v>(seleccione)</v>
      </c>
      <c r="I73" s="9" t="str">
        <f>Upload!AL63</f>
        <v>(seleccione)</v>
      </c>
      <c r="K73" s="15" t="str">
        <f t="shared" si="1"/>
        <v/>
      </c>
      <c r="L73" s="15" t="str">
        <f t="shared" si="2"/>
        <v/>
      </c>
      <c r="M73" s="15" t="str">
        <f t="shared" si="3"/>
        <v/>
      </c>
      <c r="N73" s="15" t="str">
        <f t="shared" si="4"/>
        <v/>
      </c>
      <c r="O73" s="15" t="str">
        <f t="shared" si="5"/>
        <v/>
      </c>
      <c r="P73" s="15" t="str">
        <f>IF(OR(C73="",NOT(OR(ISNUMBER(SEARCH("Antitarnish",Upload!R63&amp;Upload!S63&amp;Upload!T63&amp;Upload!U63&amp;Upload!V63)),ISNUMBER(SEARCH("Anti Tarnish",Upload!R63&amp;Upload!S63&amp;Upload!T63&amp;Upload!U63&amp;Upload!V63))))),"",0.0012*C73)</f>
        <v/>
      </c>
      <c r="Q73" s="15" t="str">
        <f>IF(OR(E73="",NOT(OR(ISNUMBER(SEARCH("Epóxico MT",Upload!R63&amp;Upload!S63&amp;Upload!T63&amp;Upload!U63&amp;Upload!V63))))),"",E73*0.000035)</f>
        <v/>
      </c>
      <c r="R73" s="15" t="str">
        <f>IF(OR(F73="",NOT(OR(ISNUMBER(SEARCH("Epóxico BT",Upload!S63&amp;Upload!T63&amp;Upload!U63&amp;Upload!V63&amp;Upload!W63))))),"",F73*0.000035)</f>
        <v/>
      </c>
      <c r="S73" s="15" t="str">
        <f>IF(OR(G73="",NOT(OR(ISNUMBER(SEARCH("Epóxico Rojo",Upload!T63&amp;Upload!U63&amp;Upload!V63&amp;Upload!W63&amp;Upload!X63))))),"",G73*0.000035)</f>
        <v/>
      </c>
    </row>
    <row r="74" spans="1:19" x14ac:dyDescent="0.2">
      <c r="A74" s="9" t="e">
        <f t="shared" ca="1" si="0"/>
        <v>#NAME?</v>
      </c>
      <c r="B74" s="9">
        <f>Upload!G64</f>
        <v>0</v>
      </c>
      <c r="C74" s="9">
        <f>Upload!AN64</f>
        <v>0</v>
      </c>
      <c r="D74" s="9">
        <f>Upload!AO64</f>
        <v>0</v>
      </c>
      <c r="E74" s="9">
        <f>Upload!AP64</f>
        <v>0</v>
      </c>
      <c r="F74" s="9" t="str">
        <f>Upload!AK64</f>
        <v/>
      </c>
      <c r="G74" s="9" t="str">
        <f>Upload!AM64</f>
        <v/>
      </c>
      <c r="H74" s="9" t="str">
        <f>Upload!AJ64</f>
        <v>(seleccione)</v>
      </c>
      <c r="I74" s="9" t="str">
        <f>Upload!AL64</f>
        <v>(seleccione)</v>
      </c>
      <c r="K74" s="15" t="str">
        <f t="shared" si="1"/>
        <v/>
      </c>
      <c r="L74" s="15" t="str">
        <f t="shared" si="2"/>
        <v/>
      </c>
      <c r="M74" s="15" t="str">
        <f t="shared" si="3"/>
        <v/>
      </c>
      <c r="N74" s="15" t="str">
        <f t="shared" si="4"/>
        <v/>
      </c>
      <c r="O74" s="15" t="str">
        <f t="shared" si="5"/>
        <v/>
      </c>
      <c r="P74" s="15" t="str">
        <f>IF(OR(C74="",NOT(OR(ISNUMBER(SEARCH("Antitarnish",Upload!R64&amp;Upload!S64&amp;Upload!T64&amp;Upload!U64&amp;Upload!V64)),ISNUMBER(SEARCH("Anti Tarnish",Upload!R64&amp;Upload!S64&amp;Upload!T64&amp;Upload!U64&amp;Upload!V64))))),"",0.0012*C74)</f>
        <v/>
      </c>
      <c r="Q74" s="15" t="str">
        <f>IF(OR(E74="",NOT(OR(ISNUMBER(SEARCH("Epóxico MT",Upload!R64&amp;Upload!S64&amp;Upload!T64&amp;Upload!U64&amp;Upload!V64))))),"",E74*0.000035)</f>
        <v/>
      </c>
      <c r="R74" s="15" t="str">
        <f>IF(OR(F74="",NOT(OR(ISNUMBER(SEARCH("Epóxico BT",Upload!S64&amp;Upload!T64&amp;Upload!U64&amp;Upload!V64&amp;Upload!W64))))),"",F74*0.000035)</f>
        <v/>
      </c>
      <c r="S74" s="15" t="str">
        <f>IF(OR(G74="",NOT(OR(ISNUMBER(SEARCH("Epóxico Rojo",Upload!T64&amp;Upload!U64&amp;Upload!V64&amp;Upload!W64&amp;Upload!X64))))),"",G74*0.000035)</f>
        <v/>
      </c>
    </row>
    <row r="75" spans="1:19" x14ac:dyDescent="0.2">
      <c r="A75" s="9" t="e">
        <f t="shared" ca="1" si="0"/>
        <v>#NAME?</v>
      </c>
      <c r="B75" s="9">
        <f>Upload!G65</f>
        <v>0</v>
      </c>
      <c r="C75" s="9">
        <f>Upload!AN65</f>
        <v>0</v>
      </c>
      <c r="D75" s="9">
        <f>Upload!AO65</f>
        <v>0</v>
      </c>
      <c r="E75" s="9">
        <f>Upload!AP65</f>
        <v>0</v>
      </c>
      <c r="F75" s="9" t="str">
        <f>Upload!AK65</f>
        <v/>
      </c>
      <c r="G75" s="9" t="str">
        <f>Upload!AM65</f>
        <v/>
      </c>
      <c r="H75" s="9" t="str">
        <f>Upload!AJ65</f>
        <v>(seleccione)</v>
      </c>
      <c r="I75" s="9" t="str">
        <f>Upload!AL65</f>
        <v>(seleccione)</v>
      </c>
      <c r="K75" s="15" t="str">
        <f t="shared" si="1"/>
        <v/>
      </c>
      <c r="L75" s="15" t="str">
        <f t="shared" si="2"/>
        <v/>
      </c>
      <c r="M75" s="15" t="str">
        <f t="shared" si="3"/>
        <v/>
      </c>
      <c r="N75" s="15" t="str">
        <f t="shared" si="4"/>
        <v/>
      </c>
      <c r="O75" s="15" t="str">
        <f t="shared" si="5"/>
        <v/>
      </c>
      <c r="P75" s="15" t="str">
        <f>IF(OR(C75="",NOT(OR(ISNUMBER(SEARCH("Antitarnish",Upload!R65&amp;Upload!S65&amp;Upload!T65&amp;Upload!U65&amp;Upload!V65)),ISNUMBER(SEARCH("Anti Tarnish",Upload!R65&amp;Upload!S65&amp;Upload!T65&amp;Upload!U65&amp;Upload!V65))))),"",0.0012*C75)</f>
        <v/>
      </c>
      <c r="Q75" s="15" t="str">
        <f>IF(OR(E75="",NOT(OR(ISNUMBER(SEARCH("Epóxico MT",Upload!R65&amp;Upload!S65&amp;Upload!T65&amp;Upload!U65&amp;Upload!V65))))),"",E75*0.000035)</f>
        <v/>
      </c>
      <c r="R75" s="15" t="str">
        <f>IF(OR(F75="",NOT(OR(ISNUMBER(SEARCH("Epóxico BT",Upload!S65&amp;Upload!T65&amp;Upload!U65&amp;Upload!V65&amp;Upload!W65))))),"",F75*0.000035)</f>
        <v/>
      </c>
      <c r="S75" s="15" t="str">
        <f>IF(OR(G75="",NOT(OR(ISNUMBER(SEARCH("Epóxico Rojo",Upload!T65&amp;Upload!U65&amp;Upload!V65&amp;Upload!W65&amp;Upload!X65))))),"",G75*0.000035)</f>
        <v/>
      </c>
    </row>
    <row r="76" spans="1:19" x14ac:dyDescent="0.2">
      <c r="A76" s="9" t="e">
        <f t="shared" ca="1" si="0"/>
        <v>#NAME?</v>
      </c>
      <c r="B76" s="9">
        <f>Upload!G66</f>
        <v>0</v>
      </c>
      <c r="C76" s="9">
        <f>Upload!AN66</f>
        <v>0</v>
      </c>
      <c r="D76" s="9">
        <f>Upload!AO66</f>
        <v>0</v>
      </c>
      <c r="E76" s="9">
        <f>Upload!AP66</f>
        <v>0</v>
      </c>
      <c r="F76" s="9" t="str">
        <f>Upload!AK66</f>
        <v/>
      </c>
      <c r="G76" s="9" t="str">
        <f>Upload!AM66</f>
        <v/>
      </c>
      <c r="H76" s="9" t="str">
        <f>Upload!AJ66</f>
        <v>(seleccione)</v>
      </c>
      <c r="I76" s="9" t="str">
        <f>Upload!AL66</f>
        <v>(seleccione)</v>
      </c>
      <c r="K76" s="15" t="str">
        <f t="shared" si="1"/>
        <v/>
      </c>
      <c r="L76" s="15" t="str">
        <f t="shared" si="2"/>
        <v/>
      </c>
      <c r="M76" s="15" t="str">
        <f t="shared" si="3"/>
        <v/>
      </c>
      <c r="N76" s="15" t="str">
        <f t="shared" si="4"/>
        <v/>
      </c>
      <c r="O76" s="15" t="str">
        <f t="shared" si="5"/>
        <v/>
      </c>
      <c r="P76" s="15" t="str">
        <f>IF(OR(C76="",NOT(OR(ISNUMBER(SEARCH("Antitarnish",Upload!R66&amp;Upload!S66&amp;Upload!T66&amp;Upload!U66&amp;Upload!V66)),ISNUMBER(SEARCH("Anti Tarnish",Upload!R66&amp;Upload!S66&amp;Upload!T66&amp;Upload!U66&amp;Upload!V66))))),"",0.0012*C76)</f>
        <v/>
      </c>
      <c r="Q76" s="15" t="str">
        <f>IF(OR(E76="",NOT(OR(ISNUMBER(SEARCH("Epóxico MT",Upload!R66&amp;Upload!S66&amp;Upload!T66&amp;Upload!U66&amp;Upload!V66))))),"",E76*0.000035)</f>
        <v/>
      </c>
      <c r="R76" s="15" t="str">
        <f>IF(OR(F76="",NOT(OR(ISNUMBER(SEARCH("Epóxico BT",Upload!S66&amp;Upload!T66&amp;Upload!U66&amp;Upload!V66&amp;Upload!W66))))),"",F76*0.000035)</f>
        <v/>
      </c>
      <c r="S76" s="15" t="str">
        <f>IF(OR(G76="",NOT(OR(ISNUMBER(SEARCH("Epóxico Rojo",Upload!T66&amp;Upload!U66&amp;Upload!V66&amp;Upload!W66&amp;Upload!X66))))),"",G76*0.000035)</f>
        <v/>
      </c>
    </row>
    <row r="77" spans="1:19" x14ac:dyDescent="0.2">
      <c r="A77" s="9" t="e">
        <f t="shared" ca="1" si="0"/>
        <v>#NAME?</v>
      </c>
      <c r="B77" s="9">
        <f>Upload!G67</f>
        <v>0</v>
      </c>
      <c r="C77" s="9">
        <f>Upload!AN67</f>
        <v>0</v>
      </c>
      <c r="D77" s="9">
        <f>Upload!AO67</f>
        <v>0</v>
      </c>
      <c r="E77" s="9">
        <f>Upload!AP67</f>
        <v>0</v>
      </c>
      <c r="F77" s="9" t="str">
        <f>Upload!AK67</f>
        <v/>
      </c>
      <c r="G77" s="9" t="str">
        <f>Upload!AM67</f>
        <v/>
      </c>
      <c r="H77" s="9" t="str">
        <f>Upload!AJ67</f>
        <v>(seleccione)</v>
      </c>
      <c r="I77" s="9" t="str">
        <f>Upload!AL67</f>
        <v>(seleccione)</v>
      </c>
      <c r="K77" s="15" t="str">
        <f t="shared" si="1"/>
        <v/>
      </c>
      <c r="L77" s="15" t="str">
        <f t="shared" si="2"/>
        <v/>
      </c>
      <c r="M77" s="15" t="str">
        <f t="shared" si="3"/>
        <v/>
      </c>
      <c r="N77" s="15" t="str">
        <f t="shared" si="4"/>
        <v/>
      </c>
      <c r="O77" s="15" t="str">
        <f t="shared" si="5"/>
        <v/>
      </c>
      <c r="P77" s="15" t="str">
        <f>IF(OR(C77="",NOT(OR(ISNUMBER(SEARCH("Antitarnish",Upload!R67&amp;Upload!S67&amp;Upload!T67&amp;Upload!U67&amp;Upload!V67)),ISNUMBER(SEARCH("Anti Tarnish",Upload!R67&amp;Upload!S67&amp;Upload!T67&amp;Upload!U67&amp;Upload!V67))))),"",0.0012*C77)</f>
        <v/>
      </c>
      <c r="Q77" s="15" t="str">
        <f>IF(OR(E77="",NOT(OR(ISNUMBER(SEARCH("Epóxico MT",Upload!R67&amp;Upload!S67&amp;Upload!T67&amp;Upload!U67&amp;Upload!V67))))),"",E77*0.000035)</f>
        <v/>
      </c>
      <c r="R77" s="15" t="str">
        <f>IF(OR(F77="",NOT(OR(ISNUMBER(SEARCH("Epóxico BT",Upload!S67&amp;Upload!T67&amp;Upload!U67&amp;Upload!V67&amp;Upload!W67))))),"",F77*0.000035)</f>
        <v/>
      </c>
      <c r="S77" s="15" t="str">
        <f>IF(OR(G77="",NOT(OR(ISNUMBER(SEARCH("Epóxico Rojo",Upload!T67&amp;Upload!U67&amp;Upload!V67&amp;Upload!W67&amp;Upload!X67))))),"",G77*0.000035)</f>
        <v/>
      </c>
    </row>
    <row r="78" spans="1:19" x14ac:dyDescent="0.2">
      <c r="A78" s="9" t="e">
        <f t="shared" ca="1" si="0"/>
        <v>#NAME?</v>
      </c>
      <c r="B78" s="9">
        <f>Upload!G68</f>
        <v>0</v>
      </c>
      <c r="C78" s="9">
        <f>Upload!AN68</f>
        <v>0</v>
      </c>
      <c r="D78" s="9">
        <f>Upload!AO68</f>
        <v>0</v>
      </c>
      <c r="E78" s="9">
        <f>Upload!AP68</f>
        <v>0</v>
      </c>
      <c r="F78" s="9" t="str">
        <f>Upload!AK68</f>
        <v/>
      </c>
      <c r="G78" s="9" t="str">
        <f>Upload!AM68</f>
        <v/>
      </c>
      <c r="H78" s="9" t="str">
        <f>Upload!AJ68</f>
        <v>(seleccione)</v>
      </c>
      <c r="I78" s="9" t="str">
        <f>Upload!AL68</f>
        <v>(seleccione)</v>
      </c>
      <c r="K78" s="15" t="str">
        <f t="shared" si="1"/>
        <v/>
      </c>
      <c r="L78" s="15" t="str">
        <f t="shared" si="2"/>
        <v/>
      </c>
      <c r="M78" s="15" t="str">
        <f t="shared" si="3"/>
        <v/>
      </c>
      <c r="N78" s="15" t="str">
        <f t="shared" si="4"/>
        <v/>
      </c>
      <c r="O78" s="15" t="str">
        <f t="shared" si="5"/>
        <v/>
      </c>
      <c r="P78" s="15" t="str">
        <f>IF(OR(C78="",NOT(OR(ISNUMBER(SEARCH("Antitarnish",Upload!R68&amp;Upload!S68&amp;Upload!T68&amp;Upload!U68&amp;Upload!V68)),ISNUMBER(SEARCH("Anti Tarnish",Upload!R68&amp;Upload!S68&amp;Upload!T68&amp;Upload!U68&amp;Upload!V68))))),"",0.0012*C78)</f>
        <v/>
      </c>
      <c r="Q78" s="15" t="str">
        <f>IF(OR(E78="",NOT(OR(ISNUMBER(SEARCH("Epóxico MT",Upload!R68&amp;Upload!S68&amp;Upload!T68&amp;Upload!U68&amp;Upload!V68))))),"",E78*0.000035)</f>
        <v/>
      </c>
      <c r="R78" s="15" t="str">
        <f>IF(OR(F78="",NOT(OR(ISNUMBER(SEARCH("Epóxico BT",Upload!S68&amp;Upload!T68&amp;Upload!U68&amp;Upload!V68&amp;Upload!W68))))),"",F78*0.000035)</f>
        <v/>
      </c>
      <c r="S78" s="15" t="str">
        <f>IF(OR(G78="",NOT(OR(ISNUMBER(SEARCH("Epóxico Rojo",Upload!T68&amp;Upload!U68&amp;Upload!V68&amp;Upload!W68&amp;Upload!X68))))),"",G78*0.000035)</f>
        <v/>
      </c>
    </row>
    <row r="79" spans="1:19" x14ac:dyDescent="0.2">
      <c r="A79" s="9" t="e">
        <f t="shared" ca="1" si="0"/>
        <v>#NAME?</v>
      </c>
      <c r="B79" s="9">
        <f>Upload!G69</f>
        <v>0</v>
      </c>
      <c r="C79" s="9">
        <f>Upload!AN69</f>
        <v>0</v>
      </c>
      <c r="D79" s="9">
        <f>Upload!AO69</f>
        <v>0</v>
      </c>
      <c r="E79" s="9">
        <f>Upload!AP69</f>
        <v>0</v>
      </c>
      <c r="F79" s="9" t="str">
        <f>Upload!AK69</f>
        <v/>
      </c>
      <c r="G79" s="9" t="str">
        <f>Upload!AM69</f>
        <v/>
      </c>
      <c r="H79" s="9" t="str">
        <f>Upload!AJ69</f>
        <v>(seleccione)</v>
      </c>
      <c r="I79" s="9" t="str">
        <f>Upload!AL69</f>
        <v>(seleccione)</v>
      </c>
      <c r="K79" s="15" t="str">
        <f t="shared" si="1"/>
        <v/>
      </c>
      <c r="L79" s="15" t="str">
        <f t="shared" si="2"/>
        <v/>
      </c>
      <c r="M79" s="15" t="str">
        <f t="shared" si="3"/>
        <v/>
      </c>
      <c r="N79" s="15" t="str">
        <f t="shared" si="4"/>
        <v/>
      </c>
      <c r="O79" s="15" t="str">
        <f t="shared" si="5"/>
        <v/>
      </c>
      <c r="P79" s="15" t="str">
        <f>IF(OR(C79="",NOT(OR(ISNUMBER(SEARCH("Antitarnish",Upload!R69&amp;Upload!S69&amp;Upload!T69&amp;Upload!U69&amp;Upload!V69)),ISNUMBER(SEARCH("Anti Tarnish",Upload!R69&amp;Upload!S69&amp;Upload!T69&amp;Upload!U69&amp;Upload!V69))))),"",0.0012*C79)</f>
        <v/>
      </c>
      <c r="Q79" s="15" t="str">
        <f>IF(OR(E79="",NOT(OR(ISNUMBER(SEARCH("Epóxico MT",Upload!R69&amp;Upload!S69&amp;Upload!T69&amp;Upload!U69&amp;Upload!V69))))),"",E79*0.000035)</f>
        <v/>
      </c>
      <c r="R79" s="15" t="str">
        <f>IF(OR(F79="",NOT(OR(ISNUMBER(SEARCH("Epóxico BT",Upload!S69&amp;Upload!T69&amp;Upload!U69&amp;Upload!V69&amp;Upload!W69))))),"",F79*0.000035)</f>
        <v/>
      </c>
      <c r="S79" s="15" t="str">
        <f>IF(OR(G79="",NOT(OR(ISNUMBER(SEARCH("Epóxico Rojo",Upload!T69&amp;Upload!U69&amp;Upload!V69&amp;Upload!W69&amp;Upload!X69))))),"",G79*0.000035)</f>
        <v/>
      </c>
    </row>
    <row r="80" spans="1:19" x14ac:dyDescent="0.2">
      <c r="A80" s="9" t="e">
        <f t="shared" ca="1" si="0"/>
        <v>#NAME?</v>
      </c>
      <c r="B80" s="9">
        <f>Upload!G70</f>
        <v>0</v>
      </c>
      <c r="C80" s="9">
        <f>Upload!AN70</f>
        <v>0</v>
      </c>
      <c r="D80" s="9">
        <f>Upload!AO70</f>
        <v>0</v>
      </c>
      <c r="E80" s="9">
        <f>Upload!AP70</f>
        <v>0</v>
      </c>
      <c r="F80" s="9" t="str">
        <f>Upload!AK70</f>
        <v/>
      </c>
      <c r="G80" s="9" t="str">
        <f>Upload!AM70</f>
        <v/>
      </c>
      <c r="H80" s="9" t="str">
        <f>Upload!AJ70</f>
        <v>(seleccione)</v>
      </c>
      <c r="I80" s="9" t="str">
        <f>Upload!AL70</f>
        <v>(seleccione)</v>
      </c>
      <c r="K80" s="15" t="str">
        <f t="shared" si="1"/>
        <v/>
      </c>
      <c r="L80" s="15" t="str">
        <f t="shared" si="2"/>
        <v/>
      </c>
      <c r="M80" s="15" t="str">
        <f t="shared" si="3"/>
        <v/>
      </c>
      <c r="N80" s="15" t="str">
        <f t="shared" si="4"/>
        <v/>
      </c>
      <c r="O80" s="15" t="str">
        <f t="shared" si="5"/>
        <v/>
      </c>
      <c r="P80" s="15" t="str">
        <f>IF(OR(C80="",NOT(OR(ISNUMBER(SEARCH("Antitarnish",Upload!R70&amp;Upload!S70&amp;Upload!T70&amp;Upload!U70&amp;Upload!V70)),ISNUMBER(SEARCH("Anti Tarnish",Upload!R70&amp;Upload!S70&amp;Upload!T70&amp;Upload!U70&amp;Upload!V70))))),"",0.0012*C80)</f>
        <v/>
      </c>
      <c r="Q80" s="15" t="str">
        <f>IF(OR(E80="",NOT(OR(ISNUMBER(SEARCH("Epóxico MT",Upload!R70&amp;Upload!S70&amp;Upload!T70&amp;Upload!U70&amp;Upload!V70))))),"",E80*0.000035)</f>
        <v/>
      </c>
      <c r="R80" s="15" t="str">
        <f>IF(OR(F80="",NOT(OR(ISNUMBER(SEARCH("Epóxico BT",Upload!S70&amp;Upload!T70&amp;Upload!U70&amp;Upload!V70&amp;Upload!W70))))),"",F80*0.000035)</f>
        <v/>
      </c>
      <c r="S80" s="15" t="str">
        <f>IF(OR(G80="",NOT(OR(ISNUMBER(SEARCH("Epóxico Rojo",Upload!T70&amp;Upload!U70&amp;Upload!V70&amp;Upload!W70&amp;Upload!X70))))),"",G80*0.000035)</f>
        <v/>
      </c>
    </row>
    <row r="81" spans="1:19" x14ac:dyDescent="0.2">
      <c r="A81" s="9" t="e">
        <f t="shared" ca="1" si="0"/>
        <v>#NAME?</v>
      </c>
      <c r="B81" s="9">
        <f>Upload!G71</f>
        <v>0</v>
      </c>
      <c r="C81" s="9">
        <f>Upload!AN71</f>
        <v>0</v>
      </c>
      <c r="D81" s="9">
        <f>Upload!AO71</f>
        <v>0</v>
      </c>
      <c r="E81" s="9">
        <f>Upload!AP71</f>
        <v>0</v>
      </c>
      <c r="F81" s="9" t="str">
        <f>Upload!AK71</f>
        <v/>
      </c>
      <c r="G81" s="9" t="str">
        <f>Upload!AM71</f>
        <v/>
      </c>
      <c r="H81" s="9" t="str">
        <f>Upload!AJ71</f>
        <v>(seleccione)</v>
      </c>
      <c r="I81" s="9" t="str">
        <f>Upload!AL71</f>
        <v>(seleccione)</v>
      </c>
      <c r="K81" s="15" t="str">
        <f t="shared" si="1"/>
        <v/>
      </c>
      <c r="L81" s="15" t="str">
        <f t="shared" si="2"/>
        <v/>
      </c>
      <c r="M81" s="15" t="str">
        <f t="shared" si="3"/>
        <v/>
      </c>
      <c r="N81" s="15" t="str">
        <f t="shared" si="4"/>
        <v/>
      </c>
      <c r="O81" s="15" t="str">
        <f t="shared" si="5"/>
        <v/>
      </c>
      <c r="P81" s="15" t="str">
        <f>IF(OR(C81="",NOT(OR(ISNUMBER(SEARCH("Antitarnish",Upload!R71&amp;Upload!S71&amp;Upload!T71&amp;Upload!U71&amp;Upload!V71)),ISNUMBER(SEARCH("Anti Tarnish",Upload!R71&amp;Upload!S71&amp;Upload!T71&amp;Upload!U71&amp;Upload!V71))))),"",0.0012*C81)</f>
        <v/>
      </c>
      <c r="Q81" s="15" t="str">
        <f>IF(OR(E81="",NOT(OR(ISNUMBER(SEARCH("Epóxico MT",Upload!R71&amp;Upload!S71&amp;Upload!T71&amp;Upload!U71&amp;Upload!V71))))),"",E81*0.000035)</f>
        <v/>
      </c>
      <c r="R81" s="15" t="str">
        <f>IF(OR(F81="",NOT(OR(ISNUMBER(SEARCH("Epóxico BT",Upload!S71&amp;Upload!T71&amp;Upload!U71&amp;Upload!V71&amp;Upload!W71))))),"",F81*0.000035)</f>
        <v/>
      </c>
      <c r="S81" s="15" t="str">
        <f>IF(OR(G81="",NOT(OR(ISNUMBER(SEARCH("Epóxico Rojo",Upload!T71&amp;Upload!U71&amp;Upload!V71&amp;Upload!W71&amp;Upload!X71))))),"",G81*0.000035)</f>
        <v/>
      </c>
    </row>
    <row r="82" spans="1:19" x14ac:dyDescent="0.2">
      <c r="A82" s="9" t="e">
        <f t="shared" ca="1" si="0"/>
        <v>#NAME?</v>
      </c>
      <c r="B82" s="9">
        <f>Upload!G72</f>
        <v>0</v>
      </c>
      <c r="C82" s="9">
        <f>Upload!AN72</f>
        <v>0</v>
      </c>
      <c r="D82" s="9">
        <f>Upload!AO72</f>
        <v>0</v>
      </c>
      <c r="E82" s="9">
        <f>Upload!AP72</f>
        <v>0</v>
      </c>
      <c r="F82" s="9" t="str">
        <f>Upload!AK72</f>
        <v/>
      </c>
      <c r="G82" s="9" t="str">
        <f>Upload!AM72</f>
        <v/>
      </c>
      <c r="H82" s="9" t="str">
        <f>Upload!AJ72</f>
        <v>(seleccione)</v>
      </c>
      <c r="I82" s="9" t="str">
        <f>Upload!AL72</f>
        <v>(seleccione)</v>
      </c>
      <c r="K82" s="15" t="str">
        <f t="shared" si="1"/>
        <v/>
      </c>
      <c r="L82" s="15" t="str">
        <f t="shared" si="2"/>
        <v/>
      </c>
      <c r="M82" s="15" t="str">
        <f t="shared" si="3"/>
        <v/>
      </c>
      <c r="N82" s="15" t="str">
        <f t="shared" si="4"/>
        <v/>
      </c>
      <c r="O82" s="15" t="str">
        <f t="shared" si="5"/>
        <v/>
      </c>
      <c r="P82" s="15" t="str">
        <f>IF(OR(C82="",NOT(OR(ISNUMBER(SEARCH("Antitarnish",Upload!R72&amp;Upload!S72&amp;Upload!T72&amp;Upload!U72&amp;Upload!V72)),ISNUMBER(SEARCH("Anti Tarnish",Upload!R72&amp;Upload!S72&amp;Upload!T72&amp;Upload!U72&amp;Upload!V72))))),"",0.0012*C82)</f>
        <v/>
      </c>
      <c r="Q82" s="15" t="str">
        <f>IF(OR(E82="",NOT(OR(ISNUMBER(SEARCH("Epóxico MT",Upload!R72&amp;Upload!S72&amp;Upload!T72&amp;Upload!U72&amp;Upload!V72))))),"",E82*0.000035)</f>
        <v/>
      </c>
      <c r="R82" s="15" t="str">
        <f>IF(OR(F82="",NOT(OR(ISNUMBER(SEARCH("Epóxico BT",Upload!S72&amp;Upload!T72&amp;Upload!U72&amp;Upload!V72&amp;Upload!W72))))),"",F82*0.000035)</f>
        <v/>
      </c>
      <c r="S82" s="15" t="str">
        <f>IF(OR(G82="",NOT(OR(ISNUMBER(SEARCH("Epóxico Rojo",Upload!T72&amp;Upload!U72&amp;Upload!V72&amp;Upload!W72&amp;Upload!X72))))),"",G82*0.000035)</f>
        <v/>
      </c>
    </row>
    <row r="83" spans="1:19" x14ac:dyDescent="0.2">
      <c r="A83" s="9" t="e">
        <f t="shared" ref="A83:A146" ca="1" si="6">_xludf.ROW()-18</f>
        <v>#NAME?</v>
      </c>
      <c r="B83" s="9">
        <f>Upload!G73</f>
        <v>0</v>
      </c>
      <c r="C83" s="9">
        <f>Upload!AN73</f>
        <v>0</v>
      </c>
      <c r="D83" s="9">
        <f>Upload!AO73</f>
        <v>0</v>
      </c>
      <c r="E83" s="9">
        <f>Upload!AP73</f>
        <v>0</v>
      </c>
      <c r="F83" s="9" t="str">
        <f>Upload!AK73</f>
        <v/>
      </c>
      <c r="G83" s="9" t="str">
        <f>Upload!AM73</f>
        <v/>
      </c>
      <c r="H83" s="9" t="str">
        <f>Upload!AJ73</f>
        <v>(seleccione)</v>
      </c>
      <c r="I83" s="9" t="str">
        <f>Upload!AL73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IF(OR(C83="",NOT(OR(ISNUMBER(SEARCH("Antitarnish",Upload!R73&amp;Upload!S73&amp;Upload!T73&amp;Upload!U73&amp;Upload!V73)),ISNUMBER(SEARCH("Anti Tarnish",Upload!R73&amp;Upload!S73&amp;Upload!T73&amp;Upload!U73&amp;Upload!V73))))),"",0.0012*C83)</f>
        <v/>
      </c>
      <c r="Q83" s="15" t="str">
        <f>IF(OR(E83="",NOT(OR(ISNUMBER(SEARCH("Epóxico MT",Upload!R73&amp;Upload!S73&amp;Upload!T73&amp;Upload!U73&amp;Upload!V73))))),"",E83*0.000035)</f>
        <v/>
      </c>
      <c r="R83" s="15" t="str">
        <f>IF(OR(F83="",NOT(OR(ISNUMBER(SEARCH("Epóxico BT",Upload!S73&amp;Upload!T73&amp;Upload!U73&amp;Upload!V73&amp;Upload!W73))))),"",F83*0.000035)</f>
        <v/>
      </c>
      <c r="S83" s="15" t="str">
        <f>IF(OR(G83="",NOT(OR(ISNUMBER(SEARCH("Epóxico Rojo",Upload!T73&amp;Upload!U73&amp;Upload!V73&amp;Upload!W73&amp;Upload!X73))))),"",G83*0.000035)</f>
        <v/>
      </c>
    </row>
    <row r="84" spans="1:19" x14ac:dyDescent="0.2">
      <c r="A84" s="9" t="e">
        <f t="shared" ca="1" si="6"/>
        <v>#NAME?</v>
      </c>
      <c r="B84" s="9">
        <f>Upload!G74</f>
        <v>0</v>
      </c>
      <c r="C84" s="9">
        <f>Upload!AN74</f>
        <v>0</v>
      </c>
      <c r="D84" s="9">
        <f>Upload!AO74</f>
        <v>0</v>
      </c>
      <c r="E84" s="9">
        <f>Upload!AP74</f>
        <v>0</v>
      </c>
      <c r="F84" s="9" t="str">
        <f>Upload!AK74</f>
        <v/>
      </c>
      <c r="G84" s="9" t="str">
        <f>Upload!AM74</f>
        <v/>
      </c>
      <c r="H84" s="9" t="str">
        <f>Upload!AJ74</f>
        <v>(seleccione)</v>
      </c>
      <c r="I84" s="9" t="str">
        <f>Upload!AL74</f>
        <v>(seleccione)</v>
      </c>
      <c r="K84" s="15" t="str">
        <f t="shared" si="7"/>
        <v/>
      </c>
      <c r="L84" s="15" t="str">
        <f t="shared" si="8"/>
        <v/>
      </c>
      <c r="M84" s="15" t="str">
        <f t="shared" si="9"/>
        <v/>
      </c>
      <c r="N84" s="15" t="str">
        <f t="shared" si="10"/>
        <v/>
      </c>
      <c r="O84" s="15" t="str">
        <f t="shared" si="11"/>
        <v/>
      </c>
      <c r="P84" s="15" t="str">
        <f>IF(OR(C84="",NOT(OR(ISNUMBER(SEARCH("Antitarnish",Upload!R74&amp;Upload!S74&amp;Upload!T74&amp;Upload!U74&amp;Upload!V74)),ISNUMBER(SEARCH("Anti Tarnish",Upload!R74&amp;Upload!S74&amp;Upload!T74&amp;Upload!U74&amp;Upload!V74))))),"",0.0012*C84)</f>
        <v/>
      </c>
      <c r="Q84" s="15" t="str">
        <f>IF(OR(E84="",NOT(OR(ISNUMBER(SEARCH("Epóxico MT",Upload!R74&amp;Upload!S74&amp;Upload!T74&amp;Upload!U74&amp;Upload!V74))))),"",E84*0.000035)</f>
        <v/>
      </c>
      <c r="R84" s="15" t="str">
        <f>IF(OR(F84="",NOT(OR(ISNUMBER(SEARCH("Epóxico BT",Upload!S74&amp;Upload!T74&amp;Upload!U74&amp;Upload!V74&amp;Upload!W74))))),"",F84*0.000035)</f>
        <v/>
      </c>
      <c r="S84" s="15" t="str">
        <f>IF(OR(G84="",NOT(OR(ISNUMBER(SEARCH("Epóxico Rojo",Upload!T74&amp;Upload!U74&amp;Upload!V74&amp;Upload!W74&amp;Upload!X74))))),"",G84*0.000035)</f>
        <v/>
      </c>
    </row>
    <row r="85" spans="1:19" x14ac:dyDescent="0.2">
      <c r="A85" s="9" t="e">
        <f t="shared" ca="1" si="6"/>
        <v>#NAME?</v>
      </c>
      <c r="B85" s="9">
        <f>Upload!G75</f>
        <v>0</v>
      </c>
      <c r="C85" s="9">
        <f>Upload!AN75</f>
        <v>0</v>
      </c>
      <c r="D85" s="9">
        <f>Upload!AO75</f>
        <v>0</v>
      </c>
      <c r="E85" s="9">
        <f>Upload!AP75</f>
        <v>0</v>
      </c>
      <c r="F85" s="9" t="str">
        <f>Upload!AK75</f>
        <v/>
      </c>
      <c r="G85" s="9" t="str">
        <f>Upload!AM75</f>
        <v/>
      </c>
      <c r="H85" s="9" t="str">
        <f>Upload!AJ75</f>
        <v>(seleccione)</v>
      </c>
      <c r="I85" s="9" t="str">
        <f>Upload!AL75</f>
        <v>(seleccione)</v>
      </c>
      <c r="K85" s="15" t="str">
        <f t="shared" si="7"/>
        <v/>
      </c>
      <c r="L85" s="15" t="str">
        <f t="shared" si="8"/>
        <v/>
      </c>
      <c r="M85" s="15" t="str">
        <f t="shared" si="9"/>
        <v/>
      </c>
      <c r="N85" s="15" t="str">
        <f t="shared" si="10"/>
        <v/>
      </c>
      <c r="O85" s="15" t="str">
        <f t="shared" si="11"/>
        <v/>
      </c>
      <c r="P85" s="15" t="str">
        <f>IF(OR(C85="",NOT(OR(ISNUMBER(SEARCH("Antitarnish",Upload!R75&amp;Upload!S75&amp;Upload!T75&amp;Upload!U75&amp;Upload!V75)),ISNUMBER(SEARCH("Anti Tarnish",Upload!R75&amp;Upload!S75&amp;Upload!T75&amp;Upload!U75&amp;Upload!V75))))),"",0.0012*C85)</f>
        <v/>
      </c>
      <c r="Q85" s="15" t="str">
        <f>IF(OR(E85="",NOT(OR(ISNUMBER(SEARCH("Epóxico MT",Upload!R75&amp;Upload!S75&amp;Upload!T75&amp;Upload!U75&amp;Upload!V75))))),"",E85*0.000035)</f>
        <v/>
      </c>
      <c r="R85" s="15" t="str">
        <f>IF(OR(F85="",NOT(OR(ISNUMBER(SEARCH("Epóxico BT",Upload!S75&amp;Upload!T75&amp;Upload!U75&amp;Upload!V75&amp;Upload!W75))))),"",F85*0.000035)</f>
        <v/>
      </c>
      <c r="S85" s="15" t="str">
        <f>IF(OR(G85="",NOT(OR(ISNUMBER(SEARCH("Epóxico Rojo",Upload!T75&amp;Upload!U75&amp;Upload!V75&amp;Upload!W75&amp;Upload!X75))))),"",G85*0.000035)</f>
        <v/>
      </c>
    </row>
    <row r="86" spans="1:19" x14ac:dyDescent="0.2">
      <c r="A86" s="9" t="e">
        <f t="shared" ca="1" si="6"/>
        <v>#NAME?</v>
      </c>
      <c r="B86" s="9">
        <f>Upload!G76</f>
        <v>0</v>
      </c>
      <c r="C86" s="9">
        <f>Upload!AN76</f>
        <v>0</v>
      </c>
      <c r="D86" s="9">
        <f>Upload!AO76</f>
        <v>0</v>
      </c>
      <c r="E86" s="9">
        <f>Upload!AP76</f>
        <v>0</v>
      </c>
      <c r="F86" s="9" t="str">
        <f>Upload!AK76</f>
        <v/>
      </c>
      <c r="G86" s="9" t="str">
        <f>Upload!AM76</f>
        <v/>
      </c>
      <c r="H86" s="9" t="str">
        <f>Upload!AJ76</f>
        <v>(seleccione)</v>
      </c>
      <c r="I86" s="9" t="str">
        <f>Upload!AL76</f>
        <v>(seleccione)</v>
      </c>
      <c r="K86" s="15" t="str">
        <f t="shared" si="7"/>
        <v/>
      </c>
      <c r="L86" s="15" t="str">
        <f t="shared" si="8"/>
        <v/>
      </c>
      <c r="M86" s="15" t="str">
        <f t="shared" si="9"/>
        <v/>
      </c>
      <c r="N86" s="15" t="str">
        <f t="shared" si="10"/>
        <v/>
      </c>
      <c r="O86" s="15" t="str">
        <f t="shared" si="11"/>
        <v/>
      </c>
      <c r="P86" s="15" t="str">
        <f>IF(OR(C86="",NOT(OR(ISNUMBER(SEARCH("Antitarnish",Upload!R76&amp;Upload!S76&amp;Upload!T76&amp;Upload!U76&amp;Upload!V76)),ISNUMBER(SEARCH("Anti Tarnish",Upload!R76&amp;Upload!S76&amp;Upload!T76&amp;Upload!U76&amp;Upload!V76))))),"",0.0012*C86)</f>
        <v/>
      </c>
      <c r="Q86" s="15" t="str">
        <f>IF(OR(E86="",NOT(OR(ISNUMBER(SEARCH("Epóxico MT",Upload!R76&amp;Upload!S76&amp;Upload!T76&amp;Upload!U76&amp;Upload!V76))))),"",E86*0.000035)</f>
        <v/>
      </c>
      <c r="R86" s="15" t="str">
        <f>IF(OR(F86="",NOT(OR(ISNUMBER(SEARCH("Epóxico BT",Upload!S76&amp;Upload!T76&amp;Upload!U76&amp;Upload!V76&amp;Upload!W76))))),"",F86*0.000035)</f>
        <v/>
      </c>
      <c r="S86" s="15" t="str">
        <f>IF(OR(G86="",NOT(OR(ISNUMBER(SEARCH("Epóxico Rojo",Upload!T76&amp;Upload!U76&amp;Upload!V76&amp;Upload!W76&amp;Upload!X76))))),"",G86*0.000035)</f>
        <v/>
      </c>
    </row>
    <row r="87" spans="1:19" x14ac:dyDescent="0.2">
      <c r="A87" s="9" t="e">
        <f t="shared" ca="1" si="6"/>
        <v>#NAME?</v>
      </c>
      <c r="B87" s="9">
        <f>Upload!G77</f>
        <v>0</v>
      </c>
      <c r="C87" s="9">
        <f>Upload!AN77</f>
        <v>0</v>
      </c>
      <c r="D87" s="9">
        <f>Upload!AO77</f>
        <v>0</v>
      </c>
      <c r="E87" s="9">
        <f>Upload!AP77</f>
        <v>0</v>
      </c>
      <c r="F87" s="9" t="str">
        <f>Upload!AK77</f>
        <v/>
      </c>
      <c r="G87" s="9" t="str">
        <f>Upload!AM77</f>
        <v/>
      </c>
      <c r="H87" s="9" t="str">
        <f>Upload!AJ77</f>
        <v>(seleccione)</v>
      </c>
      <c r="I87" s="9" t="str">
        <f>Upload!AL77</f>
        <v>(seleccione)</v>
      </c>
      <c r="K87" s="15" t="str">
        <f t="shared" si="7"/>
        <v/>
      </c>
      <c r="L87" s="15" t="str">
        <f t="shared" si="8"/>
        <v/>
      </c>
      <c r="M87" s="15" t="str">
        <f t="shared" si="9"/>
        <v/>
      </c>
      <c r="N87" s="15" t="str">
        <f t="shared" si="10"/>
        <v/>
      </c>
      <c r="O87" s="15" t="str">
        <f t="shared" si="11"/>
        <v/>
      </c>
      <c r="P87" s="15" t="str">
        <f>IF(OR(C87="",NOT(OR(ISNUMBER(SEARCH("Antitarnish",Upload!R77&amp;Upload!S77&amp;Upload!T77&amp;Upload!U77&amp;Upload!V77)),ISNUMBER(SEARCH("Anti Tarnish",Upload!R77&amp;Upload!S77&amp;Upload!T77&amp;Upload!U77&amp;Upload!V77))))),"",0.0012*C87)</f>
        <v/>
      </c>
      <c r="Q87" s="15" t="str">
        <f>IF(OR(E87="",NOT(OR(ISNUMBER(SEARCH("Epóxico MT",Upload!R77&amp;Upload!S77&amp;Upload!T77&amp;Upload!U77&amp;Upload!V77))))),"",E87*0.000035)</f>
        <v/>
      </c>
      <c r="R87" s="15" t="str">
        <f>IF(OR(F87="",NOT(OR(ISNUMBER(SEARCH("Epóxico BT",Upload!S77&amp;Upload!T77&amp;Upload!U77&amp;Upload!V77&amp;Upload!W77))))),"",F87*0.000035)</f>
        <v/>
      </c>
      <c r="S87" s="15" t="str">
        <f>IF(OR(G87="",NOT(OR(ISNUMBER(SEARCH("Epóxico Rojo",Upload!T77&amp;Upload!U77&amp;Upload!V77&amp;Upload!W77&amp;Upload!X77))))),"",G87*0.000035)</f>
        <v/>
      </c>
    </row>
    <row r="88" spans="1:19" x14ac:dyDescent="0.2">
      <c r="A88" s="9" t="e">
        <f t="shared" ca="1" si="6"/>
        <v>#NAME?</v>
      </c>
      <c r="B88" s="9">
        <f>Upload!G78</f>
        <v>0</v>
      </c>
      <c r="C88" s="9">
        <f>Upload!AN78</f>
        <v>0</v>
      </c>
      <c r="D88" s="9">
        <f>Upload!AO78</f>
        <v>0</v>
      </c>
      <c r="E88" s="9">
        <f>Upload!AP78</f>
        <v>0</v>
      </c>
      <c r="F88" s="9" t="str">
        <f>Upload!AK78</f>
        <v/>
      </c>
      <c r="G88" s="9" t="str">
        <f>Upload!AM78</f>
        <v/>
      </c>
      <c r="H88" s="9" t="str">
        <f>Upload!AJ78</f>
        <v>(seleccione)</v>
      </c>
      <c r="I88" s="9" t="str">
        <f>Upload!AL78</f>
        <v>(seleccione)</v>
      </c>
      <c r="K88" s="15" t="str">
        <f t="shared" si="7"/>
        <v/>
      </c>
      <c r="L88" s="15" t="str">
        <f t="shared" si="8"/>
        <v/>
      </c>
      <c r="M88" s="15" t="str">
        <f t="shared" si="9"/>
        <v/>
      </c>
      <c r="N88" s="15" t="str">
        <f t="shared" si="10"/>
        <v/>
      </c>
      <c r="O88" s="15" t="str">
        <f t="shared" si="11"/>
        <v/>
      </c>
      <c r="P88" s="15" t="str">
        <f>IF(OR(C88="",NOT(OR(ISNUMBER(SEARCH("Antitarnish",Upload!R78&amp;Upload!S78&amp;Upload!T78&amp;Upload!U78&amp;Upload!V78)),ISNUMBER(SEARCH("Anti Tarnish",Upload!R78&amp;Upload!S78&amp;Upload!T78&amp;Upload!U78&amp;Upload!V78))))),"",0.0012*C88)</f>
        <v/>
      </c>
      <c r="Q88" s="15" t="str">
        <f>IF(OR(E88="",NOT(OR(ISNUMBER(SEARCH("Epóxico MT",Upload!R78&amp;Upload!S78&amp;Upload!T78&amp;Upload!U78&amp;Upload!V78))))),"",E88*0.000035)</f>
        <v/>
      </c>
      <c r="R88" s="15" t="str">
        <f>IF(OR(F88="",NOT(OR(ISNUMBER(SEARCH("Epóxico BT",Upload!S78&amp;Upload!T78&amp;Upload!U78&amp;Upload!V78&amp;Upload!W78))))),"",F88*0.000035)</f>
        <v/>
      </c>
      <c r="S88" s="15" t="str">
        <f>IF(OR(G88="",NOT(OR(ISNUMBER(SEARCH("Epóxico Rojo",Upload!T78&amp;Upload!U78&amp;Upload!V78&amp;Upload!W78&amp;Upload!X78))))),"",G88*0.000035)</f>
        <v/>
      </c>
    </row>
    <row r="89" spans="1:19" x14ac:dyDescent="0.2">
      <c r="A89" s="9" t="e">
        <f t="shared" ca="1" si="6"/>
        <v>#NAME?</v>
      </c>
      <c r="B89" s="9">
        <f>Upload!G79</f>
        <v>0</v>
      </c>
      <c r="C89" s="9">
        <f>Upload!AN79</f>
        <v>0</v>
      </c>
      <c r="D89" s="9">
        <f>Upload!AO79</f>
        <v>0</v>
      </c>
      <c r="E89" s="9">
        <f>Upload!AP79</f>
        <v>0</v>
      </c>
      <c r="F89" s="9" t="str">
        <f>Upload!AK79</f>
        <v/>
      </c>
      <c r="G89" s="9" t="str">
        <f>Upload!AM79</f>
        <v/>
      </c>
      <c r="H89" s="9" t="str">
        <f>Upload!AJ79</f>
        <v>(seleccione)</v>
      </c>
      <c r="I89" s="9" t="str">
        <f>Upload!AL79</f>
        <v>(seleccione)</v>
      </c>
      <c r="K89" s="15" t="str">
        <f t="shared" si="7"/>
        <v/>
      </c>
      <c r="L89" s="15" t="str">
        <f t="shared" si="8"/>
        <v/>
      </c>
      <c r="M89" s="15" t="str">
        <f t="shared" si="9"/>
        <v/>
      </c>
      <c r="N89" s="15" t="str">
        <f t="shared" si="10"/>
        <v/>
      </c>
      <c r="O89" s="15" t="str">
        <f t="shared" si="11"/>
        <v/>
      </c>
      <c r="P89" s="15" t="str">
        <f>IF(OR(C89="",NOT(OR(ISNUMBER(SEARCH("Antitarnish",Upload!R79&amp;Upload!S79&amp;Upload!T79&amp;Upload!U79&amp;Upload!V79)),ISNUMBER(SEARCH("Anti Tarnish",Upload!R79&amp;Upload!S79&amp;Upload!T79&amp;Upload!U79&amp;Upload!V79))))),"",0.0012*C89)</f>
        <v/>
      </c>
      <c r="Q89" s="15" t="str">
        <f>IF(OR(E89="",NOT(OR(ISNUMBER(SEARCH("Epóxico MT",Upload!R79&amp;Upload!S79&amp;Upload!T79&amp;Upload!U79&amp;Upload!V79))))),"",E89*0.000035)</f>
        <v/>
      </c>
      <c r="R89" s="15" t="str">
        <f>IF(OR(F89="",NOT(OR(ISNUMBER(SEARCH("Epóxico BT",Upload!S79&amp;Upload!T79&amp;Upload!U79&amp;Upload!V79&amp;Upload!W79))))),"",F89*0.000035)</f>
        <v/>
      </c>
      <c r="S89" s="15" t="str">
        <f>IF(OR(G89="",NOT(OR(ISNUMBER(SEARCH("Epóxico Rojo",Upload!T79&amp;Upload!U79&amp;Upload!V79&amp;Upload!W79&amp;Upload!X79))))),"",G89*0.000035)</f>
        <v/>
      </c>
    </row>
    <row r="90" spans="1:19" x14ac:dyDescent="0.2">
      <c r="A90" s="9" t="e">
        <f t="shared" ca="1" si="6"/>
        <v>#NAME?</v>
      </c>
      <c r="B90" s="9">
        <f>Upload!G80</f>
        <v>0</v>
      </c>
      <c r="C90" s="9">
        <f>Upload!AN80</f>
        <v>0</v>
      </c>
      <c r="D90" s="9">
        <f>Upload!AO80</f>
        <v>0</v>
      </c>
      <c r="E90" s="9">
        <f>Upload!AP80</f>
        <v>0</v>
      </c>
      <c r="F90" s="9" t="str">
        <f>Upload!AK80</f>
        <v/>
      </c>
      <c r="G90" s="9" t="str">
        <f>Upload!AM80</f>
        <v/>
      </c>
      <c r="H90" s="9" t="str">
        <f>Upload!AJ80</f>
        <v>(seleccione)</v>
      </c>
      <c r="I90" s="9" t="str">
        <f>Upload!AL80</f>
        <v>(seleccione)</v>
      </c>
      <c r="K90" s="15" t="str">
        <f t="shared" si="7"/>
        <v/>
      </c>
      <c r="L90" s="15" t="str">
        <f t="shared" si="8"/>
        <v/>
      </c>
      <c r="M90" s="15" t="str">
        <f t="shared" si="9"/>
        <v/>
      </c>
      <c r="N90" s="15" t="str">
        <f t="shared" si="10"/>
        <v/>
      </c>
      <c r="O90" s="15" t="str">
        <f t="shared" si="11"/>
        <v/>
      </c>
      <c r="P90" s="15" t="str">
        <f>IF(OR(C90="",NOT(OR(ISNUMBER(SEARCH("Antitarnish",Upload!R80&amp;Upload!S80&amp;Upload!T80&amp;Upload!U80&amp;Upload!V80)),ISNUMBER(SEARCH("Anti Tarnish",Upload!R80&amp;Upload!S80&amp;Upload!T80&amp;Upload!U80&amp;Upload!V80))))),"",0.0012*C90)</f>
        <v/>
      </c>
      <c r="Q90" s="15" t="str">
        <f>IF(OR(E90="",NOT(OR(ISNUMBER(SEARCH("Epóxico MT",Upload!R80&amp;Upload!S80&amp;Upload!T80&amp;Upload!U80&amp;Upload!V80))))),"",E90*0.000035)</f>
        <v/>
      </c>
      <c r="R90" s="15" t="str">
        <f>IF(OR(F90="",NOT(OR(ISNUMBER(SEARCH("Epóxico BT",Upload!S80&amp;Upload!T80&amp;Upload!U80&amp;Upload!V80&amp;Upload!W80))))),"",F90*0.000035)</f>
        <v/>
      </c>
      <c r="S90" s="15" t="str">
        <f>IF(OR(G90="",NOT(OR(ISNUMBER(SEARCH("Epóxico Rojo",Upload!T80&amp;Upload!U80&amp;Upload!V80&amp;Upload!W80&amp;Upload!X80))))),"",G90*0.000035)</f>
        <v/>
      </c>
    </row>
    <row r="91" spans="1:19" x14ac:dyDescent="0.2">
      <c r="A91" s="9" t="e">
        <f t="shared" ca="1" si="6"/>
        <v>#NAME?</v>
      </c>
      <c r="B91" s="9">
        <f>Upload!G81</f>
        <v>0</v>
      </c>
      <c r="C91" s="9">
        <f>Upload!AN81</f>
        <v>0</v>
      </c>
      <c r="D91" s="9">
        <f>Upload!AO81</f>
        <v>0</v>
      </c>
      <c r="E91" s="9">
        <f>Upload!AP81</f>
        <v>0</v>
      </c>
      <c r="F91" s="9" t="str">
        <f>Upload!AK81</f>
        <v/>
      </c>
      <c r="G91" s="9" t="str">
        <f>Upload!AM81</f>
        <v/>
      </c>
      <c r="H91" s="9" t="str">
        <f>Upload!AJ81</f>
        <v>(seleccione)</v>
      </c>
      <c r="I91" s="9" t="str">
        <f>Upload!AL81</f>
        <v>(seleccione)</v>
      </c>
      <c r="K91" s="15" t="str">
        <f t="shared" si="7"/>
        <v/>
      </c>
      <c r="L91" s="15" t="str">
        <f t="shared" si="8"/>
        <v/>
      </c>
      <c r="M91" s="15" t="str">
        <f t="shared" si="9"/>
        <v/>
      </c>
      <c r="N91" s="15" t="str">
        <f t="shared" si="10"/>
        <v/>
      </c>
      <c r="O91" s="15" t="str">
        <f t="shared" si="11"/>
        <v/>
      </c>
      <c r="P91" s="15" t="str">
        <f>IF(OR(C91="",NOT(OR(ISNUMBER(SEARCH("Antitarnish",Upload!R81&amp;Upload!S81&amp;Upload!T81&amp;Upload!U81&amp;Upload!V81)),ISNUMBER(SEARCH("Anti Tarnish",Upload!R81&amp;Upload!S81&amp;Upload!T81&amp;Upload!U81&amp;Upload!V81))))),"",0.0012*C91)</f>
        <v/>
      </c>
      <c r="Q91" s="15" t="str">
        <f>IF(OR(E91="",NOT(OR(ISNUMBER(SEARCH("Epóxico MT",Upload!R81&amp;Upload!S81&amp;Upload!T81&amp;Upload!U81&amp;Upload!V81))))),"",E91*0.000035)</f>
        <v/>
      </c>
      <c r="R91" s="15" t="str">
        <f>IF(OR(F91="",NOT(OR(ISNUMBER(SEARCH("Epóxico BT",Upload!S81&amp;Upload!T81&amp;Upload!U81&amp;Upload!V81&amp;Upload!W81))))),"",F91*0.000035)</f>
        <v/>
      </c>
      <c r="S91" s="15" t="str">
        <f>IF(OR(G91="",NOT(OR(ISNUMBER(SEARCH("Epóxico Rojo",Upload!T81&amp;Upload!U81&amp;Upload!V81&amp;Upload!W81&amp;Upload!X81))))),"",G91*0.000035)</f>
        <v/>
      </c>
    </row>
    <row r="92" spans="1:19" x14ac:dyDescent="0.2">
      <c r="A92" s="9" t="e">
        <f t="shared" ca="1" si="6"/>
        <v>#NAME?</v>
      </c>
      <c r="B92" s="9">
        <f>Upload!G82</f>
        <v>0</v>
      </c>
      <c r="C92" s="9">
        <f>Upload!AN82</f>
        <v>0</v>
      </c>
      <c r="D92" s="9">
        <f>Upload!AO82</f>
        <v>0</v>
      </c>
      <c r="E92" s="9">
        <f>Upload!AP82</f>
        <v>0</v>
      </c>
      <c r="F92" s="9" t="str">
        <f>Upload!AK82</f>
        <v/>
      </c>
      <c r="G92" s="9" t="str">
        <f>Upload!AM82</f>
        <v/>
      </c>
      <c r="H92" s="9" t="str">
        <f>Upload!AJ82</f>
        <v>(seleccione)</v>
      </c>
      <c r="I92" s="9" t="str">
        <f>Upload!AL82</f>
        <v>(seleccione)</v>
      </c>
      <c r="K92" s="15" t="str">
        <f t="shared" si="7"/>
        <v/>
      </c>
      <c r="L92" s="15" t="str">
        <f t="shared" si="8"/>
        <v/>
      </c>
      <c r="M92" s="15" t="str">
        <f t="shared" si="9"/>
        <v/>
      </c>
      <c r="N92" s="15" t="str">
        <f t="shared" si="10"/>
        <v/>
      </c>
      <c r="O92" s="15" t="str">
        <f t="shared" si="11"/>
        <v/>
      </c>
      <c r="P92" s="15" t="str">
        <f>IF(OR(C92="",NOT(OR(ISNUMBER(SEARCH("Antitarnish",Upload!R82&amp;Upload!S82&amp;Upload!T82&amp;Upload!U82&amp;Upload!V82)),ISNUMBER(SEARCH("Anti Tarnish",Upload!R82&amp;Upload!S82&amp;Upload!T82&amp;Upload!U82&amp;Upload!V82))))),"",0.0012*C92)</f>
        <v/>
      </c>
      <c r="Q92" s="15" t="str">
        <f>IF(OR(E92="",NOT(OR(ISNUMBER(SEARCH("Epóxico MT",Upload!R82&amp;Upload!S82&amp;Upload!T82&amp;Upload!U82&amp;Upload!V82))))),"",E92*0.000035)</f>
        <v/>
      </c>
      <c r="R92" s="15" t="str">
        <f>IF(OR(F92="",NOT(OR(ISNUMBER(SEARCH("Epóxico BT",Upload!S82&amp;Upload!T82&amp;Upload!U82&amp;Upload!V82&amp;Upload!W82))))),"",F92*0.000035)</f>
        <v/>
      </c>
      <c r="S92" s="15" t="str">
        <f>IF(OR(G92="",NOT(OR(ISNUMBER(SEARCH("Epóxico Rojo",Upload!T82&amp;Upload!U82&amp;Upload!V82&amp;Upload!W82&amp;Upload!X82))))),"",G92*0.000035)</f>
        <v/>
      </c>
    </row>
    <row r="93" spans="1:19" x14ac:dyDescent="0.2">
      <c r="A93" s="9" t="e">
        <f t="shared" ca="1" si="6"/>
        <v>#NAME?</v>
      </c>
      <c r="B93" s="9">
        <f>Upload!G83</f>
        <v>0</v>
      </c>
      <c r="C93" s="9">
        <f>Upload!AN83</f>
        <v>0</v>
      </c>
      <c r="D93" s="9">
        <f>Upload!AO83</f>
        <v>0</v>
      </c>
      <c r="E93" s="9">
        <f>Upload!AP83</f>
        <v>0</v>
      </c>
      <c r="F93" s="9" t="str">
        <f>Upload!AK83</f>
        <v/>
      </c>
      <c r="G93" s="9" t="str">
        <f>Upload!AM83</f>
        <v/>
      </c>
      <c r="H93" s="9" t="str">
        <f>Upload!AJ83</f>
        <v>(seleccione)</v>
      </c>
      <c r="I93" s="9" t="str">
        <f>Upload!AL83</f>
        <v>(seleccione)</v>
      </c>
      <c r="K93" s="15" t="str">
        <f t="shared" si="7"/>
        <v/>
      </c>
      <c r="L93" s="15" t="str">
        <f t="shared" si="8"/>
        <v/>
      </c>
      <c r="M93" s="15" t="str">
        <f t="shared" si="9"/>
        <v/>
      </c>
      <c r="N93" s="15" t="str">
        <f t="shared" si="10"/>
        <v/>
      </c>
      <c r="O93" s="15" t="str">
        <f t="shared" si="11"/>
        <v/>
      </c>
      <c r="P93" s="15" t="str">
        <f>IF(OR(C93="",NOT(OR(ISNUMBER(SEARCH("Antitarnish",Upload!R83&amp;Upload!S83&amp;Upload!T83&amp;Upload!U83&amp;Upload!V83)),ISNUMBER(SEARCH("Anti Tarnish",Upload!R83&amp;Upload!S83&amp;Upload!T83&amp;Upload!U83&amp;Upload!V83))))),"",0.0012*C93)</f>
        <v/>
      </c>
      <c r="Q93" s="15" t="str">
        <f>IF(OR(E93="",NOT(OR(ISNUMBER(SEARCH("Epóxico MT",Upload!R83&amp;Upload!S83&amp;Upload!T83&amp;Upload!U83&amp;Upload!V83))))),"",E93*0.000035)</f>
        <v/>
      </c>
      <c r="R93" s="15" t="str">
        <f>IF(OR(F93="",NOT(OR(ISNUMBER(SEARCH("Epóxico BT",Upload!S83&amp;Upload!T83&amp;Upload!U83&amp;Upload!V83&amp;Upload!W83))))),"",F93*0.000035)</f>
        <v/>
      </c>
      <c r="S93" s="15" t="str">
        <f>IF(OR(G93="",NOT(OR(ISNUMBER(SEARCH("Epóxico Rojo",Upload!T83&amp;Upload!U83&amp;Upload!V83&amp;Upload!W83&amp;Upload!X83))))),"",G93*0.000035)</f>
        <v/>
      </c>
    </row>
    <row r="94" spans="1:19" x14ac:dyDescent="0.2">
      <c r="A94" s="9" t="e">
        <f t="shared" ca="1" si="6"/>
        <v>#NAME?</v>
      </c>
      <c r="B94" s="9">
        <f>Upload!G84</f>
        <v>0</v>
      </c>
      <c r="C94" s="9">
        <f>Upload!AN84</f>
        <v>0</v>
      </c>
      <c r="D94" s="9">
        <f>Upload!AO84</f>
        <v>0</v>
      </c>
      <c r="E94" s="9">
        <f>Upload!AP84</f>
        <v>0</v>
      </c>
      <c r="F94" s="9" t="str">
        <f>Upload!AK84</f>
        <v/>
      </c>
      <c r="G94" s="9" t="str">
        <f>Upload!AM84</f>
        <v/>
      </c>
      <c r="H94" s="9" t="str">
        <f>Upload!AJ84</f>
        <v>(seleccione)</v>
      </c>
      <c r="I94" s="9" t="str">
        <f>Upload!AL84</f>
        <v>(seleccione)</v>
      </c>
      <c r="K94" s="15" t="str">
        <f t="shared" si="7"/>
        <v/>
      </c>
      <c r="L94" s="15" t="str">
        <f t="shared" si="8"/>
        <v/>
      </c>
      <c r="M94" s="15" t="str">
        <f t="shared" si="9"/>
        <v/>
      </c>
      <c r="N94" s="15" t="str">
        <f t="shared" si="10"/>
        <v/>
      </c>
      <c r="O94" s="15" t="str">
        <f t="shared" si="11"/>
        <v/>
      </c>
      <c r="P94" s="15" t="str">
        <f>IF(OR(C94="",NOT(OR(ISNUMBER(SEARCH("Antitarnish",Upload!R84&amp;Upload!S84&amp;Upload!T84&amp;Upload!U84&amp;Upload!V84)),ISNUMBER(SEARCH("Anti Tarnish",Upload!R84&amp;Upload!S84&amp;Upload!T84&amp;Upload!U84&amp;Upload!V84))))),"",0.0012*C94)</f>
        <v/>
      </c>
      <c r="Q94" s="15" t="str">
        <f>IF(OR(E94="",NOT(OR(ISNUMBER(SEARCH("Epóxico MT",Upload!R84&amp;Upload!S84&amp;Upload!T84&amp;Upload!U84&amp;Upload!V84))))),"",E94*0.000035)</f>
        <v/>
      </c>
      <c r="R94" s="15" t="str">
        <f>IF(OR(F94="",NOT(OR(ISNUMBER(SEARCH("Epóxico BT",Upload!S84&amp;Upload!T84&amp;Upload!U84&amp;Upload!V84&amp;Upload!W84))))),"",F94*0.000035)</f>
        <v/>
      </c>
      <c r="S94" s="15" t="str">
        <f>IF(OR(G94="",NOT(OR(ISNUMBER(SEARCH("Epóxico Rojo",Upload!T84&amp;Upload!U84&amp;Upload!V84&amp;Upload!W84&amp;Upload!X84))))),"",G94*0.000035)</f>
        <v/>
      </c>
    </row>
    <row r="95" spans="1:19" x14ac:dyDescent="0.2">
      <c r="A95" s="9" t="e">
        <f t="shared" ca="1" si="6"/>
        <v>#NAME?</v>
      </c>
      <c r="B95" s="9">
        <f>Upload!G85</f>
        <v>0</v>
      </c>
      <c r="C95" s="9">
        <f>Upload!AN85</f>
        <v>0</v>
      </c>
      <c r="D95" s="9">
        <f>Upload!AO85</f>
        <v>0</v>
      </c>
      <c r="E95" s="9">
        <f>Upload!AP85</f>
        <v>0</v>
      </c>
      <c r="F95" s="9" t="str">
        <f>Upload!AK85</f>
        <v/>
      </c>
      <c r="G95" s="9" t="str">
        <f>Upload!AM85</f>
        <v/>
      </c>
      <c r="H95" s="9" t="str">
        <f>Upload!AJ85</f>
        <v>(seleccione)</v>
      </c>
      <c r="I95" s="9" t="str">
        <f>Upload!AL85</f>
        <v>(seleccione)</v>
      </c>
      <c r="K95" s="15" t="str">
        <f t="shared" si="7"/>
        <v/>
      </c>
      <c r="L95" s="15" t="str">
        <f t="shared" si="8"/>
        <v/>
      </c>
      <c r="M95" s="15" t="str">
        <f t="shared" si="9"/>
        <v/>
      </c>
      <c r="N95" s="15" t="str">
        <f t="shared" si="10"/>
        <v/>
      </c>
      <c r="O95" s="15" t="str">
        <f t="shared" si="11"/>
        <v/>
      </c>
      <c r="P95" s="15" t="str">
        <f>IF(OR(C95="",NOT(OR(ISNUMBER(SEARCH("Antitarnish",Upload!R85&amp;Upload!S85&amp;Upload!T85&amp;Upload!U85&amp;Upload!V85)),ISNUMBER(SEARCH("Anti Tarnish",Upload!R85&amp;Upload!S85&amp;Upload!T85&amp;Upload!U85&amp;Upload!V85))))),"",0.0012*C95)</f>
        <v/>
      </c>
      <c r="Q95" s="15" t="str">
        <f>IF(OR(E95="",NOT(OR(ISNUMBER(SEARCH("Epóxico MT",Upload!R85&amp;Upload!S85&amp;Upload!T85&amp;Upload!U85&amp;Upload!V85))))),"",E95*0.000035)</f>
        <v/>
      </c>
      <c r="R95" s="15" t="str">
        <f>IF(OR(F95="",NOT(OR(ISNUMBER(SEARCH("Epóxico BT",Upload!S85&amp;Upload!T85&amp;Upload!U85&amp;Upload!V85&amp;Upload!W85))))),"",F95*0.000035)</f>
        <v/>
      </c>
      <c r="S95" s="15" t="str">
        <f>IF(OR(G95="",NOT(OR(ISNUMBER(SEARCH("Epóxico Rojo",Upload!T85&amp;Upload!U85&amp;Upload!V85&amp;Upload!W85&amp;Upload!X85))))),"",G95*0.000035)</f>
        <v/>
      </c>
    </row>
    <row r="96" spans="1:19" x14ac:dyDescent="0.2">
      <c r="A96" s="9" t="e">
        <f t="shared" ca="1" si="6"/>
        <v>#NAME?</v>
      </c>
      <c r="B96" s="9">
        <f>Upload!G86</f>
        <v>0</v>
      </c>
      <c r="C96" s="9">
        <f>Upload!AN86</f>
        <v>0</v>
      </c>
      <c r="D96" s="9">
        <f>Upload!AO86</f>
        <v>0</v>
      </c>
      <c r="E96" s="9">
        <f>Upload!AP86</f>
        <v>0</v>
      </c>
      <c r="F96" s="9" t="str">
        <f>Upload!AK86</f>
        <v/>
      </c>
      <c r="G96" s="9" t="str">
        <f>Upload!AM86</f>
        <v/>
      </c>
      <c r="H96" s="9" t="str">
        <f>Upload!AJ86</f>
        <v>(seleccione)</v>
      </c>
      <c r="I96" s="9" t="str">
        <f>Upload!AL86</f>
        <v>(seleccione)</v>
      </c>
      <c r="K96" s="15" t="str">
        <f t="shared" si="7"/>
        <v/>
      </c>
      <c r="L96" s="15" t="str">
        <f t="shared" si="8"/>
        <v/>
      </c>
      <c r="M96" s="15" t="str">
        <f t="shared" si="9"/>
        <v/>
      </c>
      <c r="N96" s="15" t="str">
        <f t="shared" si="10"/>
        <v/>
      </c>
      <c r="O96" s="15" t="str">
        <f t="shared" si="11"/>
        <v/>
      </c>
      <c r="P96" s="15" t="str">
        <f>IF(OR(C96="",NOT(OR(ISNUMBER(SEARCH("Antitarnish",Upload!R86&amp;Upload!S86&amp;Upload!T86&amp;Upload!U86&amp;Upload!V86)),ISNUMBER(SEARCH("Anti Tarnish",Upload!R86&amp;Upload!S86&amp;Upload!T86&amp;Upload!U86&amp;Upload!V86))))),"",0.0012*C96)</f>
        <v/>
      </c>
      <c r="Q96" s="15" t="str">
        <f>IF(OR(E96="",NOT(OR(ISNUMBER(SEARCH("Epóxico MT",Upload!R86&amp;Upload!S86&amp;Upload!T86&amp;Upload!U86&amp;Upload!V86))))),"",E96*0.000035)</f>
        <v/>
      </c>
      <c r="R96" s="15" t="str">
        <f>IF(OR(F96="",NOT(OR(ISNUMBER(SEARCH("Epóxico BT",Upload!S86&amp;Upload!T86&amp;Upload!U86&amp;Upload!V86&amp;Upload!W86))))),"",F96*0.000035)</f>
        <v/>
      </c>
      <c r="S96" s="15" t="str">
        <f>IF(OR(G96="",NOT(OR(ISNUMBER(SEARCH("Epóxico Rojo",Upload!T86&amp;Upload!U86&amp;Upload!V86&amp;Upload!W86&amp;Upload!X86))))),"",G96*0.000035)</f>
        <v/>
      </c>
    </row>
    <row r="97" spans="1:19" x14ac:dyDescent="0.2">
      <c r="A97" s="9" t="e">
        <f t="shared" ca="1" si="6"/>
        <v>#NAME?</v>
      </c>
      <c r="B97" s="9">
        <f>Upload!G87</f>
        <v>0</v>
      </c>
      <c r="C97" s="9">
        <f>Upload!AN87</f>
        <v>0</v>
      </c>
      <c r="D97" s="9">
        <f>Upload!AO87</f>
        <v>0</v>
      </c>
      <c r="E97" s="9">
        <f>Upload!AP87</f>
        <v>0</v>
      </c>
      <c r="F97" s="9" t="str">
        <f>Upload!AK87</f>
        <v/>
      </c>
      <c r="G97" s="9" t="str">
        <f>Upload!AM87</f>
        <v/>
      </c>
      <c r="H97" s="9" t="str">
        <f>Upload!AJ87</f>
        <v>(seleccione)</v>
      </c>
      <c r="I97" s="9" t="str">
        <f>Upload!AL87</f>
        <v>(seleccione)</v>
      </c>
      <c r="K97" s="15" t="str">
        <f t="shared" si="7"/>
        <v/>
      </c>
      <c r="L97" s="15" t="str">
        <f t="shared" si="8"/>
        <v/>
      </c>
      <c r="M97" s="15" t="str">
        <f t="shared" si="9"/>
        <v/>
      </c>
      <c r="N97" s="15" t="str">
        <f t="shared" si="10"/>
        <v/>
      </c>
      <c r="O97" s="15" t="str">
        <f t="shared" si="11"/>
        <v/>
      </c>
      <c r="P97" s="15" t="str">
        <f>IF(OR(C97="",NOT(OR(ISNUMBER(SEARCH("Antitarnish",Upload!R87&amp;Upload!S87&amp;Upload!T87&amp;Upload!U87&amp;Upload!V87)),ISNUMBER(SEARCH("Anti Tarnish",Upload!R87&amp;Upload!S87&amp;Upload!T87&amp;Upload!U87&amp;Upload!V87))))),"",0.0012*C97)</f>
        <v/>
      </c>
      <c r="Q97" s="15" t="str">
        <f>IF(OR(E97="",NOT(OR(ISNUMBER(SEARCH("Epóxico MT",Upload!R87&amp;Upload!S87&amp;Upload!T87&amp;Upload!U87&amp;Upload!V87))))),"",E97*0.000035)</f>
        <v/>
      </c>
      <c r="R97" s="15" t="str">
        <f>IF(OR(F97="",NOT(OR(ISNUMBER(SEARCH("Epóxico BT",Upload!S87&amp;Upload!T87&amp;Upload!U87&amp;Upload!V87&amp;Upload!W87))))),"",F97*0.000035)</f>
        <v/>
      </c>
      <c r="S97" s="15" t="str">
        <f>IF(OR(G97="",NOT(OR(ISNUMBER(SEARCH("Epóxico Rojo",Upload!T87&amp;Upload!U87&amp;Upload!V87&amp;Upload!W87&amp;Upload!X87))))),"",G97*0.000035)</f>
        <v/>
      </c>
    </row>
    <row r="98" spans="1:19" x14ac:dyDescent="0.2">
      <c r="A98" s="9" t="e">
        <f t="shared" ca="1" si="6"/>
        <v>#NAME?</v>
      </c>
      <c r="B98" s="9">
        <f>Upload!G88</f>
        <v>0</v>
      </c>
      <c r="C98" s="9">
        <f>Upload!AN88</f>
        <v>0</v>
      </c>
      <c r="D98" s="9">
        <f>Upload!AO88</f>
        <v>0</v>
      </c>
      <c r="E98" s="9">
        <f>Upload!AP88</f>
        <v>0</v>
      </c>
      <c r="F98" s="9" t="str">
        <f>Upload!AK88</f>
        <v/>
      </c>
      <c r="G98" s="9" t="str">
        <f>Upload!AM88</f>
        <v/>
      </c>
      <c r="H98" s="9" t="str">
        <f>Upload!AJ88</f>
        <v>(seleccione)</v>
      </c>
      <c r="I98" s="9" t="str">
        <f>Upload!AL88</f>
        <v>(seleccione)</v>
      </c>
      <c r="K98" s="15" t="str">
        <f t="shared" si="7"/>
        <v/>
      </c>
      <c r="L98" s="15" t="str">
        <f t="shared" si="8"/>
        <v/>
      </c>
      <c r="M98" s="15" t="str">
        <f t="shared" si="9"/>
        <v/>
      </c>
      <c r="N98" s="15" t="str">
        <f t="shared" si="10"/>
        <v/>
      </c>
      <c r="O98" s="15" t="str">
        <f t="shared" si="11"/>
        <v/>
      </c>
      <c r="P98" s="15" t="str">
        <f>IF(OR(C98="",NOT(OR(ISNUMBER(SEARCH("Antitarnish",Upload!R88&amp;Upload!S88&amp;Upload!T88&amp;Upload!U88&amp;Upload!V88)),ISNUMBER(SEARCH("Anti Tarnish",Upload!R88&amp;Upload!S88&amp;Upload!T88&amp;Upload!U88&amp;Upload!V88))))),"",0.0012*C98)</f>
        <v/>
      </c>
      <c r="Q98" s="15" t="str">
        <f>IF(OR(E98="",NOT(OR(ISNUMBER(SEARCH("Epóxico MT",Upload!R88&amp;Upload!S88&amp;Upload!T88&amp;Upload!U88&amp;Upload!V88))))),"",E98*0.000035)</f>
        <v/>
      </c>
      <c r="R98" s="15" t="str">
        <f>IF(OR(F98="",NOT(OR(ISNUMBER(SEARCH("Epóxico BT",Upload!S88&amp;Upload!T88&amp;Upload!U88&amp;Upload!V88&amp;Upload!W88))))),"",F98*0.000035)</f>
        <v/>
      </c>
      <c r="S98" s="15" t="str">
        <f>IF(OR(G98="",NOT(OR(ISNUMBER(SEARCH("Epóxico Rojo",Upload!T88&amp;Upload!U88&amp;Upload!V88&amp;Upload!W88&amp;Upload!X88))))),"",G98*0.000035)</f>
        <v/>
      </c>
    </row>
    <row r="99" spans="1:19" x14ac:dyDescent="0.2">
      <c r="A99" s="9" t="e">
        <f t="shared" ca="1" si="6"/>
        <v>#NAME?</v>
      </c>
      <c r="B99" s="9">
        <f>Upload!G89</f>
        <v>0</v>
      </c>
      <c r="C99" s="9">
        <f>Upload!AN89</f>
        <v>0</v>
      </c>
      <c r="D99" s="9">
        <f>Upload!AO89</f>
        <v>0</v>
      </c>
      <c r="E99" s="9">
        <f>Upload!AP89</f>
        <v>0</v>
      </c>
      <c r="F99" s="9" t="str">
        <f>Upload!AK89</f>
        <v/>
      </c>
      <c r="G99" s="9" t="str">
        <f>Upload!AM89</f>
        <v/>
      </c>
      <c r="H99" s="9" t="str">
        <f>Upload!AJ89</f>
        <v>(seleccione)</v>
      </c>
      <c r="I99" s="9" t="str">
        <f>Upload!AL89</f>
        <v>(seleccione)</v>
      </c>
      <c r="K99" s="15" t="str">
        <f t="shared" si="7"/>
        <v/>
      </c>
      <c r="L99" s="15" t="str">
        <f t="shared" si="8"/>
        <v/>
      </c>
      <c r="M99" s="15" t="str">
        <f t="shared" si="9"/>
        <v/>
      </c>
      <c r="N99" s="15" t="str">
        <f t="shared" si="10"/>
        <v/>
      </c>
      <c r="O99" s="15" t="str">
        <f t="shared" si="11"/>
        <v/>
      </c>
      <c r="P99" s="15" t="str">
        <f>IF(OR(C99="",NOT(OR(ISNUMBER(SEARCH("Antitarnish",Upload!R89&amp;Upload!S89&amp;Upload!T89&amp;Upload!U89&amp;Upload!V89)),ISNUMBER(SEARCH("Anti Tarnish",Upload!R89&amp;Upload!S89&amp;Upload!T89&amp;Upload!U89&amp;Upload!V89))))),"",0.0012*C99)</f>
        <v/>
      </c>
      <c r="Q99" s="15" t="str">
        <f>IF(OR(E99="",NOT(OR(ISNUMBER(SEARCH("Epóxico MT",Upload!R89&amp;Upload!S89&amp;Upload!T89&amp;Upload!U89&amp;Upload!V89))))),"",E99*0.000035)</f>
        <v/>
      </c>
      <c r="R99" s="15" t="str">
        <f>IF(OR(F99="",NOT(OR(ISNUMBER(SEARCH("Epóxico BT",Upload!S89&amp;Upload!T89&amp;Upload!U89&amp;Upload!V89&amp;Upload!W89))))),"",F99*0.000035)</f>
        <v/>
      </c>
      <c r="S99" s="15" t="str">
        <f>IF(OR(G99="",NOT(OR(ISNUMBER(SEARCH("Epóxico Rojo",Upload!T89&amp;Upload!U89&amp;Upload!V89&amp;Upload!W89&amp;Upload!X89))))),"",G99*0.000035)</f>
        <v/>
      </c>
    </row>
    <row r="100" spans="1:19" x14ac:dyDescent="0.2">
      <c r="A100" s="9" t="e">
        <f t="shared" ca="1" si="6"/>
        <v>#NAME?</v>
      </c>
      <c r="B100" s="9">
        <f>Upload!G90</f>
        <v>0</v>
      </c>
      <c r="C100" s="9">
        <f>Upload!AN90</f>
        <v>0</v>
      </c>
      <c r="D100" s="9">
        <f>Upload!AO90</f>
        <v>0</v>
      </c>
      <c r="E100" s="9">
        <f>Upload!AP90</f>
        <v>0</v>
      </c>
      <c r="F100" s="9" t="str">
        <f>Upload!AK90</f>
        <v/>
      </c>
      <c r="G100" s="9" t="str">
        <f>Upload!AM90</f>
        <v/>
      </c>
      <c r="H100" s="9" t="str">
        <f>Upload!AJ90</f>
        <v>(seleccione)</v>
      </c>
      <c r="I100" s="9" t="str">
        <f>Upload!AL90</f>
        <v>(seleccione)</v>
      </c>
      <c r="K100" s="15" t="str">
        <f t="shared" si="7"/>
        <v/>
      </c>
      <c r="L100" s="15" t="str">
        <f t="shared" si="8"/>
        <v/>
      </c>
      <c r="M100" s="15" t="str">
        <f t="shared" si="9"/>
        <v/>
      </c>
      <c r="N100" s="15" t="str">
        <f t="shared" si="10"/>
        <v/>
      </c>
      <c r="O100" s="15" t="str">
        <f t="shared" si="11"/>
        <v/>
      </c>
      <c r="P100" s="15" t="str">
        <f>IF(OR(C100="",NOT(OR(ISNUMBER(SEARCH("Antitarnish",Upload!R90&amp;Upload!S90&amp;Upload!T90&amp;Upload!U90&amp;Upload!V90)),ISNUMBER(SEARCH("Anti Tarnish",Upload!R90&amp;Upload!S90&amp;Upload!T90&amp;Upload!U90&amp;Upload!V90))))),"",0.0012*C100)</f>
        <v/>
      </c>
      <c r="Q100" s="15" t="str">
        <f>IF(OR(E100="",NOT(OR(ISNUMBER(SEARCH("Epóxico MT",Upload!R90&amp;Upload!S90&amp;Upload!T90&amp;Upload!U90&amp;Upload!V90))))),"",E100*0.000035)</f>
        <v/>
      </c>
      <c r="R100" s="15" t="str">
        <f>IF(OR(F100="",NOT(OR(ISNUMBER(SEARCH("Epóxico BT",Upload!S90&amp;Upload!T90&amp;Upload!U90&amp;Upload!V90&amp;Upload!W90))))),"",F100*0.000035)</f>
        <v/>
      </c>
      <c r="S100" s="15" t="str">
        <f>IF(OR(G100="",NOT(OR(ISNUMBER(SEARCH("Epóxico Rojo",Upload!T90&amp;Upload!U90&amp;Upload!V90&amp;Upload!W90&amp;Upload!X90))))),"",G100*0.000035)</f>
        <v/>
      </c>
    </row>
    <row r="101" spans="1:19" x14ac:dyDescent="0.2">
      <c r="A101" s="9" t="e">
        <f t="shared" ca="1" si="6"/>
        <v>#NAME?</v>
      </c>
      <c r="B101" s="9">
        <f>Upload!G91</f>
        <v>0</v>
      </c>
      <c r="C101" s="9">
        <f>Upload!AN91</f>
        <v>0</v>
      </c>
      <c r="D101" s="9">
        <f>Upload!AO91</f>
        <v>0</v>
      </c>
      <c r="E101" s="9">
        <f>Upload!AP91</f>
        <v>0</v>
      </c>
      <c r="F101" s="9" t="str">
        <f>Upload!AK91</f>
        <v/>
      </c>
      <c r="G101" s="9" t="str">
        <f>Upload!AM91</f>
        <v/>
      </c>
      <c r="H101" s="9" t="str">
        <f>Upload!AJ91</f>
        <v>(seleccione)</v>
      </c>
      <c r="I101" s="9" t="str">
        <f>Upload!AL91</f>
        <v>(seleccione)</v>
      </c>
      <c r="K101" s="15" t="str">
        <f t="shared" si="7"/>
        <v/>
      </c>
      <c r="L101" s="15" t="str">
        <f t="shared" si="8"/>
        <v/>
      </c>
      <c r="M101" s="15" t="str">
        <f t="shared" si="9"/>
        <v/>
      </c>
      <c r="N101" s="15" t="str">
        <f t="shared" si="10"/>
        <v/>
      </c>
      <c r="O101" s="15" t="str">
        <f t="shared" si="11"/>
        <v/>
      </c>
      <c r="P101" s="15" t="str">
        <f>IF(OR(C101="",NOT(OR(ISNUMBER(SEARCH("Antitarnish",Upload!R91&amp;Upload!S91&amp;Upload!T91&amp;Upload!U91&amp;Upload!V91)),ISNUMBER(SEARCH("Anti Tarnish",Upload!R91&amp;Upload!S91&amp;Upload!T91&amp;Upload!U91&amp;Upload!V91))))),"",0.0012*C101)</f>
        <v/>
      </c>
      <c r="Q101" s="15" t="str">
        <f>IF(OR(E101="",NOT(OR(ISNUMBER(SEARCH("Epóxico MT",Upload!R91&amp;Upload!S91&amp;Upload!T91&amp;Upload!U91&amp;Upload!V91))))),"",E101*0.000035)</f>
        <v/>
      </c>
      <c r="R101" s="15" t="str">
        <f>IF(OR(F101="",NOT(OR(ISNUMBER(SEARCH("Epóxico BT",Upload!S91&amp;Upload!T91&amp;Upload!U91&amp;Upload!V91&amp;Upload!W91))))),"",F101*0.000035)</f>
        <v/>
      </c>
      <c r="S101" s="15" t="str">
        <f>IF(OR(G101="",NOT(OR(ISNUMBER(SEARCH("Epóxico Rojo",Upload!T91&amp;Upload!U91&amp;Upload!V91&amp;Upload!W91&amp;Upload!X91))))),"",G101*0.000035)</f>
        <v/>
      </c>
    </row>
    <row r="102" spans="1:19" x14ac:dyDescent="0.2">
      <c r="A102" s="9" t="e">
        <f t="shared" ca="1" si="6"/>
        <v>#NAME?</v>
      </c>
      <c r="B102" s="9">
        <f>Upload!G92</f>
        <v>0</v>
      </c>
      <c r="C102" s="9">
        <f>Upload!AN92</f>
        <v>0</v>
      </c>
      <c r="D102" s="9">
        <f>Upload!AO92</f>
        <v>0</v>
      </c>
      <c r="E102" s="9">
        <f>Upload!AP92</f>
        <v>0</v>
      </c>
      <c r="F102" s="9" t="str">
        <f>Upload!AK92</f>
        <v/>
      </c>
      <c r="G102" s="9" t="str">
        <f>Upload!AM92</f>
        <v/>
      </c>
      <c r="H102" s="9" t="str">
        <f>Upload!AJ92</f>
        <v>(seleccione)</v>
      </c>
      <c r="I102" s="9" t="str">
        <f>Upload!AL92</f>
        <v>(seleccione)</v>
      </c>
      <c r="K102" s="15" t="str">
        <f t="shared" si="7"/>
        <v/>
      </c>
      <c r="L102" s="15" t="str">
        <f t="shared" si="8"/>
        <v/>
      </c>
      <c r="M102" s="15" t="str">
        <f t="shared" si="9"/>
        <v/>
      </c>
      <c r="N102" s="15" t="str">
        <f t="shared" si="10"/>
        <v/>
      </c>
      <c r="O102" s="15" t="str">
        <f t="shared" si="11"/>
        <v/>
      </c>
      <c r="P102" s="15" t="str">
        <f>IF(OR(C102="",NOT(OR(ISNUMBER(SEARCH("Antitarnish",Upload!R92&amp;Upload!S92&amp;Upload!T92&amp;Upload!U92&amp;Upload!V92)),ISNUMBER(SEARCH("Anti Tarnish",Upload!R92&amp;Upload!S92&amp;Upload!T92&amp;Upload!U92&amp;Upload!V92))))),"",0.0012*C102)</f>
        <v/>
      </c>
      <c r="Q102" s="15" t="str">
        <f>IF(OR(E102="",NOT(OR(ISNUMBER(SEARCH("Epóxico MT",Upload!R92&amp;Upload!S92&amp;Upload!T92&amp;Upload!U92&amp;Upload!V92))))),"",E102*0.000035)</f>
        <v/>
      </c>
      <c r="R102" s="15" t="str">
        <f>IF(OR(F102="",NOT(OR(ISNUMBER(SEARCH("Epóxico BT",Upload!S92&amp;Upload!T92&amp;Upload!U92&amp;Upload!V92&amp;Upload!W92))))),"",F102*0.000035)</f>
        <v/>
      </c>
      <c r="S102" s="15" t="str">
        <f>IF(OR(G102="",NOT(OR(ISNUMBER(SEARCH("Epóxico Rojo",Upload!T92&amp;Upload!U92&amp;Upload!V92&amp;Upload!W92&amp;Upload!X92))))),"",G102*0.000035)</f>
        <v/>
      </c>
    </row>
    <row r="103" spans="1:19" x14ac:dyDescent="0.2">
      <c r="A103" s="9" t="e">
        <f t="shared" ca="1" si="6"/>
        <v>#NAME?</v>
      </c>
      <c r="B103" s="9">
        <f>Upload!G93</f>
        <v>0</v>
      </c>
      <c r="C103" s="9">
        <f>Upload!AN93</f>
        <v>0</v>
      </c>
      <c r="D103" s="9">
        <f>Upload!AO93</f>
        <v>0</v>
      </c>
      <c r="E103" s="9">
        <f>Upload!AP93</f>
        <v>0</v>
      </c>
      <c r="F103" s="9" t="str">
        <f>Upload!AK93</f>
        <v/>
      </c>
      <c r="G103" s="9" t="str">
        <f>Upload!AM93</f>
        <v/>
      </c>
      <c r="H103" s="9" t="str">
        <f>Upload!AJ93</f>
        <v>(seleccione)</v>
      </c>
      <c r="I103" s="9" t="str">
        <f>Upload!AL93</f>
        <v>(seleccione)</v>
      </c>
      <c r="K103" s="15" t="str">
        <f t="shared" si="7"/>
        <v/>
      </c>
      <c r="L103" s="15" t="str">
        <f t="shared" si="8"/>
        <v/>
      </c>
      <c r="M103" s="15" t="str">
        <f t="shared" si="9"/>
        <v/>
      </c>
      <c r="N103" s="15" t="str">
        <f t="shared" si="10"/>
        <v/>
      </c>
      <c r="O103" s="15" t="str">
        <f t="shared" si="11"/>
        <v/>
      </c>
      <c r="P103" s="15" t="str">
        <f>IF(OR(C103="",NOT(OR(ISNUMBER(SEARCH("Antitarnish",Upload!R93&amp;Upload!S93&amp;Upload!T93&amp;Upload!U93&amp;Upload!V93)),ISNUMBER(SEARCH("Anti Tarnish",Upload!R93&amp;Upload!S93&amp;Upload!T93&amp;Upload!U93&amp;Upload!V93))))),"",0.0012*C103)</f>
        <v/>
      </c>
      <c r="Q103" s="15" t="str">
        <f>IF(OR(E103="",NOT(OR(ISNUMBER(SEARCH("Epóxico MT",Upload!R93&amp;Upload!S93&amp;Upload!T93&amp;Upload!U93&amp;Upload!V93))))),"",E103*0.000035)</f>
        <v/>
      </c>
      <c r="R103" s="15" t="str">
        <f>IF(OR(F103="",NOT(OR(ISNUMBER(SEARCH("Epóxico BT",Upload!S93&amp;Upload!T93&amp;Upload!U93&amp;Upload!V93&amp;Upload!W93))))),"",F103*0.000035)</f>
        <v/>
      </c>
      <c r="S103" s="15" t="str">
        <f>IF(OR(G103="",NOT(OR(ISNUMBER(SEARCH("Epóxico Rojo",Upload!T93&amp;Upload!U93&amp;Upload!V93&amp;Upload!W93&amp;Upload!X93))))),"",G103*0.000035)</f>
        <v/>
      </c>
    </row>
    <row r="104" spans="1:19" x14ac:dyDescent="0.2">
      <c r="A104" s="9" t="e">
        <f t="shared" ca="1" si="6"/>
        <v>#NAME?</v>
      </c>
      <c r="B104" s="9">
        <f>Upload!G94</f>
        <v>0</v>
      </c>
      <c r="C104" s="9">
        <f>Upload!AN94</f>
        <v>0</v>
      </c>
      <c r="D104" s="9">
        <f>Upload!AO94</f>
        <v>0</v>
      </c>
      <c r="E104" s="9">
        <f>Upload!AP94</f>
        <v>0</v>
      </c>
      <c r="F104" s="9" t="str">
        <f>Upload!AK94</f>
        <v/>
      </c>
      <c r="G104" s="9" t="str">
        <f>Upload!AM94</f>
        <v/>
      </c>
      <c r="H104" s="9" t="str">
        <f>Upload!AJ94</f>
        <v>(seleccione)</v>
      </c>
      <c r="I104" s="9" t="str">
        <f>Upload!AL94</f>
        <v>(seleccione)</v>
      </c>
      <c r="K104" s="15" t="str">
        <f t="shared" si="7"/>
        <v/>
      </c>
      <c r="L104" s="15" t="str">
        <f t="shared" si="8"/>
        <v/>
      </c>
      <c r="M104" s="15" t="str">
        <f t="shared" si="9"/>
        <v/>
      </c>
      <c r="N104" s="15" t="str">
        <f t="shared" si="10"/>
        <v/>
      </c>
      <c r="O104" s="15" t="str">
        <f t="shared" si="11"/>
        <v/>
      </c>
      <c r="P104" s="15" t="str">
        <f>IF(OR(C104="",NOT(OR(ISNUMBER(SEARCH("Antitarnish",Upload!R94&amp;Upload!S94&amp;Upload!T94&amp;Upload!U94&amp;Upload!V94)),ISNUMBER(SEARCH("Anti Tarnish",Upload!R94&amp;Upload!S94&amp;Upload!T94&amp;Upload!U94&amp;Upload!V94))))),"",0.0012*C104)</f>
        <v/>
      </c>
      <c r="Q104" s="15" t="str">
        <f>IF(OR(E104="",NOT(OR(ISNUMBER(SEARCH("Epóxico MT",Upload!R94&amp;Upload!S94&amp;Upload!T94&amp;Upload!U94&amp;Upload!V94))))),"",E104*0.000035)</f>
        <v/>
      </c>
      <c r="R104" s="15" t="str">
        <f>IF(OR(F104="",NOT(OR(ISNUMBER(SEARCH("Epóxico BT",Upload!S94&amp;Upload!T94&amp;Upload!U94&amp;Upload!V94&amp;Upload!W94))))),"",F104*0.000035)</f>
        <v/>
      </c>
      <c r="S104" s="15" t="str">
        <f>IF(OR(G104="",NOT(OR(ISNUMBER(SEARCH("Epóxico Rojo",Upload!T94&amp;Upload!U94&amp;Upload!V94&amp;Upload!W94&amp;Upload!X94))))),"",G104*0.000035)</f>
        <v/>
      </c>
    </row>
    <row r="105" spans="1:19" x14ac:dyDescent="0.2">
      <c r="A105" s="9" t="e">
        <f t="shared" ca="1" si="6"/>
        <v>#NAME?</v>
      </c>
      <c r="B105" s="9">
        <f>Upload!G95</f>
        <v>0</v>
      </c>
      <c r="C105" s="9">
        <f>Upload!AN95</f>
        <v>0</v>
      </c>
      <c r="D105" s="9">
        <f>Upload!AO95</f>
        <v>0</v>
      </c>
      <c r="E105" s="9">
        <f>Upload!AP95</f>
        <v>0</v>
      </c>
      <c r="F105" s="9" t="str">
        <f>Upload!AK95</f>
        <v/>
      </c>
      <c r="G105" s="9" t="str">
        <f>Upload!AM95</f>
        <v/>
      </c>
      <c r="H105" s="9" t="str">
        <f>Upload!AJ95</f>
        <v>(seleccione)</v>
      </c>
      <c r="I105" s="9" t="str">
        <f>Upload!AL95</f>
        <v>(seleccione)</v>
      </c>
      <c r="K105" s="15" t="str">
        <f t="shared" si="7"/>
        <v/>
      </c>
      <c r="L105" s="15" t="str">
        <f t="shared" si="8"/>
        <v/>
      </c>
      <c r="M105" s="15" t="str">
        <f t="shared" si="9"/>
        <v/>
      </c>
      <c r="N105" s="15" t="str">
        <f t="shared" si="10"/>
        <v/>
      </c>
      <c r="O105" s="15" t="str">
        <f t="shared" si="11"/>
        <v/>
      </c>
      <c r="P105" s="15" t="str">
        <f>IF(OR(C105="",NOT(OR(ISNUMBER(SEARCH("Antitarnish",Upload!R95&amp;Upload!S95&amp;Upload!T95&amp;Upload!U95&amp;Upload!V95)),ISNUMBER(SEARCH("Anti Tarnish",Upload!R95&amp;Upload!S95&amp;Upload!T95&amp;Upload!U95&amp;Upload!V95))))),"",0.0012*C105)</f>
        <v/>
      </c>
      <c r="Q105" s="15" t="str">
        <f>IF(OR(E105="",NOT(OR(ISNUMBER(SEARCH("Epóxico MT",Upload!R95&amp;Upload!S95&amp;Upload!T95&amp;Upload!U95&amp;Upload!V95))))),"",E105*0.000035)</f>
        <v/>
      </c>
      <c r="R105" s="15" t="str">
        <f>IF(OR(F105="",NOT(OR(ISNUMBER(SEARCH("Epóxico BT",Upload!S95&amp;Upload!T95&amp;Upload!U95&amp;Upload!V95&amp;Upload!W95))))),"",F105*0.000035)</f>
        <v/>
      </c>
      <c r="S105" s="15" t="str">
        <f>IF(OR(G105="",NOT(OR(ISNUMBER(SEARCH("Epóxico Rojo",Upload!T95&amp;Upload!U95&amp;Upload!V95&amp;Upload!W95&amp;Upload!X95))))),"",G105*0.000035)</f>
        <v/>
      </c>
    </row>
    <row r="106" spans="1:19" x14ac:dyDescent="0.2">
      <c r="A106" s="9" t="e">
        <f t="shared" ca="1" si="6"/>
        <v>#NAME?</v>
      </c>
      <c r="B106" s="9">
        <f>Upload!G96</f>
        <v>0</v>
      </c>
      <c r="C106" s="9">
        <f>Upload!AN96</f>
        <v>0</v>
      </c>
      <c r="D106" s="9">
        <f>Upload!AO96</f>
        <v>0</v>
      </c>
      <c r="E106" s="9">
        <f>Upload!AP96</f>
        <v>0</v>
      </c>
      <c r="F106" s="9" t="str">
        <f>Upload!AK96</f>
        <v/>
      </c>
      <c r="G106" s="9" t="str">
        <f>Upload!AM96</f>
        <v/>
      </c>
      <c r="H106" s="9" t="str">
        <f>Upload!AJ96</f>
        <v>(seleccione)</v>
      </c>
      <c r="I106" s="9" t="str">
        <f>Upload!AL96</f>
        <v>(seleccione)</v>
      </c>
      <c r="K106" s="15" t="str">
        <f t="shared" si="7"/>
        <v/>
      </c>
      <c r="L106" s="15" t="str">
        <f t="shared" si="8"/>
        <v/>
      </c>
      <c r="M106" s="15" t="str">
        <f t="shared" si="9"/>
        <v/>
      </c>
      <c r="N106" s="15" t="str">
        <f t="shared" si="10"/>
        <v/>
      </c>
      <c r="O106" s="15" t="str">
        <f t="shared" si="11"/>
        <v/>
      </c>
      <c r="P106" s="15" t="str">
        <f>IF(OR(C106="",NOT(OR(ISNUMBER(SEARCH("Antitarnish",Upload!R96&amp;Upload!S96&amp;Upload!T96&amp;Upload!U96&amp;Upload!V96)),ISNUMBER(SEARCH("Anti Tarnish",Upload!R96&amp;Upload!S96&amp;Upload!T96&amp;Upload!U96&amp;Upload!V96))))),"",0.0012*C106)</f>
        <v/>
      </c>
      <c r="Q106" s="15" t="str">
        <f>IF(OR(E106="",NOT(OR(ISNUMBER(SEARCH("Epóxico MT",Upload!R96&amp;Upload!S96&amp;Upload!T96&amp;Upload!U96&amp;Upload!V96))))),"",E106*0.000035)</f>
        <v/>
      </c>
      <c r="R106" s="15" t="str">
        <f>IF(OR(F106="",NOT(OR(ISNUMBER(SEARCH("Epóxico BT",Upload!S96&amp;Upload!T96&amp;Upload!U96&amp;Upload!V96&amp;Upload!W96))))),"",F106*0.000035)</f>
        <v/>
      </c>
      <c r="S106" s="15" t="str">
        <f>IF(OR(G106="",NOT(OR(ISNUMBER(SEARCH("Epóxico Rojo",Upload!T96&amp;Upload!U96&amp;Upload!V96&amp;Upload!W96&amp;Upload!X96))))),"",G106*0.000035)</f>
        <v/>
      </c>
    </row>
    <row r="107" spans="1:19" x14ac:dyDescent="0.2">
      <c r="A107" s="9" t="e">
        <f t="shared" ca="1" si="6"/>
        <v>#NAME?</v>
      </c>
      <c r="B107" s="9">
        <f>Upload!G97</f>
        <v>0</v>
      </c>
      <c r="C107" s="9">
        <f>Upload!AN97</f>
        <v>0</v>
      </c>
      <c r="D107" s="9">
        <f>Upload!AO97</f>
        <v>0</v>
      </c>
      <c r="E107" s="9">
        <f>Upload!AP97</f>
        <v>0</v>
      </c>
      <c r="F107" s="9" t="str">
        <f>Upload!AK97</f>
        <v/>
      </c>
      <c r="G107" s="9" t="str">
        <f>Upload!AM97</f>
        <v/>
      </c>
      <c r="H107" s="9" t="str">
        <f>Upload!AJ97</f>
        <v>(seleccione)</v>
      </c>
      <c r="I107" s="9" t="str">
        <f>Upload!AL97</f>
        <v>(seleccione)</v>
      </c>
      <c r="K107" s="15" t="str">
        <f t="shared" si="7"/>
        <v/>
      </c>
      <c r="L107" s="15" t="str">
        <f t="shared" si="8"/>
        <v/>
      </c>
      <c r="M107" s="15" t="str">
        <f t="shared" si="9"/>
        <v/>
      </c>
      <c r="N107" s="15" t="str">
        <f t="shared" si="10"/>
        <v/>
      </c>
      <c r="O107" s="15" t="str">
        <f t="shared" si="11"/>
        <v/>
      </c>
      <c r="P107" s="15" t="str">
        <f>IF(OR(C107="",NOT(OR(ISNUMBER(SEARCH("Antitarnish",Upload!R97&amp;Upload!S97&amp;Upload!T97&amp;Upload!U97&amp;Upload!V97)),ISNUMBER(SEARCH("Anti Tarnish",Upload!R97&amp;Upload!S97&amp;Upload!T97&amp;Upload!U97&amp;Upload!V97))))),"",0.0012*C107)</f>
        <v/>
      </c>
      <c r="Q107" s="15" t="str">
        <f>IF(OR(E107="",NOT(OR(ISNUMBER(SEARCH("Epóxico MT",Upload!R97&amp;Upload!S97&amp;Upload!T97&amp;Upload!U97&amp;Upload!V97))))),"",E107*0.000035)</f>
        <v/>
      </c>
      <c r="R107" s="15" t="str">
        <f>IF(OR(F107="",NOT(OR(ISNUMBER(SEARCH("Epóxico BT",Upload!S97&amp;Upload!T97&amp;Upload!U97&amp;Upload!V97&amp;Upload!W97))))),"",F107*0.000035)</f>
        <v/>
      </c>
      <c r="S107" s="15" t="str">
        <f>IF(OR(G107="",NOT(OR(ISNUMBER(SEARCH("Epóxico Rojo",Upload!T97&amp;Upload!U97&amp;Upload!V97&amp;Upload!W97&amp;Upload!X97))))),"",G107*0.000035)</f>
        <v/>
      </c>
    </row>
    <row r="108" spans="1:19" x14ac:dyDescent="0.2">
      <c r="A108" s="9" t="e">
        <f t="shared" ca="1" si="6"/>
        <v>#NAME?</v>
      </c>
      <c r="B108" s="9">
        <f>Upload!G98</f>
        <v>0</v>
      </c>
      <c r="C108" s="9">
        <f>Upload!AN98</f>
        <v>0</v>
      </c>
      <c r="D108" s="9">
        <f>Upload!AO98</f>
        <v>0</v>
      </c>
      <c r="E108" s="9">
        <f>Upload!AP98</f>
        <v>0</v>
      </c>
      <c r="F108" s="9" t="str">
        <f>Upload!AK98</f>
        <v/>
      </c>
      <c r="G108" s="9" t="str">
        <f>Upload!AM98</f>
        <v/>
      </c>
      <c r="H108" s="9" t="str">
        <f>Upload!AJ98</f>
        <v>(seleccione)</v>
      </c>
      <c r="I108" s="9" t="str">
        <f>Upload!AL98</f>
        <v>(seleccione)</v>
      </c>
      <c r="K108" s="15" t="str">
        <f t="shared" si="7"/>
        <v/>
      </c>
      <c r="L108" s="15" t="str">
        <f t="shared" si="8"/>
        <v/>
      </c>
      <c r="M108" s="15" t="str">
        <f t="shared" si="9"/>
        <v/>
      </c>
      <c r="N108" s="15" t="str">
        <f t="shared" si="10"/>
        <v/>
      </c>
      <c r="O108" s="15" t="str">
        <f t="shared" si="11"/>
        <v/>
      </c>
      <c r="P108" s="15" t="str">
        <f>IF(OR(C108="",NOT(OR(ISNUMBER(SEARCH("Antitarnish",Upload!R98&amp;Upload!S98&amp;Upload!T98&amp;Upload!U98&amp;Upload!V98)),ISNUMBER(SEARCH("Anti Tarnish",Upload!R98&amp;Upload!S98&amp;Upload!T98&amp;Upload!U98&amp;Upload!V98))))),"",0.0012*C108)</f>
        <v/>
      </c>
      <c r="Q108" s="15" t="str">
        <f>IF(OR(E108="",NOT(OR(ISNUMBER(SEARCH("Epóxico MT",Upload!R98&amp;Upload!S98&amp;Upload!T98&amp;Upload!U98&amp;Upload!V98))))),"",E108*0.000035)</f>
        <v/>
      </c>
      <c r="R108" s="15" t="str">
        <f>IF(OR(F108="",NOT(OR(ISNUMBER(SEARCH("Epóxico BT",Upload!S98&amp;Upload!T98&amp;Upload!U98&amp;Upload!V98&amp;Upload!W98))))),"",F108*0.000035)</f>
        <v/>
      </c>
      <c r="S108" s="15" t="str">
        <f>IF(OR(G108="",NOT(OR(ISNUMBER(SEARCH("Epóxico Rojo",Upload!T98&amp;Upload!U98&amp;Upload!V98&amp;Upload!W98&amp;Upload!X98))))),"",G108*0.000035)</f>
        <v/>
      </c>
    </row>
    <row r="109" spans="1:19" x14ac:dyDescent="0.2">
      <c r="A109" s="9" t="e">
        <f t="shared" ca="1" si="6"/>
        <v>#NAME?</v>
      </c>
      <c r="B109" s="9">
        <f>Upload!G99</f>
        <v>0</v>
      </c>
      <c r="C109" s="9">
        <f>Upload!AN99</f>
        <v>0</v>
      </c>
      <c r="D109" s="9">
        <f>Upload!AO99</f>
        <v>0</v>
      </c>
      <c r="E109" s="9">
        <f>Upload!AP99</f>
        <v>0</v>
      </c>
      <c r="F109" s="9" t="str">
        <f>Upload!AK99</f>
        <v/>
      </c>
      <c r="G109" s="9" t="str">
        <f>Upload!AM99</f>
        <v/>
      </c>
      <c r="H109" s="9" t="str">
        <f>Upload!AJ99</f>
        <v>(seleccione)</v>
      </c>
      <c r="I109" s="9" t="str">
        <f>Upload!AL99</f>
        <v>(seleccione)</v>
      </c>
      <c r="K109" s="15" t="str">
        <f t="shared" si="7"/>
        <v/>
      </c>
      <c r="L109" s="15" t="str">
        <f t="shared" si="8"/>
        <v/>
      </c>
      <c r="M109" s="15" t="str">
        <f t="shared" si="9"/>
        <v/>
      </c>
      <c r="N109" s="15" t="str">
        <f t="shared" si="10"/>
        <v/>
      </c>
      <c r="O109" s="15" t="str">
        <f t="shared" si="11"/>
        <v/>
      </c>
      <c r="P109" s="15" t="str">
        <f>IF(OR(C109="",NOT(OR(ISNUMBER(SEARCH("Antitarnish",Upload!R99&amp;Upload!S99&amp;Upload!T99&amp;Upload!U99&amp;Upload!V99)),ISNUMBER(SEARCH("Anti Tarnish",Upload!R99&amp;Upload!S99&amp;Upload!T99&amp;Upload!U99&amp;Upload!V99))))),"",0.0012*C109)</f>
        <v/>
      </c>
      <c r="Q109" s="15" t="str">
        <f>IF(OR(E109="",NOT(OR(ISNUMBER(SEARCH("Epóxico MT",Upload!R99&amp;Upload!S99&amp;Upload!T99&amp;Upload!U99&amp;Upload!V99))))),"",E109*0.000035)</f>
        <v/>
      </c>
      <c r="R109" s="15" t="str">
        <f>IF(OR(F109="",NOT(OR(ISNUMBER(SEARCH("Epóxico BT",Upload!S99&amp;Upload!T99&amp;Upload!U99&amp;Upload!V99&amp;Upload!W99))))),"",F109*0.000035)</f>
        <v/>
      </c>
      <c r="S109" s="15" t="str">
        <f>IF(OR(G109="",NOT(OR(ISNUMBER(SEARCH("Epóxico Rojo",Upload!T99&amp;Upload!U99&amp;Upload!V99&amp;Upload!W99&amp;Upload!X99))))),"",G109*0.000035)</f>
        <v/>
      </c>
    </row>
    <row r="110" spans="1:19" x14ac:dyDescent="0.2">
      <c r="A110" s="9" t="e">
        <f t="shared" ca="1" si="6"/>
        <v>#NAME?</v>
      </c>
      <c r="B110" s="9">
        <f>Upload!G100</f>
        <v>0</v>
      </c>
      <c r="C110" s="9">
        <f>Upload!AN100</f>
        <v>0</v>
      </c>
      <c r="D110" s="9">
        <f>Upload!AO100</f>
        <v>0</v>
      </c>
      <c r="E110" s="9">
        <f>Upload!AP100</f>
        <v>0</v>
      </c>
      <c r="F110" s="9" t="str">
        <f>Upload!AK100</f>
        <v/>
      </c>
      <c r="G110" s="9" t="str">
        <f>Upload!AM100</f>
        <v/>
      </c>
      <c r="H110" s="9" t="str">
        <f>Upload!AJ100</f>
        <v>(seleccione)</v>
      </c>
      <c r="I110" s="9" t="str">
        <f>Upload!AL100</f>
        <v>(seleccione)</v>
      </c>
      <c r="K110" s="15" t="str">
        <f t="shared" si="7"/>
        <v/>
      </c>
      <c r="L110" s="15" t="str">
        <f t="shared" si="8"/>
        <v/>
      </c>
      <c r="M110" s="15" t="str">
        <f t="shared" si="9"/>
        <v/>
      </c>
      <c r="N110" s="15" t="str">
        <f t="shared" si="10"/>
        <v/>
      </c>
      <c r="O110" s="15" t="str">
        <f t="shared" si="11"/>
        <v/>
      </c>
      <c r="P110" s="15" t="str">
        <f>IF(OR(C110="",NOT(OR(ISNUMBER(SEARCH("Antitarnish",Upload!R100&amp;Upload!S100&amp;Upload!T100&amp;Upload!U100&amp;Upload!V100)),ISNUMBER(SEARCH("Anti Tarnish",Upload!R100&amp;Upload!S100&amp;Upload!T100&amp;Upload!U100&amp;Upload!V100))))),"",0.0012*C110)</f>
        <v/>
      </c>
      <c r="Q110" s="15" t="str">
        <f>IF(OR(E110="",NOT(OR(ISNUMBER(SEARCH("Epóxico MT",Upload!R100&amp;Upload!S100&amp;Upload!T100&amp;Upload!U100&amp;Upload!V100))))),"",E110*0.000035)</f>
        <v/>
      </c>
      <c r="R110" s="15" t="str">
        <f>IF(OR(F110="",NOT(OR(ISNUMBER(SEARCH("Epóxico BT",Upload!S100&amp;Upload!T100&amp;Upload!U100&amp;Upload!V100&amp;Upload!W100))))),"",F110*0.000035)</f>
        <v/>
      </c>
      <c r="S110" s="15" t="str">
        <f>IF(OR(G110="",NOT(OR(ISNUMBER(SEARCH("Epóxico Rojo",Upload!T100&amp;Upload!U100&amp;Upload!V100&amp;Upload!W100&amp;Upload!X100))))),"",G110*0.000035)</f>
        <v/>
      </c>
    </row>
    <row r="111" spans="1:19" x14ac:dyDescent="0.2">
      <c r="A111" s="9" t="e">
        <f t="shared" ca="1" si="6"/>
        <v>#NAME?</v>
      </c>
      <c r="B111" s="9">
        <f>Upload!G101</f>
        <v>0</v>
      </c>
      <c r="C111" s="9">
        <f>Upload!AN101</f>
        <v>0</v>
      </c>
      <c r="D111" s="9">
        <f>Upload!AO101</f>
        <v>0</v>
      </c>
      <c r="E111" s="9">
        <f>Upload!AP101</f>
        <v>0</v>
      </c>
      <c r="F111" s="9" t="str">
        <f>Upload!AK101</f>
        <v/>
      </c>
      <c r="G111" s="9" t="str">
        <f>Upload!AM101</f>
        <v/>
      </c>
      <c r="H111" s="9" t="str">
        <f>Upload!AJ101</f>
        <v>(seleccione)</v>
      </c>
      <c r="I111" s="9" t="str">
        <f>Upload!AL101</f>
        <v>(seleccione)</v>
      </c>
      <c r="K111" s="15" t="str">
        <f t="shared" si="7"/>
        <v/>
      </c>
      <c r="L111" s="15" t="str">
        <f t="shared" si="8"/>
        <v/>
      </c>
      <c r="M111" s="15" t="str">
        <f t="shared" si="9"/>
        <v/>
      </c>
      <c r="N111" s="15" t="str">
        <f t="shared" si="10"/>
        <v/>
      </c>
      <c r="O111" s="15" t="str">
        <f t="shared" si="11"/>
        <v/>
      </c>
      <c r="P111" s="15" t="str">
        <f>IF(OR(C111="",NOT(OR(ISNUMBER(SEARCH("Antitarnish",Upload!R101&amp;Upload!S101&amp;Upload!T101&amp;Upload!U101&amp;Upload!V101)),ISNUMBER(SEARCH("Anti Tarnish",Upload!R101&amp;Upload!S101&amp;Upload!T101&amp;Upload!U101&amp;Upload!V101))))),"",0.0012*C111)</f>
        <v/>
      </c>
      <c r="Q111" s="15" t="str">
        <f>IF(OR(E111="",NOT(OR(ISNUMBER(SEARCH("Epóxico MT",Upload!R101&amp;Upload!S101&amp;Upload!T101&amp;Upload!U101&amp;Upload!V101))))),"",E111*0.000035)</f>
        <v/>
      </c>
      <c r="R111" s="15" t="str">
        <f>IF(OR(F111="",NOT(OR(ISNUMBER(SEARCH("Epóxico BT",Upload!S101&amp;Upload!T101&amp;Upload!U101&amp;Upload!V101&amp;Upload!W101))))),"",F111*0.000035)</f>
        <v/>
      </c>
      <c r="S111" s="15" t="str">
        <f>IF(OR(G111="",NOT(OR(ISNUMBER(SEARCH("Epóxico Rojo",Upload!T101&amp;Upload!U101&amp;Upload!V101&amp;Upload!W101&amp;Upload!X101))))),"",G111*0.000035)</f>
        <v/>
      </c>
    </row>
    <row r="112" spans="1:19" x14ac:dyDescent="0.2">
      <c r="A112" s="9" t="e">
        <f t="shared" ca="1" si="6"/>
        <v>#NAME?</v>
      </c>
      <c r="B112" s="9">
        <f>Upload!G102</f>
        <v>0</v>
      </c>
      <c r="C112" s="9">
        <f>Upload!AN102</f>
        <v>0</v>
      </c>
      <c r="D112" s="9">
        <f>Upload!AO102</f>
        <v>0</v>
      </c>
      <c r="E112" s="9">
        <f>Upload!AP102</f>
        <v>0</v>
      </c>
      <c r="F112" s="9" t="str">
        <f>Upload!AK102</f>
        <v/>
      </c>
      <c r="G112" s="9" t="str">
        <f>Upload!AM102</f>
        <v/>
      </c>
      <c r="H112" s="9" t="str">
        <f>Upload!AJ102</f>
        <v>(seleccione)</v>
      </c>
      <c r="I112" s="9" t="str">
        <f>Upload!AL102</f>
        <v>(seleccione)</v>
      </c>
      <c r="K112" s="15" t="str">
        <f t="shared" si="7"/>
        <v/>
      </c>
      <c r="L112" s="15" t="str">
        <f t="shared" si="8"/>
        <v/>
      </c>
      <c r="M112" s="15" t="str">
        <f t="shared" si="9"/>
        <v/>
      </c>
      <c r="N112" s="15" t="str">
        <f t="shared" si="10"/>
        <v/>
      </c>
      <c r="O112" s="15" t="str">
        <f t="shared" si="11"/>
        <v/>
      </c>
      <c r="P112" s="15" t="str">
        <f>IF(OR(C112="",NOT(OR(ISNUMBER(SEARCH("Antitarnish",Upload!R102&amp;Upload!S102&amp;Upload!T102&amp;Upload!U102&amp;Upload!V102)),ISNUMBER(SEARCH("Anti Tarnish",Upload!R102&amp;Upload!S102&amp;Upload!T102&amp;Upload!U102&amp;Upload!V102))))),"",0.0012*C112)</f>
        <v/>
      </c>
      <c r="Q112" s="15" t="str">
        <f>IF(OR(E112="",NOT(OR(ISNUMBER(SEARCH("Epóxico MT",Upload!R102&amp;Upload!S102&amp;Upload!T102&amp;Upload!U102&amp;Upload!V102))))),"",E112*0.000035)</f>
        <v/>
      </c>
      <c r="R112" s="15" t="str">
        <f>IF(OR(F112="",NOT(OR(ISNUMBER(SEARCH("Epóxico BT",Upload!S102&amp;Upload!T102&amp;Upload!U102&amp;Upload!V102&amp;Upload!W102))))),"",F112*0.000035)</f>
        <v/>
      </c>
      <c r="S112" s="15" t="str">
        <f>IF(OR(G112="",NOT(OR(ISNUMBER(SEARCH("Epóxico Rojo",Upload!T102&amp;Upload!U102&amp;Upload!V102&amp;Upload!W102&amp;Upload!X102))))),"",G112*0.000035)</f>
        <v/>
      </c>
    </row>
    <row r="113" spans="1:19" x14ac:dyDescent="0.2">
      <c r="A113" s="9" t="e">
        <f t="shared" ca="1" si="6"/>
        <v>#NAME?</v>
      </c>
      <c r="B113" s="9">
        <f>Upload!G103</f>
        <v>0</v>
      </c>
      <c r="C113" s="9">
        <f>Upload!AN103</f>
        <v>0</v>
      </c>
      <c r="D113" s="9">
        <f>Upload!AO103</f>
        <v>0</v>
      </c>
      <c r="E113" s="9">
        <f>Upload!AP103</f>
        <v>0</v>
      </c>
      <c r="F113" s="9" t="str">
        <f>Upload!AK103</f>
        <v/>
      </c>
      <c r="G113" s="9" t="str">
        <f>Upload!AM103</f>
        <v/>
      </c>
      <c r="H113" s="9" t="str">
        <f>Upload!AJ103</f>
        <v>(seleccione)</v>
      </c>
      <c r="I113" s="9" t="str">
        <f>Upload!AL103</f>
        <v>(seleccione)</v>
      </c>
      <c r="K113" s="15" t="str">
        <f t="shared" si="7"/>
        <v/>
      </c>
      <c r="L113" s="15" t="str">
        <f t="shared" si="8"/>
        <v/>
      </c>
      <c r="M113" s="15" t="str">
        <f t="shared" si="9"/>
        <v/>
      </c>
      <c r="N113" s="15" t="str">
        <f t="shared" si="10"/>
        <v/>
      </c>
      <c r="O113" s="15" t="str">
        <f t="shared" si="11"/>
        <v/>
      </c>
      <c r="P113" s="15" t="str">
        <f>IF(OR(C113="",NOT(OR(ISNUMBER(SEARCH("Antitarnish",Upload!R103&amp;Upload!S103&amp;Upload!T103&amp;Upload!U103&amp;Upload!V103)),ISNUMBER(SEARCH("Anti Tarnish",Upload!R103&amp;Upload!S103&amp;Upload!T103&amp;Upload!U103&amp;Upload!V103))))),"",0.0012*C113)</f>
        <v/>
      </c>
      <c r="Q113" s="15" t="str">
        <f>IF(OR(E113="",NOT(OR(ISNUMBER(SEARCH("Epóxico MT",Upload!R103&amp;Upload!S103&amp;Upload!T103&amp;Upload!U103&amp;Upload!V103))))),"",E113*0.000035)</f>
        <v/>
      </c>
      <c r="R113" s="15" t="str">
        <f>IF(OR(F113="",NOT(OR(ISNUMBER(SEARCH("Epóxico BT",Upload!S103&amp;Upload!T103&amp;Upload!U103&amp;Upload!V103&amp;Upload!W103))))),"",F113*0.000035)</f>
        <v/>
      </c>
      <c r="S113" s="15" t="str">
        <f>IF(OR(G113="",NOT(OR(ISNUMBER(SEARCH("Epóxico Rojo",Upload!T103&amp;Upload!U103&amp;Upload!V103&amp;Upload!W103&amp;Upload!X103))))),"",G113*0.000035)</f>
        <v/>
      </c>
    </row>
    <row r="114" spans="1:19" x14ac:dyDescent="0.2">
      <c r="A114" s="9" t="e">
        <f t="shared" ca="1" si="6"/>
        <v>#NAME?</v>
      </c>
      <c r="B114" s="9">
        <f>Upload!G104</f>
        <v>0</v>
      </c>
      <c r="C114" s="9">
        <f>Upload!AN104</f>
        <v>0</v>
      </c>
      <c r="D114" s="9">
        <f>Upload!AO104</f>
        <v>0</v>
      </c>
      <c r="E114" s="9">
        <f>Upload!AP104</f>
        <v>0</v>
      </c>
      <c r="F114" s="9" t="str">
        <f>Upload!AK104</f>
        <v/>
      </c>
      <c r="G114" s="9" t="str">
        <f>Upload!AM104</f>
        <v/>
      </c>
      <c r="H114" s="9" t="str">
        <f>Upload!AJ104</f>
        <v>(seleccione)</v>
      </c>
      <c r="I114" s="9" t="str">
        <f>Upload!AL104</f>
        <v>(seleccione)</v>
      </c>
      <c r="K114" s="15" t="str">
        <f t="shared" si="7"/>
        <v/>
      </c>
      <c r="L114" s="15" t="str">
        <f t="shared" si="8"/>
        <v/>
      </c>
      <c r="M114" s="15" t="str">
        <f t="shared" si="9"/>
        <v/>
      </c>
      <c r="N114" s="15" t="str">
        <f t="shared" si="10"/>
        <v/>
      </c>
      <c r="O114" s="15" t="str">
        <f t="shared" si="11"/>
        <v/>
      </c>
      <c r="P114" s="15" t="str">
        <f>IF(OR(C114="",NOT(OR(ISNUMBER(SEARCH("Antitarnish",Upload!R104&amp;Upload!S104&amp;Upload!T104&amp;Upload!U104&amp;Upload!V104)),ISNUMBER(SEARCH("Anti Tarnish",Upload!R104&amp;Upload!S104&amp;Upload!T104&amp;Upload!U104&amp;Upload!V104))))),"",0.0012*C114)</f>
        <v/>
      </c>
      <c r="Q114" s="15" t="str">
        <f>IF(OR(E114="",NOT(OR(ISNUMBER(SEARCH("Epóxico MT",Upload!R104&amp;Upload!S104&amp;Upload!T104&amp;Upload!U104&amp;Upload!V104))))),"",E114*0.000035)</f>
        <v/>
      </c>
      <c r="R114" s="15" t="str">
        <f>IF(OR(F114="",NOT(OR(ISNUMBER(SEARCH("Epóxico BT",Upload!S104&amp;Upload!T104&amp;Upload!U104&amp;Upload!V104&amp;Upload!W104))))),"",F114*0.000035)</f>
        <v/>
      </c>
      <c r="S114" s="15" t="str">
        <f>IF(OR(G114="",NOT(OR(ISNUMBER(SEARCH("Epóxico Rojo",Upload!T104&amp;Upload!U104&amp;Upload!V104&amp;Upload!W104&amp;Upload!X104))))),"",G114*0.000035)</f>
        <v/>
      </c>
    </row>
    <row r="115" spans="1:19" x14ac:dyDescent="0.2">
      <c r="A115" s="9" t="e">
        <f t="shared" ca="1" si="6"/>
        <v>#NAME?</v>
      </c>
      <c r="B115" s="9">
        <f>Upload!G105</f>
        <v>0</v>
      </c>
      <c r="C115" s="9">
        <f>Upload!AN105</f>
        <v>0</v>
      </c>
      <c r="D115" s="9">
        <f>Upload!AO105</f>
        <v>0</v>
      </c>
      <c r="E115" s="9">
        <f>Upload!AP105</f>
        <v>0</v>
      </c>
      <c r="F115" s="9" t="str">
        <f>Upload!AK105</f>
        <v/>
      </c>
      <c r="G115" s="9" t="str">
        <f>Upload!AM105</f>
        <v/>
      </c>
      <c r="H115" s="9" t="str">
        <f>Upload!AJ105</f>
        <v>(seleccione)</v>
      </c>
      <c r="I115" s="9" t="str">
        <f>Upload!AL105</f>
        <v>(seleccione)</v>
      </c>
      <c r="K115" s="15" t="str">
        <f t="shared" si="7"/>
        <v/>
      </c>
      <c r="L115" s="15" t="str">
        <f t="shared" si="8"/>
        <v/>
      </c>
      <c r="M115" s="15" t="str">
        <f t="shared" si="9"/>
        <v/>
      </c>
      <c r="N115" s="15" t="str">
        <f t="shared" si="10"/>
        <v/>
      </c>
      <c r="O115" s="15" t="str">
        <f t="shared" si="11"/>
        <v/>
      </c>
      <c r="P115" s="15" t="str">
        <f>IF(OR(C115="",NOT(OR(ISNUMBER(SEARCH("Antitarnish",Upload!R105&amp;Upload!S105&amp;Upload!T105&amp;Upload!U105&amp;Upload!V105)),ISNUMBER(SEARCH("Anti Tarnish",Upload!R105&amp;Upload!S105&amp;Upload!T105&amp;Upload!U105&amp;Upload!V105))))),"",0.0012*C115)</f>
        <v/>
      </c>
      <c r="Q115" s="15" t="str">
        <f>IF(OR(E115="",NOT(OR(ISNUMBER(SEARCH("Epóxico MT",Upload!R105&amp;Upload!S105&amp;Upload!T105&amp;Upload!U105&amp;Upload!V105))))),"",E115*0.000035)</f>
        <v/>
      </c>
      <c r="R115" s="15" t="str">
        <f>IF(OR(F115="",NOT(OR(ISNUMBER(SEARCH("Epóxico BT",Upload!S105&amp;Upload!T105&amp;Upload!U105&amp;Upload!V105&amp;Upload!W105))))),"",F115*0.000035)</f>
        <v/>
      </c>
      <c r="S115" s="15" t="str">
        <f>IF(OR(G115="",NOT(OR(ISNUMBER(SEARCH("Epóxico Rojo",Upload!T105&amp;Upload!U105&amp;Upload!V105&amp;Upload!W105&amp;Upload!X105))))),"",G115*0.000035)</f>
        <v/>
      </c>
    </row>
    <row r="116" spans="1:19" x14ac:dyDescent="0.2">
      <c r="A116" s="9" t="e">
        <f t="shared" ca="1" si="6"/>
        <v>#NAME?</v>
      </c>
      <c r="B116" s="9">
        <f>Upload!G106</f>
        <v>0</v>
      </c>
      <c r="C116" s="9">
        <f>Upload!AN106</f>
        <v>0</v>
      </c>
      <c r="D116" s="9">
        <f>Upload!AO106</f>
        <v>0</v>
      </c>
      <c r="E116" s="9">
        <f>Upload!AP106</f>
        <v>0</v>
      </c>
      <c r="F116" s="9" t="str">
        <f>Upload!AK106</f>
        <v/>
      </c>
      <c r="G116" s="9" t="str">
        <f>Upload!AM106</f>
        <v/>
      </c>
      <c r="H116" s="9" t="str">
        <f>Upload!AJ106</f>
        <v>(seleccione)</v>
      </c>
      <c r="I116" s="9" t="str">
        <f>Upload!AL106</f>
        <v>(seleccione)</v>
      </c>
      <c r="K116" s="15" t="str">
        <f t="shared" si="7"/>
        <v/>
      </c>
      <c r="L116" s="15" t="str">
        <f t="shared" si="8"/>
        <v/>
      </c>
      <c r="M116" s="15" t="str">
        <f t="shared" si="9"/>
        <v/>
      </c>
      <c r="N116" s="15" t="str">
        <f t="shared" si="10"/>
        <v/>
      </c>
      <c r="O116" s="15" t="str">
        <f t="shared" si="11"/>
        <v/>
      </c>
      <c r="P116" s="15" t="str">
        <f>IF(OR(C116="",NOT(OR(ISNUMBER(SEARCH("Antitarnish",Upload!R106&amp;Upload!S106&amp;Upload!T106&amp;Upload!U106&amp;Upload!V106)),ISNUMBER(SEARCH("Anti Tarnish",Upload!R106&amp;Upload!S106&amp;Upload!T106&amp;Upload!U106&amp;Upload!V106))))),"",0.0012*C116)</f>
        <v/>
      </c>
      <c r="Q116" s="15" t="str">
        <f>IF(OR(E116="",NOT(OR(ISNUMBER(SEARCH("Epóxico MT",Upload!R106&amp;Upload!S106&amp;Upload!T106&amp;Upload!U106&amp;Upload!V106))))),"",E116*0.000035)</f>
        <v/>
      </c>
      <c r="R116" s="15" t="str">
        <f>IF(OR(F116="",NOT(OR(ISNUMBER(SEARCH("Epóxico BT",Upload!S106&amp;Upload!T106&amp;Upload!U106&amp;Upload!V106&amp;Upload!W106))))),"",F116*0.000035)</f>
        <v/>
      </c>
      <c r="S116" s="15" t="str">
        <f>IF(OR(G116="",NOT(OR(ISNUMBER(SEARCH("Epóxico Rojo",Upload!T106&amp;Upload!U106&amp;Upload!V106&amp;Upload!W106&amp;Upload!X106))))),"",G116*0.000035)</f>
        <v/>
      </c>
    </row>
    <row r="117" spans="1:19" x14ac:dyDescent="0.2">
      <c r="A117" s="9" t="e">
        <f t="shared" ca="1" si="6"/>
        <v>#NAME?</v>
      </c>
      <c r="B117" s="9">
        <f>Upload!G107</f>
        <v>0</v>
      </c>
      <c r="C117" s="9">
        <f>Upload!AN107</f>
        <v>0</v>
      </c>
      <c r="D117" s="9">
        <f>Upload!AO107</f>
        <v>0</v>
      </c>
      <c r="E117" s="9">
        <f>Upload!AP107</f>
        <v>0</v>
      </c>
      <c r="F117" s="9" t="str">
        <f>Upload!AK107</f>
        <v/>
      </c>
      <c r="G117" s="9" t="str">
        <f>Upload!AM107</f>
        <v/>
      </c>
      <c r="H117" s="9" t="str">
        <f>Upload!AJ107</f>
        <v>(seleccione)</v>
      </c>
      <c r="I117" s="9" t="str">
        <f>Upload!AL107</f>
        <v>(seleccione)</v>
      </c>
      <c r="K117" s="15" t="str">
        <f t="shared" si="7"/>
        <v/>
      </c>
      <c r="L117" s="15" t="str">
        <f t="shared" si="8"/>
        <v/>
      </c>
      <c r="M117" s="15" t="str">
        <f t="shared" si="9"/>
        <v/>
      </c>
      <c r="N117" s="15" t="str">
        <f t="shared" si="10"/>
        <v/>
      </c>
      <c r="O117" s="15" t="str">
        <f t="shared" si="11"/>
        <v/>
      </c>
      <c r="P117" s="15" t="str">
        <f>IF(OR(C117="",NOT(OR(ISNUMBER(SEARCH("Antitarnish",Upload!R107&amp;Upload!S107&amp;Upload!T107&amp;Upload!U107&amp;Upload!V107)),ISNUMBER(SEARCH("Anti Tarnish",Upload!R107&amp;Upload!S107&amp;Upload!T107&amp;Upload!U107&amp;Upload!V107))))),"",0.0012*C117)</f>
        <v/>
      </c>
      <c r="Q117" s="15" t="str">
        <f>IF(OR(E117="",NOT(OR(ISNUMBER(SEARCH("Epóxico MT",Upload!R107&amp;Upload!S107&amp;Upload!T107&amp;Upload!U107&amp;Upload!V107))))),"",E117*0.000035)</f>
        <v/>
      </c>
      <c r="R117" s="15" t="str">
        <f>IF(OR(F117="",NOT(OR(ISNUMBER(SEARCH("Epóxico BT",Upload!S107&amp;Upload!T107&amp;Upload!U107&amp;Upload!V107&amp;Upload!W107))))),"",F117*0.000035)</f>
        <v/>
      </c>
      <c r="S117" s="15" t="str">
        <f>IF(OR(G117="",NOT(OR(ISNUMBER(SEARCH("Epóxico Rojo",Upload!T107&amp;Upload!U107&amp;Upload!V107&amp;Upload!W107&amp;Upload!X107))))),"",G117*0.000035)</f>
        <v/>
      </c>
    </row>
    <row r="118" spans="1:19" x14ac:dyDescent="0.2">
      <c r="A118" s="9" t="e">
        <f t="shared" ca="1" si="6"/>
        <v>#NAME?</v>
      </c>
      <c r="B118" s="9">
        <f>Upload!G108</f>
        <v>0</v>
      </c>
      <c r="C118" s="9">
        <f>Upload!AN108</f>
        <v>0</v>
      </c>
      <c r="D118" s="9">
        <f>Upload!AO108</f>
        <v>0</v>
      </c>
      <c r="E118" s="9">
        <f>Upload!AP108</f>
        <v>0</v>
      </c>
      <c r="F118" s="9" t="str">
        <f>Upload!AK108</f>
        <v/>
      </c>
      <c r="G118" s="9" t="str">
        <f>Upload!AM108</f>
        <v/>
      </c>
      <c r="H118" s="9" t="str">
        <f>Upload!AJ108</f>
        <v>(seleccione)</v>
      </c>
      <c r="I118" s="9" t="str">
        <f>Upload!AL108</f>
        <v>(seleccione)</v>
      </c>
      <c r="K118" s="15" t="str">
        <f t="shared" si="7"/>
        <v/>
      </c>
      <c r="L118" s="15" t="str">
        <f t="shared" si="8"/>
        <v/>
      </c>
      <c r="M118" s="15" t="str">
        <f t="shared" si="9"/>
        <v/>
      </c>
      <c r="N118" s="15" t="str">
        <f t="shared" si="10"/>
        <v/>
      </c>
      <c r="O118" s="15" t="str">
        <f t="shared" si="11"/>
        <v/>
      </c>
      <c r="P118" s="15" t="str">
        <f>IF(OR(C118="",NOT(OR(ISNUMBER(SEARCH("Antitarnish",Upload!R108&amp;Upload!S108&amp;Upload!T108&amp;Upload!U108&amp;Upload!V108)),ISNUMBER(SEARCH("Anti Tarnish",Upload!R108&amp;Upload!S108&amp;Upload!T108&amp;Upload!U108&amp;Upload!V108))))),"",0.0012*C118)</f>
        <v/>
      </c>
      <c r="Q118" s="15" t="str">
        <f>IF(OR(E118="",NOT(OR(ISNUMBER(SEARCH("Epóxico MT",Upload!R108&amp;Upload!S108&amp;Upload!T108&amp;Upload!U108&amp;Upload!V108))))),"",E118*0.000035)</f>
        <v/>
      </c>
      <c r="R118" s="15" t="str">
        <f>IF(OR(F118="",NOT(OR(ISNUMBER(SEARCH("Epóxico BT",Upload!S108&amp;Upload!T108&amp;Upload!U108&amp;Upload!V108&amp;Upload!W108))))),"",F118*0.000035)</f>
        <v/>
      </c>
      <c r="S118" s="15" t="str">
        <f>IF(OR(G118="",NOT(OR(ISNUMBER(SEARCH("Epóxico Rojo",Upload!T108&amp;Upload!U108&amp;Upload!V108&amp;Upload!W108&amp;Upload!X108))))),"",G118*0.000035)</f>
        <v/>
      </c>
    </row>
    <row r="119" spans="1:19" x14ac:dyDescent="0.2">
      <c r="A119" s="9" t="e">
        <f t="shared" ca="1" si="6"/>
        <v>#NAME?</v>
      </c>
      <c r="B119" s="9">
        <f>Upload!G109</f>
        <v>0</v>
      </c>
      <c r="C119" s="9">
        <f>Upload!AN109</f>
        <v>0</v>
      </c>
      <c r="D119" s="9">
        <f>Upload!AO109</f>
        <v>0</v>
      </c>
      <c r="E119" s="9">
        <f>Upload!AP109</f>
        <v>0</v>
      </c>
      <c r="F119" s="9" t="str">
        <f>Upload!AK109</f>
        <v/>
      </c>
      <c r="G119" s="9" t="str">
        <f>Upload!AM109</f>
        <v/>
      </c>
      <c r="H119" s="9" t="str">
        <f>Upload!AJ109</f>
        <v>(seleccione)</v>
      </c>
      <c r="I119" s="9" t="str">
        <f>Upload!AL109</f>
        <v>(seleccione)</v>
      </c>
      <c r="K119" s="15" t="str">
        <f t="shared" si="7"/>
        <v/>
      </c>
      <c r="L119" s="15" t="str">
        <f t="shared" si="8"/>
        <v/>
      </c>
      <c r="M119" s="15" t="str">
        <f t="shared" si="9"/>
        <v/>
      </c>
      <c r="N119" s="15" t="str">
        <f t="shared" si="10"/>
        <v/>
      </c>
      <c r="O119" s="15" t="str">
        <f t="shared" si="11"/>
        <v/>
      </c>
      <c r="P119" s="15" t="str">
        <f>IF(OR(C119="",NOT(OR(ISNUMBER(SEARCH("Antitarnish",Upload!R109&amp;Upload!S109&amp;Upload!T109&amp;Upload!U109&amp;Upload!V109)),ISNUMBER(SEARCH("Anti Tarnish",Upload!R109&amp;Upload!S109&amp;Upload!T109&amp;Upload!U109&amp;Upload!V109))))),"",0.0012*C119)</f>
        <v/>
      </c>
      <c r="Q119" s="15" t="str">
        <f>IF(OR(E119="",NOT(OR(ISNUMBER(SEARCH("Epóxico MT",Upload!R109&amp;Upload!S109&amp;Upload!T109&amp;Upload!U109&amp;Upload!V109))))),"",E119*0.000035)</f>
        <v/>
      </c>
      <c r="R119" s="15" t="str">
        <f>IF(OR(F119="",NOT(OR(ISNUMBER(SEARCH("Epóxico BT",Upload!S109&amp;Upload!T109&amp;Upload!U109&amp;Upload!V109&amp;Upload!W109))))),"",F119*0.000035)</f>
        <v/>
      </c>
      <c r="S119" s="15" t="str">
        <f>IF(OR(G119="",NOT(OR(ISNUMBER(SEARCH("Epóxico Rojo",Upload!T109&amp;Upload!U109&amp;Upload!V109&amp;Upload!W109&amp;Upload!X109))))),"",G119*0.000035)</f>
        <v/>
      </c>
    </row>
    <row r="120" spans="1:19" x14ac:dyDescent="0.2">
      <c r="A120" s="9" t="e">
        <f t="shared" ca="1" si="6"/>
        <v>#NAME?</v>
      </c>
      <c r="B120" s="9">
        <f>Upload!G110</f>
        <v>0</v>
      </c>
      <c r="C120" s="9">
        <f>Upload!AN110</f>
        <v>0</v>
      </c>
      <c r="D120" s="9">
        <f>Upload!AO110</f>
        <v>0</v>
      </c>
      <c r="E120" s="9">
        <f>Upload!AP110</f>
        <v>0</v>
      </c>
      <c r="F120" s="9" t="str">
        <f>Upload!AK110</f>
        <v/>
      </c>
      <c r="G120" s="9" t="str">
        <f>Upload!AM110</f>
        <v/>
      </c>
      <c r="H120" s="9" t="str">
        <f>Upload!AJ110</f>
        <v>(seleccione)</v>
      </c>
      <c r="I120" s="9" t="str">
        <f>Upload!AL110</f>
        <v>(seleccione)</v>
      </c>
      <c r="K120" s="15" t="str">
        <f t="shared" si="7"/>
        <v/>
      </c>
      <c r="L120" s="15" t="str">
        <f t="shared" si="8"/>
        <v/>
      </c>
      <c r="M120" s="15" t="str">
        <f t="shared" si="9"/>
        <v/>
      </c>
      <c r="N120" s="15" t="str">
        <f t="shared" si="10"/>
        <v/>
      </c>
      <c r="O120" s="15" t="str">
        <f t="shared" si="11"/>
        <v/>
      </c>
      <c r="P120" s="15" t="str">
        <f>IF(OR(C120="",NOT(OR(ISNUMBER(SEARCH("Antitarnish",Upload!R110&amp;Upload!S110&amp;Upload!T110&amp;Upload!U110&amp;Upload!V110)),ISNUMBER(SEARCH("Anti Tarnish",Upload!R110&amp;Upload!S110&amp;Upload!T110&amp;Upload!U110&amp;Upload!V110))))),"",0.0012*C120)</f>
        <v/>
      </c>
      <c r="Q120" s="15" t="str">
        <f>IF(OR(E120="",NOT(OR(ISNUMBER(SEARCH("Epóxico MT",Upload!R110&amp;Upload!S110&amp;Upload!T110&amp;Upload!U110&amp;Upload!V110))))),"",E120*0.000035)</f>
        <v/>
      </c>
      <c r="R120" s="15" t="str">
        <f>IF(OR(F120="",NOT(OR(ISNUMBER(SEARCH("Epóxico BT",Upload!S110&amp;Upload!T110&amp;Upload!U110&amp;Upload!V110&amp;Upload!W110))))),"",F120*0.000035)</f>
        <v/>
      </c>
      <c r="S120" s="15" t="str">
        <f>IF(OR(G120="",NOT(OR(ISNUMBER(SEARCH("Epóxico Rojo",Upload!T110&amp;Upload!U110&amp;Upload!V110&amp;Upload!W110&amp;Upload!X110))))),"",G120*0.000035)</f>
        <v/>
      </c>
    </row>
    <row r="121" spans="1:19" x14ac:dyDescent="0.2">
      <c r="A121" s="9" t="e">
        <f t="shared" ca="1" si="6"/>
        <v>#NAME?</v>
      </c>
      <c r="B121" s="9">
        <f>Upload!G111</f>
        <v>0</v>
      </c>
      <c r="C121" s="9">
        <f>Upload!AN111</f>
        <v>0</v>
      </c>
      <c r="D121" s="9">
        <f>Upload!AO111</f>
        <v>0</v>
      </c>
      <c r="E121" s="9">
        <f>Upload!AP111</f>
        <v>0</v>
      </c>
      <c r="F121" s="9" t="str">
        <f>Upload!AK111</f>
        <v/>
      </c>
      <c r="G121" s="9" t="str">
        <f>Upload!AM111</f>
        <v/>
      </c>
      <c r="H121" s="9" t="str">
        <f>Upload!AJ111</f>
        <v>(seleccione)</v>
      </c>
      <c r="I121" s="9" t="str">
        <f>Upload!AL111</f>
        <v>(seleccione)</v>
      </c>
      <c r="K121" s="15" t="str">
        <f t="shared" si="7"/>
        <v/>
      </c>
      <c r="L121" s="15" t="str">
        <f t="shared" si="8"/>
        <v/>
      </c>
      <c r="M121" s="15" t="str">
        <f t="shared" si="9"/>
        <v/>
      </c>
      <c r="N121" s="15" t="str">
        <f t="shared" si="10"/>
        <v/>
      </c>
      <c r="O121" s="15" t="str">
        <f t="shared" si="11"/>
        <v/>
      </c>
      <c r="P121" s="15" t="str">
        <f>IF(OR(C121="",NOT(OR(ISNUMBER(SEARCH("Antitarnish",Upload!R111&amp;Upload!S111&amp;Upload!T111&amp;Upload!U111&amp;Upload!V111)),ISNUMBER(SEARCH("Anti Tarnish",Upload!R111&amp;Upload!S111&amp;Upload!T111&amp;Upload!U111&amp;Upload!V111))))),"",0.0012*C121)</f>
        <v/>
      </c>
      <c r="Q121" s="15" t="str">
        <f>IF(OR(E121="",NOT(OR(ISNUMBER(SEARCH("Epóxico MT",Upload!R111&amp;Upload!S111&amp;Upload!T111&amp;Upload!U111&amp;Upload!V111))))),"",E121*0.000035)</f>
        <v/>
      </c>
      <c r="R121" s="15" t="str">
        <f>IF(OR(F121="",NOT(OR(ISNUMBER(SEARCH("Epóxico BT",Upload!S111&amp;Upload!T111&amp;Upload!U111&amp;Upload!V111&amp;Upload!W111))))),"",F121*0.000035)</f>
        <v/>
      </c>
      <c r="S121" s="15" t="str">
        <f>IF(OR(G121="",NOT(OR(ISNUMBER(SEARCH("Epóxico Rojo",Upload!T111&amp;Upload!U111&amp;Upload!V111&amp;Upload!W111&amp;Upload!X111))))),"",G121*0.000035)</f>
        <v/>
      </c>
    </row>
    <row r="122" spans="1:19" x14ac:dyDescent="0.2">
      <c r="A122" s="9" t="e">
        <f t="shared" ca="1" si="6"/>
        <v>#NAME?</v>
      </c>
      <c r="B122" s="9">
        <f>Upload!G112</f>
        <v>0</v>
      </c>
      <c r="C122" s="9">
        <f>Upload!AN112</f>
        <v>0</v>
      </c>
      <c r="D122" s="9">
        <f>Upload!AO112</f>
        <v>0</v>
      </c>
      <c r="E122" s="9">
        <f>Upload!AP112</f>
        <v>0</v>
      </c>
      <c r="F122" s="9" t="str">
        <f>Upload!AK112</f>
        <v/>
      </c>
      <c r="G122" s="9" t="str">
        <f>Upload!AM112</f>
        <v/>
      </c>
      <c r="H122" s="9" t="str">
        <f>Upload!AJ112</f>
        <v>(seleccione)</v>
      </c>
      <c r="I122" s="9" t="str">
        <f>Upload!AL112</f>
        <v>(seleccione)</v>
      </c>
      <c r="K122" s="15" t="str">
        <f t="shared" si="7"/>
        <v/>
      </c>
      <c r="L122" s="15" t="str">
        <f t="shared" si="8"/>
        <v/>
      </c>
      <c r="M122" s="15" t="str">
        <f t="shared" si="9"/>
        <v/>
      </c>
      <c r="N122" s="15" t="str">
        <f t="shared" si="10"/>
        <v/>
      </c>
      <c r="O122" s="15" t="str">
        <f t="shared" si="11"/>
        <v/>
      </c>
      <c r="P122" s="15" t="str">
        <f>IF(OR(C122="",NOT(OR(ISNUMBER(SEARCH("Antitarnish",Upload!R112&amp;Upload!S112&amp;Upload!T112&amp;Upload!U112&amp;Upload!V112)),ISNUMBER(SEARCH("Anti Tarnish",Upload!R112&amp;Upload!S112&amp;Upload!T112&amp;Upload!U112&amp;Upload!V112))))),"",0.0012*C122)</f>
        <v/>
      </c>
      <c r="Q122" s="15" t="str">
        <f>IF(OR(E122="",NOT(OR(ISNUMBER(SEARCH("Epóxico MT",Upload!R112&amp;Upload!S112&amp;Upload!T112&amp;Upload!U112&amp;Upload!V112))))),"",E122*0.000035)</f>
        <v/>
      </c>
      <c r="R122" s="15" t="str">
        <f>IF(OR(F122="",NOT(OR(ISNUMBER(SEARCH("Epóxico BT",Upload!S112&amp;Upload!T112&amp;Upload!U112&amp;Upload!V112&amp;Upload!W112))))),"",F122*0.000035)</f>
        <v/>
      </c>
      <c r="S122" s="15" t="str">
        <f>IF(OR(G122="",NOT(OR(ISNUMBER(SEARCH("Epóxico Rojo",Upload!T112&amp;Upload!U112&amp;Upload!V112&amp;Upload!W112&amp;Upload!X112))))),"",G122*0.000035)</f>
        <v/>
      </c>
    </row>
    <row r="123" spans="1:19" x14ac:dyDescent="0.2">
      <c r="A123" s="9" t="e">
        <f t="shared" ca="1" si="6"/>
        <v>#NAME?</v>
      </c>
      <c r="B123" s="9">
        <f>Upload!G113</f>
        <v>0</v>
      </c>
      <c r="C123" s="9">
        <f>Upload!AN113</f>
        <v>0</v>
      </c>
      <c r="D123" s="9">
        <f>Upload!AO113</f>
        <v>0</v>
      </c>
      <c r="E123" s="9">
        <f>Upload!AP113</f>
        <v>0</v>
      </c>
      <c r="F123" s="9" t="str">
        <f>Upload!AK113</f>
        <v/>
      </c>
      <c r="G123" s="9" t="str">
        <f>Upload!AM113</f>
        <v/>
      </c>
      <c r="H123" s="9" t="str">
        <f>Upload!AJ113</f>
        <v>(seleccione)</v>
      </c>
      <c r="I123" s="9" t="str">
        <f>Upload!AL113</f>
        <v>(seleccione)</v>
      </c>
      <c r="K123" s="15" t="str">
        <f t="shared" si="7"/>
        <v/>
      </c>
      <c r="L123" s="15" t="str">
        <f t="shared" si="8"/>
        <v/>
      </c>
      <c r="M123" s="15" t="str">
        <f t="shared" si="9"/>
        <v/>
      </c>
      <c r="N123" s="15" t="str">
        <f t="shared" si="10"/>
        <v/>
      </c>
      <c r="O123" s="15" t="str">
        <f t="shared" si="11"/>
        <v/>
      </c>
      <c r="P123" s="15" t="str">
        <f>IF(OR(C123="",NOT(OR(ISNUMBER(SEARCH("Antitarnish",Upload!R113&amp;Upload!S113&amp;Upload!T113&amp;Upload!U113&amp;Upload!V113)),ISNUMBER(SEARCH("Anti Tarnish",Upload!R113&amp;Upload!S113&amp;Upload!T113&amp;Upload!U113&amp;Upload!V113))))),"",0.0012*C123)</f>
        <v/>
      </c>
      <c r="Q123" s="15" t="str">
        <f>IF(OR(E123="",NOT(OR(ISNUMBER(SEARCH("Epóxico MT",Upload!R113&amp;Upload!S113&amp;Upload!T113&amp;Upload!U113&amp;Upload!V113))))),"",E123*0.000035)</f>
        <v/>
      </c>
      <c r="R123" s="15" t="str">
        <f>IF(OR(F123="",NOT(OR(ISNUMBER(SEARCH("Epóxico BT",Upload!S113&amp;Upload!T113&amp;Upload!U113&amp;Upload!V113&amp;Upload!W113))))),"",F123*0.000035)</f>
        <v/>
      </c>
      <c r="S123" s="15" t="str">
        <f>IF(OR(G123="",NOT(OR(ISNUMBER(SEARCH("Epóxico Rojo",Upload!T113&amp;Upload!U113&amp;Upload!V113&amp;Upload!W113&amp;Upload!X113))))),"",G123*0.000035)</f>
        <v/>
      </c>
    </row>
    <row r="124" spans="1:19" x14ac:dyDescent="0.2">
      <c r="A124" s="9" t="e">
        <f t="shared" ca="1" si="6"/>
        <v>#NAME?</v>
      </c>
      <c r="B124" s="9">
        <f>Upload!G114</f>
        <v>0</v>
      </c>
      <c r="C124" s="9">
        <f>Upload!AN114</f>
        <v>0</v>
      </c>
      <c r="D124" s="9">
        <f>Upload!AO114</f>
        <v>0</v>
      </c>
      <c r="E124" s="9">
        <f>Upload!AP114</f>
        <v>0</v>
      </c>
      <c r="F124" s="9" t="str">
        <f>Upload!AK114</f>
        <v/>
      </c>
      <c r="G124" s="9" t="str">
        <f>Upload!AM114</f>
        <v/>
      </c>
      <c r="H124" s="9" t="str">
        <f>Upload!AJ114</f>
        <v>(seleccione)</v>
      </c>
      <c r="I124" s="9" t="str">
        <f>Upload!AL114</f>
        <v>(seleccione)</v>
      </c>
      <c r="K124" s="15" t="str">
        <f t="shared" si="7"/>
        <v/>
      </c>
      <c r="L124" s="15" t="str">
        <f t="shared" si="8"/>
        <v/>
      </c>
      <c r="M124" s="15" t="str">
        <f t="shared" si="9"/>
        <v/>
      </c>
      <c r="N124" s="15" t="str">
        <f t="shared" si="10"/>
        <v/>
      </c>
      <c r="O124" s="15" t="str">
        <f t="shared" si="11"/>
        <v/>
      </c>
      <c r="P124" s="15" t="str">
        <f>IF(OR(C124="",NOT(OR(ISNUMBER(SEARCH("Antitarnish",Upload!R114&amp;Upload!S114&amp;Upload!T114&amp;Upload!U114&amp;Upload!V114)),ISNUMBER(SEARCH("Anti Tarnish",Upload!R114&amp;Upload!S114&amp;Upload!T114&amp;Upload!U114&amp;Upload!V114))))),"",0.0012*C124)</f>
        <v/>
      </c>
      <c r="Q124" s="15" t="str">
        <f>IF(OR(E124="",NOT(OR(ISNUMBER(SEARCH("Epóxico MT",Upload!R114&amp;Upload!S114&amp;Upload!T114&amp;Upload!U114&amp;Upload!V114))))),"",E124*0.000035)</f>
        <v/>
      </c>
      <c r="R124" s="15" t="str">
        <f>IF(OR(F124="",NOT(OR(ISNUMBER(SEARCH("Epóxico BT",Upload!S114&amp;Upload!T114&amp;Upload!U114&amp;Upload!V114&amp;Upload!W114))))),"",F124*0.000035)</f>
        <v/>
      </c>
      <c r="S124" s="15" t="str">
        <f>IF(OR(G124="",NOT(OR(ISNUMBER(SEARCH("Epóxico Rojo",Upload!T114&amp;Upload!U114&amp;Upload!V114&amp;Upload!W114&amp;Upload!X114))))),"",G124*0.000035)</f>
        <v/>
      </c>
    </row>
    <row r="125" spans="1:19" x14ac:dyDescent="0.2">
      <c r="A125" s="9" t="e">
        <f t="shared" ca="1" si="6"/>
        <v>#NAME?</v>
      </c>
      <c r="B125" s="9">
        <f>Upload!G115</f>
        <v>0</v>
      </c>
      <c r="C125" s="9">
        <f>Upload!AN115</f>
        <v>0</v>
      </c>
      <c r="D125" s="9">
        <f>Upload!AO115</f>
        <v>0</v>
      </c>
      <c r="E125" s="9">
        <f>Upload!AP115</f>
        <v>0</v>
      </c>
      <c r="F125" s="9" t="str">
        <f>Upload!AK115</f>
        <v/>
      </c>
      <c r="G125" s="9" t="str">
        <f>Upload!AM115</f>
        <v/>
      </c>
      <c r="H125" s="9" t="str">
        <f>Upload!AJ115</f>
        <v>(seleccione)</v>
      </c>
      <c r="I125" s="9" t="str">
        <f>Upload!AL115</f>
        <v>(seleccione)</v>
      </c>
      <c r="K125" s="15" t="str">
        <f t="shared" si="7"/>
        <v/>
      </c>
      <c r="L125" s="15" t="str">
        <f t="shared" si="8"/>
        <v/>
      </c>
      <c r="M125" s="15" t="str">
        <f t="shared" si="9"/>
        <v/>
      </c>
      <c r="N125" s="15" t="str">
        <f t="shared" si="10"/>
        <v/>
      </c>
      <c r="O125" s="15" t="str">
        <f t="shared" si="11"/>
        <v/>
      </c>
      <c r="P125" s="15" t="str">
        <f>IF(OR(C125="",NOT(OR(ISNUMBER(SEARCH("Antitarnish",Upload!R115&amp;Upload!S115&amp;Upload!T115&amp;Upload!U115&amp;Upload!V115)),ISNUMBER(SEARCH("Anti Tarnish",Upload!R115&amp;Upload!S115&amp;Upload!T115&amp;Upload!U115&amp;Upload!V115))))),"",0.0012*C125)</f>
        <v/>
      </c>
      <c r="Q125" s="15" t="str">
        <f>IF(OR(E125="",NOT(OR(ISNUMBER(SEARCH("Epóxico MT",Upload!R115&amp;Upload!S115&amp;Upload!T115&amp;Upload!U115&amp;Upload!V115))))),"",E125*0.000035)</f>
        <v/>
      </c>
      <c r="R125" s="15" t="str">
        <f>IF(OR(F125="",NOT(OR(ISNUMBER(SEARCH("Epóxico BT",Upload!S115&amp;Upload!T115&amp;Upload!U115&amp;Upload!V115&amp;Upload!W115))))),"",F125*0.000035)</f>
        <v/>
      </c>
      <c r="S125" s="15" t="str">
        <f>IF(OR(G125="",NOT(OR(ISNUMBER(SEARCH("Epóxico Rojo",Upload!T115&amp;Upload!U115&amp;Upload!V115&amp;Upload!W115&amp;Upload!X115))))),"",G125*0.000035)</f>
        <v/>
      </c>
    </row>
    <row r="126" spans="1:19" x14ac:dyDescent="0.2">
      <c r="A126" s="9" t="e">
        <f t="shared" ca="1" si="6"/>
        <v>#NAME?</v>
      </c>
      <c r="B126" s="9">
        <f>Upload!G116</f>
        <v>0</v>
      </c>
      <c r="C126" s="9">
        <f>Upload!AN116</f>
        <v>0</v>
      </c>
      <c r="D126" s="9">
        <f>Upload!AO116</f>
        <v>0</v>
      </c>
      <c r="E126" s="9">
        <f>Upload!AP116</f>
        <v>0</v>
      </c>
      <c r="F126" s="9" t="str">
        <f>Upload!AK116</f>
        <v/>
      </c>
      <c r="G126" s="9" t="str">
        <f>Upload!AM116</f>
        <v/>
      </c>
      <c r="H126" s="9" t="str">
        <f>Upload!AJ116</f>
        <v>(seleccione)</v>
      </c>
      <c r="I126" s="9" t="str">
        <f>Upload!AL116</f>
        <v>(seleccione)</v>
      </c>
      <c r="K126" s="15" t="str">
        <f t="shared" si="7"/>
        <v/>
      </c>
      <c r="L126" s="15" t="str">
        <f t="shared" si="8"/>
        <v/>
      </c>
      <c r="M126" s="15" t="str">
        <f t="shared" si="9"/>
        <v/>
      </c>
      <c r="N126" s="15" t="str">
        <f t="shared" si="10"/>
        <v/>
      </c>
      <c r="O126" s="15" t="str">
        <f t="shared" si="11"/>
        <v/>
      </c>
      <c r="P126" s="15" t="str">
        <f>IF(OR(C126="",NOT(OR(ISNUMBER(SEARCH("Antitarnish",Upload!R116&amp;Upload!S116&amp;Upload!T116&amp;Upload!U116&amp;Upload!V116)),ISNUMBER(SEARCH("Anti Tarnish",Upload!R116&amp;Upload!S116&amp;Upload!T116&amp;Upload!U116&amp;Upload!V116))))),"",0.0012*C126)</f>
        <v/>
      </c>
      <c r="Q126" s="15" t="str">
        <f>IF(OR(E126="",NOT(OR(ISNUMBER(SEARCH("Epóxico MT",Upload!R116&amp;Upload!S116&amp;Upload!T116&amp;Upload!U116&amp;Upload!V116))))),"",E126*0.000035)</f>
        <v/>
      </c>
      <c r="R126" s="15" t="str">
        <f>IF(OR(F126="",NOT(OR(ISNUMBER(SEARCH("Epóxico BT",Upload!S116&amp;Upload!T116&amp;Upload!U116&amp;Upload!V116&amp;Upload!W116))))),"",F126*0.000035)</f>
        <v/>
      </c>
      <c r="S126" s="15" t="str">
        <f>IF(OR(G126="",NOT(OR(ISNUMBER(SEARCH("Epóxico Rojo",Upload!T116&amp;Upload!U116&amp;Upload!V116&amp;Upload!W116&amp;Upload!X116))))),"",G126*0.000035)</f>
        <v/>
      </c>
    </row>
    <row r="127" spans="1:19" x14ac:dyDescent="0.2">
      <c r="A127" s="9" t="e">
        <f t="shared" ca="1" si="6"/>
        <v>#NAME?</v>
      </c>
      <c r="B127" s="9">
        <f>Upload!G117</f>
        <v>0</v>
      </c>
      <c r="C127" s="9">
        <f>Upload!AN117</f>
        <v>0</v>
      </c>
      <c r="D127" s="9">
        <f>Upload!AO117</f>
        <v>0</v>
      </c>
      <c r="E127" s="9">
        <f>Upload!AP117</f>
        <v>0</v>
      </c>
      <c r="F127" s="9" t="str">
        <f>Upload!AK117</f>
        <v/>
      </c>
      <c r="G127" s="9" t="str">
        <f>Upload!AM117</f>
        <v/>
      </c>
      <c r="H127" s="9" t="str">
        <f>Upload!AJ117</f>
        <v>(seleccione)</v>
      </c>
      <c r="I127" s="9" t="str">
        <f>Upload!AL117</f>
        <v>(seleccione)</v>
      </c>
      <c r="K127" s="15" t="str">
        <f t="shared" si="7"/>
        <v/>
      </c>
      <c r="L127" s="15" t="str">
        <f t="shared" si="8"/>
        <v/>
      </c>
      <c r="M127" s="15" t="str">
        <f t="shared" si="9"/>
        <v/>
      </c>
      <c r="N127" s="15" t="str">
        <f t="shared" si="10"/>
        <v/>
      </c>
      <c r="O127" s="15" t="str">
        <f t="shared" si="11"/>
        <v/>
      </c>
      <c r="P127" s="15" t="str">
        <f>IF(OR(C127="",NOT(OR(ISNUMBER(SEARCH("Antitarnish",Upload!R117&amp;Upload!S117&amp;Upload!T117&amp;Upload!U117&amp;Upload!V117)),ISNUMBER(SEARCH("Anti Tarnish",Upload!R117&amp;Upload!S117&amp;Upload!T117&amp;Upload!U117&amp;Upload!V117))))),"",0.0012*C127)</f>
        <v/>
      </c>
      <c r="Q127" s="15" t="str">
        <f>IF(OR(E127="",NOT(OR(ISNUMBER(SEARCH("Epóxico MT",Upload!R117&amp;Upload!S117&amp;Upload!T117&amp;Upload!U117&amp;Upload!V117))))),"",E127*0.000035)</f>
        <v/>
      </c>
      <c r="R127" s="15" t="str">
        <f>IF(OR(F127="",NOT(OR(ISNUMBER(SEARCH("Epóxico BT",Upload!S117&amp;Upload!T117&amp;Upload!U117&amp;Upload!V117&amp;Upload!W117))))),"",F127*0.000035)</f>
        <v/>
      </c>
      <c r="S127" s="15" t="str">
        <f>IF(OR(G127="",NOT(OR(ISNUMBER(SEARCH("Epóxico Rojo",Upload!T117&amp;Upload!U117&amp;Upload!V117&amp;Upload!W117&amp;Upload!X117))))),"",G127*0.000035)</f>
        <v/>
      </c>
    </row>
    <row r="128" spans="1:19" x14ac:dyDescent="0.2">
      <c r="A128" s="9" t="e">
        <f t="shared" ca="1" si="6"/>
        <v>#NAME?</v>
      </c>
      <c r="B128" s="9">
        <f>Upload!G118</f>
        <v>0</v>
      </c>
      <c r="C128" s="9">
        <f>Upload!AN118</f>
        <v>0</v>
      </c>
      <c r="D128" s="9">
        <f>Upload!AO118</f>
        <v>0</v>
      </c>
      <c r="E128" s="9">
        <f>Upload!AP118</f>
        <v>0</v>
      </c>
      <c r="F128" s="9" t="str">
        <f>Upload!AK118</f>
        <v/>
      </c>
      <c r="G128" s="9" t="str">
        <f>Upload!AM118</f>
        <v/>
      </c>
      <c r="H128" s="9" t="str">
        <f>Upload!AJ118</f>
        <v>(seleccione)</v>
      </c>
      <c r="I128" s="9" t="str">
        <f>Upload!AL118</f>
        <v>(seleccione)</v>
      </c>
      <c r="K128" s="15" t="str">
        <f t="shared" si="7"/>
        <v/>
      </c>
      <c r="L128" s="15" t="str">
        <f t="shared" si="8"/>
        <v/>
      </c>
      <c r="M128" s="15" t="str">
        <f t="shared" si="9"/>
        <v/>
      </c>
      <c r="N128" s="15" t="str">
        <f t="shared" si="10"/>
        <v/>
      </c>
      <c r="O128" s="15" t="str">
        <f t="shared" si="11"/>
        <v/>
      </c>
      <c r="P128" s="15" t="str">
        <f>IF(OR(C128="",NOT(OR(ISNUMBER(SEARCH("Antitarnish",Upload!R118&amp;Upload!S118&amp;Upload!T118&amp;Upload!U118&amp;Upload!V118)),ISNUMBER(SEARCH("Anti Tarnish",Upload!R118&amp;Upload!S118&amp;Upload!T118&amp;Upload!U118&amp;Upload!V118))))),"",0.0012*C128)</f>
        <v/>
      </c>
      <c r="Q128" s="15" t="str">
        <f>IF(OR(E128="",NOT(OR(ISNUMBER(SEARCH("Epóxico MT",Upload!R118&amp;Upload!S118&amp;Upload!T118&amp;Upload!U118&amp;Upload!V118))))),"",E128*0.000035)</f>
        <v/>
      </c>
      <c r="R128" s="15" t="str">
        <f>IF(OR(F128="",NOT(OR(ISNUMBER(SEARCH("Epóxico BT",Upload!S118&amp;Upload!T118&amp;Upload!U118&amp;Upload!V118&amp;Upload!W118))))),"",F128*0.000035)</f>
        <v/>
      </c>
      <c r="S128" s="15" t="str">
        <f>IF(OR(G128="",NOT(OR(ISNUMBER(SEARCH("Epóxico Rojo",Upload!T118&amp;Upload!U118&amp;Upload!V118&amp;Upload!W118&amp;Upload!X118))))),"",G128*0.000035)</f>
        <v/>
      </c>
    </row>
    <row r="129" spans="1:19" x14ac:dyDescent="0.2">
      <c r="A129" s="9" t="e">
        <f t="shared" ca="1" si="6"/>
        <v>#NAME?</v>
      </c>
      <c r="B129" s="9">
        <f>Upload!G119</f>
        <v>0</v>
      </c>
      <c r="C129" s="9">
        <f>Upload!AN119</f>
        <v>0</v>
      </c>
      <c r="D129" s="9">
        <f>Upload!AO119</f>
        <v>0</v>
      </c>
      <c r="E129" s="9">
        <f>Upload!AP119</f>
        <v>0</v>
      </c>
      <c r="F129" s="9" t="str">
        <f>Upload!AK119</f>
        <v/>
      </c>
      <c r="G129" s="9" t="str">
        <f>Upload!AM119</f>
        <v/>
      </c>
      <c r="H129" s="9" t="str">
        <f>Upload!AJ119</f>
        <v>(seleccione)</v>
      </c>
      <c r="I129" s="9" t="str">
        <f>Upload!AL119</f>
        <v>(seleccione)</v>
      </c>
      <c r="K129" s="15" t="str">
        <f t="shared" si="7"/>
        <v/>
      </c>
      <c r="L129" s="15" t="str">
        <f t="shared" si="8"/>
        <v/>
      </c>
      <c r="M129" s="15" t="str">
        <f t="shared" si="9"/>
        <v/>
      </c>
      <c r="N129" s="15" t="str">
        <f t="shared" si="10"/>
        <v/>
      </c>
      <c r="O129" s="15" t="str">
        <f t="shared" si="11"/>
        <v/>
      </c>
      <c r="P129" s="15" t="str">
        <f>IF(OR(C129="",NOT(OR(ISNUMBER(SEARCH("Antitarnish",Upload!R119&amp;Upload!S119&amp;Upload!T119&amp;Upload!U119&amp;Upload!V119)),ISNUMBER(SEARCH("Anti Tarnish",Upload!R119&amp;Upload!S119&amp;Upload!T119&amp;Upload!U119&amp;Upload!V119))))),"",0.0012*C129)</f>
        <v/>
      </c>
      <c r="Q129" s="15" t="str">
        <f>IF(OR(E129="",NOT(OR(ISNUMBER(SEARCH("Epóxico MT",Upload!R119&amp;Upload!S119&amp;Upload!T119&amp;Upload!U119&amp;Upload!V119))))),"",E129*0.000035)</f>
        <v/>
      </c>
      <c r="R129" s="15" t="str">
        <f>IF(OR(F129="",NOT(OR(ISNUMBER(SEARCH("Epóxico BT",Upload!S119&amp;Upload!T119&amp;Upload!U119&amp;Upload!V119&amp;Upload!W119))))),"",F129*0.000035)</f>
        <v/>
      </c>
      <c r="S129" s="15" t="str">
        <f>IF(OR(G129="",NOT(OR(ISNUMBER(SEARCH("Epóxico Rojo",Upload!T119&amp;Upload!U119&amp;Upload!V119&amp;Upload!W119&amp;Upload!X119))))),"",G129*0.000035)</f>
        <v/>
      </c>
    </row>
    <row r="130" spans="1:19" x14ac:dyDescent="0.2">
      <c r="A130" s="9" t="e">
        <f t="shared" ca="1" si="6"/>
        <v>#NAME?</v>
      </c>
      <c r="B130" s="9">
        <f>Upload!G120</f>
        <v>0</v>
      </c>
      <c r="C130" s="9">
        <f>Upload!AN120</f>
        <v>0</v>
      </c>
      <c r="D130" s="9">
        <f>Upload!AO120</f>
        <v>0</v>
      </c>
      <c r="E130" s="9">
        <f>Upload!AP120</f>
        <v>0</v>
      </c>
      <c r="F130" s="9" t="str">
        <f>Upload!AK120</f>
        <v/>
      </c>
      <c r="G130" s="9" t="str">
        <f>Upload!AM120</f>
        <v/>
      </c>
      <c r="H130" s="9" t="str">
        <f>Upload!AJ120</f>
        <v>(seleccione)</v>
      </c>
      <c r="I130" s="9" t="str">
        <f>Upload!AL120</f>
        <v>(seleccione)</v>
      </c>
      <c r="K130" s="15" t="str">
        <f t="shared" si="7"/>
        <v/>
      </c>
      <c r="L130" s="15" t="str">
        <f t="shared" si="8"/>
        <v/>
      </c>
      <c r="M130" s="15" t="str">
        <f t="shared" si="9"/>
        <v/>
      </c>
      <c r="N130" s="15" t="str">
        <f t="shared" si="10"/>
        <v/>
      </c>
      <c r="O130" s="15" t="str">
        <f t="shared" si="11"/>
        <v/>
      </c>
      <c r="P130" s="15" t="str">
        <f>IF(OR(C130="",NOT(OR(ISNUMBER(SEARCH("Antitarnish",Upload!R120&amp;Upload!S120&amp;Upload!T120&amp;Upload!U120&amp;Upload!V120)),ISNUMBER(SEARCH("Anti Tarnish",Upload!R120&amp;Upload!S120&amp;Upload!T120&amp;Upload!U120&amp;Upload!V120))))),"",0.0012*C130)</f>
        <v/>
      </c>
      <c r="Q130" s="15" t="str">
        <f>IF(OR(E130="",NOT(OR(ISNUMBER(SEARCH("Epóxico MT",Upload!R120&amp;Upload!S120&amp;Upload!T120&amp;Upload!U120&amp;Upload!V120))))),"",E130*0.000035)</f>
        <v/>
      </c>
      <c r="R130" s="15" t="str">
        <f>IF(OR(F130="",NOT(OR(ISNUMBER(SEARCH("Epóxico BT",Upload!S120&amp;Upload!T120&amp;Upload!U120&amp;Upload!V120&amp;Upload!W120))))),"",F130*0.000035)</f>
        <v/>
      </c>
      <c r="S130" s="15" t="str">
        <f>IF(OR(G130="",NOT(OR(ISNUMBER(SEARCH("Epóxico Rojo",Upload!T120&amp;Upload!U120&amp;Upload!V120&amp;Upload!W120&amp;Upload!X120))))),"",G130*0.000035)</f>
        <v/>
      </c>
    </row>
    <row r="131" spans="1:19" x14ac:dyDescent="0.2">
      <c r="A131" s="9" t="e">
        <f t="shared" ca="1" si="6"/>
        <v>#NAME?</v>
      </c>
      <c r="B131" s="9">
        <f>Upload!G121</f>
        <v>0</v>
      </c>
      <c r="C131" s="9">
        <f>Upload!AN121</f>
        <v>0</v>
      </c>
      <c r="D131" s="9">
        <f>Upload!AO121</f>
        <v>0</v>
      </c>
      <c r="E131" s="9">
        <f>Upload!AP121</f>
        <v>0</v>
      </c>
      <c r="F131" s="9" t="str">
        <f>Upload!AK121</f>
        <v/>
      </c>
      <c r="G131" s="9" t="str">
        <f>Upload!AM121</f>
        <v/>
      </c>
      <c r="H131" s="9" t="str">
        <f>Upload!AJ121</f>
        <v>(seleccione)</v>
      </c>
      <c r="I131" s="9" t="str">
        <f>Upload!AL121</f>
        <v>(seleccione)</v>
      </c>
      <c r="K131" s="15" t="str">
        <f t="shared" si="7"/>
        <v/>
      </c>
      <c r="L131" s="15" t="str">
        <f t="shared" si="8"/>
        <v/>
      </c>
      <c r="M131" s="15" t="str">
        <f t="shared" si="9"/>
        <v/>
      </c>
      <c r="N131" s="15" t="str">
        <f t="shared" si="10"/>
        <v/>
      </c>
      <c r="O131" s="15" t="str">
        <f t="shared" si="11"/>
        <v/>
      </c>
      <c r="P131" s="15" t="str">
        <f>IF(OR(C131="",NOT(OR(ISNUMBER(SEARCH("Antitarnish",Upload!R121&amp;Upload!S121&amp;Upload!T121&amp;Upload!U121&amp;Upload!V121)),ISNUMBER(SEARCH("Anti Tarnish",Upload!R121&amp;Upload!S121&amp;Upload!T121&amp;Upload!U121&amp;Upload!V121))))),"",0.0012*C131)</f>
        <v/>
      </c>
      <c r="Q131" s="15" t="str">
        <f>IF(OR(E131="",NOT(OR(ISNUMBER(SEARCH("Epóxico MT",Upload!R121&amp;Upload!S121&amp;Upload!T121&amp;Upload!U121&amp;Upload!V121))))),"",E131*0.000035)</f>
        <v/>
      </c>
      <c r="R131" s="15" t="str">
        <f>IF(OR(F131="",NOT(OR(ISNUMBER(SEARCH("Epóxico BT",Upload!S121&amp;Upload!T121&amp;Upload!U121&amp;Upload!V121&amp;Upload!W121))))),"",F131*0.000035)</f>
        <v/>
      </c>
      <c r="S131" s="15" t="str">
        <f>IF(OR(G131="",NOT(OR(ISNUMBER(SEARCH("Epóxico Rojo",Upload!T121&amp;Upload!U121&amp;Upload!V121&amp;Upload!W121&amp;Upload!X121))))),"",G131*0.000035)</f>
        <v/>
      </c>
    </row>
    <row r="132" spans="1:19" x14ac:dyDescent="0.2">
      <c r="A132" s="9" t="e">
        <f t="shared" ca="1" si="6"/>
        <v>#NAME?</v>
      </c>
      <c r="B132" s="9">
        <f>Upload!G122</f>
        <v>0</v>
      </c>
      <c r="C132" s="9">
        <f>Upload!AN122</f>
        <v>0</v>
      </c>
      <c r="D132" s="9">
        <f>Upload!AO122</f>
        <v>0</v>
      </c>
      <c r="E132" s="9">
        <f>Upload!AP122</f>
        <v>0</v>
      </c>
      <c r="F132" s="9" t="str">
        <f>Upload!AK122</f>
        <v/>
      </c>
      <c r="G132" s="9" t="str">
        <f>Upload!AM122</f>
        <v/>
      </c>
      <c r="H132" s="9" t="str">
        <f>Upload!AJ122</f>
        <v>(seleccione)</v>
      </c>
      <c r="I132" s="9" t="str">
        <f>Upload!AL122</f>
        <v>(seleccione)</v>
      </c>
      <c r="K132" s="15" t="str">
        <f t="shared" si="7"/>
        <v/>
      </c>
      <c r="L132" s="15" t="str">
        <f t="shared" si="8"/>
        <v/>
      </c>
      <c r="M132" s="15" t="str">
        <f t="shared" si="9"/>
        <v/>
      </c>
      <c r="N132" s="15" t="str">
        <f t="shared" si="10"/>
        <v/>
      </c>
      <c r="O132" s="15" t="str">
        <f t="shared" si="11"/>
        <v/>
      </c>
      <c r="P132" s="15" t="str">
        <f>IF(OR(C132="",NOT(OR(ISNUMBER(SEARCH("Antitarnish",Upload!R122&amp;Upload!S122&amp;Upload!T122&amp;Upload!U122&amp;Upload!V122)),ISNUMBER(SEARCH("Anti Tarnish",Upload!R122&amp;Upload!S122&amp;Upload!T122&amp;Upload!U122&amp;Upload!V122))))),"",0.0012*C132)</f>
        <v/>
      </c>
      <c r="Q132" s="15" t="str">
        <f>IF(OR(E132="",NOT(OR(ISNUMBER(SEARCH("Epóxico MT",Upload!R122&amp;Upload!S122&amp;Upload!T122&amp;Upload!U122&amp;Upload!V122))))),"",E132*0.000035)</f>
        <v/>
      </c>
      <c r="R132" s="15" t="str">
        <f>IF(OR(F132="",NOT(OR(ISNUMBER(SEARCH("Epóxico BT",Upload!S122&amp;Upload!T122&amp;Upload!U122&amp;Upload!V122&amp;Upload!W122))))),"",F132*0.000035)</f>
        <v/>
      </c>
      <c r="S132" s="15" t="str">
        <f>IF(OR(G132="",NOT(OR(ISNUMBER(SEARCH("Epóxico Rojo",Upload!T122&amp;Upload!U122&amp;Upload!V122&amp;Upload!W122&amp;Upload!X122))))),"",G132*0.000035)</f>
        <v/>
      </c>
    </row>
    <row r="133" spans="1:19" x14ac:dyDescent="0.2">
      <c r="A133" s="9" t="e">
        <f t="shared" ca="1" si="6"/>
        <v>#NAME?</v>
      </c>
      <c r="B133" s="9">
        <f>Upload!G123</f>
        <v>0</v>
      </c>
      <c r="C133" s="9">
        <f>Upload!AN123</f>
        <v>0</v>
      </c>
      <c r="D133" s="9">
        <f>Upload!AO123</f>
        <v>0</v>
      </c>
      <c r="E133" s="9">
        <f>Upload!AP123</f>
        <v>0</v>
      </c>
      <c r="F133" s="9" t="str">
        <f>Upload!AK123</f>
        <v/>
      </c>
      <c r="G133" s="9" t="str">
        <f>Upload!AM123</f>
        <v/>
      </c>
      <c r="H133" s="9" t="str">
        <f>Upload!AJ123</f>
        <v>(seleccione)</v>
      </c>
      <c r="I133" s="9" t="str">
        <f>Upload!AL123</f>
        <v>(seleccione)</v>
      </c>
      <c r="K133" s="15" t="str">
        <f t="shared" si="7"/>
        <v/>
      </c>
      <c r="L133" s="15" t="str">
        <f t="shared" si="8"/>
        <v/>
      </c>
      <c r="M133" s="15" t="str">
        <f t="shared" si="9"/>
        <v/>
      </c>
      <c r="N133" s="15" t="str">
        <f t="shared" si="10"/>
        <v/>
      </c>
      <c r="O133" s="15" t="str">
        <f t="shared" si="11"/>
        <v/>
      </c>
      <c r="P133" s="15" t="str">
        <f>IF(OR(C133="",NOT(OR(ISNUMBER(SEARCH("Antitarnish",Upload!R123&amp;Upload!S123&amp;Upload!T123&amp;Upload!U123&amp;Upload!V123)),ISNUMBER(SEARCH("Anti Tarnish",Upload!R123&amp;Upload!S123&amp;Upload!T123&amp;Upload!U123&amp;Upload!V123))))),"",0.0012*C133)</f>
        <v/>
      </c>
      <c r="Q133" s="15" t="str">
        <f>IF(OR(E133="",NOT(OR(ISNUMBER(SEARCH("Epóxico MT",Upload!R123&amp;Upload!S123&amp;Upload!T123&amp;Upload!U123&amp;Upload!V123))))),"",E133*0.000035)</f>
        <v/>
      </c>
      <c r="R133" s="15" t="str">
        <f>IF(OR(F133="",NOT(OR(ISNUMBER(SEARCH("Epóxico BT",Upload!S123&amp;Upload!T123&amp;Upload!U123&amp;Upload!V123&amp;Upload!W123))))),"",F133*0.000035)</f>
        <v/>
      </c>
      <c r="S133" s="15" t="str">
        <f>IF(OR(G133="",NOT(OR(ISNUMBER(SEARCH("Epóxico Rojo",Upload!T123&amp;Upload!U123&amp;Upload!V123&amp;Upload!W123&amp;Upload!X123))))),"",G133*0.000035)</f>
        <v/>
      </c>
    </row>
    <row r="134" spans="1:19" x14ac:dyDescent="0.2">
      <c r="A134" s="9" t="e">
        <f t="shared" ca="1" si="6"/>
        <v>#NAME?</v>
      </c>
      <c r="B134" s="9">
        <f>Upload!G124</f>
        <v>0</v>
      </c>
      <c r="C134" s="9">
        <f>Upload!AN124</f>
        <v>0</v>
      </c>
      <c r="D134" s="9">
        <f>Upload!AO124</f>
        <v>0</v>
      </c>
      <c r="E134" s="9">
        <f>Upload!AP124</f>
        <v>0</v>
      </c>
      <c r="F134" s="9" t="str">
        <f>Upload!AK124</f>
        <v/>
      </c>
      <c r="G134" s="9" t="str">
        <f>Upload!AM124</f>
        <v/>
      </c>
      <c r="H134" s="9" t="str">
        <f>Upload!AJ124</f>
        <v>(seleccione)</v>
      </c>
      <c r="I134" s="9" t="str">
        <f>Upload!AL124</f>
        <v>(seleccione)</v>
      </c>
      <c r="K134" s="15" t="str">
        <f t="shared" si="7"/>
        <v/>
      </c>
      <c r="L134" s="15" t="str">
        <f t="shared" si="8"/>
        <v/>
      </c>
      <c r="M134" s="15" t="str">
        <f t="shared" si="9"/>
        <v/>
      </c>
      <c r="N134" s="15" t="str">
        <f t="shared" si="10"/>
        <v/>
      </c>
      <c r="O134" s="15" t="str">
        <f t="shared" si="11"/>
        <v/>
      </c>
      <c r="P134" s="15" t="str">
        <f>IF(OR(C134="",NOT(OR(ISNUMBER(SEARCH("Antitarnish",Upload!R124&amp;Upload!S124&amp;Upload!T124&amp;Upload!U124&amp;Upload!V124)),ISNUMBER(SEARCH("Anti Tarnish",Upload!R124&amp;Upload!S124&amp;Upload!T124&amp;Upload!U124&amp;Upload!V124))))),"",0.0012*C134)</f>
        <v/>
      </c>
      <c r="Q134" s="15" t="str">
        <f>IF(OR(E134="",NOT(OR(ISNUMBER(SEARCH("Epóxico MT",Upload!R124&amp;Upload!S124&amp;Upload!T124&amp;Upload!U124&amp;Upload!V124))))),"",E134*0.000035)</f>
        <v/>
      </c>
      <c r="R134" s="15" t="str">
        <f>IF(OR(F134="",NOT(OR(ISNUMBER(SEARCH("Epóxico BT",Upload!S124&amp;Upload!T124&amp;Upload!U124&amp;Upload!V124&amp;Upload!W124))))),"",F134*0.000035)</f>
        <v/>
      </c>
      <c r="S134" s="15" t="str">
        <f>IF(OR(G134="",NOT(OR(ISNUMBER(SEARCH("Epóxico Rojo",Upload!T124&amp;Upload!U124&amp;Upload!V124&amp;Upload!W124&amp;Upload!X124))))),"",G134*0.000035)</f>
        <v/>
      </c>
    </row>
    <row r="135" spans="1:19" x14ac:dyDescent="0.2">
      <c r="A135" s="9" t="e">
        <f t="shared" ca="1" si="6"/>
        <v>#NAME?</v>
      </c>
      <c r="B135" s="9">
        <f>Upload!G125</f>
        <v>0</v>
      </c>
      <c r="C135" s="9">
        <f>Upload!AN125</f>
        <v>0</v>
      </c>
      <c r="D135" s="9">
        <f>Upload!AO125</f>
        <v>0</v>
      </c>
      <c r="E135" s="9">
        <f>Upload!AP125</f>
        <v>0</v>
      </c>
      <c r="F135" s="9" t="str">
        <f>Upload!AK125</f>
        <v/>
      </c>
      <c r="G135" s="9" t="str">
        <f>Upload!AM125</f>
        <v/>
      </c>
      <c r="H135" s="9" t="str">
        <f>Upload!AJ125</f>
        <v>(seleccione)</v>
      </c>
      <c r="I135" s="9" t="str">
        <f>Upload!AL125</f>
        <v>(seleccione)</v>
      </c>
      <c r="K135" s="15" t="str">
        <f t="shared" si="7"/>
        <v/>
      </c>
      <c r="L135" s="15" t="str">
        <f t="shared" si="8"/>
        <v/>
      </c>
      <c r="M135" s="15" t="str">
        <f t="shared" si="9"/>
        <v/>
      </c>
      <c r="N135" s="15" t="str">
        <f t="shared" si="10"/>
        <v/>
      </c>
      <c r="O135" s="15" t="str">
        <f t="shared" si="11"/>
        <v/>
      </c>
      <c r="P135" s="15" t="str">
        <f>IF(OR(C135="",NOT(OR(ISNUMBER(SEARCH("Antitarnish",Upload!R125&amp;Upload!S125&amp;Upload!T125&amp;Upload!U125&amp;Upload!V125)),ISNUMBER(SEARCH("Anti Tarnish",Upload!R125&amp;Upload!S125&amp;Upload!T125&amp;Upload!U125&amp;Upload!V125))))),"",0.0012*C135)</f>
        <v/>
      </c>
      <c r="Q135" s="15" t="str">
        <f>IF(OR(E135="",NOT(OR(ISNUMBER(SEARCH("Epóxico MT",Upload!R125&amp;Upload!S125&amp;Upload!T125&amp;Upload!U125&amp;Upload!V125))))),"",E135*0.000035)</f>
        <v/>
      </c>
      <c r="R135" s="15" t="str">
        <f>IF(OR(F135="",NOT(OR(ISNUMBER(SEARCH("Epóxico BT",Upload!S125&amp;Upload!T125&amp;Upload!U125&amp;Upload!V125&amp;Upload!W125))))),"",F135*0.000035)</f>
        <v/>
      </c>
      <c r="S135" s="15" t="str">
        <f>IF(OR(G135="",NOT(OR(ISNUMBER(SEARCH("Epóxico Rojo",Upload!T125&amp;Upload!U125&amp;Upload!V125&amp;Upload!W125&amp;Upload!X125))))),"",G135*0.000035)</f>
        <v/>
      </c>
    </row>
    <row r="136" spans="1:19" x14ac:dyDescent="0.2">
      <c r="A136" s="9" t="e">
        <f t="shared" ca="1" si="6"/>
        <v>#NAME?</v>
      </c>
      <c r="B136" s="9">
        <f>Upload!G126</f>
        <v>0</v>
      </c>
      <c r="C136" s="9">
        <f>Upload!AN126</f>
        <v>0</v>
      </c>
      <c r="D136" s="9">
        <f>Upload!AO126</f>
        <v>0</v>
      </c>
      <c r="E136" s="9">
        <f>Upload!AP126</f>
        <v>0</v>
      </c>
      <c r="F136" s="9" t="str">
        <f>Upload!AK126</f>
        <v/>
      </c>
      <c r="G136" s="9" t="str">
        <f>Upload!AM126</f>
        <v/>
      </c>
      <c r="H136" s="9" t="str">
        <f>Upload!AJ126</f>
        <v>(seleccione)</v>
      </c>
      <c r="I136" s="9" t="str">
        <f>Upload!AL126</f>
        <v>(seleccione)</v>
      </c>
      <c r="K136" s="15" t="str">
        <f t="shared" si="7"/>
        <v/>
      </c>
      <c r="L136" s="15" t="str">
        <f t="shared" si="8"/>
        <v/>
      </c>
      <c r="M136" s="15" t="str">
        <f t="shared" si="9"/>
        <v/>
      </c>
      <c r="N136" s="15" t="str">
        <f t="shared" si="10"/>
        <v/>
      </c>
      <c r="O136" s="15" t="str">
        <f t="shared" si="11"/>
        <v/>
      </c>
      <c r="P136" s="15" t="str">
        <f>IF(OR(C136="",NOT(OR(ISNUMBER(SEARCH("Antitarnish",Upload!R126&amp;Upload!S126&amp;Upload!T126&amp;Upload!U126&amp;Upload!V126)),ISNUMBER(SEARCH("Anti Tarnish",Upload!R126&amp;Upload!S126&amp;Upload!T126&amp;Upload!U126&amp;Upload!V126))))),"",0.0012*C136)</f>
        <v/>
      </c>
      <c r="Q136" s="15" t="str">
        <f>IF(OR(E136="",NOT(OR(ISNUMBER(SEARCH("Epóxico MT",Upload!R126&amp;Upload!S126&amp;Upload!T126&amp;Upload!U126&amp;Upload!V126))))),"",E136*0.000035)</f>
        <v/>
      </c>
      <c r="R136" s="15" t="str">
        <f>IF(OR(F136="",NOT(OR(ISNUMBER(SEARCH("Epóxico BT",Upload!S126&amp;Upload!T126&amp;Upload!U126&amp;Upload!V126&amp;Upload!W126))))),"",F136*0.000035)</f>
        <v/>
      </c>
      <c r="S136" s="15" t="str">
        <f>IF(OR(G136="",NOT(OR(ISNUMBER(SEARCH("Epóxico Rojo",Upload!T126&amp;Upload!U126&amp;Upload!V126&amp;Upload!W126&amp;Upload!X126))))),"",G136*0.000035)</f>
        <v/>
      </c>
    </row>
    <row r="137" spans="1:19" x14ac:dyDescent="0.2">
      <c r="A137" s="9" t="e">
        <f t="shared" ca="1" si="6"/>
        <v>#NAME?</v>
      </c>
      <c r="B137" s="9">
        <f>Upload!G127</f>
        <v>0</v>
      </c>
      <c r="C137" s="9">
        <f>Upload!AN127</f>
        <v>0</v>
      </c>
      <c r="D137" s="9">
        <f>Upload!AO127</f>
        <v>0</v>
      </c>
      <c r="E137" s="9">
        <f>Upload!AP127</f>
        <v>0</v>
      </c>
      <c r="F137" s="9" t="str">
        <f>Upload!AK127</f>
        <v/>
      </c>
      <c r="G137" s="9" t="str">
        <f>Upload!AM127</f>
        <v/>
      </c>
      <c r="H137" s="9" t="str">
        <f>Upload!AJ127</f>
        <v>(seleccione)</v>
      </c>
      <c r="I137" s="9" t="str">
        <f>Upload!AL127</f>
        <v>(seleccione)</v>
      </c>
      <c r="K137" s="15" t="str">
        <f t="shared" si="7"/>
        <v/>
      </c>
      <c r="L137" s="15" t="str">
        <f t="shared" si="8"/>
        <v/>
      </c>
      <c r="M137" s="15" t="str">
        <f t="shared" si="9"/>
        <v/>
      </c>
      <c r="N137" s="15" t="str">
        <f t="shared" si="10"/>
        <v/>
      </c>
      <c r="O137" s="15" t="str">
        <f t="shared" si="11"/>
        <v/>
      </c>
      <c r="P137" s="15" t="str">
        <f>IF(OR(C137="",NOT(OR(ISNUMBER(SEARCH("Antitarnish",Upload!R127&amp;Upload!S127&amp;Upload!T127&amp;Upload!U127&amp;Upload!V127)),ISNUMBER(SEARCH("Anti Tarnish",Upload!R127&amp;Upload!S127&amp;Upload!T127&amp;Upload!U127&amp;Upload!V127))))),"",0.0012*C137)</f>
        <v/>
      </c>
      <c r="Q137" s="15" t="str">
        <f>IF(OR(E137="",NOT(OR(ISNUMBER(SEARCH("Epóxico MT",Upload!R127&amp;Upload!S127&amp;Upload!T127&amp;Upload!U127&amp;Upload!V127))))),"",E137*0.000035)</f>
        <v/>
      </c>
      <c r="R137" s="15" t="str">
        <f>IF(OR(F137="",NOT(OR(ISNUMBER(SEARCH("Epóxico BT",Upload!S127&amp;Upload!T127&amp;Upload!U127&amp;Upload!V127&amp;Upload!W127))))),"",F137*0.000035)</f>
        <v/>
      </c>
      <c r="S137" s="15" t="str">
        <f>IF(OR(G137="",NOT(OR(ISNUMBER(SEARCH("Epóxico Rojo",Upload!T127&amp;Upload!U127&amp;Upload!V127&amp;Upload!W127&amp;Upload!X127))))),"",G137*0.000035)</f>
        <v/>
      </c>
    </row>
    <row r="138" spans="1:19" x14ac:dyDescent="0.2">
      <c r="A138" s="9" t="e">
        <f t="shared" ca="1" si="6"/>
        <v>#NAME?</v>
      </c>
      <c r="B138" s="9">
        <f>Upload!G128</f>
        <v>0</v>
      </c>
      <c r="C138" s="9">
        <f>Upload!AN128</f>
        <v>0</v>
      </c>
      <c r="D138" s="9">
        <f>Upload!AO128</f>
        <v>0</v>
      </c>
      <c r="E138" s="9">
        <f>Upload!AP128</f>
        <v>0</v>
      </c>
      <c r="F138" s="9" t="str">
        <f>Upload!AK128</f>
        <v/>
      </c>
      <c r="G138" s="9" t="str">
        <f>Upload!AM128</f>
        <v/>
      </c>
      <c r="H138" s="9" t="str">
        <f>Upload!AJ128</f>
        <v>(seleccione)</v>
      </c>
      <c r="I138" s="9" t="str">
        <f>Upload!AL128</f>
        <v>(seleccione)</v>
      </c>
      <c r="K138" s="15" t="str">
        <f t="shared" si="7"/>
        <v/>
      </c>
      <c r="L138" s="15" t="str">
        <f t="shared" si="8"/>
        <v/>
      </c>
      <c r="M138" s="15" t="str">
        <f t="shared" si="9"/>
        <v/>
      </c>
      <c r="N138" s="15" t="str">
        <f t="shared" si="10"/>
        <v/>
      </c>
      <c r="O138" s="15" t="str">
        <f t="shared" si="11"/>
        <v/>
      </c>
      <c r="P138" s="15" t="str">
        <f>IF(OR(C138="",NOT(OR(ISNUMBER(SEARCH("Antitarnish",Upload!R128&amp;Upload!S128&amp;Upload!T128&amp;Upload!U128&amp;Upload!V128)),ISNUMBER(SEARCH("Anti Tarnish",Upload!R128&amp;Upload!S128&amp;Upload!T128&amp;Upload!U128&amp;Upload!V128))))),"",0.0012*C138)</f>
        <v/>
      </c>
      <c r="Q138" s="15" t="str">
        <f>IF(OR(E138="",NOT(OR(ISNUMBER(SEARCH("Epóxico MT",Upload!R128&amp;Upload!S128&amp;Upload!T128&amp;Upload!U128&amp;Upload!V128))))),"",E138*0.000035)</f>
        <v/>
      </c>
      <c r="R138" s="15" t="str">
        <f>IF(OR(F138="",NOT(OR(ISNUMBER(SEARCH("Epóxico BT",Upload!S128&amp;Upload!T128&amp;Upload!U128&amp;Upload!V128&amp;Upload!W128))))),"",F138*0.000035)</f>
        <v/>
      </c>
      <c r="S138" s="15" t="str">
        <f>IF(OR(G138="",NOT(OR(ISNUMBER(SEARCH("Epóxico Rojo",Upload!T128&amp;Upload!U128&amp;Upload!V128&amp;Upload!W128&amp;Upload!X128))))),"",G138*0.000035)</f>
        <v/>
      </c>
    </row>
    <row r="139" spans="1:19" x14ac:dyDescent="0.2">
      <c r="A139" s="9" t="e">
        <f t="shared" ca="1" si="6"/>
        <v>#NAME?</v>
      </c>
      <c r="B139" s="9">
        <f>Upload!G129</f>
        <v>0</v>
      </c>
      <c r="C139" s="9">
        <f>Upload!AN129</f>
        <v>0</v>
      </c>
      <c r="D139" s="9">
        <f>Upload!AO129</f>
        <v>0</v>
      </c>
      <c r="E139" s="9">
        <f>Upload!AP129</f>
        <v>0</v>
      </c>
      <c r="F139" s="9" t="str">
        <f>Upload!AK129</f>
        <v/>
      </c>
      <c r="G139" s="9" t="str">
        <f>Upload!AM129</f>
        <v/>
      </c>
      <c r="H139" s="9" t="str">
        <f>Upload!AJ129</f>
        <v>(seleccione)</v>
      </c>
      <c r="I139" s="9" t="str">
        <f>Upload!AL129</f>
        <v>(seleccione)</v>
      </c>
      <c r="K139" s="15" t="str">
        <f t="shared" si="7"/>
        <v/>
      </c>
      <c r="L139" s="15" t="str">
        <f t="shared" si="8"/>
        <v/>
      </c>
      <c r="M139" s="15" t="str">
        <f t="shared" si="9"/>
        <v/>
      </c>
      <c r="N139" s="15" t="str">
        <f t="shared" si="10"/>
        <v/>
      </c>
      <c r="O139" s="15" t="str">
        <f t="shared" si="11"/>
        <v/>
      </c>
      <c r="P139" s="15" t="str">
        <f>IF(OR(C139="",NOT(OR(ISNUMBER(SEARCH("Antitarnish",Upload!R129&amp;Upload!S129&amp;Upload!T129&amp;Upload!U129&amp;Upload!V129)),ISNUMBER(SEARCH("Anti Tarnish",Upload!R129&amp;Upload!S129&amp;Upload!T129&amp;Upload!U129&amp;Upload!V129))))),"",0.0012*C139)</f>
        <v/>
      </c>
      <c r="Q139" s="15" t="str">
        <f>IF(OR(E139="",NOT(OR(ISNUMBER(SEARCH("Epóxico MT",Upload!R129&amp;Upload!S129&amp;Upload!T129&amp;Upload!U129&amp;Upload!V129))))),"",E139*0.000035)</f>
        <v/>
      </c>
      <c r="R139" s="15" t="str">
        <f>IF(OR(F139="",NOT(OR(ISNUMBER(SEARCH("Epóxico BT",Upload!S129&amp;Upload!T129&amp;Upload!U129&amp;Upload!V129&amp;Upload!W129))))),"",F139*0.000035)</f>
        <v/>
      </c>
      <c r="S139" s="15" t="str">
        <f>IF(OR(G139="",NOT(OR(ISNUMBER(SEARCH("Epóxico Rojo",Upload!T129&amp;Upload!U129&amp;Upload!V129&amp;Upload!W129&amp;Upload!X129))))),"",G139*0.000035)</f>
        <v/>
      </c>
    </row>
    <row r="140" spans="1:19" x14ac:dyDescent="0.2">
      <c r="A140" s="9" t="e">
        <f t="shared" ca="1" si="6"/>
        <v>#NAME?</v>
      </c>
      <c r="B140" s="9">
        <f>Upload!G130</f>
        <v>0</v>
      </c>
      <c r="C140" s="9">
        <f>Upload!AN130</f>
        <v>0</v>
      </c>
      <c r="D140" s="9">
        <f>Upload!AO130</f>
        <v>0</v>
      </c>
      <c r="E140" s="9">
        <f>Upload!AP130</f>
        <v>0</v>
      </c>
      <c r="F140" s="9" t="str">
        <f>Upload!AK130</f>
        <v/>
      </c>
      <c r="G140" s="9" t="str">
        <f>Upload!AM130</f>
        <v/>
      </c>
      <c r="H140" s="9" t="str">
        <f>Upload!AJ130</f>
        <v>(seleccione)</v>
      </c>
      <c r="I140" s="9" t="str">
        <f>Upload!AL130</f>
        <v>(seleccione)</v>
      </c>
      <c r="K140" s="15" t="str">
        <f t="shared" si="7"/>
        <v/>
      </c>
      <c r="L140" s="15" t="str">
        <f t="shared" si="8"/>
        <v/>
      </c>
      <c r="M140" s="15" t="str">
        <f t="shared" si="9"/>
        <v/>
      </c>
      <c r="N140" s="15" t="str">
        <f t="shared" si="10"/>
        <v/>
      </c>
      <c r="O140" s="15" t="str">
        <f t="shared" si="11"/>
        <v/>
      </c>
      <c r="P140" s="15" t="str">
        <f>IF(OR(C140="",NOT(OR(ISNUMBER(SEARCH("Antitarnish",Upload!R130&amp;Upload!S130&amp;Upload!T130&amp;Upload!U130&amp;Upload!V130)),ISNUMBER(SEARCH("Anti Tarnish",Upload!R130&amp;Upload!S130&amp;Upload!T130&amp;Upload!U130&amp;Upload!V130))))),"",0.0012*C140)</f>
        <v/>
      </c>
      <c r="Q140" s="15" t="str">
        <f>IF(OR(E140="",NOT(OR(ISNUMBER(SEARCH("Epóxico MT",Upload!R130&amp;Upload!S130&amp;Upload!T130&amp;Upload!U130&amp;Upload!V130))))),"",E140*0.000035)</f>
        <v/>
      </c>
      <c r="R140" s="15" t="str">
        <f>IF(OR(F140="",NOT(OR(ISNUMBER(SEARCH("Epóxico BT",Upload!S130&amp;Upload!T130&amp;Upload!U130&amp;Upload!V130&amp;Upload!W130))))),"",F140*0.000035)</f>
        <v/>
      </c>
      <c r="S140" s="15" t="str">
        <f>IF(OR(G140="",NOT(OR(ISNUMBER(SEARCH("Epóxico Rojo",Upload!T130&amp;Upload!U130&amp;Upload!V130&amp;Upload!W130&amp;Upload!X130))))),"",G140*0.000035)</f>
        <v/>
      </c>
    </row>
    <row r="141" spans="1:19" x14ac:dyDescent="0.2">
      <c r="A141" s="9" t="e">
        <f t="shared" ca="1" si="6"/>
        <v>#NAME?</v>
      </c>
      <c r="B141" s="9">
        <f>Upload!G131</f>
        <v>0</v>
      </c>
      <c r="C141" s="9">
        <f>Upload!AN131</f>
        <v>0</v>
      </c>
      <c r="D141" s="9">
        <f>Upload!AO131</f>
        <v>0</v>
      </c>
      <c r="E141" s="9">
        <f>Upload!AP131</f>
        <v>0</v>
      </c>
      <c r="F141" s="9" t="str">
        <f>Upload!AK131</f>
        <v/>
      </c>
      <c r="G141" s="9" t="str">
        <f>Upload!AM131</f>
        <v/>
      </c>
      <c r="H141" s="9" t="str">
        <f>Upload!AJ131</f>
        <v>(seleccione)</v>
      </c>
      <c r="I141" s="9" t="str">
        <f>Upload!AL131</f>
        <v>(seleccione)</v>
      </c>
      <c r="K141" s="15" t="str">
        <f t="shared" si="7"/>
        <v/>
      </c>
      <c r="L141" s="15" t="str">
        <f t="shared" si="8"/>
        <v/>
      </c>
      <c r="M141" s="15" t="str">
        <f t="shared" si="9"/>
        <v/>
      </c>
      <c r="N141" s="15" t="str">
        <f t="shared" si="10"/>
        <v/>
      </c>
      <c r="O141" s="15" t="str">
        <f t="shared" si="11"/>
        <v/>
      </c>
      <c r="P141" s="15" t="str">
        <f>IF(OR(C141="",NOT(OR(ISNUMBER(SEARCH("Antitarnish",Upload!R131&amp;Upload!S131&amp;Upload!T131&amp;Upload!U131&amp;Upload!V131)),ISNUMBER(SEARCH("Anti Tarnish",Upload!R131&amp;Upload!S131&amp;Upload!T131&amp;Upload!U131&amp;Upload!V131))))),"",0.0012*C141)</f>
        <v/>
      </c>
      <c r="Q141" s="15" t="str">
        <f>IF(OR(E141="",NOT(OR(ISNUMBER(SEARCH("Epóxico MT",Upload!R131&amp;Upload!S131&amp;Upload!T131&amp;Upload!U131&amp;Upload!V131))))),"",E141*0.000035)</f>
        <v/>
      </c>
      <c r="R141" s="15" t="str">
        <f>IF(OR(F141="",NOT(OR(ISNUMBER(SEARCH("Epóxico BT",Upload!S131&amp;Upload!T131&amp;Upload!U131&amp;Upload!V131&amp;Upload!W131))))),"",F141*0.000035)</f>
        <v/>
      </c>
      <c r="S141" s="15" t="str">
        <f>IF(OR(G141="",NOT(OR(ISNUMBER(SEARCH("Epóxico Rojo",Upload!T131&amp;Upload!U131&amp;Upload!V131&amp;Upload!W131&amp;Upload!X131))))),"",G141*0.000035)</f>
        <v/>
      </c>
    </row>
    <row r="142" spans="1:19" x14ac:dyDescent="0.2">
      <c r="A142" s="9" t="e">
        <f t="shared" ca="1" si="6"/>
        <v>#NAME?</v>
      </c>
      <c r="B142" s="9">
        <f>Upload!G132</f>
        <v>0</v>
      </c>
      <c r="C142" s="9">
        <f>Upload!AN132</f>
        <v>0</v>
      </c>
      <c r="D142" s="9">
        <f>Upload!AO132</f>
        <v>0</v>
      </c>
      <c r="E142" s="9">
        <f>Upload!AP132</f>
        <v>0</v>
      </c>
      <c r="F142" s="9" t="str">
        <f>Upload!AK132</f>
        <v/>
      </c>
      <c r="G142" s="9" t="str">
        <f>Upload!AM132</f>
        <v/>
      </c>
      <c r="H142" s="9" t="str">
        <f>Upload!AJ132</f>
        <v>(seleccione)</v>
      </c>
      <c r="I142" s="9" t="str">
        <f>Upload!AL132</f>
        <v>(seleccione)</v>
      </c>
      <c r="K142" s="15" t="str">
        <f t="shared" si="7"/>
        <v/>
      </c>
      <c r="L142" s="15" t="str">
        <f t="shared" si="8"/>
        <v/>
      </c>
      <c r="M142" s="15" t="str">
        <f t="shared" si="9"/>
        <v/>
      </c>
      <c r="N142" s="15" t="str">
        <f t="shared" si="10"/>
        <v/>
      </c>
      <c r="O142" s="15" t="str">
        <f t="shared" si="11"/>
        <v/>
      </c>
      <c r="P142" s="15" t="str">
        <f>IF(OR(C142="",NOT(OR(ISNUMBER(SEARCH("Antitarnish",Upload!R132&amp;Upload!S132&amp;Upload!T132&amp;Upload!U132&amp;Upload!V132)),ISNUMBER(SEARCH("Anti Tarnish",Upload!R132&amp;Upload!S132&amp;Upload!T132&amp;Upload!U132&amp;Upload!V132))))),"",0.0012*C142)</f>
        <v/>
      </c>
      <c r="Q142" s="15" t="str">
        <f>IF(OR(E142="",NOT(OR(ISNUMBER(SEARCH("Epóxico MT",Upload!R132&amp;Upload!S132&amp;Upload!T132&amp;Upload!U132&amp;Upload!V132))))),"",E142*0.000035)</f>
        <v/>
      </c>
      <c r="R142" s="15" t="str">
        <f>IF(OR(F142="",NOT(OR(ISNUMBER(SEARCH("Epóxico BT",Upload!S132&amp;Upload!T132&amp;Upload!U132&amp;Upload!V132&amp;Upload!W132))))),"",F142*0.000035)</f>
        <v/>
      </c>
      <c r="S142" s="15" t="str">
        <f>IF(OR(G142="",NOT(OR(ISNUMBER(SEARCH("Epóxico Rojo",Upload!T132&amp;Upload!U132&amp;Upload!V132&amp;Upload!W132&amp;Upload!X132))))),"",G142*0.000035)</f>
        <v/>
      </c>
    </row>
    <row r="143" spans="1:19" x14ac:dyDescent="0.2">
      <c r="A143" s="9" t="e">
        <f t="shared" ca="1" si="6"/>
        <v>#NAME?</v>
      </c>
      <c r="B143" s="9">
        <f>Upload!G133</f>
        <v>0</v>
      </c>
      <c r="C143" s="9">
        <f>Upload!AN133</f>
        <v>0</v>
      </c>
      <c r="D143" s="9">
        <f>Upload!AO133</f>
        <v>0</v>
      </c>
      <c r="E143" s="9">
        <f>Upload!AP133</f>
        <v>0</v>
      </c>
      <c r="F143" s="9" t="str">
        <f>Upload!AK133</f>
        <v/>
      </c>
      <c r="G143" s="9" t="str">
        <f>Upload!AM133</f>
        <v/>
      </c>
      <c r="H143" s="9" t="str">
        <f>Upload!AJ133</f>
        <v>(seleccione)</v>
      </c>
      <c r="I143" s="9" t="str">
        <f>Upload!AL133</f>
        <v>(seleccione)</v>
      </c>
      <c r="K143" s="15" t="str">
        <f t="shared" si="7"/>
        <v/>
      </c>
      <c r="L143" s="15" t="str">
        <f t="shared" si="8"/>
        <v/>
      </c>
      <c r="M143" s="15" t="str">
        <f t="shared" si="9"/>
        <v/>
      </c>
      <c r="N143" s="15" t="str">
        <f t="shared" si="10"/>
        <v/>
      </c>
      <c r="O143" s="15" t="str">
        <f t="shared" si="11"/>
        <v/>
      </c>
      <c r="P143" s="15" t="str">
        <f>IF(OR(C143="",NOT(OR(ISNUMBER(SEARCH("Antitarnish",Upload!R133&amp;Upload!S133&amp;Upload!T133&amp;Upload!U133&amp;Upload!V133)),ISNUMBER(SEARCH("Anti Tarnish",Upload!R133&amp;Upload!S133&amp;Upload!T133&amp;Upload!U133&amp;Upload!V133))))),"",0.0012*C143)</f>
        <v/>
      </c>
      <c r="Q143" s="15" t="str">
        <f>IF(OR(E143="",NOT(OR(ISNUMBER(SEARCH("Epóxico MT",Upload!R133&amp;Upload!S133&amp;Upload!T133&amp;Upload!U133&amp;Upload!V133))))),"",E143*0.000035)</f>
        <v/>
      </c>
      <c r="R143" s="15" t="str">
        <f>IF(OR(F143="",NOT(OR(ISNUMBER(SEARCH("Epóxico BT",Upload!S133&amp;Upload!T133&amp;Upload!U133&amp;Upload!V133&amp;Upload!W133))))),"",F143*0.000035)</f>
        <v/>
      </c>
      <c r="S143" s="15" t="str">
        <f>IF(OR(G143="",NOT(OR(ISNUMBER(SEARCH("Epóxico Rojo",Upload!T133&amp;Upload!U133&amp;Upload!V133&amp;Upload!W133&amp;Upload!X133))))),"",G143*0.000035)</f>
        <v/>
      </c>
    </row>
    <row r="144" spans="1:19" x14ac:dyDescent="0.2">
      <c r="A144" s="9" t="e">
        <f t="shared" ca="1" si="6"/>
        <v>#NAME?</v>
      </c>
      <c r="B144" s="9">
        <f>Upload!G134</f>
        <v>0</v>
      </c>
      <c r="C144" s="9">
        <f>Upload!AN134</f>
        <v>0</v>
      </c>
      <c r="D144" s="9">
        <f>Upload!AO134</f>
        <v>0</v>
      </c>
      <c r="E144" s="9">
        <f>Upload!AP134</f>
        <v>0</v>
      </c>
      <c r="F144" s="9" t="str">
        <f>Upload!AK134</f>
        <v/>
      </c>
      <c r="G144" s="9" t="str">
        <f>Upload!AM134</f>
        <v/>
      </c>
      <c r="H144" s="9" t="str">
        <f>Upload!AJ134</f>
        <v>(seleccione)</v>
      </c>
      <c r="I144" s="9" t="str">
        <f>Upload!AL134</f>
        <v>(seleccione)</v>
      </c>
      <c r="K144" s="15" t="str">
        <f t="shared" si="7"/>
        <v/>
      </c>
      <c r="L144" s="15" t="str">
        <f t="shared" si="8"/>
        <v/>
      </c>
      <c r="M144" s="15" t="str">
        <f t="shared" si="9"/>
        <v/>
      </c>
      <c r="N144" s="15" t="str">
        <f t="shared" si="10"/>
        <v/>
      </c>
      <c r="O144" s="15" t="str">
        <f t="shared" si="11"/>
        <v/>
      </c>
      <c r="P144" s="15" t="str">
        <f>IF(OR(C144="",NOT(OR(ISNUMBER(SEARCH("Antitarnish",Upload!R134&amp;Upload!S134&amp;Upload!T134&amp;Upload!U134&amp;Upload!V134)),ISNUMBER(SEARCH("Anti Tarnish",Upload!R134&amp;Upload!S134&amp;Upload!T134&amp;Upload!U134&amp;Upload!V134))))),"",0.0012*C144)</f>
        <v/>
      </c>
      <c r="Q144" s="15" t="str">
        <f>IF(OR(E144="",NOT(OR(ISNUMBER(SEARCH("Epóxico MT",Upload!R134&amp;Upload!S134&amp;Upload!T134&amp;Upload!U134&amp;Upload!V134))))),"",E144*0.000035)</f>
        <v/>
      </c>
      <c r="R144" s="15" t="str">
        <f>IF(OR(F144="",NOT(OR(ISNUMBER(SEARCH("Epóxico BT",Upload!S134&amp;Upload!T134&amp;Upload!U134&amp;Upload!V134&amp;Upload!W134))))),"",F144*0.000035)</f>
        <v/>
      </c>
      <c r="S144" s="15" t="str">
        <f>IF(OR(G144="",NOT(OR(ISNUMBER(SEARCH("Epóxico Rojo",Upload!T134&amp;Upload!U134&amp;Upload!V134&amp;Upload!W134&amp;Upload!X134))))),"",G144*0.000035)</f>
        <v/>
      </c>
    </row>
    <row r="145" spans="1:19" x14ac:dyDescent="0.2">
      <c r="A145" s="9" t="e">
        <f t="shared" ca="1" si="6"/>
        <v>#NAME?</v>
      </c>
      <c r="B145" s="9">
        <f>Upload!G135</f>
        <v>0</v>
      </c>
      <c r="C145" s="9">
        <f>Upload!AN135</f>
        <v>0</v>
      </c>
      <c r="D145" s="9">
        <f>Upload!AO135</f>
        <v>0</v>
      </c>
      <c r="E145" s="9">
        <f>Upload!AP135</f>
        <v>0</v>
      </c>
      <c r="F145" s="9" t="str">
        <f>Upload!AK135</f>
        <v/>
      </c>
      <c r="G145" s="9" t="str">
        <f>Upload!AM135</f>
        <v/>
      </c>
      <c r="H145" s="9" t="str">
        <f>Upload!AJ135</f>
        <v>(seleccione)</v>
      </c>
      <c r="I145" s="9" t="str">
        <f>Upload!AL135</f>
        <v>(seleccione)</v>
      </c>
      <c r="K145" s="15" t="str">
        <f t="shared" si="7"/>
        <v/>
      </c>
      <c r="L145" s="15" t="str">
        <f t="shared" si="8"/>
        <v/>
      </c>
      <c r="M145" s="15" t="str">
        <f t="shared" si="9"/>
        <v/>
      </c>
      <c r="N145" s="15" t="str">
        <f t="shared" si="10"/>
        <v/>
      </c>
      <c r="O145" s="15" t="str">
        <f t="shared" si="11"/>
        <v/>
      </c>
      <c r="P145" s="15" t="str">
        <f>IF(OR(C145="",NOT(OR(ISNUMBER(SEARCH("Antitarnish",Upload!R135&amp;Upload!S135&amp;Upload!T135&amp;Upload!U135&amp;Upload!V135)),ISNUMBER(SEARCH("Anti Tarnish",Upload!R135&amp;Upload!S135&amp;Upload!T135&amp;Upload!U135&amp;Upload!V135))))),"",0.0012*C145)</f>
        <v/>
      </c>
      <c r="Q145" s="15" t="str">
        <f>IF(OR(E145="",NOT(OR(ISNUMBER(SEARCH("Epóxico MT",Upload!R135&amp;Upload!S135&amp;Upload!T135&amp;Upload!U135&amp;Upload!V135))))),"",E145*0.000035)</f>
        <v/>
      </c>
      <c r="R145" s="15" t="str">
        <f>IF(OR(F145="",NOT(OR(ISNUMBER(SEARCH("Epóxico BT",Upload!S135&amp;Upload!T135&amp;Upload!U135&amp;Upload!V135&amp;Upload!W135))))),"",F145*0.000035)</f>
        <v/>
      </c>
      <c r="S145" s="15" t="str">
        <f>IF(OR(G145="",NOT(OR(ISNUMBER(SEARCH("Epóxico Rojo",Upload!T135&amp;Upload!U135&amp;Upload!V135&amp;Upload!W135&amp;Upload!X135))))),"",G145*0.000035)</f>
        <v/>
      </c>
    </row>
    <row r="146" spans="1:19" x14ac:dyDescent="0.2">
      <c r="A146" s="9" t="e">
        <f t="shared" ca="1" si="6"/>
        <v>#NAME?</v>
      </c>
      <c r="B146" s="9">
        <f>Upload!G136</f>
        <v>0</v>
      </c>
      <c r="C146" s="9">
        <f>Upload!AN136</f>
        <v>0</v>
      </c>
      <c r="D146" s="9">
        <f>Upload!AO136</f>
        <v>0</v>
      </c>
      <c r="E146" s="9">
        <f>Upload!AP136</f>
        <v>0</v>
      </c>
      <c r="F146" s="9" t="str">
        <f>Upload!AK136</f>
        <v/>
      </c>
      <c r="G146" s="9" t="str">
        <f>Upload!AM136</f>
        <v/>
      </c>
      <c r="H146" s="9" t="str">
        <f>Upload!AJ136</f>
        <v>(seleccione)</v>
      </c>
      <c r="I146" s="9" t="str">
        <f>Upload!AL136</f>
        <v>(seleccione)</v>
      </c>
      <c r="K146" s="15" t="str">
        <f t="shared" si="7"/>
        <v/>
      </c>
      <c r="L146" s="15" t="str">
        <f t="shared" si="8"/>
        <v/>
      </c>
      <c r="M146" s="15" t="str">
        <f t="shared" si="9"/>
        <v/>
      </c>
      <c r="N146" s="15" t="str">
        <f t="shared" si="10"/>
        <v/>
      </c>
      <c r="O146" s="15" t="str">
        <f t="shared" si="11"/>
        <v/>
      </c>
      <c r="P146" s="15" t="str">
        <f>IF(OR(C146="",NOT(OR(ISNUMBER(SEARCH("Antitarnish",Upload!R136&amp;Upload!S136&amp;Upload!T136&amp;Upload!U136&amp;Upload!V136)),ISNUMBER(SEARCH("Anti Tarnish",Upload!R136&amp;Upload!S136&amp;Upload!T136&amp;Upload!U136&amp;Upload!V136))))),"",0.0012*C146)</f>
        <v/>
      </c>
      <c r="Q146" s="15" t="str">
        <f>IF(OR(E146="",NOT(OR(ISNUMBER(SEARCH("Epóxico MT",Upload!R136&amp;Upload!S136&amp;Upload!T136&amp;Upload!U136&amp;Upload!V136))))),"",E146*0.000035)</f>
        <v/>
      </c>
      <c r="R146" s="15" t="str">
        <f>IF(OR(F146="",NOT(OR(ISNUMBER(SEARCH("Epóxico BT",Upload!S136&amp;Upload!T136&amp;Upload!U136&amp;Upload!V136&amp;Upload!W136))))),"",F146*0.000035)</f>
        <v/>
      </c>
      <c r="S146" s="15" t="str">
        <f>IF(OR(G146="",NOT(OR(ISNUMBER(SEARCH("Epóxico Rojo",Upload!T136&amp;Upload!U136&amp;Upload!V136&amp;Upload!W136&amp;Upload!X136))))),"",G146*0.000035)</f>
        <v/>
      </c>
    </row>
    <row r="147" spans="1:19" x14ac:dyDescent="0.2">
      <c r="A147" s="9" t="e">
        <f t="shared" ref="A147:A210" ca="1" si="12">_xludf.ROW()-18</f>
        <v>#NAME?</v>
      </c>
      <c r="B147" s="9">
        <f>Upload!G137</f>
        <v>0</v>
      </c>
      <c r="C147" s="9">
        <f>Upload!AN137</f>
        <v>0</v>
      </c>
      <c r="D147" s="9">
        <f>Upload!AO137</f>
        <v>0</v>
      </c>
      <c r="E147" s="9">
        <f>Upload!AP137</f>
        <v>0</v>
      </c>
      <c r="F147" s="9" t="str">
        <f>Upload!AK137</f>
        <v/>
      </c>
      <c r="G147" s="9" t="str">
        <f>Upload!AM137</f>
        <v/>
      </c>
      <c r="H147" s="9" t="str">
        <f>Upload!AJ137</f>
        <v>(seleccione)</v>
      </c>
      <c r="I147" s="9" t="str">
        <f>Upload!AL137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IF(OR(C147="",NOT(OR(ISNUMBER(SEARCH("Antitarnish",Upload!R137&amp;Upload!S137&amp;Upload!T137&amp;Upload!U137&amp;Upload!V137)),ISNUMBER(SEARCH("Anti Tarnish",Upload!R137&amp;Upload!S137&amp;Upload!T137&amp;Upload!U137&amp;Upload!V137))))),"",0.0012*C147)</f>
        <v/>
      </c>
      <c r="Q147" s="15" t="str">
        <f>IF(OR(E147="",NOT(OR(ISNUMBER(SEARCH("Epóxico MT",Upload!R137&amp;Upload!S137&amp;Upload!T137&amp;Upload!U137&amp;Upload!V137))))),"",E147*0.000035)</f>
        <v/>
      </c>
      <c r="R147" s="15" t="str">
        <f>IF(OR(F147="",NOT(OR(ISNUMBER(SEARCH("Epóxico BT",Upload!S137&amp;Upload!T137&amp;Upload!U137&amp;Upload!V137&amp;Upload!W137))))),"",F147*0.000035)</f>
        <v/>
      </c>
      <c r="S147" s="15" t="str">
        <f>IF(OR(G147="",NOT(OR(ISNUMBER(SEARCH("Epóxico Rojo",Upload!T137&amp;Upload!U137&amp;Upload!V137&amp;Upload!W137&amp;Upload!X137))))),"",G147*0.000035)</f>
        <v/>
      </c>
    </row>
    <row r="148" spans="1:19" x14ac:dyDescent="0.2">
      <c r="A148" s="9" t="e">
        <f t="shared" ca="1" si="12"/>
        <v>#NAME?</v>
      </c>
      <c r="B148" s="9">
        <f>Upload!G138</f>
        <v>0</v>
      </c>
      <c r="C148" s="9">
        <f>Upload!AN138</f>
        <v>0</v>
      </c>
      <c r="D148" s="9">
        <f>Upload!AO138</f>
        <v>0</v>
      </c>
      <c r="E148" s="9">
        <f>Upload!AP138</f>
        <v>0</v>
      </c>
      <c r="F148" s="9" t="str">
        <f>Upload!AK138</f>
        <v/>
      </c>
      <c r="G148" s="9" t="str">
        <f>Upload!AM138</f>
        <v/>
      </c>
      <c r="H148" s="9" t="str">
        <f>Upload!AJ138</f>
        <v>(seleccione)</v>
      </c>
      <c r="I148" s="9" t="str">
        <f>Upload!AL138</f>
        <v>(seleccione)</v>
      </c>
      <c r="K148" s="15" t="str">
        <f t="shared" si="13"/>
        <v/>
      </c>
      <c r="L148" s="15" t="str">
        <f t="shared" si="14"/>
        <v/>
      </c>
      <c r="M148" s="15" t="str">
        <f t="shared" si="15"/>
        <v/>
      </c>
      <c r="N148" s="15" t="str">
        <f t="shared" si="16"/>
        <v/>
      </c>
      <c r="O148" s="15" t="str">
        <f t="shared" si="17"/>
        <v/>
      </c>
      <c r="P148" s="15" t="str">
        <f>IF(OR(C148="",NOT(OR(ISNUMBER(SEARCH("Antitarnish",Upload!R138&amp;Upload!S138&amp;Upload!T138&amp;Upload!U138&amp;Upload!V138)),ISNUMBER(SEARCH("Anti Tarnish",Upload!R138&amp;Upload!S138&amp;Upload!T138&amp;Upload!U138&amp;Upload!V138))))),"",0.0012*C148)</f>
        <v/>
      </c>
      <c r="Q148" s="15" t="str">
        <f>IF(OR(E148="",NOT(OR(ISNUMBER(SEARCH("Epóxico MT",Upload!R138&amp;Upload!S138&amp;Upload!T138&amp;Upload!U138&amp;Upload!V138))))),"",E148*0.000035)</f>
        <v/>
      </c>
      <c r="R148" s="15" t="str">
        <f>IF(OR(F148="",NOT(OR(ISNUMBER(SEARCH("Epóxico BT",Upload!S138&amp;Upload!T138&amp;Upload!U138&amp;Upload!V138&amp;Upload!W138))))),"",F148*0.000035)</f>
        <v/>
      </c>
      <c r="S148" s="15" t="str">
        <f>IF(OR(G148="",NOT(OR(ISNUMBER(SEARCH("Epóxico Rojo",Upload!T138&amp;Upload!U138&amp;Upload!V138&amp;Upload!W138&amp;Upload!X138))))),"",G148*0.000035)</f>
        <v/>
      </c>
    </row>
    <row r="149" spans="1:19" x14ac:dyDescent="0.2">
      <c r="A149" s="9" t="e">
        <f t="shared" ca="1" si="12"/>
        <v>#NAME?</v>
      </c>
      <c r="B149" s="9">
        <f>Upload!G139</f>
        <v>0</v>
      </c>
      <c r="C149" s="9">
        <f>Upload!AN139</f>
        <v>0</v>
      </c>
      <c r="D149" s="9">
        <f>Upload!AO139</f>
        <v>0</v>
      </c>
      <c r="E149" s="9">
        <f>Upload!AP139</f>
        <v>0</v>
      </c>
      <c r="F149" s="9" t="str">
        <f>Upload!AK139</f>
        <v/>
      </c>
      <c r="G149" s="9" t="str">
        <f>Upload!AM139</f>
        <v/>
      </c>
      <c r="H149" s="9" t="str">
        <f>Upload!AJ139</f>
        <v>(seleccione)</v>
      </c>
      <c r="I149" s="9" t="str">
        <f>Upload!AL139</f>
        <v>(seleccione)</v>
      </c>
      <c r="K149" s="15" t="str">
        <f t="shared" si="13"/>
        <v/>
      </c>
      <c r="L149" s="15" t="str">
        <f t="shared" si="14"/>
        <v/>
      </c>
      <c r="M149" s="15" t="str">
        <f t="shared" si="15"/>
        <v/>
      </c>
      <c r="N149" s="15" t="str">
        <f t="shared" si="16"/>
        <v/>
      </c>
      <c r="O149" s="15" t="str">
        <f t="shared" si="17"/>
        <v/>
      </c>
      <c r="P149" s="15" t="str">
        <f>IF(OR(C149="",NOT(OR(ISNUMBER(SEARCH("Antitarnish",Upload!R139&amp;Upload!S139&amp;Upload!T139&amp;Upload!U139&amp;Upload!V139)),ISNUMBER(SEARCH("Anti Tarnish",Upload!R139&amp;Upload!S139&amp;Upload!T139&amp;Upload!U139&amp;Upload!V139))))),"",0.0012*C149)</f>
        <v/>
      </c>
      <c r="Q149" s="15" t="str">
        <f>IF(OR(E149="",NOT(OR(ISNUMBER(SEARCH("Epóxico MT",Upload!R139&amp;Upload!S139&amp;Upload!T139&amp;Upload!U139&amp;Upload!V139))))),"",E149*0.000035)</f>
        <v/>
      </c>
      <c r="R149" s="15" t="str">
        <f>IF(OR(F149="",NOT(OR(ISNUMBER(SEARCH("Epóxico BT",Upload!S139&amp;Upload!T139&amp;Upload!U139&amp;Upload!V139&amp;Upload!W139))))),"",F149*0.000035)</f>
        <v/>
      </c>
      <c r="S149" s="15" t="str">
        <f>IF(OR(G149="",NOT(OR(ISNUMBER(SEARCH("Epóxico Rojo",Upload!T139&amp;Upload!U139&amp;Upload!V139&amp;Upload!W139&amp;Upload!X139))))),"",G149*0.000035)</f>
        <v/>
      </c>
    </row>
    <row r="150" spans="1:19" x14ac:dyDescent="0.2">
      <c r="A150" s="9" t="e">
        <f t="shared" ca="1" si="12"/>
        <v>#NAME?</v>
      </c>
      <c r="B150" s="9">
        <f>Upload!G140</f>
        <v>0</v>
      </c>
      <c r="C150" s="9">
        <f>Upload!AN140</f>
        <v>0</v>
      </c>
      <c r="D150" s="9">
        <f>Upload!AO140</f>
        <v>0</v>
      </c>
      <c r="E150" s="9">
        <f>Upload!AP140</f>
        <v>0</v>
      </c>
      <c r="F150" s="9" t="str">
        <f>Upload!AK140</f>
        <v/>
      </c>
      <c r="G150" s="9" t="str">
        <f>Upload!AM140</f>
        <v/>
      </c>
      <c r="H150" s="9" t="str">
        <f>Upload!AJ140</f>
        <v>(seleccione)</v>
      </c>
      <c r="I150" s="9" t="str">
        <f>Upload!AL140</f>
        <v>(seleccione)</v>
      </c>
      <c r="K150" s="15" t="str">
        <f t="shared" si="13"/>
        <v/>
      </c>
      <c r="L150" s="15" t="str">
        <f t="shared" si="14"/>
        <v/>
      </c>
      <c r="M150" s="15" t="str">
        <f t="shared" si="15"/>
        <v/>
      </c>
      <c r="N150" s="15" t="str">
        <f t="shared" si="16"/>
        <v/>
      </c>
      <c r="O150" s="15" t="str">
        <f t="shared" si="17"/>
        <v/>
      </c>
      <c r="P150" s="15" t="str">
        <f>IF(OR(C150="",NOT(OR(ISNUMBER(SEARCH("Antitarnish",Upload!R140&amp;Upload!S140&amp;Upload!T140&amp;Upload!U140&amp;Upload!V140)),ISNUMBER(SEARCH("Anti Tarnish",Upload!R140&amp;Upload!S140&amp;Upload!T140&amp;Upload!U140&amp;Upload!V140))))),"",0.0012*C150)</f>
        <v/>
      </c>
      <c r="Q150" s="15" t="str">
        <f>IF(OR(E150="",NOT(OR(ISNUMBER(SEARCH("Epóxico MT",Upload!R140&amp;Upload!S140&amp;Upload!T140&amp;Upload!U140&amp;Upload!V140))))),"",E150*0.000035)</f>
        <v/>
      </c>
      <c r="R150" s="15" t="str">
        <f>IF(OR(F150="",NOT(OR(ISNUMBER(SEARCH("Epóxico BT",Upload!S140&amp;Upload!T140&amp;Upload!U140&amp;Upload!V140&amp;Upload!W140))))),"",F150*0.000035)</f>
        <v/>
      </c>
      <c r="S150" s="15" t="str">
        <f>IF(OR(G150="",NOT(OR(ISNUMBER(SEARCH("Epóxico Rojo",Upload!T140&amp;Upload!U140&amp;Upload!V140&amp;Upload!W140&amp;Upload!X140))))),"",G150*0.000035)</f>
        <v/>
      </c>
    </row>
    <row r="151" spans="1:19" x14ac:dyDescent="0.2">
      <c r="A151" s="9" t="e">
        <f t="shared" ca="1" si="12"/>
        <v>#NAME?</v>
      </c>
      <c r="B151" s="9">
        <f>Upload!G141</f>
        <v>0</v>
      </c>
      <c r="C151" s="9">
        <f>Upload!AN141</f>
        <v>0</v>
      </c>
      <c r="D151" s="9">
        <f>Upload!AO141</f>
        <v>0</v>
      </c>
      <c r="E151" s="9">
        <f>Upload!AP141</f>
        <v>0</v>
      </c>
      <c r="F151" s="9" t="str">
        <f>Upload!AK141</f>
        <v/>
      </c>
      <c r="G151" s="9" t="str">
        <f>Upload!AM141</f>
        <v/>
      </c>
      <c r="H151" s="9" t="str">
        <f>Upload!AJ141</f>
        <v>(seleccione)</v>
      </c>
      <c r="I151" s="9" t="str">
        <f>Upload!AL141</f>
        <v>(seleccione)</v>
      </c>
      <c r="K151" s="15" t="str">
        <f t="shared" si="13"/>
        <v/>
      </c>
      <c r="L151" s="15" t="str">
        <f t="shared" si="14"/>
        <v/>
      </c>
      <c r="M151" s="15" t="str">
        <f t="shared" si="15"/>
        <v/>
      </c>
      <c r="N151" s="15" t="str">
        <f t="shared" si="16"/>
        <v/>
      </c>
      <c r="O151" s="15" t="str">
        <f t="shared" si="17"/>
        <v/>
      </c>
      <c r="P151" s="15" t="str">
        <f>IF(OR(C151="",NOT(OR(ISNUMBER(SEARCH("Antitarnish",Upload!R141&amp;Upload!S141&amp;Upload!T141&amp;Upload!U141&amp;Upload!V141)),ISNUMBER(SEARCH("Anti Tarnish",Upload!R141&amp;Upload!S141&amp;Upload!T141&amp;Upload!U141&amp;Upload!V141))))),"",0.0012*C151)</f>
        <v/>
      </c>
      <c r="Q151" s="15" t="str">
        <f>IF(OR(E151="",NOT(OR(ISNUMBER(SEARCH("Epóxico MT",Upload!R141&amp;Upload!S141&amp;Upload!T141&amp;Upload!U141&amp;Upload!V141))))),"",E151*0.000035)</f>
        <v/>
      </c>
      <c r="R151" s="15" t="str">
        <f>IF(OR(F151="",NOT(OR(ISNUMBER(SEARCH("Epóxico BT",Upload!S141&amp;Upload!T141&amp;Upload!U141&amp;Upload!V141&amp;Upload!W141))))),"",F151*0.000035)</f>
        <v/>
      </c>
      <c r="S151" s="15" t="str">
        <f>IF(OR(G151="",NOT(OR(ISNUMBER(SEARCH("Epóxico Rojo",Upload!T141&amp;Upload!U141&amp;Upload!V141&amp;Upload!W141&amp;Upload!X141))))),"",G151*0.000035)</f>
        <v/>
      </c>
    </row>
    <row r="152" spans="1:19" x14ac:dyDescent="0.2">
      <c r="A152" s="9" t="e">
        <f t="shared" ca="1" si="12"/>
        <v>#NAME?</v>
      </c>
      <c r="B152" s="9">
        <f>Upload!G142</f>
        <v>0</v>
      </c>
      <c r="C152" s="9">
        <f>Upload!AN142</f>
        <v>0</v>
      </c>
      <c r="D152" s="9">
        <f>Upload!AO142</f>
        <v>0</v>
      </c>
      <c r="E152" s="9">
        <f>Upload!AP142</f>
        <v>0</v>
      </c>
      <c r="F152" s="9" t="str">
        <f>Upload!AK142</f>
        <v/>
      </c>
      <c r="G152" s="9" t="str">
        <f>Upload!AM142</f>
        <v/>
      </c>
      <c r="H152" s="9" t="str">
        <f>Upload!AJ142</f>
        <v>(seleccione)</v>
      </c>
      <c r="I152" s="9" t="str">
        <f>Upload!AL142</f>
        <v>(seleccione)</v>
      </c>
      <c r="K152" s="15" t="str">
        <f t="shared" si="13"/>
        <v/>
      </c>
      <c r="L152" s="15" t="str">
        <f t="shared" si="14"/>
        <v/>
      </c>
      <c r="M152" s="15" t="str">
        <f t="shared" si="15"/>
        <v/>
      </c>
      <c r="N152" s="15" t="str">
        <f t="shared" si="16"/>
        <v/>
      </c>
      <c r="O152" s="15" t="str">
        <f t="shared" si="17"/>
        <v/>
      </c>
      <c r="P152" s="15" t="str">
        <f>IF(OR(C152="",NOT(OR(ISNUMBER(SEARCH("Antitarnish",Upload!R142&amp;Upload!S142&amp;Upload!T142&amp;Upload!U142&amp;Upload!V142)),ISNUMBER(SEARCH("Anti Tarnish",Upload!R142&amp;Upload!S142&amp;Upload!T142&amp;Upload!U142&amp;Upload!V142))))),"",0.0012*C152)</f>
        <v/>
      </c>
      <c r="Q152" s="15" t="str">
        <f>IF(OR(E152="",NOT(OR(ISNUMBER(SEARCH("Epóxico MT",Upload!R142&amp;Upload!S142&amp;Upload!T142&amp;Upload!U142&amp;Upload!V142))))),"",E152*0.000035)</f>
        <v/>
      </c>
      <c r="R152" s="15" t="str">
        <f>IF(OR(F152="",NOT(OR(ISNUMBER(SEARCH("Epóxico BT",Upload!S142&amp;Upload!T142&amp;Upload!U142&amp;Upload!V142&amp;Upload!W142))))),"",F152*0.000035)</f>
        <v/>
      </c>
      <c r="S152" s="15" t="str">
        <f>IF(OR(G152="",NOT(OR(ISNUMBER(SEARCH("Epóxico Rojo",Upload!T142&amp;Upload!U142&amp;Upload!V142&amp;Upload!W142&amp;Upload!X142))))),"",G152*0.000035)</f>
        <v/>
      </c>
    </row>
    <row r="153" spans="1:19" x14ac:dyDescent="0.2">
      <c r="A153" s="9" t="e">
        <f t="shared" ca="1" si="12"/>
        <v>#NAME?</v>
      </c>
      <c r="B153" s="9">
        <f>Upload!G143</f>
        <v>0</v>
      </c>
      <c r="C153" s="9">
        <f>Upload!AN143</f>
        <v>0</v>
      </c>
      <c r="D153" s="9">
        <f>Upload!AO143</f>
        <v>0</v>
      </c>
      <c r="E153" s="9">
        <f>Upload!AP143</f>
        <v>0</v>
      </c>
      <c r="F153" s="9" t="str">
        <f>Upload!AK143</f>
        <v/>
      </c>
      <c r="G153" s="9" t="str">
        <f>Upload!AM143</f>
        <v/>
      </c>
      <c r="H153" s="9" t="str">
        <f>Upload!AJ143</f>
        <v>(seleccione)</v>
      </c>
      <c r="I153" s="9" t="str">
        <f>Upload!AL143</f>
        <v>(seleccione)</v>
      </c>
      <c r="K153" s="15" t="str">
        <f t="shared" si="13"/>
        <v/>
      </c>
      <c r="L153" s="15" t="str">
        <f t="shared" si="14"/>
        <v/>
      </c>
      <c r="M153" s="15" t="str">
        <f t="shared" si="15"/>
        <v/>
      </c>
      <c r="N153" s="15" t="str">
        <f t="shared" si="16"/>
        <v/>
      </c>
      <c r="O153" s="15" t="str">
        <f t="shared" si="17"/>
        <v/>
      </c>
      <c r="P153" s="15" t="str">
        <f>IF(OR(C153="",NOT(OR(ISNUMBER(SEARCH("Antitarnish",Upload!R143&amp;Upload!S143&amp;Upload!T143&amp;Upload!U143&amp;Upload!V143)),ISNUMBER(SEARCH("Anti Tarnish",Upload!R143&amp;Upload!S143&amp;Upload!T143&amp;Upload!U143&amp;Upload!V143))))),"",0.0012*C153)</f>
        <v/>
      </c>
      <c r="Q153" s="15" t="str">
        <f>IF(OR(E153="",NOT(OR(ISNUMBER(SEARCH("Epóxico MT",Upload!R143&amp;Upload!S143&amp;Upload!T143&amp;Upload!U143&amp;Upload!V143))))),"",E153*0.000035)</f>
        <v/>
      </c>
      <c r="R153" s="15" t="str">
        <f>IF(OR(F153="",NOT(OR(ISNUMBER(SEARCH("Epóxico BT",Upload!S143&amp;Upload!T143&amp;Upload!U143&amp;Upload!V143&amp;Upload!W143))))),"",F153*0.000035)</f>
        <v/>
      </c>
      <c r="S153" s="15" t="str">
        <f>IF(OR(G153="",NOT(OR(ISNUMBER(SEARCH("Epóxico Rojo",Upload!T143&amp;Upload!U143&amp;Upload!V143&amp;Upload!W143&amp;Upload!X143))))),"",G153*0.000035)</f>
        <v/>
      </c>
    </row>
    <row r="154" spans="1:19" x14ac:dyDescent="0.2">
      <c r="A154" s="9" t="e">
        <f t="shared" ca="1" si="12"/>
        <v>#NAME?</v>
      </c>
      <c r="B154" s="9">
        <f>Upload!G144</f>
        <v>0</v>
      </c>
      <c r="C154" s="9">
        <f>Upload!AN144</f>
        <v>0</v>
      </c>
      <c r="D154" s="9">
        <f>Upload!AO144</f>
        <v>0</v>
      </c>
      <c r="E154" s="9">
        <f>Upload!AP144</f>
        <v>0</v>
      </c>
      <c r="F154" s="9" t="str">
        <f>Upload!AK144</f>
        <v/>
      </c>
      <c r="G154" s="9" t="str">
        <f>Upload!AM144</f>
        <v/>
      </c>
      <c r="H154" s="9" t="str">
        <f>Upload!AJ144</f>
        <v>(seleccione)</v>
      </c>
      <c r="I154" s="9" t="str">
        <f>Upload!AL144</f>
        <v>(seleccione)</v>
      </c>
      <c r="K154" s="15" t="str">
        <f t="shared" si="13"/>
        <v/>
      </c>
      <c r="L154" s="15" t="str">
        <f t="shared" si="14"/>
        <v/>
      </c>
      <c r="M154" s="15" t="str">
        <f t="shared" si="15"/>
        <v/>
      </c>
      <c r="N154" s="15" t="str">
        <f t="shared" si="16"/>
        <v/>
      </c>
      <c r="O154" s="15" t="str">
        <f t="shared" si="17"/>
        <v/>
      </c>
      <c r="P154" s="15" t="str">
        <f>IF(OR(C154="",NOT(OR(ISNUMBER(SEARCH("Antitarnish",Upload!R144&amp;Upload!S144&amp;Upload!T144&amp;Upload!U144&amp;Upload!V144)),ISNUMBER(SEARCH("Anti Tarnish",Upload!R144&amp;Upload!S144&amp;Upload!T144&amp;Upload!U144&amp;Upload!V144))))),"",0.0012*C154)</f>
        <v/>
      </c>
      <c r="Q154" s="15" t="str">
        <f>IF(OR(E154="",NOT(OR(ISNUMBER(SEARCH("Epóxico MT",Upload!R144&amp;Upload!S144&amp;Upload!T144&amp;Upload!U144&amp;Upload!V144))))),"",E154*0.000035)</f>
        <v/>
      </c>
      <c r="R154" s="15" t="str">
        <f>IF(OR(F154="",NOT(OR(ISNUMBER(SEARCH("Epóxico BT",Upload!S144&amp;Upload!T144&amp;Upload!U144&amp;Upload!V144&amp;Upload!W144))))),"",F154*0.000035)</f>
        <v/>
      </c>
      <c r="S154" s="15" t="str">
        <f>IF(OR(G154="",NOT(OR(ISNUMBER(SEARCH("Epóxico Rojo",Upload!T144&amp;Upload!U144&amp;Upload!V144&amp;Upload!W144&amp;Upload!X144))))),"",G154*0.000035)</f>
        <v/>
      </c>
    </row>
    <row r="155" spans="1:19" x14ac:dyDescent="0.2">
      <c r="A155" s="9" t="e">
        <f t="shared" ca="1" si="12"/>
        <v>#NAME?</v>
      </c>
      <c r="B155" s="9">
        <f>Upload!G145</f>
        <v>0</v>
      </c>
      <c r="C155" s="9">
        <f>Upload!AN145</f>
        <v>0</v>
      </c>
      <c r="D155" s="9">
        <f>Upload!AO145</f>
        <v>0</v>
      </c>
      <c r="E155" s="9">
        <f>Upload!AP145</f>
        <v>0</v>
      </c>
      <c r="F155" s="9" t="str">
        <f>Upload!AK145</f>
        <v/>
      </c>
      <c r="G155" s="9" t="str">
        <f>Upload!AM145</f>
        <v/>
      </c>
      <c r="H155" s="9" t="str">
        <f>Upload!AJ145</f>
        <v>(seleccione)</v>
      </c>
      <c r="I155" s="9" t="str">
        <f>Upload!AL145</f>
        <v>(seleccione)</v>
      </c>
      <c r="K155" s="15" t="str">
        <f t="shared" si="13"/>
        <v/>
      </c>
      <c r="L155" s="15" t="str">
        <f t="shared" si="14"/>
        <v/>
      </c>
      <c r="M155" s="15" t="str">
        <f t="shared" si="15"/>
        <v/>
      </c>
      <c r="N155" s="15" t="str">
        <f t="shared" si="16"/>
        <v/>
      </c>
      <c r="O155" s="15" t="str">
        <f t="shared" si="17"/>
        <v/>
      </c>
      <c r="P155" s="15" t="str">
        <f>IF(OR(C155="",NOT(OR(ISNUMBER(SEARCH("Antitarnish",Upload!R145&amp;Upload!S145&amp;Upload!T145&amp;Upload!U145&amp;Upload!V145)),ISNUMBER(SEARCH("Anti Tarnish",Upload!R145&amp;Upload!S145&amp;Upload!T145&amp;Upload!U145&amp;Upload!V145))))),"",0.0012*C155)</f>
        <v/>
      </c>
      <c r="Q155" s="15" t="str">
        <f>IF(OR(E155="",NOT(OR(ISNUMBER(SEARCH("Epóxico MT",Upload!R145&amp;Upload!S145&amp;Upload!T145&amp;Upload!U145&amp;Upload!V145))))),"",E155*0.000035)</f>
        <v/>
      </c>
      <c r="R155" s="15" t="str">
        <f>IF(OR(F155="",NOT(OR(ISNUMBER(SEARCH("Epóxico BT",Upload!S145&amp;Upload!T145&amp;Upload!U145&amp;Upload!V145&amp;Upload!W145))))),"",F155*0.000035)</f>
        <v/>
      </c>
      <c r="S155" s="15" t="str">
        <f>IF(OR(G155="",NOT(OR(ISNUMBER(SEARCH("Epóxico Rojo",Upload!T145&amp;Upload!U145&amp;Upload!V145&amp;Upload!W145&amp;Upload!X145))))),"",G155*0.000035)</f>
        <v/>
      </c>
    </row>
    <row r="156" spans="1:19" x14ac:dyDescent="0.2">
      <c r="A156" s="9" t="e">
        <f t="shared" ca="1" si="12"/>
        <v>#NAME?</v>
      </c>
      <c r="B156" s="9">
        <f>Upload!G146</f>
        <v>0</v>
      </c>
      <c r="C156" s="9">
        <f>Upload!AN146</f>
        <v>0</v>
      </c>
      <c r="D156" s="9">
        <f>Upload!AO146</f>
        <v>0</v>
      </c>
      <c r="E156" s="9">
        <f>Upload!AP146</f>
        <v>0</v>
      </c>
      <c r="F156" s="9" t="str">
        <f>Upload!AK146</f>
        <v/>
      </c>
      <c r="G156" s="9" t="str">
        <f>Upload!AM146</f>
        <v/>
      </c>
      <c r="H156" s="9" t="str">
        <f>Upload!AJ146</f>
        <v>(seleccione)</v>
      </c>
      <c r="I156" s="9" t="str">
        <f>Upload!AL146</f>
        <v>(seleccione)</v>
      </c>
      <c r="K156" s="15" t="str">
        <f t="shared" si="13"/>
        <v/>
      </c>
      <c r="L156" s="15" t="str">
        <f t="shared" si="14"/>
        <v/>
      </c>
      <c r="M156" s="15" t="str">
        <f t="shared" si="15"/>
        <v/>
      </c>
      <c r="N156" s="15" t="str">
        <f t="shared" si="16"/>
        <v/>
      </c>
      <c r="O156" s="15" t="str">
        <f t="shared" si="17"/>
        <v/>
      </c>
      <c r="P156" s="15" t="str">
        <f>IF(OR(C156="",NOT(OR(ISNUMBER(SEARCH("Antitarnish",Upload!R146&amp;Upload!S146&amp;Upload!T146&amp;Upload!U146&amp;Upload!V146)),ISNUMBER(SEARCH("Anti Tarnish",Upload!R146&amp;Upload!S146&amp;Upload!T146&amp;Upload!U146&amp;Upload!V146))))),"",0.0012*C156)</f>
        <v/>
      </c>
      <c r="Q156" s="15" t="str">
        <f>IF(OR(E156="",NOT(OR(ISNUMBER(SEARCH("Epóxico MT",Upload!R146&amp;Upload!S146&amp;Upload!T146&amp;Upload!U146&amp;Upload!V146))))),"",E156*0.000035)</f>
        <v/>
      </c>
      <c r="R156" s="15" t="str">
        <f>IF(OR(F156="",NOT(OR(ISNUMBER(SEARCH("Epóxico BT",Upload!S146&amp;Upload!T146&amp;Upload!U146&amp;Upload!V146&amp;Upload!W146))))),"",F156*0.000035)</f>
        <v/>
      </c>
      <c r="S156" s="15" t="str">
        <f>IF(OR(G156="",NOT(OR(ISNUMBER(SEARCH("Epóxico Rojo",Upload!T146&amp;Upload!U146&amp;Upload!V146&amp;Upload!W146&amp;Upload!X146))))),"",G156*0.000035)</f>
        <v/>
      </c>
    </row>
    <row r="157" spans="1:19" x14ac:dyDescent="0.2">
      <c r="A157" s="9" t="e">
        <f t="shared" ca="1" si="12"/>
        <v>#NAME?</v>
      </c>
      <c r="B157" s="9">
        <f>Upload!G147</f>
        <v>0</v>
      </c>
      <c r="C157" s="9">
        <f>Upload!AN147</f>
        <v>0</v>
      </c>
      <c r="D157" s="9">
        <f>Upload!AO147</f>
        <v>0</v>
      </c>
      <c r="E157" s="9">
        <f>Upload!AP147</f>
        <v>0</v>
      </c>
      <c r="F157" s="9" t="str">
        <f>Upload!AK147</f>
        <v/>
      </c>
      <c r="G157" s="9" t="str">
        <f>Upload!AM147</f>
        <v/>
      </c>
      <c r="H157" s="9" t="str">
        <f>Upload!AJ147</f>
        <v>(seleccione)</v>
      </c>
      <c r="I157" s="9" t="str">
        <f>Upload!AL147</f>
        <v>(seleccione)</v>
      </c>
      <c r="K157" s="15" t="str">
        <f t="shared" si="13"/>
        <v/>
      </c>
      <c r="L157" s="15" t="str">
        <f t="shared" si="14"/>
        <v/>
      </c>
      <c r="M157" s="15" t="str">
        <f t="shared" si="15"/>
        <v/>
      </c>
      <c r="N157" s="15" t="str">
        <f t="shared" si="16"/>
        <v/>
      </c>
      <c r="O157" s="15" t="str">
        <f t="shared" si="17"/>
        <v/>
      </c>
      <c r="P157" s="15" t="str">
        <f>IF(OR(C157="",NOT(OR(ISNUMBER(SEARCH("Antitarnish",Upload!R147&amp;Upload!S147&amp;Upload!T147&amp;Upload!U147&amp;Upload!V147)),ISNUMBER(SEARCH("Anti Tarnish",Upload!R147&amp;Upload!S147&amp;Upload!T147&amp;Upload!U147&amp;Upload!V147))))),"",0.0012*C157)</f>
        <v/>
      </c>
      <c r="Q157" s="15" t="str">
        <f>IF(OR(E157="",NOT(OR(ISNUMBER(SEARCH("Epóxico MT",Upload!R147&amp;Upload!S147&amp;Upload!T147&amp;Upload!U147&amp;Upload!V147))))),"",E157*0.000035)</f>
        <v/>
      </c>
      <c r="R157" s="15" t="str">
        <f>IF(OR(F157="",NOT(OR(ISNUMBER(SEARCH("Epóxico BT",Upload!S147&amp;Upload!T147&amp;Upload!U147&amp;Upload!V147&amp;Upload!W147))))),"",F157*0.000035)</f>
        <v/>
      </c>
      <c r="S157" s="15" t="str">
        <f>IF(OR(G157="",NOT(OR(ISNUMBER(SEARCH("Epóxico Rojo",Upload!T147&amp;Upload!U147&amp;Upload!V147&amp;Upload!W147&amp;Upload!X147))))),"",G157*0.000035)</f>
        <v/>
      </c>
    </row>
    <row r="158" spans="1:19" x14ac:dyDescent="0.2">
      <c r="A158" s="9" t="e">
        <f t="shared" ca="1" si="12"/>
        <v>#NAME?</v>
      </c>
      <c r="B158" s="9">
        <f>Upload!G148</f>
        <v>0</v>
      </c>
      <c r="C158" s="9">
        <f>Upload!AN148</f>
        <v>0</v>
      </c>
      <c r="D158" s="9">
        <f>Upload!AO148</f>
        <v>0</v>
      </c>
      <c r="E158" s="9">
        <f>Upload!AP148</f>
        <v>0</v>
      </c>
      <c r="F158" s="9" t="str">
        <f>Upload!AK148</f>
        <v/>
      </c>
      <c r="G158" s="9" t="str">
        <f>Upload!AM148</f>
        <v/>
      </c>
      <c r="H158" s="9" t="str">
        <f>Upload!AJ148</f>
        <v>(seleccione)</v>
      </c>
      <c r="I158" s="9" t="str">
        <f>Upload!AL148</f>
        <v>(seleccione)</v>
      </c>
      <c r="K158" s="15" t="str">
        <f t="shared" si="13"/>
        <v/>
      </c>
      <c r="L158" s="15" t="str">
        <f t="shared" si="14"/>
        <v/>
      </c>
      <c r="M158" s="15" t="str">
        <f t="shared" si="15"/>
        <v/>
      </c>
      <c r="N158" s="15" t="str">
        <f t="shared" si="16"/>
        <v/>
      </c>
      <c r="O158" s="15" t="str">
        <f t="shared" si="17"/>
        <v/>
      </c>
      <c r="P158" s="15" t="str">
        <f>IF(OR(C158="",NOT(OR(ISNUMBER(SEARCH("Antitarnish",Upload!R148&amp;Upload!S148&amp;Upload!T148&amp;Upload!U148&amp;Upload!V148)),ISNUMBER(SEARCH("Anti Tarnish",Upload!R148&amp;Upload!S148&amp;Upload!T148&amp;Upload!U148&amp;Upload!V148))))),"",0.0012*C158)</f>
        <v/>
      </c>
      <c r="Q158" s="15" t="str">
        <f>IF(OR(E158="",NOT(OR(ISNUMBER(SEARCH("Epóxico MT",Upload!R148&amp;Upload!S148&amp;Upload!T148&amp;Upload!U148&amp;Upload!V148))))),"",E158*0.000035)</f>
        <v/>
      </c>
      <c r="R158" s="15" t="str">
        <f>IF(OR(F158="",NOT(OR(ISNUMBER(SEARCH("Epóxico BT",Upload!S148&amp;Upload!T148&amp;Upload!U148&amp;Upload!V148&amp;Upload!W148))))),"",F158*0.000035)</f>
        <v/>
      </c>
      <c r="S158" s="15" t="str">
        <f>IF(OR(G158="",NOT(OR(ISNUMBER(SEARCH("Epóxico Rojo",Upload!T148&amp;Upload!U148&amp;Upload!V148&amp;Upload!W148&amp;Upload!X148))))),"",G158*0.000035)</f>
        <v/>
      </c>
    </row>
    <row r="159" spans="1:19" x14ac:dyDescent="0.2">
      <c r="A159" s="9" t="e">
        <f t="shared" ca="1" si="12"/>
        <v>#NAME?</v>
      </c>
      <c r="B159" s="9">
        <f>Upload!G149</f>
        <v>0</v>
      </c>
      <c r="C159" s="9">
        <f>Upload!AN149</f>
        <v>0</v>
      </c>
      <c r="D159" s="9">
        <f>Upload!AO149</f>
        <v>0</v>
      </c>
      <c r="E159" s="9">
        <f>Upload!AP149</f>
        <v>0</v>
      </c>
      <c r="F159" s="9" t="str">
        <f>Upload!AK149</f>
        <v/>
      </c>
      <c r="G159" s="9" t="str">
        <f>Upload!AM149</f>
        <v/>
      </c>
      <c r="H159" s="9" t="str">
        <f>Upload!AJ149</f>
        <v>(seleccione)</v>
      </c>
      <c r="I159" s="9" t="str">
        <f>Upload!AL149</f>
        <v>(seleccione)</v>
      </c>
      <c r="K159" s="15" t="str">
        <f t="shared" si="13"/>
        <v/>
      </c>
      <c r="L159" s="15" t="str">
        <f t="shared" si="14"/>
        <v/>
      </c>
      <c r="M159" s="15" t="str">
        <f t="shared" si="15"/>
        <v/>
      </c>
      <c r="N159" s="15" t="str">
        <f t="shared" si="16"/>
        <v/>
      </c>
      <c r="O159" s="15" t="str">
        <f t="shared" si="17"/>
        <v/>
      </c>
      <c r="P159" s="15" t="str">
        <f>IF(OR(C159="",NOT(OR(ISNUMBER(SEARCH("Antitarnish",Upload!R149&amp;Upload!S149&amp;Upload!T149&amp;Upload!U149&amp;Upload!V149)),ISNUMBER(SEARCH("Anti Tarnish",Upload!R149&amp;Upload!S149&amp;Upload!T149&amp;Upload!U149&amp;Upload!V149))))),"",0.0012*C159)</f>
        <v/>
      </c>
      <c r="Q159" s="15" t="str">
        <f>IF(OR(E159="",NOT(OR(ISNUMBER(SEARCH("Epóxico MT",Upload!R149&amp;Upload!S149&amp;Upload!T149&amp;Upload!U149&amp;Upload!V149))))),"",E159*0.000035)</f>
        <v/>
      </c>
      <c r="R159" s="15" t="str">
        <f>IF(OR(F159="",NOT(OR(ISNUMBER(SEARCH("Epóxico BT",Upload!S149&amp;Upload!T149&amp;Upload!U149&amp;Upload!V149&amp;Upload!W149))))),"",F159*0.000035)</f>
        <v/>
      </c>
      <c r="S159" s="15" t="str">
        <f>IF(OR(G159="",NOT(OR(ISNUMBER(SEARCH("Epóxico Rojo",Upload!T149&amp;Upload!U149&amp;Upload!V149&amp;Upload!W149&amp;Upload!X149))))),"",G159*0.000035)</f>
        <v/>
      </c>
    </row>
    <row r="160" spans="1:19" x14ac:dyDescent="0.2">
      <c r="A160" s="9" t="e">
        <f t="shared" ca="1" si="12"/>
        <v>#NAME?</v>
      </c>
      <c r="B160" s="9">
        <f>Upload!G150</f>
        <v>0</v>
      </c>
      <c r="C160" s="9">
        <f>Upload!AN150</f>
        <v>0</v>
      </c>
      <c r="D160" s="9">
        <f>Upload!AO150</f>
        <v>0</v>
      </c>
      <c r="E160" s="9">
        <f>Upload!AP150</f>
        <v>0</v>
      </c>
      <c r="F160" s="9" t="str">
        <f>Upload!AK150</f>
        <v/>
      </c>
      <c r="G160" s="9" t="str">
        <f>Upload!AM150</f>
        <v/>
      </c>
      <c r="H160" s="9" t="str">
        <f>Upload!AJ150</f>
        <v>(seleccione)</v>
      </c>
      <c r="I160" s="9" t="str">
        <f>Upload!AL150</f>
        <v>(seleccione)</v>
      </c>
      <c r="K160" s="15" t="str">
        <f t="shared" si="13"/>
        <v/>
      </c>
      <c r="L160" s="15" t="str">
        <f t="shared" si="14"/>
        <v/>
      </c>
      <c r="M160" s="15" t="str">
        <f t="shared" si="15"/>
        <v/>
      </c>
      <c r="N160" s="15" t="str">
        <f t="shared" si="16"/>
        <v/>
      </c>
      <c r="O160" s="15" t="str">
        <f t="shared" si="17"/>
        <v/>
      </c>
      <c r="P160" s="15" t="str">
        <f>IF(OR(C160="",NOT(OR(ISNUMBER(SEARCH("Antitarnish",Upload!R150&amp;Upload!S150&amp;Upload!T150&amp;Upload!U150&amp;Upload!V150)),ISNUMBER(SEARCH("Anti Tarnish",Upload!R150&amp;Upload!S150&amp;Upload!T150&amp;Upload!U150&amp;Upload!V150))))),"",0.0012*C160)</f>
        <v/>
      </c>
      <c r="Q160" s="15" t="str">
        <f>IF(OR(E160="",NOT(OR(ISNUMBER(SEARCH("Epóxico MT",Upload!R150&amp;Upload!S150&amp;Upload!T150&amp;Upload!U150&amp;Upload!V150))))),"",E160*0.000035)</f>
        <v/>
      </c>
      <c r="R160" s="15" t="str">
        <f>IF(OR(F160="",NOT(OR(ISNUMBER(SEARCH("Epóxico BT",Upload!S150&amp;Upload!T150&amp;Upload!U150&amp;Upload!V150&amp;Upload!W150))))),"",F160*0.000035)</f>
        <v/>
      </c>
      <c r="S160" s="15" t="str">
        <f>IF(OR(G160="",NOT(OR(ISNUMBER(SEARCH("Epóxico Rojo",Upload!T150&amp;Upload!U150&amp;Upload!V150&amp;Upload!W150&amp;Upload!X150))))),"",G160*0.000035)</f>
        <v/>
      </c>
    </row>
    <row r="161" spans="1:19" x14ac:dyDescent="0.2">
      <c r="A161" s="9" t="e">
        <f t="shared" ca="1" si="12"/>
        <v>#NAME?</v>
      </c>
      <c r="B161" s="9">
        <f>Upload!G151</f>
        <v>0</v>
      </c>
      <c r="C161" s="9">
        <f>Upload!AN151</f>
        <v>0</v>
      </c>
      <c r="D161" s="9">
        <f>Upload!AO151</f>
        <v>0</v>
      </c>
      <c r="E161" s="9">
        <f>Upload!AP151</f>
        <v>0</v>
      </c>
      <c r="F161" s="9" t="str">
        <f>Upload!AK151</f>
        <v/>
      </c>
      <c r="G161" s="9" t="str">
        <f>Upload!AM151</f>
        <v/>
      </c>
      <c r="H161" s="9" t="str">
        <f>Upload!AJ151</f>
        <v>(seleccione)</v>
      </c>
      <c r="I161" s="9" t="str">
        <f>Upload!AL151</f>
        <v>(seleccione)</v>
      </c>
      <c r="K161" s="15" t="str">
        <f t="shared" si="13"/>
        <v/>
      </c>
      <c r="L161" s="15" t="str">
        <f t="shared" si="14"/>
        <v/>
      </c>
      <c r="M161" s="15" t="str">
        <f t="shared" si="15"/>
        <v/>
      </c>
      <c r="N161" s="15" t="str">
        <f t="shared" si="16"/>
        <v/>
      </c>
      <c r="O161" s="15" t="str">
        <f t="shared" si="17"/>
        <v/>
      </c>
      <c r="P161" s="15" t="str">
        <f>IF(OR(C161="",NOT(OR(ISNUMBER(SEARCH("Antitarnish",Upload!R151&amp;Upload!S151&amp;Upload!T151&amp;Upload!U151&amp;Upload!V151)),ISNUMBER(SEARCH("Anti Tarnish",Upload!R151&amp;Upload!S151&amp;Upload!T151&amp;Upload!U151&amp;Upload!V151))))),"",0.0012*C161)</f>
        <v/>
      </c>
      <c r="Q161" s="15" t="str">
        <f>IF(OR(E161="",NOT(OR(ISNUMBER(SEARCH("Epóxico MT",Upload!R151&amp;Upload!S151&amp;Upload!T151&amp;Upload!U151&amp;Upload!V151))))),"",E161*0.000035)</f>
        <v/>
      </c>
      <c r="R161" s="15" t="str">
        <f>IF(OR(F161="",NOT(OR(ISNUMBER(SEARCH("Epóxico BT",Upload!S151&amp;Upload!T151&amp;Upload!U151&amp;Upload!V151&amp;Upload!W151))))),"",F161*0.000035)</f>
        <v/>
      </c>
      <c r="S161" s="15" t="str">
        <f>IF(OR(G161="",NOT(OR(ISNUMBER(SEARCH("Epóxico Rojo",Upload!T151&amp;Upload!U151&amp;Upload!V151&amp;Upload!W151&amp;Upload!X151))))),"",G161*0.000035)</f>
        <v/>
      </c>
    </row>
    <row r="162" spans="1:19" x14ac:dyDescent="0.2">
      <c r="A162" s="9" t="e">
        <f t="shared" ca="1" si="12"/>
        <v>#NAME?</v>
      </c>
      <c r="B162" s="9">
        <f>Upload!G152</f>
        <v>0</v>
      </c>
      <c r="C162" s="9">
        <f>Upload!AN152</f>
        <v>0</v>
      </c>
      <c r="D162" s="9">
        <f>Upload!AO152</f>
        <v>0</v>
      </c>
      <c r="E162" s="9">
        <f>Upload!AP152</f>
        <v>0</v>
      </c>
      <c r="F162" s="9" t="str">
        <f>Upload!AK152</f>
        <v/>
      </c>
      <c r="G162" s="9" t="str">
        <f>Upload!AM152</f>
        <v/>
      </c>
      <c r="H162" s="9" t="str">
        <f>Upload!AJ152</f>
        <v>(seleccione)</v>
      </c>
      <c r="I162" s="9" t="str">
        <f>Upload!AL152</f>
        <v>(seleccione)</v>
      </c>
      <c r="K162" s="15" t="str">
        <f t="shared" si="13"/>
        <v/>
      </c>
      <c r="L162" s="15" t="str">
        <f t="shared" si="14"/>
        <v/>
      </c>
      <c r="M162" s="15" t="str">
        <f t="shared" si="15"/>
        <v/>
      </c>
      <c r="N162" s="15" t="str">
        <f t="shared" si="16"/>
        <v/>
      </c>
      <c r="O162" s="15" t="str">
        <f t="shared" si="17"/>
        <v/>
      </c>
      <c r="P162" s="15" t="str">
        <f>IF(OR(C162="",NOT(OR(ISNUMBER(SEARCH("Antitarnish",Upload!R152&amp;Upload!S152&amp;Upload!T152&amp;Upload!U152&amp;Upload!V152)),ISNUMBER(SEARCH("Anti Tarnish",Upload!R152&amp;Upload!S152&amp;Upload!T152&amp;Upload!U152&amp;Upload!V152))))),"",0.0012*C162)</f>
        <v/>
      </c>
      <c r="Q162" s="15" t="str">
        <f>IF(OR(E162="",NOT(OR(ISNUMBER(SEARCH("Epóxico MT",Upload!R152&amp;Upload!S152&amp;Upload!T152&amp;Upload!U152&amp;Upload!V152))))),"",E162*0.000035)</f>
        <v/>
      </c>
      <c r="R162" s="15" t="str">
        <f>IF(OR(F162="",NOT(OR(ISNUMBER(SEARCH("Epóxico BT",Upload!S152&amp;Upload!T152&amp;Upload!U152&amp;Upload!V152&amp;Upload!W152))))),"",F162*0.000035)</f>
        <v/>
      </c>
      <c r="S162" s="15" t="str">
        <f>IF(OR(G162="",NOT(OR(ISNUMBER(SEARCH("Epóxico Rojo",Upload!T152&amp;Upload!U152&amp;Upload!V152&amp;Upload!W152&amp;Upload!X152))))),"",G162*0.000035)</f>
        <v/>
      </c>
    </row>
    <row r="163" spans="1:19" x14ac:dyDescent="0.2">
      <c r="A163" s="9" t="e">
        <f t="shared" ca="1" si="12"/>
        <v>#NAME?</v>
      </c>
      <c r="B163" s="9">
        <f>Upload!G153</f>
        <v>0</v>
      </c>
      <c r="C163" s="9">
        <f>Upload!AN153</f>
        <v>0</v>
      </c>
      <c r="D163" s="9">
        <f>Upload!AO153</f>
        <v>0</v>
      </c>
      <c r="E163" s="9">
        <f>Upload!AP153</f>
        <v>0</v>
      </c>
      <c r="F163" s="9" t="str">
        <f>Upload!AK153</f>
        <v/>
      </c>
      <c r="G163" s="9" t="str">
        <f>Upload!AM153</f>
        <v/>
      </c>
      <c r="H163" s="9" t="str">
        <f>Upload!AJ153</f>
        <v>(seleccione)</v>
      </c>
      <c r="I163" s="9" t="str">
        <f>Upload!AL153</f>
        <v>(seleccione)</v>
      </c>
      <c r="K163" s="15" t="str">
        <f t="shared" si="13"/>
        <v/>
      </c>
      <c r="L163" s="15" t="str">
        <f t="shared" si="14"/>
        <v/>
      </c>
      <c r="M163" s="15" t="str">
        <f t="shared" si="15"/>
        <v/>
      </c>
      <c r="N163" s="15" t="str">
        <f t="shared" si="16"/>
        <v/>
      </c>
      <c r="O163" s="15" t="str">
        <f t="shared" si="17"/>
        <v/>
      </c>
      <c r="P163" s="15" t="str">
        <f>IF(OR(C163="",NOT(OR(ISNUMBER(SEARCH("Antitarnish",Upload!R153&amp;Upload!S153&amp;Upload!T153&amp;Upload!U153&amp;Upload!V153)),ISNUMBER(SEARCH("Anti Tarnish",Upload!R153&amp;Upload!S153&amp;Upload!T153&amp;Upload!U153&amp;Upload!V153))))),"",0.0012*C163)</f>
        <v/>
      </c>
      <c r="Q163" s="15" t="str">
        <f>IF(OR(E163="",NOT(OR(ISNUMBER(SEARCH("Epóxico MT",Upload!R153&amp;Upload!S153&amp;Upload!T153&amp;Upload!U153&amp;Upload!V153))))),"",E163*0.000035)</f>
        <v/>
      </c>
      <c r="R163" s="15" t="str">
        <f>IF(OR(F163="",NOT(OR(ISNUMBER(SEARCH("Epóxico BT",Upload!S153&amp;Upload!T153&amp;Upload!U153&amp;Upload!V153&amp;Upload!W153))))),"",F163*0.000035)</f>
        <v/>
      </c>
      <c r="S163" s="15" t="str">
        <f>IF(OR(G163="",NOT(OR(ISNUMBER(SEARCH("Epóxico Rojo",Upload!T153&amp;Upload!U153&amp;Upload!V153&amp;Upload!W153&amp;Upload!X153))))),"",G163*0.000035)</f>
        <v/>
      </c>
    </row>
    <row r="164" spans="1:19" x14ac:dyDescent="0.2">
      <c r="A164" s="9" t="e">
        <f t="shared" ca="1" si="12"/>
        <v>#NAME?</v>
      </c>
      <c r="B164" s="9">
        <f>Upload!G154</f>
        <v>0</v>
      </c>
      <c r="C164" s="9">
        <f>Upload!AN154</f>
        <v>0</v>
      </c>
      <c r="D164" s="9">
        <f>Upload!AO154</f>
        <v>0</v>
      </c>
      <c r="E164" s="9">
        <f>Upload!AP154</f>
        <v>0</v>
      </c>
      <c r="F164" s="9" t="str">
        <f>Upload!AK154</f>
        <v/>
      </c>
      <c r="G164" s="9" t="str">
        <f>Upload!AM154</f>
        <v/>
      </c>
      <c r="H164" s="9" t="str">
        <f>Upload!AJ154</f>
        <v>(seleccione)</v>
      </c>
      <c r="I164" s="9" t="str">
        <f>Upload!AL154</f>
        <v>(seleccione)</v>
      </c>
      <c r="K164" s="15" t="str">
        <f t="shared" si="13"/>
        <v/>
      </c>
      <c r="L164" s="15" t="str">
        <f t="shared" si="14"/>
        <v/>
      </c>
      <c r="M164" s="15" t="str">
        <f t="shared" si="15"/>
        <v/>
      </c>
      <c r="N164" s="15" t="str">
        <f t="shared" si="16"/>
        <v/>
      </c>
      <c r="O164" s="15" t="str">
        <f t="shared" si="17"/>
        <v/>
      </c>
      <c r="P164" s="15" t="str">
        <f>IF(OR(C164="",NOT(OR(ISNUMBER(SEARCH("Antitarnish",Upload!R154&amp;Upload!S154&amp;Upload!T154&amp;Upload!U154&amp;Upload!V154)),ISNUMBER(SEARCH("Anti Tarnish",Upload!R154&amp;Upload!S154&amp;Upload!T154&amp;Upload!U154&amp;Upload!V154))))),"",0.0012*C164)</f>
        <v/>
      </c>
      <c r="Q164" s="15" t="str">
        <f>IF(OR(E164="",NOT(OR(ISNUMBER(SEARCH("Epóxico MT",Upload!R154&amp;Upload!S154&amp;Upload!T154&amp;Upload!U154&amp;Upload!V154))))),"",E164*0.000035)</f>
        <v/>
      </c>
      <c r="R164" s="15" t="str">
        <f>IF(OR(F164="",NOT(OR(ISNUMBER(SEARCH("Epóxico BT",Upload!S154&amp;Upload!T154&amp;Upload!U154&amp;Upload!V154&amp;Upload!W154))))),"",F164*0.000035)</f>
        <v/>
      </c>
      <c r="S164" s="15" t="str">
        <f>IF(OR(G164="",NOT(OR(ISNUMBER(SEARCH("Epóxico Rojo",Upload!T154&amp;Upload!U154&amp;Upload!V154&amp;Upload!W154&amp;Upload!X154))))),"",G164*0.000035)</f>
        <v/>
      </c>
    </row>
    <row r="165" spans="1:19" x14ac:dyDescent="0.2">
      <c r="A165" s="9" t="e">
        <f t="shared" ca="1" si="12"/>
        <v>#NAME?</v>
      </c>
      <c r="B165" s="9">
        <f>Upload!G155</f>
        <v>0</v>
      </c>
      <c r="C165" s="9">
        <f>Upload!AN155</f>
        <v>0</v>
      </c>
      <c r="D165" s="9">
        <f>Upload!AO155</f>
        <v>0</v>
      </c>
      <c r="E165" s="9">
        <f>Upload!AP155</f>
        <v>0</v>
      </c>
      <c r="F165" s="9" t="str">
        <f>Upload!AK155</f>
        <v/>
      </c>
      <c r="G165" s="9" t="str">
        <f>Upload!AM155</f>
        <v/>
      </c>
      <c r="H165" s="9" t="str">
        <f>Upload!AJ155</f>
        <v>(seleccione)</v>
      </c>
      <c r="I165" s="9" t="str">
        <f>Upload!AL155</f>
        <v>(seleccione)</v>
      </c>
      <c r="K165" s="15" t="str">
        <f t="shared" si="13"/>
        <v/>
      </c>
      <c r="L165" s="15" t="str">
        <f t="shared" si="14"/>
        <v/>
      </c>
      <c r="M165" s="15" t="str">
        <f t="shared" si="15"/>
        <v/>
      </c>
      <c r="N165" s="15" t="str">
        <f t="shared" si="16"/>
        <v/>
      </c>
      <c r="O165" s="15" t="str">
        <f t="shared" si="17"/>
        <v/>
      </c>
      <c r="P165" s="15" t="str">
        <f>IF(OR(C165="",NOT(OR(ISNUMBER(SEARCH("Antitarnish",Upload!R155&amp;Upload!S155&amp;Upload!T155&amp;Upload!U155&amp;Upload!V155)),ISNUMBER(SEARCH("Anti Tarnish",Upload!R155&amp;Upload!S155&amp;Upload!T155&amp;Upload!U155&amp;Upload!V155))))),"",0.0012*C165)</f>
        <v/>
      </c>
      <c r="Q165" s="15" t="str">
        <f>IF(OR(E165="",NOT(OR(ISNUMBER(SEARCH("Epóxico MT",Upload!R155&amp;Upload!S155&amp;Upload!T155&amp;Upload!U155&amp;Upload!V155))))),"",E165*0.000035)</f>
        <v/>
      </c>
      <c r="R165" s="15" t="str">
        <f>IF(OR(F165="",NOT(OR(ISNUMBER(SEARCH("Epóxico BT",Upload!S155&amp;Upload!T155&amp;Upload!U155&amp;Upload!V155&amp;Upload!W155))))),"",F165*0.000035)</f>
        <v/>
      </c>
      <c r="S165" s="15" t="str">
        <f>IF(OR(G165="",NOT(OR(ISNUMBER(SEARCH("Epóxico Rojo",Upload!T155&amp;Upload!U155&amp;Upload!V155&amp;Upload!W155&amp;Upload!X155))))),"",G165*0.000035)</f>
        <v/>
      </c>
    </row>
    <row r="166" spans="1:19" x14ac:dyDescent="0.2">
      <c r="A166" s="9" t="e">
        <f t="shared" ca="1" si="12"/>
        <v>#NAME?</v>
      </c>
      <c r="B166" s="9">
        <f>Upload!G156</f>
        <v>0</v>
      </c>
      <c r="C166" s="9">
        <f>Upload!AN156</f>
        <v>0</v>
      </c>
      <c r="D166" s="9">
        <f>Upload!AO156</f>
        <v>0</v>
      </c>
      <c r="E166" s="9">
        <f>Upload!AP156</f>
        <v>0</v>
      </c>
      <c r="F166" s="9" t="str">
        <f>Upload!AK156</f>
        <v/>
      </c>
      <c r="G166" s="9" t="str">
        <f>Upload!AM156</f>
        <v/>
      </c>
      <c r="H166" s="9" t="str">
        <f>Upload!AJ156</f>
        <v>(seleccione)</v>
      </c>
      <c r="I166" s="9" t="str">
        <f>Upload!AL156</f>
        <v>(seleccione)</v>
      </c>
      <c r="K166" s="15" t="str">
        <f t="shared" si="13"/>
        <v/>
      </c>
      <c r="L166" s="15" t="str">
        <f t="shared" si="14"/>
        <v/>
      </c>
      <c r="M166" s="15" t="str">
        <f t="shared" si="15"/>
        <v/>
      </c>
      <c r="N166" s="15" t="str">
        <f t="shared" si="16"/>
        <v/>
      </c>
      <c r="O166" s="15" t="str">
        <f t="shared" si="17"/>
        <v/>
      </c>
      <c r="P166" s="15" t="str">
        <f>IF(OR(C166="",NOT(OR(ISNUMBER(SEARCH("Antitarnish",Upload!R156&amp;Upload!S156&amp;Upload!T156&amp;Upload!U156&amp;Upload!V156)),ISNUMBER(SEARCH("Anti Tarnish",Upload!R156&amp;Upload!S156&amp;Upload!T156&amp;Upload!U156&amp;Upload!V156))))),"",0.0012*C166)</f>
        <v/>
      </c>
      <c r="Q166" s="15" t="str">
        <f>IF(OR(E166="",NOT(OR(ISNUMBER(SEARCH("Epóxico MT",Upload!R156&amp;Upload!S156&amp;Upload!T156&amp;Upload!U156&amp;Upload!V156))))),"",E166*0.000035)</f>
        <v/>
      </c>
      <c r="R166" s="15" t="str">
        <f>IF(OR(F166="",NOT(OR(ISNUMBER(SEARCH("Epóxico BT",Upload!S156&amp;Upload!T156&amp;Upload!U156&amp;Upload!V156&amp;Upload!W156))))),"",F166*0.000035)</f>
        <v/>
      </c>
      <c r="S166" s="15" t="str">
        <f>IF(OR(G166="",NOT(OR(ISNUMBER(SEARCH("Epóxico Rojo",Upload!T156&amp;Upload!U156&amp;Upload!V156&amp;Upload!W156&amp;Upload!X156))))),"",G166*0.000035)</f>
        <v/>
      </c>
    </row>
    <row r="167" spans="1:19" x14ac:dyDescent="0.2">
      <c r="A167" s="9" t="e">
        <f t="shared" ca="1" si="12"/>
        <v>#NAME?</v>
      </c>
      <c r="B167" s="9">
        <f>Upload!G157</f>
        <v>0</v>
      </c>
      <c r="C167" s="9">
        <f>Upload!AN157</f>
        <v>0</v>
      </c>
      <c r="D167" s="9">
        <f>Upload!AO157</f>
        <v>0</v>
      </c>
      <c r="E167" s="9">
        <f>Upload!AP157</f>
        <v>0</v>
      </c>
      <c r="F167" s="9" t="str">
        <f>Upload!AK157</f>
        <v/>
      </c>
      <c r="G167" s="9" t="str">
        <f>Upload!AM157</f>
        <v/>
      </c>
      <c r="H167" s="9" t="str">
        <f>Upload!AJ157</f>
        <v>(seleccione)</v>
      </c>
      <c r="I167" s="9" t="str">
        <f>Upload!AL157</f>
        <v>(seleccione)</v>
      </c>
      <c r="K167" s="15" t="str">
        <f t="shared" si="13"/>
        <v/>
      </c>
      <c r="L167" s="15" t="str">
        <f t="shared" si="14"/>
        <v/>
      </c>
      <c r="M167" s="15" t="str">
        <f t="shared" si="15"/>
        <v/>
      </c>
      <c r="N167" s="15" t="str">
        <f t="shared" si="16"/>
        <v/>
      </c>
      <c r="O167" s="15" t="str">
        <f t="shared" si="17"/>
        <v/>
      </c>
      <c r="P167" s="15" t="str">
        <f>IF(OR(C167="",NOT(OR(ISNUMBER(SEARCH("Antitarnish",Upload!R157&amp;Upload!S157&amp;Upload!T157&amp;Upload!U157&amp;Upload!V157)),ISNUMBER(SEARCH("Anti Tarnish",Upload!R157&amp;Upload!S157&amp;Upload!T157&amp;Upload!U157&amp;Upload!V157))))),"",0.0012*C167)</f>
        <v/>
      </c>
      <c r="Q167" s="15" t="str">
        <f>IF(OR(E167="",NOT(OR(ISNUMBER(SEARCH("Epóxico MT",Upload!R157&amp;Upload!S157&amp;Upload!T157&amp;Upload!U157&amp;Upload!V157))))),"",E167*0.000035)</f>
        <v/>
      </c>
      <c r="R167" s="15" t="str">
        <f>IF(OR(F167="",NOT(OR(ISNUMBER(SEARCH("Epóxico BT",Upload!S157&amp;Upload!T157&amp;Upload!U157&amp;Upload!V157&amp;Upload!W157))))),"",F167*0.000035)</f>
        <v/>
      </c>
      <c r="S167" s="15" t="str">
        <f>IF(OR(G167="",NOT(OR(ISNUMBER(SEARCH("Epóxico Rojo",Upload!T157&amp;Upload!U157&amp;Upload!V157&amp;Upload!W157&amp;Upload!X157))))),"",G167*0.000035)</f>
        <v/>
      </c>
    </row>
    <row r="168" spans="1:19" x14ac:dyDescent="0.2">
      <c r="A168" s="9" t="e">
        <f t="shared" ca="1" si="12"/>
        <v>#NAME?</v>
      </c>
      <c r="B168" s="9">
        <f>Upload!G158</f>
        <v>0</v>
      </c>
      <c r="C168" s="9">
        <f>Upload!AN158</f>
        <v>0</v>
      </c>
      <c r="D168" s="9">
        <f>Upload!AO158</f>
        <v>0</v>
      </c>
      <c r="E168" s="9">
        <f>Upload!AP158</f>
        <v>0</v>
      </c>
      <c r="F168" s="9" t="str">
        <f>Upload!AK158</f>
        <v/>
      </c>
      <c r="G168" s="9" t="str">
        <f>Upload!AM158</f>
        <v/>
      </c>
      <c r="H168" s="9" t="str">
        <f>Upload!AJ158</f>
        <v>(seleccione)</v>
      </c>
      <c r="I168" s="9" t="str">
        <f>Upload!AL158</f>
        <v>(seleccione)</v>
      </c>
      <c r="K168" s="15" t="str">
        <f t="shared" si="13"/>
        <v/>
      </c>
      <c r="L168" s="15" t="str">
        <f t="shared" si="14"/>
        <v/>
      </c>
      <c r="M168" s="15" t="str">
        <f t="shared" si="15"/>
        <v/>
      </c>
      <c r="N168" s="15" t="str">
        <f t="shared" si="16"/>
        <v/>
      </c>
      <c r="O168" s="15" t="str">
        <f t="shared" si="17"/>
        <v/>
      </c>
      <c r="P168" s="15" t="str">
        <f>IF(OR(C168="",NOT(OR(ISNUMBER(SEARCH("Antitarnish",Upload!R158&amp;Upload!S158&amp;Upload!T158&amp;Upload!U158&amp;Upload!V158)),ISNUMBER(SEARCH("Anti Tarnish",Upload!R158&amp;Upload!S158&amp;Upload!T158&amp;Upload!U158&amp;Upload!V158))))),"",0.0012*C168)</f>
        <v/>
      </c>
      <c r="Q168" s="15" t="str">
        <f>IF(OR(E168="",NOT(OR(ISNUMBER(SEARCH("Epóxico MT",Upload!R158&amp;Upload!S158&amp;Upload!T158&amp;Upload!U158&amp;Upload!V158))))),"",E168*0.000035)</f>
        <v/>
      </c>
      <c r="R168" s="15" t="str">
        <f>IF(OR(F168="",NOT(OR(ISNUMBER(SEARCH("Epóxico BT",Upload!S158&amp;Upload!T158&amp;Upload!U158&amp;Upload!V158&amp;Upload!W158))))),"",F168*0.000035)</f>
        <v/>
      </c>
      <c r="S168" s="15" t="str">
        <f>IF(OR(G168="",NOT(OR(ISNUMBER(SEARCH("Epóxico Rojo",Upload!T158&amp;Upload!U158&amp;Upload!V158&amp;Upload!W158&amp;Upload!X158))))),"",G168*0.000035)</f>
        <v/>
      </c>
    </row>
    <row r="169" spans="1:19" x14ac:dyDescent="0.2">
      <c r="A169" s="9" t="e">
        <f t="shared" ca="1" si="12"/>
        <v>#NAME?</v>
      </c>
      <c r="B169" s="9">
        <f>Upload!G159</f>
        <v>0</v>
      </c>
      <c r="C169" s="9">
        <f>Upload!AN159</f>
        <v>0</v>
      </c>
      <c r="D169" s="9">
        <f>Upload!AO159</f>
        <v>0</v>
      </c>
      <c r="E169" s="9">
        <f>Upload!AP159</f>
        <v>0</v>
      </c>
      <c r="F169" s="9" t="str">
        <f>Upload!AK159</f>
        <v/>
      </c>
      <c r="G169" s="9" t="str">
        <f>Upload!AM159</f>
        <v/>
      </c>
      <c r="H169" s="9" t="str">
        <f>Upload!AJ159</f>
        <v>(seleccione)</v>
      </c>
      <c r="I169" s="9" t="str">
        <f>Upload!AL159</f>
        <v>(seleccione)</v>
      </c>
      <c r="K169" s="15" t="str">
        <f t="shared" si="13"/>
        <v/>
      </c>
      <c r="L169" s="15" t="str">
        <f t="shared" si="14"/>
        <v/>
      </c>
      <c r="M169" s="15" t="str">
        <f t="shared" si="15"/>
        <v/>
      </c>
      <c r="N169" s="15" t="str">
        <f t="shared" si="16"/>
        <v/>
      </c>
      <c r="O169" s="15" t="str">
        <f t="shared" si="17"/>
        <v/>
      </c>
      <c r="P169" s="15" t="str">
        <f>IF(OR(C169="",NOT(OR(ISNUMBER(SEARCH("Antitarnish",Upload!R159&amp;Upload!S159&amp;Upload!T159&amp;Upload!U159&amp;Upload!V159)),ISNUMBER(SEARCH("Anti Tarnish",Upload!R159&amp;Upload!S159&amp;Upload!T159&amp;Upload!U159&amp;Upload!V159))))),"",0.0012*C169)</f>
        <v/>
      </c>
      <c r="Q169" s="15" t="str">
        <f>IF(OR(E169="",NOT(OR(ISNUMBER(SEARCH("Epóxico MT",Upload!R159&amp;Upload!S159&amp;Upload!T159&amp;Upload!U159&amp;Upload!V159))))),"",E169*0.000035)</f>
        <v/>
      </c>
      <c r="R169" s="15" t="str">
        <f>IF(OR(F169="",NOT(OR(ISNUMBER(SEARCH("Epóxico BT",Upload!S159&amp;Upload!T159&amp;Upload!U159&amp;Upload!V159&amp;Upload!W159))))),"",F169*0.000035)</f>
        <v/>
      </c>
      <c r="S169" s="15" t="str">
        <f>IF(OR(G169="",NOT(OR(ISNUMBER(SEARCH("Epóxico Rojo",Upload!T159&amp;Upload!U159&amp;Upload!V159&amp;Upload!W159&amp;Upload!X159))))),"",G169*0.000035)</f>
        <v/>
      </c>
    </row>
    <row r="170" spans="1:19" x14ac:dyDescent="0.2">
      <c r="A170" s="9" t="e">
        <f t="shared" ca="1" si="12"/>
        <v>#NAME?</v>
      </c>
      <c r="B170" s="9">
        <f>Upload!G160</f>
        <v>0</v>
      </c>
      <c r="C170" s="9">
        <f>Upload!AN160</f>
        <v>0</v>
      </c>
      <c r="D170" s="9">
        <f>Upload!AO160</f>
        <v>0</v>
      </c>
      <c r="E170" s="9">
        <f>Upload!AP160</f>
        <v>0</v>
      </c>
      <c r="F170" s="9" t="str">
        <f>Upload!AK160</f>
        <v/>
      </c>
      <c r="G170" s="9" t="str">
        <f>Upload!AM160</f>
        <v/>
      </c>
      <c r="H170" s="9" t="str">
        <f>Upload!AJ160</f>
        <v>(seleccione)</v>
      </c>
      <c r="I170" s="9" t="str">
        <f>Upload!AL160</f>
        <v>(seleccione)</v>
      </c>
      <c r="K170" s="15" t="str">
        <f t="shared" si="13"/>
        <v/>
      </c>
      <c r="L170" s="15" t="str">
        <f t="shared" si="14"/>
        <v/>
      </c>
      <c r="M170" s="15" t="str">
        <f t="shared" si="15"/>
        <v/>
      </c>
      <c r="N170" s="15" t="str">
        <f t="shared" si="16"/>
        <v/>
      </c>
      <c r="O170" s="15" t="str">
        <f t="shared" si="17"/>
        <v/>
      </c>
      <c r="P170" s="15" t="str">
        <f>IF(OR(C170="",NOT(OR(ISNUMBER(SEARCH("Antitarnish",Upload!R160&amp;Upload!S160&amp;Upload!T160&amp;Upload!U160&amp;Upload!V160)),ISNUMBER(SEARCH("Anti Tarnish",Upload!R160&amp;Upload!S160&amp;Upload!T160&amp;Upload!U160&amp;Upload!V160))))),"",0.0012*C170)</f>
        <v/>
      </c>
      <c r="Q170" s="15" t="str">
        <f>IF(OR(E170="",NOT(OR(ISNUMBER(SEARCH("Epóxico MT",Upload!R160&amp;Upload!S160&amp;Upload!T160&amp;Upload!U160&amp;Upload!V160))))),"",E170*0.000035)</f>
        <v/>
      </c>
      <c r="R170" s="15" t="str">
        <f>IF(OR(F170="",NOT(OR(ISNUMBER(SEARCH("Epóxico BT",Upload!S160&amp;Upload!T160&amp;Upload!U160&amp;Upload!V160&amp;Upload!W160))))),"",F170*0.000035)</f>
        <v/>
      </c>
      <c r="S170" s="15" t="str">
        <f>IF(OR(G170="",NOT(OR(ISNUMBER(SEARCH("Epóxico Rojo",Upload!T160&amp;Upload!U160&amp;Upload!V160&amp;Upload!W160&amp;Upload!X160))))),"",G170*0.000035)</f>
        <v/>
      </c>
    </row>
    <row r="171" spans="1:19" x14ac:dyDescent="0.2">
      <c r="A171" s="9" t="e">
        <f t="shared" ca="1" si="12"/>
        <v>#NAME?</v>
      </c>
      <c r="B171" s="9">
        <f>Upload!G161</f>
        <v>0</v>
      </c>
      <c r="C171" s="9">
        <f>Upload!AN161</f>
        <v>0</v>
      </c>
      <c r="D171" s="9">
        <f>Upload!AO161</f>
        <v>0</v>
      </c>
      <c r="E171" s="9">
        <f>Upload!AP161</f>
        <v>0</v>
      </c>
      <c r="F171" s="9" t="str">
        <f>Upload!AK161</f>
        <v/>
      </c>
      <c r="G171" s="9" t="str">
        <f>Upload!AM161</f>
        <v/>
      </c>
      <c r="H171" s="9" t="str">
        <f>Upload!AJ161</f>
        <v>(seleccione)</v>
      </c>
      <c r="I171" s="9" t="str">
        <f>Upload!AL161</f>
        <v>(seleccione)</v>
      </c>
      <c r="K171" s="15" t="str">
        <f t="shared" si="13"/>
        <v/>
      </c>
      <c r="L171" s="15" t="str">
        <f t="shared" si="14"/>
        <v/>
      </c>
      <c r="M171" s="15" t="str">
        <f t="shared" si="15"/>
        <v/>
      </c>
      <c r="N171" s="15" t="str">
        <f t="shared" si="16"/>
        <v/>
      </c>
      <c r="O171" s="15" t="str">
        <f t="shared" si="17"/>
        <v/>
      </c>
      <c r="P171" s="15" t="str">
        <f>IF(OR(C171="",NOT(OR(ISNUMBER(SEARCH("Antitarnish",Upload!R161&amp;Upload!S161&amp;Upload!T161&amp;Upload!U161&amp;Upload!V161)),ISNUMBER(SEARCH("Anti Tarnish",Upload!R161&amp;Upload!S161&amp;Upload!T161&amp;Upload!U161&amp;Upload!V161))))),"",0.0012*C171)</f>
        <v/>
      </c>
      <c r="Q171" s="15" t="str">
        <f>IF(OR(E171="",NOT(OR(ISNUMBER(SEARCH("Epóxico MT",Upload!R161&amp;Upload!S161&amp;Upload!T161&amp;Upload!U161&amp;Upload!V161))))),"",E171*0.000035)</f>
        <v/>
      </c>
      <c r="R171" s="15" t="str">
        <f>IF(OR(F171="",NOT(OR(ISNUMBER(SEARCH("Epóxico BT",Upload!S161&amp;Upload!T161&amp;Upload!U161&amp;Upload!V161&amp;Upload!W161))))),"",F171*0.000035)</f>
        <v/>
      </c>
      <c r="S171" s="15" t="str">
        <f>IF(OR(G171="",NOT(OR(ISNUMBER(SEARCH("Epóxico Rojo",Upload!T161&amp;Upload!U161&amp;Upload!V161&amp;Upload!W161&amp;Upload!X161))))),"",G171*0.000035)</f>
        <v/>
      </c>
    </row>
    <row r="172" spans="1:19" x14ac:dyDescent="0.2">
      <c r="A172" s="9" t="e">
        <f t="shared" ca="1" si="12"/>
        <v>#NAME?</v>
      </c>
      <c r="B172" s="9">
        <f>Upload!G162</f>
        <v>0</v>
      </c>
      <c r="C172" s="9">
        <f>Upload!AN162</f>
        <v>0</v>
      </c>
      <c r="D172" s="9">
        <f>Upload!AO162</f>
        <v>0</v>
      </c>
      <c r="E172" s="9">
        <f>Upload!AP162</f>
        <v>0</v>
      </c>
      <c r="F172" s="9" t="str">
        <f>Upload!AK162</f>
        <v/>
      </c>
      <c r="G172" s="9" t="str">
        <f>Upload!AM162</f>
        <v/>
      </c>
      <c r="H172" s="9" t="str">
        <f>Upload!AJ162</f>
        <v>(seleccione)</v>
      </c>
      <c r="I172" s="9" t="str">
        <f>Upload!AL162</f>
        <v>(seleccione)</v>
      </c>
      <c r="K172" s="15" t="str">
        <f t="shared" si="13"/>
        <v/>
      </c>
      <c r="L172" s="15" t="str">
        <f t="shared" si="14"/>
        <v/>
      </c>
      <c r="M172" s="15" t="str">
        <f t="shared" si="15"/>
        <v/>
      </c>
      <c r="N172" s="15" t="str">
        <f t="shared" si="16"/>
        <v/>
      </c>
      <c r="O172" s="15" t="str">
        <f t="shared" si="17"/>
        <v/>
      </c>
      <c r="P172" s="15" t="str">
        <f>IF(OR(C172="",NOT(OR(ISNUMBER(SEARCH("Antitarnish",Upload!R162&amp;Upload!S162&amp;Upload!T162&amp;Upload!U162&amp;Upload!V162)),ISNUMBER(SEARCH("Anti Tarnish",Upload!R162&amp;Upload!S162&amp;Upload!T162&amp;Upload!U162&amp;Upload!V162))))),"",0.0012*C172)</f>
        <v/>
      </c>
      <c r="Q172" s="15" t="str">
        <f>IF(OR(E172="",NOT(OR(ISNUMBER(SEARCH("Epóxico MT",Upload!R162&amp;Upload!S162&amp;Upload!T162&amp;Upload!U162&amp;Upload!V162))))),"",E172*0.000035)</f>
        <v/>
      </c>
      <c r="R172" s="15" t="str">
        <f>IF(OR(F172="",NOT(OR(ISNUMBER(SEARCH("Epóxico BT",Upload!S162&amp;Upload!T162&amp;Upload!U162&amp;Upload!V162&amp;Upload!W162))))),"",F172*0.000035)</f>
        <v/>
      </c>
      <c r="S172" s="15" t="str">
        <f>IF(OR(G172="",NOT(OR(ISNUMBER(SEARCH("Epóxico Rojo",Upload!T162&amp;Upload!U162&amp;Upload!V162&amp;Upload!W162&amp;Upload!X162))))),"",G172*0.000035)</f>
        <v/>
      </c>
    </row>
    <row r="173" spans="1:19" x14ac:dyDescent="0.2">
      <c r="A173" s="9" t="e">
        <f t="shared" ca="1" si="12"/>
        <v>#NAME?</v>
      </c>
      <c r="B173" s="9">
        <f>Upload!G163</f>
        <v>0</v>
      </c>
      <c r="C173" s="9">
        <f>Upload!AN163</f>
        <v>0</v>
      </c>
      <c r="D173" s="9">
        <f>Upload!AO163</f>
        <v>0</v>
      </c>
      <c r="E173" s="9">
        <f>Upload!AP163</f>
        <v>0</v>
      </c>
      <c r="F173" s="9" t="str">
        <f>Upload!AK163</f>
        <v/>
      </c>
      <c r="G173" s="9" t="str">
        <f>Upload!AM163</f>
        <v/>
      </c>
      <c r="H173" s="9" t="str">
        <f>Upload!AJ163</f>
        <v>(seleccione)</v>
      </c>
      <c r="I173" s="9" t="str">
        <f>Upload!AL163</f>
        <v>(seleccione)</v>
      </c>
      <c r="K173" s="15" t="str">
        <f t="shared" si="13"/>
        <v/>
      </c>
      <c r="L173" s="15" t="str">
        <f t="shared" si="14"/>
        <v/>
      </c>
      <c r="M173" s="15" t="str">
        <f t="shared" si="15"/>
        <v/>
      </c>
      <c r="N173" s="15" t="str">
        <f t="shared" si="16"/>
        <v/>
      </c>
      <c r="O173" s="15" t="str">
        <f t="shared" si="17"/>
        <v/>
      </c>
      <c r="P173" s="15" t="str">
        <f>IF(OR(C173="",NOT(OR(ISNUMBER(SEARCH("Antitarnish",Upload!R163&amp;Upload!S163&amp;Upload!T163&amp;Upload!U163&amp;Upload!V163)),ISNUMBER(SEARCH("Anti Tarnish",Upload!R163&amp;Upload!S163&amp;Upload!T163&amp;Upload!U163&amp;Upload!V163))))),"",0.0012*C173)</f>
        <v/>
      </c>
      <c r="Q173" s="15" t="str">
        <f>IF(OR(E173="",NOT(OR(ISNUMBER(SEARCH("Epóxico MT",Upload!R163&amp;Upload!S163&amp;Upload!T163&amp;Upload!U163&amp;Upload!V163))))),"",E173*0.000035)</f>
        <v/>
      </c>
      <c r="R173" s="15" t="str">
        <f>IF(OR(F173="",NOT(OR(ISNUMBER(SEARCH("Epóxico BT",Upload!S163&amp;Upload!T163&amp;Upload!U163&amp;Upload!V163&amp;Upload!W163))))),"",F173*0.000035)</f>
        <v/>
      </c>
      <c r="S173" s="15" t="str">
        <f>IF(OR(G173="",NOT(OR(ISNUMBER(SEARCH("Epóxico Rojo",Upload!T163&amp;Upload!U163&amp;Upload!V163&amp;Upload!W163&amp;Upload!X163))))),"",G173*0.000035)</f>
        <v/>
      </c>
    </row>
    <row r="174" spans="1:19" x14ac:dyDescent="0.2">
      <c r="A174" s="9" t="e">
        <f t="shared" ca="1" si="12"/>
        <v>#NAME?</v>
      </c>
      <c r="B174" s="9">
        <f>Upload!G164</f>
        <v>0</v>
      </c>
      <c r="C174" s="9">
        <f>Upload!AN164</f>
        <v>0</v>
      </c>
      <c r="D174" s="9">
        <f>Upload!AO164</f>
        <v>0</v>
      </c>
      <c r="E174" s="9">
        <f>Upload!AP164</f>
        <v>0</v>
      </c>
      <c r="F174" s="9" t="str">
        <f>Upload!AK164</f>
        <v/>
      </c>
      <c r="G174" s="9" t="str">
        <f>Upload!AM164</f>
        <v/>
      </c>
      <c r="H174" s="9" t="str">
        <f>Upload!AJ164</f>
        <v>(seleccione)</v>
      </c>
      <c r="I174" s="9" t="str">
        <f>Upload!AL164</f>
        <v>(seleccione)</v>
      </c>
      <c r="K174" s="15" t="str">
        <f t="shared" si="13"/>
        <v/>
      </c>
      <c r="L174" s="15" t="str">
        <f t="shared" si="14"/>
        <v/>
      </c>
      <c r="M174" s="15" t="str">
        <f t="shared" si="15"/>
        <v/>
      </c>
      <c r="N174" s="15" t="str">
        <f t="shared" si="16"/>
        <v/>
      </c>
      <c r="O174" s="15" t="str">
        <f t="shared" si="17"/>
        <v/>
      </c>
      <c r="P174" s="15" t="str">
        <f>IF(OR(C174="",NOT(OR(ISNUMBER(SEARCH("Antitarnish",Upload!R164&amp;Upload!S164&amp;Upload!T164&amp;Upload!U164&amp;Upload!V164)),ISNUMBER(SEARCH("Anti Tarnish",Upload!R164&amp;Upload!S164&amp;Upload!T164&amp;Upload!U164&amp;Upload!V164))))),"",0.0012*C174)</f>
        <v/>
      </c>
      <c r="Q174" s="15" t="str">
        <f>IF(OR(E174="",NOT(OR(ISNUMBER(SEARCH("Epóxico MT",Upload!R164&amp;Upload!S164&amp;Upload!T164&amp;Upload!U164&amp;Upload!V164))))),"",E174*0.000035)</f>
        <v/>
      </c>
      <c r="R174" s="15" t="str">
        <f>IF(OR(F174="",NOT(OR(ISNUMBER(SEARCH("Epóxico BT",Upload!S164&amp;Upload!T164&amp;Upload!U164&amp;Upload!V164&amp;Upload!W164))))),"",F174*0.000035)</f>
        <v/>
      </c>
      <c r="S174" s="15" t="str">
        <f>IF(OR(G174="",NOT(OR(ISNUMBER(SEARCH("Epóxico Rojo",Upload!T164&amp;Upload!U164&amp;Upload!V164&amp;Upload!W164&amp;Upload!X164))))),"",G174*0.000035)</f>
        <v/>
      </c>
    </row>
    <row r="175" spans="1:19" x14ac:dyDescent="0.2">
      <c r="A175" s="9" t="e">
        <f t="shared" ca="1" si="12"/>
        <v>#NAME?</v>
      </c>
      <c r="B175" s="9">
        <f>Upload!G165</f>
        <v>0</v>
      </c>
      <c r="C175" s="9">
        <f>Upload!AN165</f>
        <v>0</v>
      </c>
      <c r="D175" s="9">
        <f>Upload!AO165</f>
        <v>0</v>
      </c>
      <c r="E175" s="9">
        <f>Upload!AP165</f>
        <v>0</v>
      </c>
      <c r="F175" s="9" t="str">
        <f>Upload!AK165</f>
        <v/>
      </c>
      <c r="G175" s="9" t="str">
        <f>Upload!AM165</f>
        <v/>
      </c>
      <c r="H175" s="9" t="str">
        <f>Upload!AJ165</f>
        <v>(seleccione)</v>
      </c>
      <c r="I175" s="9" t="str">
        <f>Upload!AL165</f>
        <v>(seleccione)</v>
      </c>
      <c r="K175" s="15" t="str">
        <f t="shared" si="13"/>
        <v/>
      </c>
      <c r="L175" s="15" t="str">
        <f t="shared" si="14"/>
        <v/>
      </c>
      <c r="M175" s="15" t="str">
        <f t="shared" si="15"/>
        <v/>
      </c>
      <c r="N175" s="15" t="str">
        <f t="shared" si="16"/>
        <v/>
      </c>
      <c r="O175" s="15" t="str">
        <f t="shared" si="17"/>
        <v/>
      </c>
      <c r="P175" s="15" t="str">
        <f>IF(OR(C175="",NOT(OR(ISNUMBER(SEARCH("Antitarnish",Upload!R165&amp;Upload!S165&amp;Upload!T165&amp;Upload!U165&amp;Upload!V165)),ISNUMBER(SEARCH("Anti Tarnish",Upload!R165&amp;Upload!S165&amp;Upload!T165&amp;Upload!U165&amp;Upload!V165))))),"",0.0012*C175)</f>
        <v/>
      </c>
      <c r="Q175" s="15" t="str">
        <f>IF(OR(E175="",NOT(OR(ISNUMBER(SEARCH("Epóxico MT",Upload!R165&amp;Upload!S165&amp;Upload!T165&amp;Upload!U165&amp;Upload!V165))))),"",E175*0.000035)</f>
        <v/>
      </c>
      <c r="R175" s="15" t="str">
        <f>IF(OR(F175="",NOT(OR(ISNUMBER(SEARCH("Epóxico BT",Upload!S165&amp;Upload!T165&amp;Upload!U165&amp;Upload!V165&amp;Upload!W165))))),"",F175*0.000035)</f>
        <v/>
      </c>
      <c r="S175" s="15" t="str">
        <f>IF(OR(G175="",NOT(OR(ISNUMBER(SEARCH("Epóxico Rojo",Upload!T165&amp;Upload!U165&amp;Upload!V165&amp;Upload!W165&amp;Upload!X165))))),"",G175*0.000035)</f>
        <v/>
      </c>
    </row>
    <row r="176" spans="1:19" x14ac:dyDescent="0.2">
      <c r="A176" s="9" t="e">
        <f t="shared" ca="1" si="12"/>
        <v>#NAME?</v>
      </c>
      <c r="B176" s="9">
        <f>Upload!G166</f>
        <v>0</v>
      </c>
      <c r="C176" s="9">
        <f>Upload!AN166</f>
        <v>0</v>
      </c>
      <c r="D176" s="9">
        <f>Upload!AO166</f>
        <v>0</v>
      </c>
      <c r="E176" s="9">
        <f>Upload!AP166</f>
        <v>0</v>
      </c>
      <c r="F176" s="9" t="str">
        <f>Upload!AK166</f>
        <v/>
      </c>
      <c r="G176" s="9" t="str">
        <f>Upload!AM166</f>
        <v/>
      </c>
      <c r="H176" s="9" t="str">
        <f>Upload!AJ166</f>
        <v>(seleccione)</v>
      </c>
      <c r="I176" s="9" t="str">
        <f>Upload!AL166</f>
        <v>(seleccione)</v>
      </c>
      <c r="K176" s="15" t="str">
        <f t="shared" si="13"/>
        <v/>
      </c>
      <c r="L176" s="15" t="str">
        <f t="shared" si="14"/>
        <v/>
      </c>
      <c r="M176" s="15" t="str">
        <f t="shared" si="15"/>
        <v/>
      </c>
      <c r="N176" s="15" t="str">
        <f t="shared" si="16"/>
        <v/>
      </c>
      <c r="O176" s="15" t="str">
        <f t="shared" si="17"/>
        <v/>
      </c>
      <c r="P176" s="15" t="str">
        <f>IF(OR(C176="",NOT(OR(ISNUMBER(SEARCH("Antitarnish",Upload!R166&amp;Upload!S166&amp;Upload!T166&amp;Upload!U166&amp;Upload!V166)),ISNUMBER(SEARCH("Anti Tarnish",Upload!R166&amp;Upload!S166&amp;Upload!T166&amp;Upload!U166&amp;Upload!V166))))),"",0.0012*C176)</f>
        <v/>
      </c>
      <c r="Q176" s="15" t="str">
        <f>IF(OR(E176="",NOT(OR(ISNUMBER(SEARCH("Epóxico MT",Upload!R166&amp;Upload!S166&amp;Upload!T166&amp;Upload!U166&amp;Upload!V166))))),"",E176*0.000035)</f>
        <v/>
      </c>
      <c r="R176" s="15" t="str">
        <f>IF(OR(F176="",NOT(OR(ISNUMBER(SEARCH("Epóxico BT",Upload!S166&amp;Upload!T166&amp;Upload!U166&amp;Upload!V166&amp;Upload!W166))))),"",F176*0.000035)</f>
        <v/>
      </c>
      <c r="S176" s="15" t="str">
        <f>IF(OR(G176="",NOT(OR(ISNUMBER(SEARCH("Epóxico Rojo",Upload!T166&amp;Upload!U166&amp;Upload!V166&amp;Upload!W166&amp;Upload!X166))))),"",G176*0.000035)</f>
        <v/>
      </c>
    </row>
    <row r="177" spans="1:19" x14ac:dyDescent="0.2">
      <c r="A177" s="9" t="e">
        <f t="shared" ca="1" si="12"/>
        <v>#NAME?</v>
      </c>
      <c r="B177" s="9">
        <f>Upload!G167</f>
        <v>0</v>
      </c>
      <c r="C177" s="9">
        <f>Upload!AN167</f>
        <v>0</v>
      </c>
      <c r="D177" s="9">
        <f>Upload!AO167</f>
        <v>0</v>
      </c>
      <c r="E177" s="9">
        <f>Upload!AP167</f>
        <v>0</v>
      </c>
      <c r="F177" s="9" t="str">
        <f>Upload!AK167</f>
        <v/>
      </c>
      <c r="G177" s="9" t="str">
        <f>Upload!AM167</f>
        <v/>
      </c>
      <c r="H177" s="9" t="str">
        <f>Upload!AJ167</f>
        <v>(seleccione)</v>
      </c>
      <c r="I177" s="9" t="str">
        <f>Upload!AL167</f>
        <v>(seleccione)</v>
      </c>
      <c r="K177" s="15" t="str">
        <f t="shared" si="13"/>
        <v/>
      </c>
      <c r="L177" s="15" t="str">
        <f t="shared" si="14"/>
        <v/>
      </c>
      <c r="M177" s="15" t="str">
        <f t="shared" si="15"/>
        <v/>
      </c>
      <c r="N177" s="15" t="str">
        <f t="shared" si="16"/>
        <v/>
      </c>
      <c r="O177" s="15" t="str">
        <f t="shared" si="17"/>
        <v/>
      </c>
      <c r="P177" s="15" t="str">
        <f>IF(OR(C177="",NOT(OR(ISNUMBER(SEARCH("Antitarnish",Upload!R167&amp;Upload!S167&amp;Upload!T167&amp;Upload!U167&amp;Upload!V167)),ISNUMBER(SEARCH("Anti Tarnish",Upload!R167&amp;Upload!S167&amp;Upload!T167&amp;Upload!U167&amp;Upload!V167))))),"",0.0012*C177)</f>
        <v/>
      </c>
      <c r="Q177" s="15" t="str">
        <f>IF(OR(E177="",NOT(OR(ISNUMBER(SEARCH("Epóxico MT",Upload!R167&amp;Upload!S167&amp;Upload!T167&amp;Upload!U167&amp;Upload!V167))))),"",E177*0.000035)</f>
        <v/>
      </c>
      <c r="R177" s="15" t="str">
        <f>IF(OR(F177="",NOT(OR(ISNUMBER(SEARCH("Epóxico BT",Upload!S167&amp;Upload!T167&amp;Upload!U167&amp;Upload!V167&amp;Upload!W167))))),"",F177*0.000035)</f>
        <v/>
      </c>
      <c r="S177" s="15" t="str">
        <f>IF(OR(G177="",NOT(OR(ISNUMBER(SEARCH("Epóxico Rojo",Upload!T167&amp;Upload!U167&amp;Upload!V167&amp;Upload!W167&amp;Upload!X167))))),"",G177*0.000035)</f>
        <v/>
      </c>
    </row>
    <row r="178" spans="1:19" x14ac:dyDescent="0.2">
      <c r="A178" s="9" t="e">
        <f t="shared" ca="1" si="12"/>
        <v>#NAME?</v>
      </c>
      <c r="B178" s="9">
        <f>Upload!G168</f>
        <v>0</v>
      </c>
      <c r="C178" s="9">
        <f>Upload!AN168</f>
        <v>0</v>
      </c>
      <c r="D178" s="9">
        <f>Upload!AO168</f>
        <v>0</v>
      </c>
      <c r="E178" s="9">
        <f>Upload!AP168</f>
        <v>0</v>
      </c>
      <c r="F178" s="9" t="str">
        <f>Upload!AK168</f>
        <v/>
      </c>
      <c r="G178" s="9" t="str">
        <f>Upload!AM168</f>
        <v/>
      </c>
      <c r="H178" s="9" t="str">
        <f>Upload!AJ168</f>
        <v>(seleccione)</v>
      </c>
      <c r="I178" s="9" t="str">
        <f>Upload!AL168</f>
        <v>(seleccione)</v>
      </c>
      <c r="K178" s="15" t="str">
        <f t="shared" si="13"/>
        <v/>
      </c>
      <c r="L178" s="15" t="str">
        <f t="shared" si="14"/>
        <v/>
      </c>
      <c r="M178" s="15" t="str">
        <f t="shared" si="15"/>
        <v/>
      </c>
      <c r="N178" s="15" t="str">
        <f t="shared" si="16"/>
        <v/>
      </c>
      <c r="O178" s="15" t="str">
        <f t="shared" si="17"/>
        <v/>
      </c>
      <c r="P178" s="15" t="str">
        <f>IF(OR(C178="",NOT(OR(ISNUMBER(SEARCH("Antitarnish",Upload!R168&amp;Upload!S168&amp;Upload!T168&amp;Upload!U168&amp;Upload!V168)),ISNUMBER(SEARCH("Anti Tarnish",Upload!R168&amp;Upload!S168&amp;Upload!T168&amp;Upload!U168&amp;Upload!V168))))),"",0.0012*C178)</f>
        <v/>
      </c>
      <c r="Q178" s="15" t="str">
        <f>IF(OR(E178="",NOT(OR(ISNUMBER(SEARCH("Epóxico MT",Upload!R168&amp;Upload!S168&amp;Upload!T168&amp;Upload!U168&amp;Upload!V168))))),"",E178*0.000035)</f>
        <v/>
      </c>
      <c r="R178" s="15" t="str">
        <f>IF(OR(F178="",NOT(OR(ISNUMBER(SEARCH("Epóxico BT",Upload!S168&amp;Upload!T168&amp;Upload!U168&amp;Upload!V168&amp;Upload!W168))))),"",F178*0.000035)</f>
        <v/>
      </c>
      <c r="S178" s="15" t="str">
        <f>IF(OR(G178="",NOT(OR(ISNUMBER(SEARCH("Epóxico Rojo",Upload!T168&amp;Upload!U168&amp;Upload!V168&amp;Upload!W168&amp;Upload!X168))))),"",G178*0.000035)</f>
        <v/>
      </c>
    </row>
    <row r="179" spans="1:19" x14ac:dyDescent="0.2">
      <c r="A179" s="9" t="e">
        <f t="shared" ca="1" si="12"/>
        <v>#NAME?</v>
      </c>
      <c r="B179" s="9">
        <f>Upload!G169</f>
        <v>0</v>
      </c>
      <c r="C179" s="9">
        <f>Upload!AN169</f>
        <v>0</v>
      </c>
      <c r="D179" s="9">
        <f>Upload!AO169</f>
        <v>0</v>
      </c>
      <c r="E179" s="9">
        <f>Upload!AP169</f>
        <v>0</v>
      </c>
      <c r="F179" s="9" t="str">
        <f>Upload!AK169</f>
        <v/>
      </c>
      <c r="G179" s="9" t="str">
        <f>Upload!AM169</f>
        <v/>
      </c>
      <c r="H179" s="9" t="str">
        <f>Upload!AJ169</f>
        <v>(seleccione)</v>
      </c>
      <c r="I179" s="9" t="str">
        <f>Upload!AL169</f>
        <v>(seleccione)</v>
      </c>
      <c r="K179" s="15" t="str">
        <f t="shared" si="13"/>
        <v/>
      </c>
      <c r="L179" s="15" t="str">
        <f t="shared" si="14"/>
        <v/>
      </c>
      <c r="M179" s="15" t="str">
        <f t="shared" si="15"/>
        <v/>
      </c>
      <c r="N179" s="15" t="str">
        <f t="shared" si="16"/>
        <v/>
      </c>
      <c r="O179" s="15" t="str">
        <f t="shared" si="17"/>
        <v/>
      </c>
      <c r="P179" s="15" t="str">
        <f>IF(OR(C179="",NOT(OR(ISNUMBER(SEARCH("Antitarnish",Upload!R169&amp;Upload!S169&amp;Upload!T169&amp;Upload!U169&amp;Upload!V169)),ISNUMBER(SEARCH("Anti Tarnish",Upload!R169&amp;Upload!S169&amp;Upload!T169&amp;Upload!U169&amp;Upload!V169))))),"",0.0012*C179)</f>
        <v/>
      </c>
      <c r="Q179" s="15" t="str">
        <f>IF(OR(E179="",NOT(OR(ISNUMBER(SEARCH("Epóxico MT",Upload!R169&amp;Upload!S169&amp;Upload!T169&amp;Upload!U169&amp;Upload!V169))))),"",E179*0.000035)</f>
        <v/>
      </c>
      <c r="R179" s="15" t="str">
        <f>IF(OR(F179="",NOT(OR(ISNUMBER(SEARCH("Epóxico BT",Upload!S169&amp;Upload!T169&amp;Upload!U169&amp;Upload!V169&amp;Upload!W169))))),"",F179*0.000035)</f>
        <v/>
      </c>
      <c r="S179" s="15" t="str">
        <f>IF(OR(G179="",NOT(OR(ISNUMBER(SEARCH("Epóxico Rojo",Upload!T169&amp;Upload!U169&amp;Upload!V169&amp;Upload!W169&amp;Upload!X169))))),"",G179*0.000035)</f>
        <v/>
      </c>
    </row>
    <row r="180" spans="1:19" x14ac:dyDescent="0.2">
      <c r="A180" s="9" t="e">
        <f t="shared" ca="1" si="12"/>
        <v>#NAME?</v>
      </c>
      <c r="B180" s="9">
        <f>Upload!G170</f>
        <v>0</v>
      </c>
      <c r="C180" s="9">
        <f>Upload!AN170</f>
        <v>0</v>
      </c>
      <c r="D180" s="9">
        <f>Upload!AO170</f>
        <v>0</v>
      </c>
      <c r="E180" s="9">
        <f>Upload!AP170</f>
        <v>0</v>
      </c>
      <c r="F180" s="9" t="str">
        <f>Upload!AK170</f>
        <v/>
      </c>
      <c r="G180" s="9" t="str">
        <f>Upload!AM170</f>
        <v/>
      </c>
      <c r="H180" s="9" t="str">
        <f>Upload!AJ170</f>
        <v>(seleccione)</v>
      </c>
      <c r="I180" s="9" t="str">
        <f>Upload!AL170</f>
        <v>(seleccione)</v>
      </c>
      <c r="K180" s="15" t="str">
        <f t="shared" si="13"/>
        <v/>
      </c>
      <c r="L180" s="15" t="str">
        <f t="shared" si="14"/>
        <v/>
      </c>
      <c r="M180" s="15" t="str">
        <f t="shared" si="15"/>
        <v/>
      </c>
      <c r="N180" s="15" t="str">
        <f t="shared" si="16"/>
        <v/>
      </c>
      <c r="O180" s="15" t="str">
        <f t="shared" si="17"/>
        <v/>
      </c>
      <c r="P180" s="15" t="str">
        <f>IF(OR(C180="",NOT(OR(ISNUMBER(SEARCH("Antitarnish",Upload!R170&amp;Upload!S170&amp;Upload!T170&amp;Upload!U170&amp;Upload!V170)),ISNUMBER(SEARCH("Anti Tarnish",Upload!R170&amp;Upload!S170&amp;Upload!T170&amp;Upload!U170&amp;Upload!V170))))),"",0.0012*C180)</f>
        <v/>
      </c>
      <c r="Q180" s="15" t="str">
        <f>IF(OR(E180="",NOT(OR(ISNUMBER(SEARCH("Epóxico MT",Upload!R170&amp;Upload!S170&amp;Upload!T170&amp;Upload!U170&amp;Upload!V170))))),"",E180*0.000035)</f>
        <v/>
      </c>
      <c r="R180" s="15" t="str">
        <f>IF(OR(F180="",NOT(OR(ISNUMBER(SEARCH("Epóxico BT",Upload!S170&amp;Upload!T170&amp;Upload!U170&amp;Upload!V170&amp;Upload!W170))))),"",F180*0.000035)</f>
        <v/>
      </c>
      <c r="S180" s="15" t="str">
        <f>IF(OR(G180="",NOT(OR(ISNUMBER(SEARCH("Epóxico Rojo",Upload!T170&amp;Upload!U170&amp;Upload!V170&amp;Upload!W170&amp;Upload!X170))))),"",G180*0.000035)</f>
        <v/>
      </c>
    </row>
    <row r="181" spans="1:19" x14ac:dyDescent="0.2">
      <c r="A181" s="9" t="e">
        <f t="shared" ca="1" si="12"/>
        <v>#NAME?</v>
      </c>
      <c r="B181" s="9">
        <f>Upload!G171</f>
        <v>0</v>
      </c>
      <c r="C181" s="9">
        <f>Upload!AN171</f>
        <v>0</v>
      </c>
      <c r="D181" s="9">
        <f>Upload!AO171</f>
        <v>0</v>
      </c>
      <c r="E181" s="9">
        <f>Upload!AP171</f>
        <v>0</v>
      </c>
      <c r="F181" s="9" t="str">
        <f>Upload!AK171</f>
        <v/>
      </c>
      <c r="G181" s="9" t="str">
        <f>Upload!AM171</f>
        <v/>
      </c>
      <c r="H181" s="9" t="str">
        <f>Upload!AJ171</f>
        <v>(seleccione)</v>
      </c>
      <c r="I181" s="9" t="str">
        <f>Upload!AL171</f>
        <v>(seleccione)</v>
      </c>
      <c r="K181" s="15" t="str">
        <f t="shared" si="13"/>
        <v/>
      </c>
      <c r="L181" s="15" t="str">
        <f t="shared" si="14"/>
        <v/>
      </c>
      <c r="M181" s="15" t="str">
        <f t="shared" si="15"/>
        <v/>
      </c>
      <c r="N181" s="15" t="str">
        <f t="shared" si="16"/>
        <v/>
      </c>
      <c r="O181" s="15" t="str">
        <f t="shared" si="17"/>
        <v/>
      </c>
      <c r="P181" s="15" t="str">
        <f>IF(OR(C181="",NOT(OR(ISNUMBER(SEARCH("Antitarnish",Upload!R171&amp;Upload!S171&amp;Upload!T171&amp;Upload!U171&amp;Upload!V171)),ISNUMBER(SEARCH("Anti Tarnish",Upload!R171&amp;Upload!S171&amp;Upload!T171&amp;Upload!U171&amp;Upload!V171))))),"",0.0012*C181)</f>
        <v/>
      </c>
      <c r="Q181" s="15" t="str">
        <f>IF(OR(E181="",NOT(OR(ISNUMBER(SEARCH("Epóxico MT",Upload!R171&amp;Upload!S171&amp;Upload!T171&amp;Upload!U171&amp;Upload!V171))))),"",E181*0.000035)</f>
        <v/>
      </c>
      <c r="R181" s="15" t="str">
        <f>IF(OR(F181="",NOT(OR(ISNUMBER(SEARCH("Epóxico BT",Upload!S171&amp;Upload!T171&amp;Upload!U171&amp;Upload!V171&amp;Upload!W171))))),"",F181*0.000035)</f>
        <v/>
      </c>
      <c r="S181" s="15" t="str">
        <f>IF(OR(G181="",NOT(OR(ISNUMBER(SEARCH("Epóxico Rojo",Upload!T171&amp;Upload!U171&amp;Upload!V171&amp;Upload!W171&amp;Upload!X171))))),"",G181*0.000035)</f>
        <v/>
      </c>
    </row>
    <row r="182" spans="1:19" x14ac:dyDescent="0.2">
      <c r="A182" s="9" t="e">
        <f t="shared" ca="1" si="12"/>
        <v>#NAME?</v>
      </c>
      <c r="B182" s="9">
        <f>Upload!G172</f>
        <v>0</v>
      </c>
      <c r="C182" s="9">
        <f>Upload!AN172</f>
        <v>0</v>
      </c>
      <c r="D182" s="9">
        <f>Upload!AO172</f>
        <v>0</v>
      </c>
      <c r="E182" s="9">
        <f>Upload!AP172</f>
        <v>0</v>
      </c>
      <c r="F182" s="9" t="str">
        <f>Upload!AK172</f>
        <v/>
      </c>
      <c r="G182" s="9" t="str">
        <f>Upload!AM172</f>
        <v/>
      </c>
      <c r="H182" s="9" t="str">
        <f>Upload!AJ172</f>
        <v>(seleccione)</v>
      </c>
      <c r="I182" s="9" t="str">
        <f>Upload!AL172</f>
        <v>(seleccione)</v>
      </c>
      <c r="K182" s="15" t="str">
        <f t="shared" si="13"/>
        <v/>
      </c>
      <c r="L182" s="15" t="str">
        <f t="shared" si="14"/>
        <v/>
      </c>
      <c r="M182" s="15" t="str">
        <f t="shared" si="15"/>
        <v/>
      </c>
      <c r="N182" s="15" t="str">
        <f t="shared" si="16"/>
        <v/>
      </c>
      <c r="O182" s="15" t="str">
        <f t="shared" si="17"/>
        <v/>
      </c>
      <c r="P182" s="15" t="str">
        <f>IF(OR(C182="",NOT(OR(ISNUMBER(SEARCH("Antitarnish",Upload!R172&amp;Upload!S172&amp;Upload!T172&amp;Upload!U172&amp;Upload!V172)),ISNUMBER(SEARCH("Anti Tarnish",Upload!R172&amp;Upload!S172&amp;Upload!T172&amp;Upload!U172&amp;Upload!V172))))),"",0.0012*C182)</f>
        <v/>
      </c>
      <c r="Q182" s="15" t="str">
        <f>IF(OR(E182="",NOT(OR(ISNUMBER(SEARCH("Epóxico MT",Upload!R172&amp;Upload!S172&amp;Upload!T172&amp;Upload!U172&amp;Upload!V172))))),"",E182*0.000035)</f>
        <v/>
      </c>
      <c r="R182" s="15" t="str">
        <f>IF(OR(F182="",NOT(OR(ISNUMBER(SEARCH("Epóxico BT",Upload!S172&amp;Upload!T172&amp;Upload!U172&amp;Upload!V172&amp;Upload!W172))))),"",F182*0.000035)</f>
        <v/>
      </c>
      <c r="S182" s="15" t="str">
        <f>IF(OR(G182="",NOT(OR(ISNUMBER(SEARCH("Epóxico Rojo",Upload!T172&amp;Upload!U172&amp;Upload!V172&amp;Upload!W172&amp;Upload!X172))))),"",G182*0.000035)</f>
        <v/>
      </c>
    </row>
    <row r="183" spans="1:19" x14ac:dyDescent="0.2">
      <c r="A183" s="9" t="e">
        <f t="shared" ca="1" si="12"/>
        <v>#NAME?</v>
      </c>
      <c r="B183" s="9">
        <f>Upload!G173</f>
        <v>0</v>
      </c>
      <c r="C183" s="9">
        <f>Upload!AN173</f>
        <v>0</v>
      </c>
      <c r="D183" s="9">
        <f>Upload!AO173</f>
        <v>0</v>
      </c>
      <c r="E183" s="9">
        <f>Upload!AP173</f>
        <v>0</v>
      </c>
      <c r="F183" s="9" t="str">
        <f>Upload!AK173</f>
        <v/>
      </c>
      <c r="G183" s="9" t="str">
        <f>Upload!AM173</f>
        <v/>
      </c>
      <c r="H183" s="9" t="str">
        <f>Upload!AJ173</f>
        <v>(seleccione)</v>
      </c>
      <c r="I183" s="9" t="str">
        <f>Upload!AL173</f>
        <v>(seleccione)</v>
      </c>
      <c r="K183" s="15" t="str">
        <f t="shared" si="13"/>
        <v/>
      </c>
      <c r="L183" s="15" t="str">
        <f t="shared" si="14"/>
        <v/>
      </c>
      <c r="M183" s="15" t="str">
        <f t="shared" si="15"/>
        <v/>
      </c>
      <c r="N183" s="15" t="str">
        <f t="shared" si="16"/>
        <v/>
      </c>
      <c r="O183" s="15" t="str">
        <f t="shared" si="17"/>
        <v/>
      </c>
      <c r="P183" s="15" t="str">
        <f>IF(OR(C183="",NOT(OR(ISNUMBER(SEARCH("Antitarnish",Upload!R173&amp;Upload!S173&amp;Upload!T173&amp;Upload!U173&amp;Upload!V173)),ISNUMBER(SEARCH("Anti Tarnish",Upload!R173&amp;Upload!S173&amp;Upload!T173&amp;Upload!U173&amp;Upload!V173))))),"",0.0012*C183)</f>
        <v/>
      </c>
      <c r="Q183" s="15" t="str">
        <f>IF(OR(E183="",NOT(OR(ISNUMBER(SEARCH("Epóxico MT",Upload!R173&amp;Upload!S173&amp;Upload!T173&amp;Upload!U173&amp;Upload!V173))))),"",E183*0.000035)</f>
        <v/>
      </c>
      <c r="R183" s="15" t="str">
        <f>IF(OR(F183="",NOT(OR(ISNUMBER(SEARCH("Epóxico BT",Upload!S173&amp;Upload!T173&amp;Upload!U173&amp;Upload!V173&amp;Upload!W173))))),"",F183*0.000035)</f>
        <v/>
      </c>
      <c r="S183" s="15" t="str">
        <f>IF(OR(G183="",NOT(OR(ISNUMBER(SEARCH("Epóxico Rojo",Upload!T173&amp;Upload!U173&amp;Upload!V173&amp;Upload!W173&amp;Upload!X173))))),"",G183*0.000035)</f>
        <v/>
      </c>
    </row>
    <row r="184" spans="1:19" x14ac:dyDescent="0.2">
      <c r="A184" s="9" t="e">
        <f t="shared" ca="1" si="12"/>
        <v>#NAME?</v>
      </c>
      <c r="B184" s="9">
        <f>Upload!G174</f>
        <v>0</v>
      </c>
      <c r="C184" s="9">
        <f>Upload!AN174</f>
        <v>0</v>
      </c>
      <c r="D184" s="9">
        <f>Upload!AO174</f>
        <v>0</v>
      </c>
      <c r="E184" s="9">
        <f>Upload!AP174</f>
        <v>0</v>
      </c>
      <c r="F184" s="9" t="str">
        <f>Upload!AK174</f>
        <v/>
      </c>
      <c r="G184" s="9" t="str">
        <f>Upload!AM174</f>
        <v/>
      </c>
      <c r="H184" s="9" t="str">
        <f>Upload!AJ174</f>
        <v>(seleccione)</v>
      </c>
      <c r="I184" s="9" t="str">
        <f>Upload!AL174</f>
        <v>(seleccione)</v>
      </c>
      <c r="K184" s="15" t="str">
        <f t="shared" si="13"/>
        <v/>
      </c>
      <c r="L184" s="15" t="str">
        <f t="shared" si="14"/>
        <v/>
      </c>
      <c r="M184" s="15" t="str">
        <f t="shared" si="15"/>
        <v/>
      </c>
      <c r="N184" s="15" t="str">
        <f t="shared" si="16"/>
        <v/>
      </c>
      <c r="O184" s="15" t="str">
        <f t="shared" si="17"/>
        <v/>
      </c>
      <c r="P184" s="15" t="str">
        <f>IF(OR(C184="",NOT(OR(ISNUMBER(SEARCH("Antitarnish",Upload!R174&amp;Upload!S174&amp;Upload!T174&amp;Upload!U174&amp;Upload!V174)),ISNUMBER(SEARCH("Anti Tarnish",Upload!R174&amp;Upload!S174&amp;Upload!T174&amp;Upload!U174&amp;Upload!V174))))),"",0.0012*C184)</f>
        <v/>
      </c>
      <c r="Q184" s="15" t="str">
        <f>IF(OR(E184="",NOT(OR(ISNUMBER(SEARCH("Epóxico MT",Upload!R174&amp;Upload!S174&amp;Upload!T174&amp;Upload!U174&amp;Upload!V174))))),"",E184*0.000035)</f>
        <v/>
      </c>
      <c r="R184" s="15" t="str">
        <f>IF(OR(F184="",NOT(OR(ISNUMBER(SEARCH("Epóxico BT",Upload!S174&amp;Upload!T174&amp;Upload!U174&amp;Upload!V174&amp;Upload!W174))))),"",F184*0.000035)</f>
        <v/>
      </c>
      <c r="S184" s="15" t="str">
        <f>IF(OR(G184="",NOT(OR(ISNUMBER(SEARCH("Epóxico Rojo",Upload!T174&amp;Upload!U174&amp;Upload!V174&amp;Upload!W174&amp;Upload!X174))))),"",G184*0.000035)</f>
        <v/>
      </c>
    </row>
    <row r="185" spans="1:19" x14ac:dyDescent="0.2">
      <c r="A185" s="9" t="e">
        <f t="shared" ca="1" si="12"/>
        <v>#NAME?</v>
      </c>
      <c r="B185" s="9">
        <f>Upload!G175</f>
        <v>0</v>
      </c>
      <c r="C185" s="9">
        <f>Upload!AN175</f>
        <v>0</v>
      </c>
      <c r="D185" s="9">
        <f>Upload!AO175</f>
        <v>0</v>
      </c>
      <c r="E185" s="9">
        <f>Upload!AP175</f>
        <v>0</v>
      </c>
      <c r="F185" s="9" t="str">
        <f>Upload!AK175</f>
        <v/>
      </c>
      <c r="G185" s="9" t="str">
        <f>Upload!AM175</f>
        <v/>
      </c>
      <c r="H185" s="9" t="str">
        <f>Upload!AJ175</f>
        <v>(seleccione)</v>
      </c>
      <c r="I185" s="9" t="str">
        <f>Upload!AL175</f>
        <v>(seleccione)</v>
      </c>
      <c r="K185" s="15" t="str">
        <f t="shared" si="13"/>
        <v/>
      </c>
      <c r="L185" s="15" t="str">
        <f t="shared" si="14"/>
        <v/>
      </c>
      <c r="M185" s="15" t="str">
        <f t="shared" si="15"/>
        <v/>
      </c>
      <c r="N185" s="15" t="str">
        <f t="shared" si="16"/>
        <v/>
      </c>
      <c r="O185" s="15" t="str">
        <f t="shared" si="17"/>
        <v/>
      </c>
      <c r="P185" s="15" t="str">
        <f>IF(OR(C185="",NOT(OR(ISNUMBER(SEARCH("Antitarnish",Upload!R175&amp;Upload!S175&amp;Upload!T175&amp;Upload!U175&amp;Upload!V175)),ISNUMBER(SEARCH("Anti Tarnish",Upload!R175&amp;Upload!S175&amp;Upload!T175&amp;Upload!U175&amp;Upload!V175))))),"",0.0012*C185)</f>
        <v/>
      </c>
      <c r="Q185" s="15" t="str">
        <f>IF(OR(E185="",NOT(OR(ISNUMBER(SEARCH("Epóxico MT",Upload!R175&amp;Upload!S175&amp;Upload!T175&amp;Upload!U175&amp;Upload!V175))))),"",E185*0.000035)</f>
        <v/>
      </c>
      <c r="R185" s="15" t="str">
        <f>IF(OR(F185="",NOT(OR(ISNUMBER(SEARCH("Epóxico BT",Upload!S175&amp;Upload!T175&amp;Upload!U175&amp;Upload!V175&amp;Upload!W175))))),"",F185*0.000035)</f>
        <v/>
      </c>
      <c r="S185" s="15" t="str">
        <f>IF(OR(G185="",NOT(OR(ISNUMBER(SEARCH("Epóxico Rojo",Upload!T175&amp;Upload!U175&amp;Upload!V175&amp;Upload!W175&amp;Upload!X175))))),"",G185*0.000035)</f>
        <v/>
      </c>
    </row>
    <row r="186" spans="1:19" x14ac:dyDescent="0.2">
      <c r="A186" s="9" t="e">
        <f t="shared" ca="1" si="12"/>
        <v>#NAME?</v>
      </c>
      <c r="B186" s="9">
        <f>Upload!G176</f>
        <v>0</v>
      </c>
      <c r="C186" s="9">
        <f>Upload!AN176</f>
        <v>0</v>
      </c>
      <c r="D186" s="9">
        <f>Upload!AO176</f>
        <v>0</v>
      </c>
      <c r="E186" s="9">
        <f>Upload!AP176</f>
        <v>0</v>
      </c>
      <c r="F186" s="9" t="str">
        <f>Upload!AK176</f>
        <v/>
      </c>
      <c r="G186" s="9" t="str">
        <f>Upload!AM176</f>
        <v/>
      </c>
      <c r="H186" s="9" t="str">
        <f>Upload!AJ176</f>
        <v>(seleccione)</v>
      </c>
      <c r="I186" s="9" t="str">
        <f>Upload!AL176</f>
        <v>(seleccione)</v>
      </c>
      <c r="K186" s="15" t="str">
        <f t="shared" si="13"/>
        <v/>
      </c>
      <c r="L186" s="15" t="str">
        <f t="shared" si="14"/>
        <v/>
      </c>
      <c r="M186" s="15" t="str">
        <f t="shared" si="15"/>
        <v/>
      </c>
      <c r="N186" s="15" t="str">
        <f t="shared" si="16"/>
        <v/>
      </c>
      <c r="O186" s="15" t="str">
        <f t="shared" si="17"/>
        <v/>
      </c>
      <c r="P186" s="15" t="str">
        <f>IF(OR(C186="",NOT(OR(ISNUMBER(SEARCH("Antitarnish",Upload!R176&amp;Upload!S176&amp;Upload!T176&amp;Upload!U176&amp;Upload!V176)),ISNUMBER(SEARCH("Anti Tarnish",Upload!R176&amp;Upload!S176&amp;Upload!T176&amp;Upload!U176&amp;Upload!V176))))),"",0.0012*C186)</f>
        <v/>
      </c>
      <c r="Q186" s="15" t="str">
        <f>IF(OR(E186="",NOT(OR(ISNUMBER(SEARCH("Epóxico MT",Upload!R176&amp;Upload!S176&amp;Upload!T176&amp;Upload!U176&amp;Upload!V176))))),"",E186*0.000035)</f>
        <v/>
      </c>
      <c r="R186" s="15" t="str">
        <f>IF(OR(F186="",NOT(OR(ISNUMBER(SEARCH("Epóxico BT",Upload!S176&amp;Upload!T176&amp;Upload!U176&amp;Upload!V176&amp;Upload!W176))))),"",F186*0.000035)</f>
        <v/>
      </c>
      <c r="S186" s="15" t="str">
        <f>IF(OR(G186="",NOT(OR(ISNUMBER(SEARCH("Epóxico Rojo",Upload!T176&amp;Upload!U176&amp;Upload!V176&amp;Upload!W176&amp;Upload!X176))))),"",G186*0.000035)</f>
        <v/>
      </c>
    </row>
    <row r="187" spans="1:19" x14ac:dyDescent="0.2">
      <c r="A187" s="9" t="e">
        <f t="shared" ca="1" si="12"/>
        <v>#NAME?</v>
      </c>
      <c r="B187" s="9">
        <f>Upload!G177</f>
        <v>0</v>
      </c>
      <c r="C187" s="9">
        <f>Upload!AN177</f>
        <v>0</v>
      </c>
      <c r="D187" s="9">
        <f>Upload!AO177</f>
        <v>0</v>
      </c>
      <c r="E187" s="9">
        <f>Upload!AP177</f>
        <v>0</v>
      </c>
      <c r="F187" s="9" t="str">
        <f>Upload!AK177</f>
        <v/>
      </c>
      <c r="G187" s="9" t="str">
        <f>Upload!AM177</f>
        <v/>
      </c>
      <c r="H187" s="9" t="str">
        <f>Upload!AJ177</f>
        <v>(seleccione)</v>
      </c>
      <c r="I187" s="9" t="str">
        <f>Upload!AL177</f>
        <v>(seleccione)</v>
      </c>
      <c r="K187" s="15" t="str">
        <f t="shared" si="13"/>
        <v/>
      </c>
      <c r="L187" s="15" t="str">
        <f t="shared" si="14"/>
        <v/>
      </c>
      <c r="M187" s="15" t="str">
        <f t="shared" si="15"/>
        <v/>
      </c>
      <c r="N187" s="15" t="str">
        <f t="shared" si="16"/>
        <v/>
      </c>
      <c r="O187" s="15" t="str">
        <f t="shared" si="17"/>
        <v/>
      </c>
      <c r="P187" s="15" t="str">
        <f>IF(OR(C187="",NOT(OR(ISNUMBER(SEARCH("Antitarnish",Upload!R177&amp;Upload!S177&amp;Upload!T177&amp;Upload!U177&amp;Upload!V177)),ISNUMBER(SEARCH("Anti Tarnish",Upload!R177&amp;Upload!S177&amp;Upload!T177&amp;Upload!U177&amp;Upload!V177))))),"",0.0012*C187)</f>
        <v/>
      </c>
      <c r="Q187" s="15" t="str">
        <f>IF(OR(E187="",NOT(OR(ISNUMBER(SEARCH("Epóxico MT",Upload!R177&amp;Upload!S177&amp;Upload!T177&amp;Upload!U177&amp;Upload!V177))))),"",E187*0.000035)</f>
        <v/>
      </c>
      <c r="R187" s="15" t="str">
        <f>IF(OR(F187="",NOT(OR(ISNUMBER(SEARCH("Epóxico BT",Upload!S177&amp;Upload!T177&amp;Upload!U177&amp;Upload!V177&amp;Upload!W177))))),"",F187*0.000035)</f>
        <v/>
      </c>
      <c r="S187" s="15" t="str">
        <f>IF(OR(G187="",NOT(OR(ISNUMBER(SEARCH("Epóxico Rojo",Upload!T177&amp;Upload!U177&amp;Upload!V177&amp;Upload!W177&amp;Upload!X177))))),"",G187*0.000035)</f>
        <v/>
      </c>
    </row>
    <row r="188" spans="1:19" x14ac:dyDescent="0.2">
      <c r="A188" s="9" t="e">
        <f t="shared" ca="1" si="12"/>
        <v>#NAME?</v>
      </c>
      <c r="B188" s="9">
        <f>Upload!G178</f>
        <v>0</v>
      </c>
      <c r="C188" s="9">
        <f>Upload!AN178</f>
        <v>0</v>
      </c>
      <c r="D188" s="9">
        <f>Upload!AO178</f>
        <v>0</v>
      </c>
      <c r="E188" s="9">
        <f>Upload!AP178</f>
        <v>0</v>
      </c>
      <c r="F188" s="9" t="str">
        <f>Upload!AK178</f>
        <v/>
      </c>
      <c r="G188" s="9" t="str">
        <f>Upload!AM178</f>
        <v/>
      </c>
      <c r="H188" s="9" t="str">
        <f>Upload!AJ178</f>
        <v>(seleccione)</v>
      </c>
      <c r="I188" s="9" t="str">
        <f>Upload!AL178</f>
        <v>(seleccione)</v>
      </c>
      <c r="K188" s="15" t="str">
        <f t="shared" si="13"/>
        <v/>
      </c>
      <c r="L188" s="15" t="str">
        <f t="shared" si="14"/>
        <v/>
      </c>
      <c r="M188" s="15" t="str">
        <f t="shared" si="15"/>
        <v/>
      </c>
      <c r="N188" s="15" t="str">
        <f t="shared" si="16"/>
        <v/>
      </c>
      <c r="O188" s="15" t="str">
        <f t="shared" si="17"/>
        <v/>
      </c>
      <c r="P188" s="15" t="str">
        <f>IF(OR(C188="",NOT(OR(ISNUMBER(SEARCH("Antitarnish",Upload!R178&amp;Upload!S178&amp;Upload!T178&amp;Upload!U178&amp;Upload!V178)),ISNUMBER(SEARCH("Anti Tarnish",Upload!R178&amp;Upload!S178&amp;Upload!T178&amp;Upload!U178&amp;Upload!V178))))),"",0.0012*C188)</f>
        <v/>
      </c>
      <c r="Q188" s="15" t="str">
        <f>IF(OR(E188="",NOT(OR(ISNUMBER(SEARCH("Epóxico MT",Upload!R178&amp;Upload!S178&amp;Upload!T178&amp;Upload!U178&amp;Upload!V178))))),"",E188*0.000035)</f>
        <v/>
      </c>
      <c r="R188" s="15" t="str">
        <f>IF(OR(F188="",NOT(OR(ISNUMBER(SEARCH("Epóxico BT",Upload!S178&amp;Upload!T178&amp;Upload!U178&amp;Upload!V178&amp;Upload!W178))))),"",F188*0.000035)</f>
        <v/>
      </c>
      <c r="S188" s="15" t="str">
        <f>IF(OR(G188="",NOT(OR(ISNUMBER(SEARCH("Epóxico Rojo",Upload!T178&amp;Upload!U178&amp;Upload!V178&amp;Upload!W178&amp;Upload!X178))))),"",G188*0.000035)</f>
        <v/>
      </c>
    </row>
    <row r="189" spans="1:19" x14ac:dyDescent="0.2">
      <c r="A189" s="9" t="e">
        <f t="shared" ca="1" si="12"/>
        <v>#NAME?</v>
      </c>
      <c r="B189" s="9">
        <f>Upload!G179</f>
        <v>0</v>
      </c>
      <c r="C189" s="9">
        <f>Upload!AN179</f>
        <v>0</v>
      </c>
      <c r="D189" s="9">
        <f>Upload!AO179</f>
        <v>0</v>
      </c>
      <c r="E189" s="9">
        <f>Upload!AP179</f>
        <v>0</v>
      </c>
      <c r="F189" s="9" t="str">
        <f>Upload!AK179</f>
        <v/>
      </c>
      <c r="G189" s="9" t="str">
        <f>Upload!AM179</f>
        <v/>
      </c>
      <c r="H189" s="9" t="str">
        <f>Upload!AJ179</f>
        <v>(seleccione)</v>
      </c>
      <c r="I189" s="9" t="str">
        <f>Upload!AL179</f>
        <v>(seleccione)</v>
      </c>
      <c r="K189" s="15" t="str">
        <f t="shared" si="13"/>
        <v/>
      </c>
      <c r="L189" s="15" t="str">
        <f t="shared" si="14"/>
        <v/>
      </c>
      <c r="M189" s="15" t="str">
        <f t="shared" si="15"/>
        <v/>
      </c>
      <c r="N189" s="15" t="str">
        <f t="shared" si="16"/>
        <v/>
      </c>
      <c r="O189" s="15" t="str">
        <f t="shared" si="17"/>
        <v/>
      </c>
      <c r="P189" s="15" t="str">
        <f>IF(OR(C189="",NOT(OR(ISNUMBER(SEARCH("Antitarnish",Upload!R179&amp;Upload!S179&amp;Upload!T179&amp;Upload!U179&amp;Upload!V179)),ISNUMBER(SEARCH("Anti Tarnish",Upload!R179&amp;Upload!S179&amp;Upload!T179&amp;Upload!U179&amp;Upload!V179))))),"",0.0012*C189)</f>
        <v/>
      </c>
      <c r="Q189" s="15" t="str">
        <f>IF(OR(E189="",NOT(OR(ISNUMBER(SEARCH("Epóxico MT",Upload!R179&amp;Upload!S179&amp;Upload!T179&amp;Upload!U179&amp;Upload!V179))))),"",E189*0.000035)</f>
        <v/>
      </c>
      <c r="R189" s="15" t="str">
        <f>IF(OR(F189="",NOT(OR(ISNUMBER(SEARCH("Epóxico BT",Upload!S179&amp;Upload!T179&amp;Upload!U179&amp;Upload!V179&amp;Upload!W179))))),"",F189*0.000035)</f>
        <v/>
      </c>
      <c r="S189" s="15" t="str">
        <f>IF(OR(G189="",NOT(OR(ISNUMBER(SEARCH("Epóxico Rojo",Upload!T179&amp;Upload!U179&amp;Upload!V179&amp;Upload!W179&amp;Upload!X179))))),"",G189*0.000035)</f>
        <v/>
      </c>
    </row>
    <row r="190" spans="1:19" x14ac:dyDescent="0.2">
      <c r="A190" s="9" t="e">
        <f t="shared" ca="1" si="12"/>
        <v>#NAME?</v>
      </c>
      <c r="B190" s="9">
        <f>Upload!G180</f>
        <v>0</v>
      </c>
      <c r="C190" s="9">
        <f>Upload!AN180</f>
        <v>0</v>
      </c>
      <c r="D190" s="9">
        <f>Upload!AO180</f>
        <v>0</v>
      </c>
      <c r="E190" s="9">
        <f>Upload!AP180</f>
        <v>0</v>
      </c>
      <c r="F190" s="9" t="str">
        <f>Upload!AK180</f>
        <v/>
      </c>
      <c r="G190" s="9" t="str">
        <f>Upload!AM180</f>
        <v/>
      </c>
      <c r="H190" s="9" t="str">
        <f>Upload!AJ180</f>
        <v>(seleccione)</v>
      </c>
      <c r="I190" s="9" t="str">
        <f>Upload!AL180</f>
        <v>(seleccione)</v>
      </c>
      <c r="K190" s="15" t="str">
        <f t="shared" si="13"/>
        <v/>
      </c>
      <c r="L190" s="15" t="str">
        <f t="shared" si="14"/>
        <v/>
      </c>
      <c r="M190" s="15" t="str">
        <f t="shared" si="15"/>
        <v/>
      </c>
      <c r="N190" s="15" t="str">
        <f t="shared" si="16"/>
        <v/>
      </c>
      <c r="O190" s="15" t="str">
        <f t="shared" si="17"/>
        <v/>
      </c>
      <c r="P190" s="15" t="str">
        <f>IF(OR(C190="",NOT(OR(ISNUMBER(SEARCH("Antitarnish",Upload!R180&amp;Upload!S180&amp;Upload!T180&amp;Upload!U180&amp;Upload!V180)),ISNUMBER(SEARCH("Anti Tarnish",Upload!R180&amp;Upload!S180&amp;Upload!T180&amp;Upload!U180&amp;Upload!V180))))),"",0.0012*C190)</f>
        <v/>
      </c>
      <c r="Q190" s="15" t="str">
        <f>IF(OR(E190="",NOT(OR(ISNUMBER(SEARCH("Epóxico MT",Upload!R180&amp;Upload!S180&amp;Upload!T180&amp;Upload!U180&amp;Upload!V180))))),"",E190*0.000035)</f>
        <v/>
      </c>
      <c r="R190" s="15" t="str">
        <f>IF(OR(F190="",NOT(OR(ISNUMBER(SEARCH("Epóxico BT",Upload!S180&amp;Upload!T180&amp;Upload!U180&amp;Upload!V180&amp;Upload!W180))))),"",F190*0.000035)</f>
        <v/>
      </c>
      <c r="S190" s="15" t="str">
        <f>IF(OR(G190="",NOT(OR(ISNUMBER(SEARCH("Epóxico Rojo",Upload!T180&amp;Upload!U180&amp;Upload!V180&amp;Upload!W180&amp;Upload!X180))))),"",G190*0.000035)</f>
        <v/>
      </c>
    </row>
    <row r="191" spans="1:19" x14ac:dyDescent="0.2">
      <c r="A191" s="9" t="e">
        <f t="shared" ca="1" si="12"/>
        <v>#NAME?</v>
      </c>
      <c r="B191" s="9">
        <f>Upload!G181</f>
        <v>0</v>
      </c>
      <c r="C191" s="9">
        <f>Upload!AN181</f>
        <v>0</v>
      </c>
      <c r="D191" s="9">
        <f>Upload!AO181</f>
        <v>0</v>
      </c>
      <c r="E191" s="9">
        <f>Upload!AP181</f>
        <v>0</v>
      </c>
      <c r="F191" s="9" t="str">
        <f>Upload!AK181</f>
        <v/>
      </c>
      <c r="G191" s="9" t="str">
        <f>Upload!AM181</f>
        <v/>
      </c>
      <c r="H191" s="9" t="str">
        <f>Upload!AJ181</f>
        <v>(seleccione)</v>
      </c>
      <c r="I191" s="9" t="str">
        <f>Upload!AL181</f>
        <v>(seleccione)</v>
      </c>
      <c r="K191" s="15" t="str">
        <f t="shared" si="13"/>
        <v/>
      </c>
      <c r="L191" s="15" t="str">
        <f t="shared" si="14"/>
        <v/>
      </c>
      <c r="M191" s="15" t="str">
        <f t="shared" si="15"/>
        <v/>
      </c>
      <c r="N191" s="15" t="str">
        <f t="shared" si="16"/>
        <v/>
      </c>
      <c r="O191" s="15" t="str">
        <f t="shared" si="17"/>
        <v/>
      </c>
      <c r="P191" s="15" t="str">
        <f>IF(OR(C191="",NOT(OR(ISNUMBER(SEARCH("Antitarnish",Upload!R181&amp;Upload!S181&amp;Upload!T181&amp;Upload!U181&amp;Upload!V181)),ISNUMBER(SEARCH("Anti Tarnish",Upload!R181&amp;Upload!S181&amp;Upload!T181&amp;Upload!U181&amp;Upload!V181))))),"",0.0012*C191)</f>
        <v/>
      </c>
      <c r="Q191" s="15" t="str">
        <f>IF(OR(E191="",NOT(OR(ISNUMBER(SEARCH("Epóxico MT",Upload!R181&amp;Upload!S181&amp;Upload!T181&amp;Upload!U181&amp;Upload!V181))))),"",E191*0.000035)</f>
        <v/>
      </c>
      <c r="R191" s="15" t="str">
        <f>IF(OR(F191="",NOT(OR(ISNUMBER(SEARCH("Epóxico BT",Upload!S181&amp;Upload!T181&amp;Upload!U181&amp;Upload!V181&amp;Upload!W181))))),"",F191*0.000035)</f>
        <v/>
      </c>
      <c r="S191" s="15" t="str">
        <f>IF(OR(G191="",NOT(OR(ISNUMBER(SEARCH("Epóxico Rojo",Upload!T181&amp;Upload!U181&amp;Upload!V181&amp;Upload!W181&amp;Upload!X181))))),"",G191*0.000035)</f>
        <v/>
      </c>
    </row>
    <row r="192" spans="1:19" x14ac:dyDescent="0.2">
      <c r="A192" s="9" t="e">
        <f t="shared" ca="1" si="12"/>
        <v>#NAME?</v>
      </c>
      <c r="B192" s="9">
        <f>Upload!G182</f>
        <v>0</v>
      </c>
      <c r="C192" s="9">
        <f>Upload!AN182</f>
        <v>0</v>
      </c>
      <c r="D192" s="9">
        <f>Upload!AO182</f>
        <v>0</v>
      </c>
      <c r="E192" s="9">
        <f>Upload!AP182</f>
        <v>0</v>
      </c>
      <c r="F192" s="9" t="str">
        <f>Upload!AK182</f>
        <v/>
      </c>
      <c r="G192" s="9" t="str">
        <f>Upload!AM182</f>
        <v/>
      </c>
      <c r="H192" s="9" t="str">
        <f>Upload!AJ182</f>
        <v>(seleccione)</v>
      </c>
      <c r="I192" s="9" t="str">
        <f>Upload!AL182</f>
        <v>(seleccione)</v>
      </c>
      <c r="K192" s="15" t="str">
        <f t="shared" si="13"/>
        <v/>
      </c>
      <c r="L192" s="15" t="str">
        <f t="shared" si="14"/>
        <v/>
      </c>
      <c r="M192" s="15" t="str">
        <f t="shared" si="15"/>
        <v/>
      </c>
      <c r="N192" s="15" t="str">
        <f t="shared" si="16"/>
        <v/>
      </c>
      <c r="O192" s="15" t="str">
        <f t="shared" si="17"/>
        <v/>
      </c>
      <c r="P192" s="15" t="str">
        <f>IF(OR(C192="",NOT(OR(ISNUMBER(SEARCH("Antitarnish",Upload!R182&amp;Upload!S182&amp;Upload!T182&amp;Upload!U182&amp;Upload!V182)),ISNUMBER(SEARCH("Anti Tarnish",Upload!R182&amp;Upload!S182&amp;Upload!T182&amp;Upload!U182&amp;Upload!V182))))),"",0.0012*C192)</f>
        <v/>
      </c>
      <c r="Q192" s="15" t="str">
        <f>IF(OR(E192="",NOT(OR(ISNUMBER(SEARCH("Epóxico MT",Upload!R182&amp;Upload!S182&amp;Upload!T182&amp;Upload!U182&amp;Upload!V182))))),"",E192*0.000035)</f>
        <v/>
      </c>
      <c r="R192" s="15" t="str">
        <f>IF(OR(F192="",NOT(OR(ISNUMBER(SEARCH("Epóxico BT",Upload!S182&amp;Upload!T182&amp;Upload!U182&amp;Upload!V182&amp;Upload!W182))))),"",F192*0.000035)</f>
        <v/>
      </c>
      <c r="S192" s="15" t="str">
        <f>IF(OR(G192="",NOT(OR(ISNUMBER(SEARCH("Epóxico Rojo",Upload!T182&amp;Upload!U182&amp;Upload!V182&amp;Upload!W182&amp;Upload!X182))))),"",G192*0.000035)</f>
        <v/>
      </c>
    </row>
    <row r="193" spans="1:19" x14ac:dyDescent="0.2">
      <c r="A193" s="9" t="e">
        <f t="shared" ca="1" si="12"/>
        <v>#NAME?</v>
      </c>
      <c r="B193" s="9">
        <f>Upload!G183</f>
        <v>0</v>
      </c>
      <c r="C193" s="9">
        <f>Upload!AN183</f>
        <v>0</v>
      </c>
      <c r="D193" s="9">
        <f>Upload!AO183</f>
        <v>0</v>
      </c>
      <c r="E193" s="9">
        <f>Upload!AP183</f>
        <v>0</v>
      </c>
      <c r="F193" s="9" t="str">
        <f>Upload!AK183</f>
        <v/>
      </c>
      <c r="G193" s="9" t="str">
        <f>Upload!AM183</f>
        <v/>
      </c>
      <c r="H193" s="9" t="str">
        <f>Upload!AJ183</f>
        <v>(seleccione)</v>
      </c>
      <c r="I193" s="9" t="str">
        <f>Upload!AL183</f>
        <v>(seleccione)</v>
      </c>
      <c r="K193" s="15" t="str">
        <f t="shared" si="13"/>
        <v/>
      </c>
      <c r="L193" s="15" t="str">
        <f t="shared" si="14"/>
        <v/>
      </c>
      <c r="M193" s="15" t="str">
        <f t="shared" si="15"/>
        <v/>
      </c>
      <c r="N193" s="15" t="str">
        <f t="shared" si="16"/>
        <v/>
      </c>
      <c r="O193" s="15" t="str">
        <f t="shared" si="17"/>
        <v/>
      </c>
      <c r="P193" s="15" t="str">
        <f>IF(OR(C193="",NOT(OR(ISNUMBER(SEARCH("Antitarnish",Upload!R183&amp;Upload!S183&amp;Upload!T183&amp;Upload!U183&amp;Upload!V183)),ISNUMBER(SEARCH("Anti Tarnish",Upload!R183&amp;Upload!S183&amp;Upload!T183&amp;Upload!U183&amp;Upload!V183))))),"",0.0012*C193)</f>
        <v/>
      </c>
      <c r="Q193" s="15" t="str">
        <f>IF(OR(E193="",NOT(OR(ISNUMBER(SEARCH("Epóxico MT",Upload!R183&amp;Upload!S183&amp;Upload!T183&amp;Upload!U183&amp;Upload!V183))))),"",E193*0.000035)</f>
        <v/>
      </c>
      <c r="R193" s="15" t="str">
        <f>IF(OR(F193="",NOT(OR(ISNUMBER(SEARCH("Epóxico BT",Upload!S183&amp;Upload!T183&amp;Upload!U183&amp;Upload!V183&amp;Upload!W183))))),"",F193*0.000035)</f>
        <v/>
      </c>
      <c r="S193" s="15" t="str">
        <f>IF(OR(G193="",NOT(OR(ISNUMBER(SEARCH("Epóxico Rojo",Upload!T183&amp;Upload!U183&amp;Upload!V183&amp;Upload!W183&amp;Upload!X183))))),"",G193*0.000035)</f>
        <v/>
      </c>
    </row>
    <row r="194" spans="1:19" x14ac:dyDescent="0.2">
      <c r="A194" s="9" t="e">
        <f t="shared" ca="1" si="12"/>
        <v>#NAME?</v>
      </c>
      <c r="B194" s="9">
        <f>Upload!G184</f>
        <v>0</v>
      </c>
      <c r="C194" s="9">
        <f>Upload!AN184</f>
        <v>0</v>
      </c>
      <c r="D194" s="9">
        <f>Upload!AO184</f>
        <v>0</v>
      </c>
      <c r="E194" s="9">
        <f>Upload!AP184</f>
        <v>0</v>
      </c>
      <c r="F194" s="9" t="str">
        <f>Upload!AK184</f>
        <v/>
      </c>
      <c r="G194" s="9" t="str">
        <f>Upload!AM184</f>
        <v/>
      </c>
      <c r="H194" s="9" t="str">
        <f>Upload!AJ184</f>
        <v>(seleccione)</v>
      </c>
      <c r="I194" s="9" t="str">
        <f>Upload!AL184</f>
        <v>(seleccione)</v>
      </c>
      <c r="K194" s="15" t="str">
        <f t="shared" si="13"/>
        <v/>
      </c>
      <c r="L194" s="15" t="str">
        <f t="shared" si="14"/>
        <v/>
      </c>
      <c r="M194" s="15" t="str">
        <f t="shared" si="15"/>
        <v/>
      </c>
      <c r="N194" s="15" t="str">
        <f t="shared" si="16"/>
        <v/>
      </c>
      <c r="O194" s="15" t="str">
        <f t="shared" si="17"/>
        <v/>
      </c>
      <c r="P194" s="15" t="str">
        <f>IF(OR(C194="",NOT(OR(ISNUMBER(SEARCH("Antitarnish",Upload!R184&amp;Upload!S184&amp;Upload!T184&amp;Upload!U184&amp;Upload!V184)),ISNUMBER(SEARCH("Anti Tarnish",Upload!R184&amp;Upload!S184&amp;Upload!T184&amp;Upload!U184&amp;Upload!V184))))),"",0.0012*C194)</f>
        <v/>
      </c>
      <c r="Q194" s="15" t="str">
        <f>IF(OR(E194="",NOT(OR(ISNUMBER(SEARCH("Epóxico MT",Upload!R184&amp;Upload!S184&amp;Upload!T184&amp;Upload!U184&amp;Upload!V184))))),"",E194*0.000035)</f>
        <v/>
      </c>
      <c r="R194" s="15" t="str">
        <f>IF(OR(F194="",NOT(OR(ISNUMBER(SEARCH("Epóxico BT",Upload!S184&amp;Upload!T184&amp;Upload!U184&amp;Upload!V184&amp;Upload!W184))))),"",F194*0.000035)</f>
        <v/>
      </c>
      <c r="S194" s="15" t="str">
        <f>IF(OR(G194="",NOT(OR(ISNUMBER(SEARCH("Epóxico Rojo",Upload!T184&amp;Upload!U184&amp;Upload!V184&amp;Upload!W184&amp;Upload!X184))))),"",G194*0.000035)</f>
        <v/>
      </c>
    </row>
    <row r="195" spans="1:19" x14ac:dyDescent="0.2">
      <c r="A195" s="9" t="e">
        <f t="shared" ca="1" si="12"/>
        <v>#NAME?</v>
      </c>
      <c r="B195" s="9">
        <f>Upload!G185</f>
        <v>0</v>
      </c>
      <c r="C195" s="9">
        <f>Upload!AN185</f>
        <v>0</v>
      </c>
      <c r="D195" s="9">
        <f>Upload!AO185</f>
        <v>0</v>
      </c>
      <c r="E195" s="9">
        <f>Upload!AP185</f>
        <v>0</v>
      </c>
      <c r="F195" s="9" t="str">
        <f>Upload!AK185</f>
        <v/>
      </c>
      <c r="G195" s="9" t="str">
        <f>Upload!AM185</f>
        <v/>
      </c>
      <c r="H195" s="9" t="str">
        <f>Upload!AJ185</f>
        <v>(seleccione)</v>
      </c>
      <c r="I195" s="9" t="str">
        <f>Upload!AL185</f>
        <v>(seleccione)</v>
      </c>
      <c r="K195" s="15" t="str">
        <f t="shared" si="13"/>
        <v/>
      </c>
      <c r="L195" s="15" t="str">
        <f t="shared" si="14"/>
        <v/>
      </c>
      <c r="M195" s="15" t="str">
        <f t="shared" si="15"/>
        <v/>
      </c>
      <c r="N195" s="15" t="str">
        <f t="shared" si="16"/>
        <v/>
      </c>
      <c r="O195" s="15" t="str">
        <f t="shared" si="17"/>
        <v/>
      </c>
      <c r="P195" s="15" t="str">
        <f>IF(OR(C195="",NOT(OR(ISNUMBER(SEARCH("Antitarnish",Upload!R185&amp;Upload!S185&amp;Upload!T185&amp;Upload!U185&amp;Upload!V185)),ISNUMBER(SEARCH("Anti Tarnish",Upload!R185&amp;Upload!S185&amp;Upload!T185&amp;Upload!U185&amp;Upload!V185))))),"",0.0012*C195)</f>
        <v/>
      </c>
      <c r="Q195" s="15" t="str">
        <f>IF(OR(E195="",NOT(OR(ISNUMBER(SEARCH("Epóxico MT",Upload!R185&amp;Upload!S185&amp;Upload!T185&amp;Upload!U185&amp;Upload!V185))))),"",E195*0.000035)</f>
        <v/>
      </c>
      <c r="R195" s="15" t="str">
        <f>IF(OR(F195="",NOT(OR(ISNUMBER(SEARCH("Epóxico BT",Upload!S185&amp;Upload!T185&amp;Upload!U185&amp;Upload!V185&amp;Upload!W185))))),"",F195*0.000035)</f>
        <v/>
      </c>
      <c r="S195" s="15" t="str">
        <f>IF(OR(G195="",NOT(OR(ISNUMBER(SEARCH("Epóxico Rojo",Upload!T185&amp;Upload!U185&amp;Upload!V185&amp;Upload!W185&amp;Upload!X185))))),"",G195*0.000035)</f>
        <v/>
      </c>
    </row>
    <row r="196" spans="1:19" x14ac:dyDescent="0.2">
      <c r="A196" s="9" t="e">
        <f t="shared" ca="1" si="12"/>
        <v>#NAME?</v>
      </c>
      <c r="B196" s="9">
        <f>Upload!G186</f>
        <v>0</v>
      </c>
      <c r="C196" s="9">
        <f>Upload!AN186</f>
        <v>0</v>
      </c>
      <c r="D196" s="9">
        <f>Upload!AO186</f>
        <v>0</v>
      </c>
      <c r="E196" s="9">
        <f>Upload!AP186</f>
        <v>0</v>
      </c>
      <c r="F196" s="9" t="str">
        <f>Upload!AK186</f>
        <v/>
      </c>
      <c r="G196" s="9" t="str">
        <f>Upload!AM186</f>
        <v/>
      </c>
      <c r="H196" s="9" t="str">
        <f>Upload!AJ186</f>
        <v>(seleccione)</v>
      </c>
      <c r="I196" s="9" t="str">
        <f>Upload!AL186</f>
        <v>(seleccione)</v>
      </c>
      <c r="K196" s="15" t="str">
        <f t="shared" si="13"/>
        <v/>
      </c>
      <c r="L196" s="15" t="str">
        <f t="shared" si="14"/>
        <v/>
      </c>
      <c r="M196" s="15" t="str">
        <f t="shared" si="15"/>
        <v/>
      </c>
      <c r="N196" s="15" t="str">
        <f t="shared" si="16"/>
        <v/>
      </c>
      <c r="O196" s="15" t="str">
        <f t="shared" si="17"/>
        <v/>
      </c>
      <c r="P196" s="15" t="str">
        <f>IF(OR(C196="",NOT(OR(ISNUMBER(SEARCH("Antitarnish",Upload!R186&amp;Upload!S186&amp;Upload!T186&amp;Upload!U186&amp;Upload!V186)),ISNUMBER(SEARCH("Anti Tarnish",Upload!R186&amp;Upload!S186&amp;Upload!T186&amp;Upload!U186&amp;Upload!V186))))),"",0.0012*C196)</f>
        <v/>
      </c>
      <c r="Q196" s="15" t="str">
        <f>IF(OR(E196="",NOT(OR(ISNUMBER(SEARCH("Epóxico MT",Upload!R186&amp;Upload!S186&amp;Upload!T186&amp;Upload!U186&amp;Upload!V186))))),"",E196*0.000035)</f>
        <v/>
      </c>
      <c r="R196" s="15" t="str">
        <f>IF(OR(F196="",NOT(OR(ISNUMBER(SEARCH("Epóxico BT",Upload!S186&amp;Upload!T186&amp;Upload!U186&amp;Upload!V186&amp;Upload!W186))))),"",F196*0.000035)</f>
        <v/>
      </c>
      <c r="S196" s="15" t="str">
        <f>IF(OR(G196="",NOT(OR(ISNUMBER(SEARCH("Epóxico Rojo",Upload!T186&amp;Upload!U186&amp;Upload!V186&amp;Upload!W186&amp;Upload!X186))))),"",G196*0.000035)</f>
        <v/>
      </c>
    </row>
    <row r="197" spans="1:19" x14ac:dyDescent="0.2">
      <c r="A197" s="9" t="e">
        <f t="shared" ca="1" si="12"/>
        <v>#NAME?</v>
      </c>
      <c r="B197" s="9">
        <f>Upload!G187</f>
        <v>0</v>
      </c>
      <c r="C197" s="9">
        <f>Upload!AN187</f>
        <v>0</v>
      </c>
      <c r="D197" s="9">
        <f>Upload!AO187</f>
        <v>0</v>
      </c>
      <c r="E197" s="9">
        <f>Upload!AP187</f>
        <v>0</v>
      </c>
      <c r="F197" s="9" t="str">
        <f>Upload!AK187</f>
        <v/>
      </c>
      <c r="G197" s="9" t="str">
        <f>Upload!AM187</f>
        <v/>
      </c>
      <c r="H197" s="9" t="str">
        <f>Upload!AJ187</f>
        <v>(seleccione)</v>
      </c>
      <c r="I197" s="9" t="str">
        <f>Upload!AL187</f>
        <v>(seleccione)</v>
      </c>
      <c r="K197" s="15" t="str">
        <f t="shared" si="13"/>
        <v/>
      </c>
      <c r="L197" s="15" t="str">
        <f t="shared" si="14"/>
        <v/>
      </c>
      <c r="M197" s="15" t="str">
        <f t="shared" si="15"/>
        <v/>
      </c>
      <c r="N197" s="15" t="str">
        <f t="shared" si="16"/>
        <v/>
      </c>
      <c r="O197" s="15" t="str">
        <f t="shared" si="17"/>
        <v/>
      </c>
      <c r="P197" s="15" t="str">
        <f>IF(OR(C197="",NOT(OR(ISNUMBER(SEARCH("Antitarnish",Upload!R187&amp;Upload!S187&amp;Upload!T187&amp;Upload!U187&amp;Upload!V187)),ISNUMBER(SEARCH("Anti Tarnish",Upload!R187&amp;Upload!S187&amp;Upload!T187&amp;Upload!U187&amp;Upload!V187))))),"",0.0012*C197)</f>
        <v/>
      </c>
      <c r="Q197" s="15" t="str">
        <f>IF(OR(E197="",NOT(OR(ISNUMBER(SEARCH("Epóxico MT",Upload!R187&amp;Upload!S187&amp;Upload!T187&amp;Upload!U187&amp;Upload!V187))))),"",E197*0.000035)</f>
        <v/>
      </c>
      <c r="R197" s="15" t="str">
        <f>IF(OR(F197="",NOT(OR(ISNUMBER(SEARCH("Epóxico BT",Upload!S187&amp;Upload!T187&amp;Upload!U187&amp;Upload!V187&amp;Upload!W187))))),"",F197*0.000035)</f>
        <v/>
      </c>
      <c r="S197" s="15" t="str">
        <f>IF(OR(G197="",NOT(OR(ISNUMBER(SEARCH("Epóxico Rojo",Upload!T187&amp;Upload!U187&amp;Upload!V187&amp;Upload!W187&amp;Upload!X187))))),"",G197*0.000035)</f>
        <v/>
      </c>
    </row>
    <row r="198" spans="1:19" x14ac:dyDescent="0.2">
      <c r="A198" s="9" t="e">
        <f t="shared" ca="1" si="12"/>
        <v>#NAME?</v>
      </c>
      <c r="B198" s="9">
        <f>Upload!G188</f>
        <v>0</v>
      </c>
      <c r="C198" s="9">
        <f>Upload!AN188</f>
        <v>0</v>
      </c>
      <c r="D198" s="9">
        <f>Upload!AO188</f>
        <v>0</v>
      </c>
      <c r="E198" s="9">
        <f>Upload!AP188</f>
        <v>0</v>
      </c>
      <c r="F198" s="9" t="str">
        <f>Upload!AK188</f>
        <v/>
      </c>
      <c r="G198" s="9" t="str">
        <f>Upload!AM188</f>
        <v/>
      </c>
      <c r="H198" s="9" t="str">
        <f>Upload!AJ188</f>
        <v>(seleccione)</v>
      </c>
      <c r="I198" s="9" t="str">
        <f>Upload!AL188</f>
        <v>(seleccione)</v>
      </c>
      <c r="K198" s="15" t="str">
        <f t="shared" si="13"/>
        <v/>
      </c>
      <c r="L198" s="15" t="str">
        <f t="shared" si="14"/>
        <v/>
      </c>
      <c r="M198" s="15" t="str">
        <f t="shared" si="15"/>
        <v/>
      </c>
      <c r="N198" s="15" t="str">
        <f t="shared" si="16"/>
        <v/>
      </c>
      <c r="O198" s="15" t="str">
        <f t="shared" si="17"/>
        <v/>
      </c>
      <c r="P198" s="15" t="str">
        <f>IF(OR(C198="",NOT(OR(ISNUMBER(SEARCH("Antitarnish",Upload!R188&amp;Upload!S188&amp;Upload!T188&amp;Upload!U188&amp;Upload!V188)),ISNUMBER(SEARCH("Anti Tarnish",Upload!R188&amp;Upload!S188&amp;Upload!T188&amp;Upload!U188&amp;Upload!V188))))),"",0.0012*C198)</f>
        <v/>
      </c>
      <c r="Q198" s="15" t="str">
        <f>IF(OR(E198="",NOT(OR(ISNUMBER(SEARCH("Epóxico MT",Upload!R188&amp;Upload!S188&amp;Upload!T188&amp;Upload!U188&amp;Upload!V188))))),"",E198*0.000035)</f>
        <v/>
      </c>
      <c r="R198" s="15" t="str">
        <f>IF(OR(F198="",NOT(OR(ISNUMBER(SEARCH("Epóxico BT",Upload!S188&amp;Upload!T188&amp;Upload!U188&amp;Upload!V188&amp;Upload!W188))))),"",F198*0.000035)</f>
        <v/>
      </c>
      <c r="S198" s="15" t="str">
        <f>IF(OR(G198="",NOT(OR(ISNUMBER(SEARCH("Epóxico Rojo",Upload!T188&amp;Upload!U188&amp;Upload!V188&amp;Upload!W188&amp;Upload!X188))))),"",G198*0.000035)</f>
        <v/>
      </c>
    </row>
    <row r="199" spans="1:19" x14ac:dyDescent="0.2">
      <c r="A199" s="9" t="e">
        <f t="shared" ca="1" si="12"/>
        <v>#NAME?</v>
      </c>
      <c r="B199" s="9">
        <f>Upload!G189</f>
        <v>0</v>
      </c>
      <c r="C199" s="9">
        <f>Upload!AN189</f>
        <v>0</v>
      </c>
      <c r="D199" s="9">
        <f>Upload!AO189</f>
        <v>0</v>
      </c>
      <c r="E199" s="9">
        <f>Upload!AP189</f>
        <v>0</v>
      </c>
      <c r="F199" s="9" t="str">
        <f>Upload!AK189</f>
        <v/>
      </c>
      <c r="G199" s="9" t="str">
        <f>Upload!AM189</f>
        <v/>
      </c>
      <c r="H199" s="9" t="str">
        <f>Upload!AJ189</f>
        <v>(seleccione)</v>
      </c>
      <c r="I199" s="9" t="str">
        <f>Upload!AL189</f>
        <v>(seleccione)</v>
      </c>
      <c r="K199" s="15" t="str">
        <f t="shared" si="13"/>
        <v/>
      </c>
      <c r="L199" s="15" t="str">
        <f t="shared" si="14"/>
        <v/>
      </c>
      <c r="M199" s="15" t="str">
        <f t="shared" si="15"/>
        <v/>
      </c>
      <c r="N199" s="15" t="str">
        <f t="shared" si="16"/>
        <v/>
      </c>
      <c r="O199" s="15" t="str">
        <f t="shared" si="17"/>
        <v/>
      </c>
      <c r="P199" s="15" t="str">
        <f>IF(OR(C199="",NOT(OR(ISNUMBER(SEARCH("Antitarnish",Upload!R189&amp;Upload!S189&amp;Upload!T189&amp;Upload!U189&amp;Upload!V189)),ISNUMBER(SEARCH("Anti Tarnish",Upload!R189&amp;Upload!S189&amp;Upload!T189&amp;Upload!U189&amp;Upload!V189))))),"",0.0012*C199)</f>
        <v/>
      </c>
      <c r="Q199" s="15" t="str">
        <f>IF(OR(E199="",NOT(OR(ISNUMBER(SEARCH("Epóxico MT",Upload!R189&amp;Upload!S189&amp;Upload!T189&amp;Upload!U189&amp;Upload!V189))))),"",E199*0.000035)</f>
        <v/>
      </c>
      <c r="R199" s="15" t="str">
        <f>IF(OR(F199="",NOT(OR(ISNUMBER(SEARCH("Epóxico BT",Upload!S189&amp;Upload!T189&amp;Upload!U189&amp;Upload!V189&amp;Upload!W189))))),"",F199*0.000035)</f>
        <v/>
      </c>
      <c r="S199" s="15" t="str">
        <f>IF(OR(G199="",NOT(OR(ISNUMBER(SEARCH("Epóxico Rojo",Upload!T189&amp;Upload!U189&amp;Upload!V189&amp;Upload!W189&amp;Upload!X189))))),"",G199*0.000035)</f>
        <v/>
      </c>
    </row>
    <row r="200" spans="1:19" x14ac:dyDescent="0.2">
      <c r="A200" s="9" t="e">
        <f t="shared" ca="1" si="12"/>
        <v>#NAME?</v>
      </c>
      <c r="B200" s="9">
        <f>Upload!G190</f>
        <v>0</v>
      </c>
      <c r="C200" s="9">
        <f>Upload!AN190</f>
        <v>0</v>
      </c>
      <c r="D200" s="9">
        <f>Upload!AO190</f>
        <v>0</v>
      </c>
      <c r="E200" s="9">
        <f>Upload!AP190</f>
        <v>0</v>
      </c>
      <c r="F200" s="9" t="str">
        <f>Upload!AK190</f>
        <v/>
      </c>
      <c r="G200" s="9" t="str">
        <f>Upload!AM190</f>
        <v/>
      </c>
      <c r="H200" s="9" t="str">
        <f>Upload!AJ190</f>
        <v>(seleccione)</v>
      </c>
      <c r="I200" s="9" t="str">
        <f>Upload!AL190</f>
        <v>(seleccione)</v>
      </c>
      <c r="K200" s="15" t="str">
        <f t="shared" si="13"/>
        <v/>
      </c>
      <c r="L200" s="15" t="str">
        <f t="shared" si="14"/>
        <v/>
      </c>
      <c r="M200" s="15" t="str">
        <f t="shared" si="15"/>
        <v/>
      </c>
      <c r="N200" s="15" t="str">
        <f t="shared" si="16"/>
        <v/>
      </c>
      <c r="O200" s="15" t="str">
        <f t="shared" si="17"/>
        <v/>
      </c>
      <c r="P200" s="15" t="str">
        <f>IF(OR(C200="",NOT(OR(ISNUMBER(SEARCH("Antitarnish",Upload!R190&amp;Upload!S190&amp;Upload!T190&amp;Upload!U190&amp;Upload!V190)),ISNUMBER(SEARCH("Anti Tarnish",Upload!R190&amp;Upload!S190&amp;Upload!T190&amp;Upload!U190&amp;Upload!V190))))),"",0.0012*C200)</f>
        <v/>
      </c>
      <c r="Q200" s="15" t="str">
        <f>IF(OR(E200="",NOT(OR(ISNUMBER(SEARCH("Epóxico MT",Upload!R190&amp;Upload!S190&amp;Upload!T190&amp;Upload!U190&amp;Upload!V190))))),"",E200*0.000035)</f>
        <v/>
      </c>
      <c r="R200" s="15" t="str">
        <f>IF(OR(F200="",NOT(OR(ISNUMBER(SEARCH("Epóxico BT",Upload!S190&amp;Upload!T190&amp;Upload!U190&amp;Upload!V190&amp;Upload!W190))))),"",F200*0.000035)</f>
        <v/>
      </c>
      <c r="S200" s="15" t="str">
        <f>IF(OR(G200="",NOT(OR(ISNUMBER(SEARCH("Epóxico Rojo",Upload!T190&amp;Upload!U190&amp;Upload!V190&amp;Upload!W190&amp;Upload!X190))))),"",G200*0.000035)</f>
        <v/>
      </c>
    </row>
    <row r="201" spans="1:19" x14ac:dyDescent="0.2">
      <c r="A201" s="9" t="e">
        <f t="shared" ca="1" si="12"/>
        <v>#NAME?</v>
      </c>
      <c r="B201" s="9">
        <f>Upload!G191</f>
        <v>0</v>
      </c>
      <c r="C201" s="9">
        <f>Upload!AN191</f>
        <v>0</v>
      </c>
      <c r="D201" s="9">
        <f>Upload!AO191</f>
        <v>0</v>
      </c>
      <c r="E201" s="9">
        <f>Upload!AP191</f>
        <v>0</v>
      </c>
      <c r="F201" s="9" t="str">
        <f>Upload!AK191</f>
        <v/>
      </c>
      <c r="G201" s="9" t="str">
        <f>Upload!AM191</f>
        <v/>
      </c>
      <c r="H201" s="9" t="str">
        <f>Upload!AJ191</f>
        <v>(seleccione)</v>
      </c>
      <c r="I201" s="9" t="str">
        <f>Upload!AL191</f>
        <v>(seleccione)</v>
      </c>
      <c r="K201" s="15" t="str">
        <f t="shared" si="13"/>
        <v/>
      </c>
      <c r="L201" s="15" t="str">
        <f t="shared" si="14"/>
        <v/>
      </c>
      <c r="M201" s="15" t="str">
        <f t="shared" si="15"/>
        <v/>
      </c>
      <c r="N201" s="15" t="str">
        <f t="shared" si="16"/>
        <v/>
      </c>
      <c r="O201" s="15" t="str">
        <f t="shared" si="17"/>
        <v/>
      </c>
      <c r="P201" s="15" t="str">
        <f>IF(OR(C201="",NOT(OR(ISNUMBER(SEARCH("Antitarnish",Upload!R191&amp;Upload!S191&amp;Upload!T191&amp;Upload!U191&amp;Upload!V191)),ISNUMBER(SEARCH("Anti Tarnish",Upload!R191&amp;Upload!S191&amp;Upload!T191&amp;Upload!U191&amp;Upload!V191))))),"",0.0012*C201)</f>
        <v/>
      </c>
      <c r="Q201" s="15" t="str">
        <f>IF(OR(E201="",NOT(OR(ISNUMBER(SEARCH("Epóxico MT",Upload!R191&amp;Upload!S191&amp;Upload!T191&amp;Upload!U191&amp;Upload!V191))))),"",E201*0.000035)</f>
        <v/>
      </c>
      <c r="R201" s="15" t="str">
        <f>IF(OR(F201="",NOT(OR(ISNUMBER(SEARCH("Epóxico BT",Upload!S191&amp;Upload!T191&amp;Upload!U191&amp;Upload!V191&amp;Upload!W191))))),"",F201*0.000035)</f>
        <v/>
      </c>
      <c r="S201" s="15" t="str">
        <f>IF(OR(G201="",NOT(OR(ISNUMBER(SEARCH("Epóxico Rojo",Upload!T191&amp;Upload!U191&amp;Upload!V191&amp;Upload!W191&amp;Upload!X191))))),"",G201*0.000035)</f>
        <v/>
      </c>
    </row>
    <row r="202" spans="1:19" x14ac:dyDescent="0.2">
      <c r="A202" s="9" t="e">
        <f t="shared" ca="1" si="12"/>
        <v>#NAME?</v>
      </c>
      <c r="B202" s="9">
        <f>Upload!G192</f>
        <v>0</v>
      </c>
      <c r="C202" s="9">
        <f>Upload!AN192</f>
        <v>0</v>
      </c>
      <c r="D202" s="9">
        <f>Upload!AO192</f>
        <v>0</v>
      </c>
      <c r="E202" s="9">
        <f>Upload!AP192</f>
        <v>0</v>
      </c>
      <c r="F202" s="9" t="str">
        <f>Upload!AK192</f>
        <v/>
      </c>
      <c r="G202" s="9" t="str">
        <f>Upload!AM192</f>
        <v/>
      </c>
      <c r="H202" s="9" t="str">
        <f>Upload!AJ192</f>
        <v>(seleccione)</v>
      </c>
      <c r="I202" s="9" t="str">
        <f>Upload!AL192</f>
        <v>(seleccione)</v>
      </c>
      <c r="K202" s="15" t="str">
        <f t="shared" si="13"/>
        <v/>
      </c>
      <c r="L202" s="15" t="str">
        <f t="shared" si="14"/>
        <v/>
      </c>
      <c r="M202" s="15" t="str">
        <f t="shared" si="15"/>
        <v/>
      </c>
      <c r="N202" s="15" t="str">
        <f t="shared" si="16"/>
        <v/>
      </c>
      <c r="O202" s="15" t="str">
        <f t="shared" si="17"/>
        <v/>
      </c>
      <c r="P202" s="15" t="str">
        <f>IF(OR(C202="",NOT(OR(ISNUMBER(SEARCH("Antitarnish",Upload!R192&amp;Upload!S192&amp;Upload!T192&amp;Upload!U192&amp;Upload!V192)),ISNUMBER(SEARCH("Anti Tarnish",Upload!R192&amp;Upload!S192&amp;Upload!T192&amp;Upload!U192&amp;Upload!V192))))),"",0.0012*C202)</f>
        <v/>
      </c>
      <c r="Q202" s="15" t="str">
        <f>IF(OR(E202="",NOT(OR(ISNUMBER(SEARCH("Epóxico MT",Upload!R192&amp;Upload!S192&amp;Upload!T192&amp;Upload!U192&amp;Upload!V192))))),"",E202*0.000035)</f>
        <v/>
      </c>
      <c r="R202" s="15" t="str">
        <f>IF(OR(F202="",NOT(OR(ISNUMBER(SEARCH("Epóxico BT",Upload!S192&amp;Upload!T192&amp;Upload!U192&amp;Upload!V192&amp;Upload!W192))))),"",F202*0.000035)</f>
        <v/>
      </c>
      <c r="S202" s="15" t="str">
        <f>IF(OR(G202="",NOT(OR(ISNUMBER(SEARCH("Epóxico Rojo",Upload!T192&amp;Upload!U192&amp;Upload!V192&amp;Upload!W192&amp;Upload!X192))))),"",G202*0.000035)</f>
        <v/>
      </c>
    </row>
    <row r="203" spans="1:19" x14ac:dyDescent="0.2">
      <c r="A203" s="9" t="e">
        <f t="shared" ca="1" si="12"/>
        <v>#NAME?</v>
      </c>
      <c r="B203" s="9">
        <f>Upload!G193</f>
        <v>0</v>
      </c>
      <c r="C203" s="9">
        <f>Upload!AN193</f>
        <v>0</v>
      </c>
      <c r="D203" s="9">
        <f>Upload!AO193</f>
        <v>0</v>
      </c>
      <c r="E203" s="9">
        <f>Upload!AP193</f>
        <v>0</v>
      </c>
      <c r="F203" s="9" t="str">
        <f>Upload!AK193</f>
        <v/>
      </c>
      <c r="G203" s="9" t="str">
        <f>Upload!AM193</f>
        <v/>
      </c>
      <c r="H203" s="9" t="str">
        <f>Upload!AJ193</f>
        <v>(seleccione)</v>
      </c>
      <c r="I203" s="9" t="str">
        <f>Upload!AL193</f>
        <v>(seleccione)</v>
      </c>
      <c r="K203" s="15" t="str">
        <f t="shared" si="13"/>
        <v/>
      </c>
      <c r="L203" s="15" t="str">
        <f t="shared" si="14"/>
        <v/>
      </c>
      <c r="M203" s="15" t="str">
        <f t="shared" si="15"/>
        <v/>
      </c>
      <c r="N203" s="15" t="str">
        <f t="shared" si="16"/>
        <v/>
      </c>
      <c r="O203" s="15" t="str">
        <f t="shared" si="17"/>
        <v/>
      </c>
      <c r="P203" s="15" t="str">
        <f>IF(OR(C203="",NOT(OR(ISNUMBER(SEARCH("Antitarnish",Upload!R193&amp;Upload!S193&amp;Upload!T193&amp;Upload!U193&amp;Upload!V193)),ISNUMBER(SEARCH("Anti Tarnish",Upload!R193&amp;Upload!S193&amp;Upload!T193&amp;Upload!U193&amp;Upload!V193))))),"",0.0012*C203)</f>
        <v/>
      </c>
      <c r="Q203" s="15" t="str">
        <f>IF(OR(E203="",NOT(OR(ISNUMBER(SEARCH("Epóxico MT",Upload!R193&amp;Upload!S193&amp;Upload!T193&amp;Upload!U193&amp;Upload!V193))))),"",E203*0.000035)</f>
        <v/>
      </c>
      <c r="R203" s="15" t="str">
        <f>IF(OR(F203="",NOT(OR(ISNUMBER(SEARCH("Epóxico BT",Upload!S193&amp;Upload!T193&amp;Upload!U193&amp;Upload!V193&amp;Upload!W193))))),"",F203*0.000035)</f>
        <v/>
      </c>
      <c r="S203" s="15" t="str">
        <f>IF(OR(G203="",NOT(OR(ISNUMBER(SEARCH("Epóxico Rojo",Upload!T193&amp;Upload!U193&amp;Upload!V193&amp;Upload!W193&amp;Upload!X193))))),"",G203*0.000035)</f>
        <v/>
      </c>
    </row>
    <row r="204" spans="1:19" x14ac:dyDescent="0.2">
      <c r="A204" s="9" t="e">
        <f t="shared" ca="1" si="12"/>
        <v>#NAME?</v>
      </c>
      <c r="B204" s="9">
        <f>Upload!G194</f>
        <v>0</v>
      </c>
      <c r="C204" s="9">
        <f>Upload!AN194</f>
        <v>0</v>
      </c>
      <c r="D204" s="9">
        <f>Upload!AO194</f>
        <v>0</v>
      </c>
      <c r="E204" s="9">
        <f>Upload!AP194</f>
        <v>0</v>
      </c>
      <c r="F204" s="9" t="str">
        <f>Upload!AK194</f>
        <v/>
      </c>
      <c r="G204" s="9" t="str">
        <f>Upload!AM194</f>
        <v/>
      </c>
      <c r="H204" s="9" t="str">
        <f>Upload!AJ194</f>
        <v>(seleccione)</v>
      </c>
      <c r="I204" s="9" t="str">
        <f>Upload!AL194</f>
        <v>(seleccione)</v>
      </c>
      <c r="K204" s="15" t="str">
        <f t="shared" si="13"/>
        <v/>
      </c>
      <c r="L204" s="15" t="str">
        <f t="shared" si="14"/>
        <v/>
      </c>
      <c r="M204" s="15" t="str">
        <f t="shared" si="15"/>
        <v/>
      </c>
      <c r="N204" s="15" t="str">
        <f t="shared" si="16"/>
        <v/>
      </c>
      <c r="O204" s="15" t="str">
        <f t="shared" si="17"/>
        <v/>
      </c>
      <c r="P204" s="15" t="str">
        <f>IF(OR(C204="",NOT(OR(ISNUMBER(SEARCH("Antitarnish",Upload!R194&amp;Upload!S194&amp;Upload!T194&amp;Upload!U194&amp;Upload!V194)),ISNUMBER(SEARCH("Anti Tarnish",Upload!R194&amp;Upload!S194&amp;Upload!T194&amp;Upload!U194&amp;Upload!V194))))),"",0.0012*C204)</f>
        <v/>
      </c>
      <c r="Q204" s="15" t="str">
        <f>IF(OR(E204="",NOT(OR(ISNUMBER(SEARCH("Epóxico MT",Upload!R194&amp;Upload!S194&amp;Upload!T194&amp;Upload!U194&amp;Upload!V194))))),"",E204*0.000035)</f>
        <v/>
      </c>
      <c r="R204" s="15" t="str">
        <f>IF(OR(F204="",NOT(OR(ISNUMBER(SEARCH("Epóxico BT",Upload!S194&amp;Upload!T194&amp;Upload!U194&amp;Upload!V194&amp;Upload!W194))))),"",F204*0.000035)</f>
        <v/>
      </c>
      <c r="S204" s="15" t="str">
        <f>IF(OR(G204="",NOT(OR(ISNUMBER(SEARCH("Epóxico Rojo",Upload!T194&amp;Upload!U194&amp;Upload!V194&amp;Upload!W194&amp;Upload!X194))))),"",G204*0.000035)</f>
        <v/>
      </c>
    </row>
    <row r="205" spans="1:19" x14ac:dyDescent="0.2">
      <c r="A205" s="9" t="e">
        <f t="shared" ca="1" si="12"/>
        <v>#NAME?</v>
      </c>
      <c r="B205" s="9">
        <f>Upload!G195</f>
        <v>0</v>
      </c>
      <c r="C205" s="9">
        <f>Upload!AN195</f>
        <v>0</v>
      </c>
      <c r="D205" s="9">
        <f>Upload!AO195</f>
        <v>0</v>
      </c>
      <c r="E205" s="9">
        <f>Upload!AP195</f>
        <v>0</v>
      </c>
      <c r="F205" s="9" t="str">
        <f>Upload!AK195</f>
        <v/>
      </c>
      <c r="G205" s="9" t="str">
        <f>Upload!AM195</f>
        <v/>
      </c>
      <c r="H205" s="9" t="str">
        <f>Upload!AJ195</f>
        <v>(seleccione)</v>
      </c>
      <c r="I205" s="9" t="str">
        <f>Upload!AL195</f>
        <v>(seleccione)</v>
      </c>
      <c r="K205" s="15" t="str">
        <f t="shared" si="13"/>
        <v/>
      </c>
      <c r="L205" s="15" t="str">
        <f t="shared" si="14"/>
        <v/>
      </c>
      <c r="M205" s="15" t="str">
        <f t="shared" si="15"/>
        <v/>
      </c>
      <c r="N205" s="15" t="str">
        <f t="shared" si="16"/>
        <v/>
      </c>
      <c r="O205" s="15" t="str">
        <f t="shared" si="17"/>
        <v/>
      </c>
      <c r="P205" s="15" t="str">
        <f>IF(OR(C205="",NOT(OR(ISNUMBER(SEARCH("Antitarnish",Upload!R195&amp;Upload!S195&amp;Upload!T195&amp;Upload!U195&amp;Upload!V195)),ISNUMBER(SEARCH("Anti Tarnish",Upload!R195&amp;Upload!S195&amp;Upload!T195&amp;Upload!U195&amp;Upload!V195))))),"",0.0012*C205)</f>
        <v/>
      </c>
      <c r="Q205" s="15" t="str">
        <f>IF(OR(E205="",NOT(OR(ISNUMBER(SEARCH("Epóxico MT",Upload!R195&amp;Upload!S195&amp;Upload!T195&amp;Upload!U195&amp;Upload!V195))))),"",E205*0.000035)</f>
        <v/>
      </c>
      <c r="R205" s="15" t="str">
        <f>IF(OR(F205="",NOT(OR(ISNUMBER(SEARCH("Epóxico BT",Upload!S195&amp;Upload!T195&amp;Upload!U195&amp;Upload!V195&amp;Upload!W195))))),"",F205*0.000035)</f>
        <v/>
      </c>
      <c r="S205" s="15" t="str">
        <f>IF(OR(G205="",NOT(OR(ISNUMBER(SEARCH("Epóxico Rojo",Upload!T195&amp;Upload!U195&amp;Upload!V195&amp;Upload!W195&amp;Upload!X195))))),"",G205*0.000035)</f>
        <v/>
      </c>
    </row>
    <row r="206" spans="1:19" x14ac:dyDescent="0.2">
      <c r="A206" s="9" t="e">
        <f t="shared" ca="1" si="12"/>
        <v>#NAME?</v>
      </c>
      <c r="B206" s="9">
        <f>Upload!G196</f>
        <v>0</v>
      </c>
      <c r="C206" s="9">
        <f>Upload!AN196</f>
        <v>0</v>
      </c>
      <c r="D206" s="9">
        <f>Upload!AO196</f>
        <v>0</v>
      </c>
      <c r="E206" s="9">
        <f>Upload!AP196</f>
        <v>0</v>
      </c>
      <c r="F206" s="9" t="str">
        <f>Upload!AK196</f>
        <v/>
      </c>
      <c r="G206" s="9" t="str">
        <f>Upload!AM196</f>
        <v/>
      </c>
      <c r="H206" s="9" t="str">
        <f>Upload!AJ196</f>
        <v>(seleccione)</v>
      </c>
      <c r="I206" s="9" t="str">
        <f>Upload!AL196</f>
        <v>(seleccione)</v>
      </c>
      <c r="K206" s="15" t="str">
        <f t="shared" si="13"/>
        <v/>
      </c>
      <c r="L206" s="15" t="str">
        <f t="shared" si="14"/>
        <v/>
      </c>
      <c r="M206" s="15" t="str">
        <f t="shared" si="15"/>
        <v/>
      </c>
      <c r="N206" s="15" t="str">
        <f t="shared" si="16"/>
        <v/>
      </c>
      <c r="O206" s="15" t="str">
        <f t="shared" si="17"/>
        <v/>
      </c>
      <c r="P206" s="15" t="str">
        <f>IF(OR(C206="",NOT(OR(ISNUMBER(SEARCH("Antitarnish",Upload!R196&amp;Upload!S196&amp;Upload!T196&amp;Upload!U196&amp;Upload!V196)),ISNUMBER(SEARCH("Anti Tarnish",Upload!R196&amp;Upload!S196&amp;Upload!T196&amp;Upload!U196&amp;Upload!V196))))),"",0.0012*C206)</f>
        <v/>
      </c>
      <c r="Q206" s="15" t="str">
        <f>IF(OR(E206="",NOT(OR(ISNUMBER(SEARCH("Epóxico MT",Upload!R196&amp;Upload!S196&amp;Upload!T196&amp;Upload!U196&amp;Upload!V196))))),"",E206*0.000035)</f>
        <v/>
      </c>
      <c r="R206" s="15" t="str">
        <f>IF(OR(F206="",NOT(OR(ISNUMBER(SEARCH("Epóxico BT",Upload!S196&amp;Upload!T196&amp;Upload!U196&amp;Upload!V196&amp;Upload!W196))))),"",F206*0.000035)</f>
        <v/>
      </c>
      <c r="S206" s="15" t="str">
        <f>IF(OR(G206="",NOT(OR(ISNUMBER(SEARCH("Epóxico Rojo",Upload!T196&amp;Upload!U196&amp;Upload!V196&amp;Upload!W196&amp;Upload!X196))))),"",G206*0.000035)</f>
        <v/>
      </c>
    </row>
    <row r="207" spans="1:19" x14ac:dyDescent="0.2">
      <c r="A207" s="9" t="e">
        <f t="shared" ca="1" si="12"/>
        <v>#NAME?</v>
      </c>
      <c r="B207" s="9">
        <f>Upload!G197</f>
        <v>0</v>
      </c>
      <c r="C207" s="9">
        <f>Upload!AN197</f>
        <v>0</v>
      </c>
      <c r="D207" s="9">
        <f>Upload!AO197</f>
        <v>0</v>
      </c>
      <c r="E207" s="9">
        <f>Upload!AP197</f>
        <v>0</v>
      </c>
      <c r="F207" s="9" t="str">
        <f>Upload!AK197</f>
        <v/>
      </c>
      <c r="G207" s="9" t="str">
        <f>Upload!AM197</f>
        <v/>
      </c>
      <c r="H207" s="9" t="str">
        <f>Upload!AJ197</f>
        <v>(seleccione)</v>
      </c>
      <c r="I207" s="9" t="str">
        <f>Upload!AL197</f>
        <v>(seleccione)</v>
      </c>
      <c r="K207" s="15" t="str">
        <f t="shared" si="13"/>
        <v/>
      </c>
      <c r="L207" s="15" t="str">
        <f t="shared" si="14"/>
        <v/>
      </c>
      <c r="M207" s="15" t="str">
        <f t="shared" si="15"/>
        <v/>
      </c>
      <c r="N207" s="15" t="str">
        <f t="shared" si="16"/>
        <v/>
      </c>
      <c r="O207" s="15" t="str">
        <f t="shared" si="17"/>
        <v/>
      </c>
      <c r="P207" s="15" t="str">
        <f>IF(OR(C207="",NOT(OR(ISNUMBER(SEARCH("Antitarnish",Upload!R197&amp;Upload!S197&amp;Upload!T197&amp;Upload!U197&amp;Upload!V197)),ISNUMBER(SEARCH("Anti Tarnish",Upload!R197&amp;Upload!S197&amp;Upload!T197&amp;Upload!U197&amp;Upload!V197))))),"",0.0012*C207)</f>
        <v/>
      </c>
      <c r="Q207" s="15" t="str">
        <f>IF(OR(E207="",NOT(OR(ISNUMBER(SEARCH("Epóxico MT",Upload!R197&amp;Upload!S197&amp;Upload!T197&amp;Upload!U197&amp;Upload!V197))))),"",E207*0.000035)</f>
        <v/>
      </c>
      <c r="R207" s="15" t="str">
        <f>IF(OR(F207="",NOT(OR(ISNUMBER(SEARCH("Epóxico BT",Upload!S197&amp;Upload!T197&amp;Upload!U197&amp;Upload!V197&amp;Upload!W197))))),"",F207*0.000035)</f>
        <v/>
      </c>
      <c r="S207" s="15" t="str">
        <f>IF(OR(G207="",NOT(OR(ISNUMBER(SEARCH("Epóxico Rojo",Upload!T197&amp;Upload!U197&amp;Upload!V197&amp;Upload!W197&amp;Upload!X197))))),"",G207*0.000035)</f>
        <v/>
      </c>
    </row>
    <row r="208" spans="1:19" x14ac:dyDescent="0.2">
      <c r="A208" s="9" t="e">
        <f t="shared" ca="1" si="12"/>
        <v>#NAME?</v>
      </c>
      <c r="B208" s="9">
        <f>Upload!G198</f>
        <v>0</v>
      </c>
      <c r="C208" s="9">
        <f>Upload!AN198</f>
        <v>0</v>
      </c>
      <c r="D208" s="9">
        <f>Upload!AO198</f>
        <v>0</v>
      </c>
      <c r="E208" s="9">
        <f>Upload!AP198</f>
        <v>0</v>
      </c>
      <c r="F208" s="9" t="str">
        <f>Upload!AK198</f>
        <v/>
      </c>
      <c r="G208" s="9" t="str">
        <f>Upload!AM198</f>
        <v/>
      </c>
      <c r="H208" s="9" t="str">
        <f>Upload!AJ198</f>
        <v>(seleccione)</v>
      </c>
      <c r="I208" s="9" t="str">
        <f>Upload!AL198</f>
        <v>(seleccione)</v>
      </c>
      <c r="K208" s="15" t="str">
        <f t="shared" si="13"/>
        <v/>
      </c>
      <c r="L208" s="15" t="str">
        <f t="shared" si="14"/>
        <v/>
      </c>
      <c r="M208" s="15" t="str">
        <f t="shared" si="15"/>
        <v/>
      </c>
      <c r="N208" s="15" t="str">
        <f t="shared" si="16"/>
        <v/>
      </c>
      <c r="O208" s="15" t="str">
        <f t="shared" si="17"/>
        <v/>
      </c>
      <c r="P208" s="15" t="str">
        <f>IF(OR(C208="",NOT(OR(ISNUMBER(SEARCH("Antitarnish",Upload!R198&amp;Upload!S198&amp;Upload!T198&amp;Upload!U198&amp;Upload!V198)),ISNUMBER(SEARCH("Anti Tarnish",Upload!R198&amp;Upload!S198&amp;Upload!T198&amp;Upload!U198&amp;Upload!V198))))),"",0.0012*C208)</f>
        <v/>
      </c>
      <c r="Q208" s="15" t="str">
        <f>IF(OR(E208="",NOT(OR(ISNUMBER(SEARCH("Epóxico MT",Upload!R198&amp;Upload!S198&amp;Upload!T198&amp;Upload!U198&amp;Upload!V198))))),"",E208*0.000035)</f>
        <v/>
      </c>
      <c r="R208" s="15" t="str">
        <f>IF(OR(F208="",NOT(OR(ISNUMBER(SEARCH("Epóxico BT",Upload!S198&amp;Upload!T198&amp;Upload!U198&amp;Upload!V198&amp;Upload!W198))))),"",F208*0.000035)</f>
        <v/>
      </c>
      <c r="S208" s="15" t="str">
        <f>IF(OR(G208="",NOT(OR(ISNUMBER(SEARCH("Epóxico Rojo",Upload!T198&amp;Upload!U198&amp;Upload!V198&amp;Upload!W198&amp;Upload!X198))))),"",G208*0.000035)</f>
        <v/>
      </c>
    </row>
    <row r="209" spans="1:19" x14ac:dyDescent="0.2">
      <c r="A209" s="9" t="e">
        <f t="shared" ca="1" si="12"/>
        <v>#NAME?</v>
      </c>
      <c r="B209" s="9">
        <f>Upload!G199</f>
        <v>0</v>
      </c>
      <c r="C209" s="9">
        <f>Upload!AN199</f>
        <v>0</v>
      </c>
      <c r="D209" s="9">
        <f>Upload!AO199</f>
        <v>0</v>
      </c>
      <c r="E209" s="9">
        <f>Upload!AP199</f>
        <v>0</v>
      </c>
      <c r="F209" s="9" t="str">
        <f>Upload!AK199</f>
        <v/>
      </c>
      <c r="G209" s="9" t="str">
        <f>Upload!AM199</f>
        <v/>
      </c>
      <c r="H209" s="9" t="str">
        <f>Upload!AJ199</f>
        <v>(seleccione)</v>
      </c>
      <c r="I209" s="9" t="str">
        <f>Upload!AL199</f>
        <v>(seleccione)</v>
      </c>
      <c r="K209" s="15" t="str">
        <f t="shared" si="13"/>
        <v/>
      </c>
      <c r="L209" s="15" t="str">
        <f t="shared" si="14"/>
        <v/>
      </c>
      <c r="M209" s="15" t="str">
        <f t="shared" si="15"/>
        <v/>
      </c>
      <c r="N209" s="15" t="str">
        <f t="shared" si="16"/>
        <v/>
      </c>
      <c r="O209" s="15" t="str">
        <f t="shared" si="17"/>
        <v/>
      </c>
      <c r="P209" s="15" t="str">
        <f>IF(OR(C209="",NOT(OR(ISNUMBER(SEARCH("Antitarnish",Upload!R199&amp;Upload!S199&amp;Upload!T199&amp;Upload!U199&amp;Upload!V199)),ISNUMBER(SEARCH("Anti Tarnish",Upload!R199&amp;Upload!S199&amp;Upload!T199&amp;Upload!U199&amp;Upload!V199))))),"",0.0012*C209)</f>
        <v/>
      </c>
      <c r="Q209" s="15" t="str">
        <f>IF(OR(E209="",NOT(OR(ISNUMBER(SEARCH("Epóxico MT",Upload!R199&amp;Upload!S199&amp;Upload!T199&amp;Upload!U199&amp;Upload!V199))))),"",E209*0.000035)</f>
        <v/>
      </c>
      <c r="R209" s="15" t="str">
        <f>IF(OR(F209="",NOT(OR(ISNUMBER(SEARCH("Epóxico BT",Upload!S199&amp;Upload!T199&amp;Upload!U199&amp;Upload!V199&amp;Upload!W199))))),"",F209*0.000035)</f>
        <v/>
      </c>
      <c r="S209" s="15" t="str">
        <f>IF(OR(G209="",NOT(OR(ISNUMBER(SEARCH("Epóxico Rojo",Upload!T199&amp;Upload!U199&amp;Upload!V199&amp;Upload!W199&amp;Upload!X199))))),"",G209*0.000035)</f>
        <v/>
      </c>
    </row>
    <row r="210" spans="1:19" x14ac:dyDescent="0.2">
      <c r="A210" s="9" t="e">
        <f t="shared" ca="1" si="12"/>
        <v>#NAME?</v>
      </c>
      <c r="B210" s="9">
        <f>Upload!G200</f>
        <v>0</v>
      </c>
      <c r="C210" s="9">
        <f>Upload!AN200</f>
        <v>0</v>
      </c>
      <c r="D210" s="9">
        <f>Upload!AO200</f>
        <v>0</v>
      </c>
      <c r="E210" s="9">
        <f>Upload!AP200</f>
        <v>0</v>
      </c>
      <c r="F210" s="9" t="str">
        <f>Upload!AK200</f>
        <v/>
      </c>
      <c r="G210" s="9" t="str">
        <f>Upload!AM200</f>
        <v/>
      </c>
      <c r="H210" s="9" t="str">
        <f>Upload!AJ200</f>
        <v>(seleccione)</v>
      </c>
      <c r="I210" s="9" t="str">
        <f>Upload!AL200</f>
        <v>(seleccione)</v>
      </c>
      <c r="K210" s="15" t="str">
        <f t="shared" si="13"/>
        <v/>
      </c>
      <c r="L210" s="15" t="str">
        <f t="shared" si="14"/>
        <v/>
      </c>
      <c r="M210" s="15" t="str">
        <f t="shared" si="15"/>
        <v/>
      </c>
      <c r="N210" s="15" t="str">
        <f t="shared" si="16"/>
        <v/>
      </c>
      <c r="O210" s="15" t="str">
        <f t="shared" si="17"/>
        <v/>
      </c>
      <c r="P210" s="15" t="str">
        <f>IF(OR(C210="",NOT(OR(ISNUMBER(SEARCH("Antitarnish",Upload!R200&amp;Upload!S200&amp;Upload!T200&amp;Upload!U200&amp;Upload!V200)),ISNUMBER(SEARCH("Anti Tarnish",Upload!R200&amp;Upload!S200&amp;Upload!T200&amp;Upload!U200&amp;Upload!V200))))),"",0.0012*C210)</f>
        <v/>
      </c>
      <c r="Q210" s="15" t="str">
        <f>IF(OR(E210="",NOT(OR(ISNUMBER(SEARCH("Epóxico MT",Upload!R200&amp;Upload!S200&amp;Upload!T200&amp;Upload!U200&amp;Upload!V200))))),"",E210*0.000035)</f>
        <v/>
      </c>
      <c r="R210" s="15" t="str">
        <f>IF(OR(F210="",NOT(OR(ISNUMBER(SEARCH("Epóxico BT",Upload!S200&amp;Upload!T200&amp;Upload!U200&amp;Upload!V200&amp;Upload!W200))))),"",F210*0.000035)</f>
        <v/>
      </c>
      <c r="S210" s="15" t="str">
        <f>IF(OR(G210="",NOT(OR(ISNUMBER(SEARCH("Epóxico Rojo",Upload!T200&amp;Upload!U200&amp;Upload!V200&amp;Upload!W200&amp;Upload!X200))))),"",G210*0.000035)</f>
        <v/>
      </c>
    </row>
    <row r="211" spans="1:19" x14ac:dyDescent="0.2">
      <c r="A211" s="9" t="e">
        <f t="shared" ref="A211:A274" ca="1" si="18">_xludf.ROW()-18</f>
        <v>#NAME?</v>
      </c>
      <c r="B211" s="9">
        <f>Upload!G201</f>
        <v>0</v>
      </c>
      <c r="C211" s="9">
        <f>Upload!AN201</f>
        <v>0</v>
      </c>
      <c r="D211" s="9">
        <f>Upload!AO201</f>
        <v>0</v>
      </c>
      <c r="E211" s="9">
        <f>Upload!AP201</f>
        <v>0</v>
      </c>
      <c r="F211" s="9" t="str">
        <f>Upload!AK201</f>
        <v/>
      </c>
      <c r="G211" s="9" t="str">
        <f>Upload!AM201</f>
        <v/>
      </c>
      <c r="H211" s="9" t="str">
        <f>Upload!AJ201</f>
        <v>(seleccione)</v>
      </c>
      <c r="I211" s="9" t="str">
        <f>Upload!AL201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IF(OR(C211="",NOT(OR(ISNUMBER(SEARCH("Antitarnish",Upload!R201&amp;Upload!S201&amp;Upload!T201&amp;Upload!U201&amp;Upload!V201)),ISNUMBER(SEARCH("Anti Tarnish",Upload!R201&amp;Upload!S201&amp;Upload!T201&amp;Upload!U201&amp;Upload!V201))))),"",0.0012*C211)</f>
        <v/>
      </c>
      <c r="Q211" s="15" t="str">
        <f>IF(OR(E211="",NOT(OR(ISNUMBER(SEARCH("Epóxico MT",Upload!R201&amp;Upload!S201&amp;Upload!T201&amp;Upload!U201&amp;Upload!V201))))),"",E211*0.000035)</f>
        <v/>
      </c>
      <c r="R211" s="15" t="str">
        <f>IF(OR(F211="",NOT(OR(ISNUMBER(SEARCH("Epóxico BT",Upload!S201&amp;Upload!T201&amp;Upload!U201&amp;Upload!V201&amp;Upload!W201))))),"",F211*0.000035)</f>
        <v/>
      </c>
      <c r="S211" s="15" t="str">
        <f>IF(OR(G211="",NOT(OR(ISNUMBER(SEARCH("Epóxico Rojo",Upload!T201&amp;Upload!U201&amp;Upload!V201&amp;Upload!W201&amp;Upload!X201))))),"",G211*0.000035)</f>
        <v/>
      </c>
    </row>
    <row r="212" spans="1:19" x14ac:dyDescent="0.2">
      <c r="A212" s="9" t="e">
        <f t="shared" ca="1" si="18"/>
        <v>#NAME?</v>
      </c>
      <c r="B212" s="9">
        <f>Upload!G202</f>
        <v>0</v>
      </c>
      <c r="C212" s="9">
        <f>Upload!AN202</f>
        <v>0</v>
      </c>
      <c r="D212" s="9">
        <f>Upload!AO202</f>
        <v>0</v>
      </c>
      <c r="E212" s="9">
        <f>Upload!AP202</f>
        <v>0</v>
      </c>
      <c r="F212" s="9" t="str">
        <f>Upload!AK202</f>
        <v/>
      </c>
      <c r="G212" s="9" t="str">
        <f>Upload!AM202</f>
        <v/>
      </c>
      <c r="H212" s="9" t="str">
        <f>Upload!AJ202</f>
        <v>(seleccione)</v>
      </c>
      <c r="I212" s="9" t="str">
        <f>Upload!AL202</f>
        <v>(seleccione)</v>
      </c>
      <c r="K212" s="15" t="str">
        <f t="shared" si="19"/>
        <v/>
      </c>
      <c r="L212" s="15" t="str">
        <f t="shared" si="20"/>
        <v/>
      </c>
      <c r="M212" s="15" t="str">
        <f t="shared" si="21"/>
        <v/>
      </c>
      <c r="N212" s="15" t="str">
        <f t="shared" si="22"/>
        <v/>
      </c>
      <c r="O212" s="15" t="str">
        <f t="shared" si="23"/>
        <v/>
      </c>
      <c r="P212" s="15" t="str">
        <f>IF(OR(C212="",NOT(OR(ISNUMBER(SEARCH("Antitarnish",Upload!R202&amp;Upload!S202&amp;Upload!T202&amp;Upload!U202&amp;Upload!V202)),ISNUMBER(SEARCH("Anti Tarnish",Upload!R202&amp;Upload!S202&amp;Upload!T202&amp;Upload!U202&amp;Upload!V202))))),"",0.0012*C212)</f>
        <v/>
      </c>
      <c r="Q212" s="15" t="str">
        <f>IF(OR(E212="",NOT(OR(ISNUMBER(SEARCH("Epóxico MT",Upload!R202&amp;Upload!S202&amp;Upload!T202&amp;Upload!U202&amp;Upload!V202))))),"",E212*0.000035)</f>
        <v/>
      </c>
      <c r="R212" s="15" t="str">
        <f>IF(OR(F212="",NOT(OR(ISNUMBER(SEARCH("Epóxico BT",Upload!S202&amp;Upload!T202&amp;Upload!U202&amp;Upload!V202&amp;Upload!W202))))),"",F212*0.000035)</f>
        <v/>
      </c>
      <c r="S212" s="15" t="str">
        <f>IF(OR(G212="",NOT(OR(ISNUMBER(SEARCH("Epóxico Rojo",Upload!T202&amp;Upload!U202&amp;Upload!V202&amp;Upload!W202&amp;Upload!X202))))),"",G212*0.000035)</f>
        <v/>
      </c>
    </row>
    <row r="213" spans="1:19" x14ac:dyDescent="0.2">
      <c r="A213" s="9" t="e">
        <f t="shared" ca="1" si="18"/>
        <v>#NAME?</v>
      </c>
      <c r="B213" s="9">
        <f>Upload!G203</f>
        <v>0</v>
      </c>
      <c r="C213" s="9">
        <f>Upload!AN203</f>
        <v>0</v>
      </c>
      <c r="D213" s="9">
        <f>Upload!AO203</f>
        <v>0</v>
      </c>
      <c r="E213" s="9">
        <f>Upload!AP203</f>
        <v>0</v>
      </c>
      <c r="F213" s="9" t="str">
        <f>Upload!AK203</f>
        <v/>
      </c>
      <c r="G213" s="9" t="str">
        <f>Upload!AM203</f>
        <v/>
      </c>
      <c r="H213" s="9" t="str">
        <f>Upload!AJ203</f>
        <v>(seleccione)</v>
      </c>
      <c r="I213" s="9" t="str">
        <f>Upload!AL203</f>
        <v>(seleccione)</v>
      </c>
      <c r="K213" s="15" t="str">
        <f t="shared" si="19"/>
        <v/>
      </c>
      <c r="L213" s="15" t="str">
        <f t="shared" si="20"/>
        <v/>
      </c>
      <c r="M213" s="15" t="str">
        <f t="shared" si="21"/>
        <v/>
      </c>
      <c r="N213" s="15" t="str">
        <f t="shared" si="22"/>
        <v/>
      </c>
      <c r="O213" s="15" t="str">
        <f t="shared" si="23"/>
        <v/>
      </c>
      <c r="P213" s="15" t="str">
        <f>IF(OR(C213="",NOT(OR(ISNUMBER(SEARCH("Antitarnish",Upload!R203&amp;Upload!S203&amp;Upload!T203&amp;Upload!U203&amp;Upload!V203)),ISNUMBER(SEARCH("Anti Tarnish",Upload!R203&amp;Upload!S203&amp;Upload!T203&amp;Upload!U203&amp;Upload!V203))))),"",0.0012*C213)</f>
        <v/>
      </c>
      <c r="Q213" s="15" t="str">
        <f>IF(OR(E213="",NOT(OR(ISNUMBER(SEARCH("Epóxico MT",Upload!R203&amp;Upload!S203&amp;Upload!T203&amp;Upload!U203&amp;Upload!V203))))),"",E213*0.000035)</f>
        <v/>
      </c>
      <c r="R213" s="15" t="str">
        <f>IF(OR(F213="",NOT(OR(ISNUMBER(SEARCH("Epóxico BT",Upload!S203&amp;Upload!T203&amp;Upload!U203&amp;Upload!V203&amp;Upload!W203))))),"",F213*0.000035)</f>
        <v/>
      </c>
      <c r="S213" s="15" t="str">
        <f>IF(OR(G213="",NOT(OR(ISNUMBER(SEARCH("Epóxico Rojo",Upload!T203&amp;Upload!U203&amp;Upload!V203&amp;Upload!W203&amp;Upload!X203))))),"",G213*0.000035)</f>
        <v/>
      </c>
    </row>
    <row r="214" spans="1:19" x14ac:dyDescent="0.2">
      <c r="A214" s="9" t="e">
        <f t="shared" ca="1" si="18"/>
        <v>#NAME?</v>
      </c>
      <c r="B214" s="9">
        <f>Upload!G204</f>
        <v>0</v>
      </c>
      <c r="C214" s="9">
        <f>Upload!AN204</f>
        <v>0</v>
      </c>
      <c r="D214" s="9">
        <f>Upload!AO204</f>
        <v>0</v>
      </c>
      <c r="E214" s="9">
        <f>Upload!AP204</f>
        <v>0</v>
      </c>
      <c r="F214" s="9" t="str">
        <f>Upload!AK204</f>
        <v/>
      </c>
      <c r="G214" s="9" t="str">
        <f>Upload!AM204</f>
        <v/>
      </c>
      <c r="H214" s="9" t="str">
        <f>Upload!AJ204</f>
        <v>(seleccione)</v>
      </c>
      <c r="I214" s="9" t="str">
        <f>Upload!AL204</f>
        <v>(seleccione)</v>
      </c>
      <c r="K214" s="15" t="str">
        <f t="shared" si="19"/>
        <v/>
      </c>
      <c r="L214" s="15" t="str">
        <f t="shared" si="20"/>
        <v/>
      </c>
      <c r="M214" s="15" t="str">
        <f t="shared" si="21"/>
        <v/>
      </c>
      <c r="N214" s="15" t="str">
        <f t="shared" si="22"/>
        <v/>
      </c>
      <c r="O214" s="15" t="str">
        <f t="shared" si="23"/>
        <v/>
      </c>
      <c r="P214" s="15" t="str">
        <f>IF(OR(C214="",NOT(OR(ISNUMBER(SEARCH("Antitarnish",Upload!R204&amp;Upload!S204&amp;Upload!T204&amp;Upload!U204&amp;Upload!V204)),ISNUMBER(SEARCH("Anti Tarnish",Upload!R204&amp;Upload!S204&amp;Upload!T204&amp;Upload!U204&amp;Upload!V204))))),"",0.0012*C214)</f>
        <v/>
      </c>
      <c r="Q214" s="15" t="str">
        <f>IF(OR(E214="",NOT(OR(ISNUMBER(SEARCH("Epóxico MT",Upload!R204&amp;Upload!S204&amp;Upload!T204&amp;Upload!U204&amp;Upload!V204))))),"",E214*0.000035)</f>
        <v/>
      </c>
      <c r="R214" s="15" t="str">
        <f>IF(OR(F214="",NOT(OR(ISNUMBER(SEARCH("Epóxico BT",Upload!S204&amp;Upload!T204&amp;Upload!U204&amp;Upload!V204&amp;Upload!W204))))),"",F214*0.000035)</f>
        <v/>
      </c>
      <c r="S214" s="15" t="str">
        <f>IF(OR(G214="",NOT(OR(ISNUMBER(SEARCH("Epóxico Rojo",Upload!T204&amp;Upload!U204&amp;Upload!V204&amp;Upload!W204&amp;Upload!X204))))),"",G214*0.000035)</f>
        <v/>
      </c>
    </row>
    <row r="215" spans="1:19" x14ac:dyDescent="0.2">
      <c r="A215" s="9" t="e">
        <f t="shared" ca="1" si="18"/>
        <v>#NAME?</v>
      </c>
      <c r="B215" s="9">
        <f>Upload!G205</f>
        <v>0</v>
      </c>
      <c r="C215" s="9">
        <f>Upload!AN205</f>
        <v>0</v>
      </c>
      <c r="D215" s="9">
        <f>Upload!AO205</f>
        <v>0</v>
      </c>
      <c r="E215" s="9">
        <f>Upload!AP205</f>
        <v>0</v>
      </c>
      <c r="F215" s="9" t="str">
        <f>Upload!AK205</f>
        <v/>
      </c>
      <c r="G215" s="9" t="str">
        <f>Upload!AM205</f>
        <v/>
      </c>
      <c r="H215" s="9" t="str">
        <f>Upload!AJ205</f>
        <v>(seleccione)</v>
      </c>
      <c r="I215" s="9" t="str">
        <f>Upload!AL205</f>
        <v>(seleccione)</v>
      </c>
      <c r="K215" s="15" t="str">
        <f t="shared" si="19"/>
        <v/>
      </c>
      <c r="L215" s="15" t="str">
        <f t="shared" si="20"/>
        <v/>
      </c>
      <c r="M215" s="15" t="str">
        <f t="shared" si="21"/>
        <v/>
      </c>
      <c r="N215" s="15" t="str">
        <f t="shared" si="22"/>
        <v/>
      </c>
      <c r="O215" s="15" t="str">
        <f t="shared" si="23"/>
        <v/>
      </c>
      <c r="P215" s="15" t="str">
        <f>IF(OR(C215="",NOT(OR(ISNUMBER(SEARCH("Antitarnish",Upload!R205&amp;Upload!S205&amp;Upload!T205&amp;Upload!U205&amp;Upload!V205)),ISNUMBER(SEARCH("Anti Tarnish",Upload!R205&amp;Upload!S205&amp;Upload!T205&amp;Upload!U205&amp;Upload!V205))))),"",0.0012*C215)</f>
        <v/>
      </c>
      <c r="Q215" s="15" t="str">
        <f>IF(OR(E215="",NOT(OR(ISNUMBER(SEARCH("Epóxico MT",Upload!R205&amp;Upload!S205&amp;Upload!T205&amp;Upload!U205&amp;Upload!V205))))),"",E215*0.000035)</f>
        <v/>
      </c>
      <c r="R215" s="15" t="str">
        <f>IF(OR(F215="",NOT(OR(ISNUMBER(SEARCH("Epóxico BT",Upload!S205&amp;Upload!T205&amp;Upload!U205&amp;Upload!V205&amp;Upload!W205))))),"",F215*0.000035)</f>
        <v/>
      </c>
      <c r="S215" s="15" t="str">
        <f>IF(OR(G215="",NOT(OR(ISNUMBER(SEARCH("Epóxico Rojo",Upload!T205&amp;Upload!U205&amp;Upload!V205&amp;Upload!W205&amp;Upload!X205))))),"",G215*0.000035)</f>
        <v/>
      </c>
    </row>
    <row r="216" spans="1:19" x14ac:dyDescent="0.2">
      <c r="A216" s="9" t="e">
        <f t="shared" ca="1" si="18"/>
        <v>#NAME?</v>
      </c>
      <c r="B216" s="9">
        <f>Upload!G206</f>
        <v>0</v>
      </c>
      <c r="C216" s="9">
        <f>Upload!AN206</f>
        <v>0</v>
      </c>
      <c r="D216" s="9">
        <f>Upload!AO206</f>
        <v>0</v>
      </c>
      <c r="E216" s="9">
        <f>Upload!AP206</f>
        <v>0</v>
      </c>
      <c r="F216" s="9" t="str">
        <f>Upload!AK206</f>
        <v/>
      </c>
      <c r="G216" s="9" t="str">
        <f>Upload!AM206</f>
        <v/>
      </c>
      <c r="H216" s="9" t="str">
        <f>Upload!AJ206</f>
        <v>(seleccione)</v>
      </c>
      <c r="I216" s="9" t="str">
        <f>Upload!AL206</f>
        <v>(seleccione)</v>
      </c>
      <c r="K216" s="15" t="str">
        <f t="shared" si="19"/>
        <v/>
      </c>
      <c r="L216" s="15" t="str">
        <f t="shared" si="20"/>
        <v/>
      </c>
      <c r="M216" s="15" t="str">
        <f t="shared" si="21"/>
        <v/>
      </c>
      <c r="N216" s="15" t="str">
        <f t="shared" si="22"/>
        <v/>
      </c>
      <c r="O216" s="15" t="str">
        <f t="shared" si="23"/>
        <v/>
      </c>
      <c r="P216" s="15" t="str">
        <f>IF(OR(C216="",NOT(OR(ISNUMBER(SEARCH("Antitarnish",Upload!R206&amp;Upload!S206&amp;Upload!T206&amp;Upload!U206&amp;Upload!V206)),ISNUMBER(SEARCH("Anti Tarnish",Upload!R206&amp;Upload!S206&amp;Upload!T206&amp;Upload!U206&amp;Upload!V206))))),"",0.0012*C216)</f>
        <v/>
      </c>
      <c r="Q216" s="15" t="str">
        <f>IF(OR(E216="",NOT(OR(ISNUMBER(SEARCH("Epóxico MT",Upload!R206&amp;Upload!S206&amp;Upload!T206&amp;Upload!U206&amp;Upload!V206))))),"",E216*0.000035)</f>
        <v/>
      </c>
      <c r="R216" s="15" t="str">
        <f>IF(OR(F216="",NOT(OR(ISNUMBER(SEARCH("Epóxico BT",Upload!S206&amp;Upload!T206&amp;Upload!U206&amp;Upload!V206&amp;Upload!W206))))),"",F216*0.000035)</f>
        <v/>
      </c>
      <c r="S216" s="15" t="str">
        <f>IF(OR(G216="",NOT(OR(ISNUMBER(SEARCH("Epóxico Rojo",Upload!T206&amp;Upload!U206&amp;Upload!V206&amp;Upload!W206&amp;Upload!X206))))),"",G216*0.000035)</f>
        <v/>
      </c>
    </row>
    <row r="217" spans="1:19" x14ac:dyDescent="0.2">
      <c r="A217" s="9" t="e">
        <f t="shared" ca="1" si="18"/>
        <v>#NAME?</v>
      </c>
      <c r="B217" s="9">
        <f>Upload!G207</f>
        <v>0</v>
      </c>
      <c r="C217" s="9">
        <f>Upload!AN207</f>
        <v>0</v>
      </c>
      <c r="D217" s="9">
        <f>Upload!AO207</f>
        <v>0</v>
      </c>
      <c r="E217" s="9">
        <f>Upload!AP207</f>
        <v>0</v>
      </c>
      <c r="F217" s="9" t="str">
        <f>Upload!AK207</f>
        <v/>
      </c>
      <c r="G217" s="9" t="str">
        <f>Upload!AM207</f>
        <v/>
      </c>
      <c r="H217" s="9" t="str">
        <f>Upload!AJ207</f>
        <v>(seleccione)</v>
      </c>
      <c r="I217" s="9" t="str">
        <f>Upload!AL207</f>
        <v>(seleccione)</v>
      </c>
      <c r="K217" s="15" t="str">
        <f t="shared" si="19"/>
        <v/>
      </c>
      <c r="L217" s="15" t="str">
        <f t="shared" si="20"/>
        <v/>
      </c>
      <c r="M217" s="15" t="str">
        <f t="shared" si="21"/>
        <v/>
      </c>
      <c r="N217" s="15" t="str">
        <f t="shared" si="22"/>
        <v/>
      </c>
      <c r="O217" s="15" t="str">
        <f t="shared" si="23"/>
        <v/>
      </c>
      <c r="P217" s="15" t="str">
        <f>IF(OR(C217="",NOT(OR(ISNUMBER(SEARCH("Antitarnish",Upload!R207&amp;Upload!S207&amp;Upload!T207&amp;Upload!U207&amp;Upload!V207)),ISNUMBER(SEARCH("Anti Tarnish",Upload!R207&amp;Upload!S207&amp;Upload!T207&amp;Upload!U207&amp;Upload!V207))))),"",0.0012*C217)</f>
        <v/>
      </c>
      <c r="Q217" s="15" t="str">
        <f>IF(OR(E217="",NOT(OR(ISNUMBER(SEARCH("Epóxico MT",Upload!R207&amp;Upload!S207&amp;Upload!T207&amp;Upload!U207&amp;Upload!V207))))),"",E217*0.000035)</f>
        <v/>
      </c>
      <c r="R217" s="15" t="str">
        <f>IF(OR(F217="",NOT(OR(ISNUMBER(SEARCH("Epóxico BT",Upload!S207&amp;Upload!T207&amp;Upload!U207&amp;Upload!V207&amp;Upload!W207))))),"",F217*0.000035)</f>
        <v/>
      </c>
      <c r="S217" s="15" t="str">
        <f>IF(OR(G217="",NOT(OR(ISNUMBER(SEARCH("Epóxico Rojo",Upload!T207&amp;Upload!U207&amp;Upload!V207&amp;Upload!W207&amp;Upload!X207))))),"",G217*0.000035)</f>
        <v/>
      </c>
    </row>
    <row r="218" spans="1:19" x14ac:dyDescent="0.2">
      <c r="A218" s="9" t="e">
        <f t="shared" ca="1" si="18"/>
        <v>#NAME?</v>
      </c>
      <c r="B218" s="9">
        <f>Upload!G208</f>
        <v>0</v>
      </c>
      <c r="C218" s="9">
        <f>Upload!AN208</f>
        <v>0</v>
      </c>
      <c r="D218" s="9">
        <f>Upload!AO208</f>
        <v>0</v>
      </c>
      <c r="E218" s="9">
        <f>Upload!AP208</f>
        <v>0</v>
      </c>
      <c r="F218" s="9" t="str">
        <f>Upload!AK208</f>
        <v/>
      </c>
      <c r="G218" s="9" t="str">
        <f>Upload!AM208</f>
        <v/>
      </c>
      <c r="H218" s="9" t="str">
        <f>Upload!AJ208</f>
        <v>(seleccione)</v>
      </c>
      <c r="I218" s="9" t="str">
        <f>Upload!AL208</f>
        <v>(seleccione)</v>
      </c>
      <c r="K218" s="15" t="str">
        <f t="shared" si="19"/>
        <v/>
      </c>
      <c r="L218" s="15" t="str">
        <f t="shared" si="20"/>
        <v/>
      </c>
      <c r="M218" s="15" t="str">
        <f t="shared" si="21"/>
        <v/>
      </c>
      <c r="N218" s="15" t="str">
        <f t="shared" si="22"/>
        <v/>
      </c>
      <c r="O218" s="15" t="str">
        <f t="shared" si="23"/>
        <v/>
      </c>
      <c r="P218" s="15" t="str">
        <f>IF(OR(C218="",NOT(OR(ISNUMBER(SEARCH("Antitarnish",Upload!R208&amp;Upload!S208&amp;Upload!T208&amp;Upload!U208&amp;Upload!V208)),ISNUMBER(SEARCH("Anti Tarnish",Upload!R208&amp;Upload!S208&amp;Upload!T208&amp;Upload!U208&amp;Upload!V208))))),"",0.0012*C218)</f>
        <v/>
      </c>
      <c r="Q218" s="15" t="str">
        <f>IF(OR(E218="",NOT(OR(ISNUMBER(SEARCH("Epóxico MT",Upload!R208&amp;Upload!S208&amp;Upload!T208&amp;Upload!U208&amp;Upload!V208))))),"",E218*0.000035)</f>
        <v/>
      </c>
      <c r="R218" s="15" t="str">
        <f>IF(OR(F218="",NOT(OR(ISNUMBER(SEARCH("Epóxico BT",Upload!S208&amp;Upload!T208&amp;Upload!U208&amp;Upload!V208&amp;Upload!W208))))),"",F218*0.000035)</f>
        <v/>
      </c>
      <c r="S218" s="15" t="str">
        <f>IF(OR(G218="",NOT(OR(ISNUMBER(SEARCH("Epóxico Rojo",Upload!T208&amp;Upload!U208&amp;Upload!V208&amp;Upload!W208&amp;Upload!X208))))),"",G218*0.000035)</f>
        <v/>
      </c>
    </row>
    <row r="219" spans="1:19" x14ac:dyDescent="0.2">
      <c r="A219" s="9" t="e">
        <f t="shared" ca="1" si="18"/>
        <v>#NAME?</v>
      </c>
      <c r="B219" s="9">
        <f>Upload!G209</f>
        <v>0</v>
      </c>
      <c r="C219" s="9">
        <f>Upload!AN209</f>
        <v>0</v>
      </c>
      <c r="D219" s="9">
        <f>Upload!AO209</f>
        <v>0</v>
      </c>
      <c r="E219" s="9">
        <f>Upload!AP209</f>
        <v>0</v>
      </c>
      <c r="F219" s="9" t="str">
        <f>Upload!AK209</f>
        <v/>
      </c>
      <c r="G219" s="9" t="str">
        <f>Upload!AM209</f>
        <v/>
      </c>
      <c r="H219" s="9" t="str">
        <f>Upload!AJ209</f>
        <v>(seleccione)</v>
      </c>
      <c r="I219" s="9" t="str">
        <f>Upload!AL209</f>
        <v>(seleccione)</v>
      </c>
      <c r="K219" s="15" t="str">
        <f t="shared" si="19"/>
        <v/>
      </c>
      <c r="L219" s="15" t="str">
        <f t="shared" si="20"/>
        <v/>
      </c>
      <c r="M219" s="15" t="str">
        <f t="shared" si="21"/>
        <v/>
      </c>
      <c r="N219" s="15" t="str">
        <f t="shared" si="22"/>
        <v/>
      </c>
      <c r="O219" s="15" t="str">
        <f t="shared" si="23"/>
        <v/>
      </c>
      <c r="P219" s="15" t="str">
        <f>IF(OR(C219="",NOT(OR(ISNUMBER(SEARCH("Antitarnish",Upload!R209&amp;Upload!S209&amp;Upload!T209&amp;Upload!U209&amp;Upload!V209)),ISNUMBER(SEARCH("Anti Tarnish",Upload!R209&amp;Upload!S209&amp;Upload!T209&amp;Upload!U209&amp;Upload!V209))))),"",0.0012*C219)</f>
        <v/>
      </c>
      <c r="Q219" s="15" t="str">
        <f>IF(OR(E219="",NOT(OR(ISNUMBER(SEARCH("Epóxico MT",Upload!R209&amp;Upload!S209&amp;Upload!T209&amp;Upload!U209&amp;Upload!V209))))),"",E219*0.000035)</f>
        <v/>
      </c>
      <c r="R219" s="15" t="str">
        <f>IF(OR(F219="",NOT(OR(ISNUMBER(SEARCH("Epóxico BT",Upload!S209&amp;Upload!T209&amp;Upload!U209&amp;Upload!V209&amp;Upload!W209))))),"",F219*0.000035)</f>
        <v/>
      </c>
      <c r="S219" s="15" t="str">
        <f>IF(OR(G219="",NOT(OR(ISNUMBER(SEARCH("Epóxico Rojo",Upload!T209&amp;Upload!U209&amp;Upload!V209&amp;Upload!W209&amp;Upload!X209))))),"",G219*0.000035)</f>
        <v/>
      </c>
    </row>
    <row r="220" spans="1:19" x14ac:dyDescent="0.2">
      <c r="A220" s="9" t="e">
        <f t="shared" ca="1" si="18"/>
        <v>#NAME?</v>
      </c>
      <c r="B220" s="9">
        <f>Upload!G210</f>
        <v>0</v>
      </c>
      <c r="C220" s="9">
        <f>Upload!AN210</f>
        <v>0</v>
      </c>
      <c r="D220" s="9">
        <f>Upload!AO210</f>
        <v>0</v>
      </c>
      <c r="E220" s="9">
        <f>Upload!AP210</f>
        <v>0</v>
      </c>
      <c r="F220" s="9" t="str">
        <f>Upload!AK210</f>
        <v/>
      </c>
      <c r="G220" s="9" t="str">
        <f>Upload!AM210</f>
        <v/>
      </c>
      <c r="H220" s="9" t="str">
        <f>Upload!AJ210</f>
        <v>(seleccione)</v>
      </c>
      <c r="I220" s="9" t="str">
        <f>Upload!AL210</f>
        <v>(seleccione)</v>
      </c>
      <c r="K220" s="15" t="str">
        <f t="shared" si="19"/>
        <v/>
      </c>
      <c r="L220" s="15" t="str">
        <f t="shared" si="20"/>
        <v/>
      </c>
      <c r="M220" s="15" t="str">
        <f t="shared" si="21"/>
        <v/>
      </c>
      <c r="N220" s="15" t="str">
        <f t="shared" si="22"/>
        <v/>
      </c>
      <c r="O220" s="15" t="str">
        <f t="shared" si="23"/>
        <v/>
      </c>
      <c r="P220" s="15" t="str">
        <f>IF(OR(C220="",NOT(OR(ISNUMBER(SEARCH("Antitarnish",Upload!R210&amp;Upload!S210&amp;Upload!T210&amp;Upload!U210&amp;Upload!V210)),ISNUMBER(SEARCH("Anti Tarnish",Upload!R210&amp;Upload!S210&amp;Upload!T210&amp;Upload!U210&amp;Upload!V210))))),"",0.0012*C220)</f>
        <v/>
      </c>
      <c r="Q220" s="15" t="str">
        <f>IF(OR(E220="",NOT(OR(ISNUMBER(SEARCH("Epóxico MT",Upload!R210&amp;Upload!S210&amp;Upload!T210&amp;Upload!U210&amp;Upload!V210))))),"",E220*0.000035)</f>
        <v/>
      </c>
      <c r="R220" s="15" t="str">
        <f>IF(OR(F220="",NOT(OR(ISNUMBER(SEARCH("Epóxico BT",Upload!S210&amp;Upload!T210&amp;Upload!U210&amp;Upload!V210&amp;Upload!W210))))),"",F220*0.000035)</f>
        <v/>
      </c>
      <c r="S220" s="15" t="str">
        <f>IF(OR(G220="",NOT(OR(ISNUMBER(SEARCH("Epóxico Rojo",Upload!T210&amp;Upload!U210&amp;Upload!V210&amp;Upload!W210&amp;Upload!X210))))),"",G220*0.000035)</f>
        <v/>
      </c>
    </row>
    <row r="221" spans="1:19" x14ac:dyDescent="0.2">
      <c r="A221" s="9" t="e">
        <f t="shared" ca="1" si="18"/>
        <v>#NAME?</v>
      </c>
      <c r="B221" s="9">
        <f>Upload!G211</f>
        <v>0</v>
      </c>
      <c r="C221" s="9">
        <f>Upload!AN211</f>
        <v>0</v>
      </c>
      <c r="D221" s="9">
        <f>Upload!AO211</f>
        <v>0</v>
      </c>
      <c r="E221" s="9">
        <f>Upload!AP211</f>
        <v>0</v>
      </c>
      <c r="F221" s="9" t="str">
        <f>Upload!AK211</f>
        <v/>
      </c>
      <c r="G221" s="9" t="str">
        <f>Upload!AM211</f>
        <v/>
      </c>
      <c r="H221" s="9" t="str">
        <f>Upload!AJ211</f>
        <v>(seleccione)</v>
      </c>
      <c r="I221" s="9" t="str">
        <f>Upload!AL211</f>
        <v>(seleccione)</v>
      </c>
      <c r="K221" s="15" t="str">
        <f t="shared" si="19"/>
        <v/>
      </c>
      <c r="L221" s="15" t="str">
        <f t="shared" si="20"/>
        <v/>
      </c>
      <c r="M221" s="15" t="str">
        <f t="shared" si="21"/>
        <v/>
      </c>
      <c r="N221" s="15" t="str">
        <f t="shared" si="22"/>
        <v/>
      </c>
      <c r="O221" s="15" t="str">
        <f t="shared" si="23"/>
        <v/>
      </c>
      <c r="P221" s="15" t="str">
        <f>IF(OR(C221="",NOT(OR(ISNUMBER(SEARCH("Antitarnish",Upload!R211&amp;Upload!S211&amp;Upload!T211&amp;Upload!U211&amp;Upload!V211)),ISNUMBER(SEARCH("Anti Tarnish",Upload!R211&amp;Upload!S211&amp;Upload!T211&amp;Upload!U211&amp;Upload!V211))))),"",0.0012*C221)</f>
        <v/>
      </c>
      <c r="Q221" s="15" t="str">
        <f>IF(OR(E221="",NOT(OR(ISNUMBER(SEARCH("Epóxico MT",Upload!R211&amp;Upload!S211&amp;Upload!T211&amp;Upload!U211&amp;Upload!V211))))),"",E221*0.000035)</f>
        <v/>
      </c>
      <c r="R221" s="15" t="str">
        <f>IF(OR(F221="",NOT(OR(ISNUMBER(SEARCH("Epóxico BT",Upload!S211&amp;Upload!T211&amp;Upload!U211&amp;Upload!V211&amp;Upload!W211))))),"",F221*0.000035)</f>
        <v/>
      </c>
      <c r="S221" s="15" t="str">
        <f>IF(OR(G221="",NOT(OR(ISNUMBER(SEARCH("Epóxico Rojo",Upload!T211&amp;Upload!U211&amp;Upload!V211&amp;Upload!W211&amp;Upload!X211))))),"",G221*0.000035)</f>
        <v/>
      </c>
    </row>
    <row r="222" spans="1:19" x14ac:dyDescent="0.2">
      <c r="A222" s="9" t="e">
        <f t="shared" ca="1" si="18"/>
        <v>#NAME?</v>
      </c>
      <c r="B222" s="9">
        <f>Upload!G212</f>
        <v>0</v>
      </c>
      <c r="C222" s="9">
        <f>Upload!AN212</f>
        <v>0</v>
      </c>
      <c r="D222" s="9">
        <f>Upload!AO212</f>
        <v>0</v>
      </c>
      <c r="E222" s="9">
        <f>Upload!AP212</f>
        <v>0</v>
      </c>
      <c r="F222" s="9" t="str">
        <f>Upload!AK212</f>
        <v/>
      </c>
      <c r="G222" s="9" t="str">
        <f>Upload!AM212</f>
        <v/>
      </c>
      <c r="H222" s="9" t="str">
        <f>Upload!AJ212</f>
        <v>(seleccione)</v>
      </c>
      <c r="I222" s="9" t="str">
        <f>Upload!AL212</f>
        <v>(seleccione)</v>
      </c>
      <c r="K222" s="15" t="str">
        <f t="shared" si="19"/>
        <v/>
      </c>
      <c r="L222" s="15" t="str">
        <f t="shared" si="20"/>
        <v/>
      </c>
      <c r="M222" s="15" t="str">
        <f t="shared" si="21"/>
        <v/>
      </c>
      <c r="N222" s="15" t="str">
        <f t="shared" si="22"/>
        <v/>
      </c>
      <c r="O222" s="15" t="str">
        <f t="shared" si="23"/>
        <v/>
      </c>
      <c r="P222" s="15" t="str">
        <f>IF(OR(C222="",NOT(OR(ISNUMBER(SEARCH("Antitarnish",Upload!R212&amp;Upload!S212&amp;Upload!T212&amp;Upload!U212&amp;Upload!V212)),ISNUMBER(SEARCH("Anti Tarnish",Upload!R212&amp;Upload!S212&amp;Upload!T212&amp;Upload!U212&amp;Upload!V212))))),"",0.0012*C222)</f>
        <v/>
      </c>
      <c r="Q222" s="15" t="str">
        <f>IF(OR(E222="",NOT(OR(ISNUMBER(SEARCH("Epóxico MT",Upload!R212&amp;Upload!S212&amp;Upload!T212&amp;Upload!U212&amp;Upload!V212))))),"",E222*0.000035)</f>
        <v/>
      </c>
      <c r="R222" s="15" t="str">
        <f>IF(OR(F222="",NOT(OR(ISNUMBER(SEARCH("Epóxico BT",Upload!S212&amp;Upload!T212&amp;Upload!U212&amp;Upload!V212&amp;Upload!W212))))),"",F222*0.000035)</f>
        <v/>
      </c>
      <c r="S222" s="15" t="str">
        <f>IF(OR(G222="",NOT(OR(ISNUMBER(SEARCH("Epóxico Rojo",Upload!T212&amp;Upload!U212&amp;Upload!V212&amp;Upload!W212&amp;Upload!X212))))),"",G222*0.000035)</f>
        <v/>
      </c>
    </row>
    <row r="223" spans="1:19" x14ac:dyDescent="0.2">
      <c r="A223" s="9" t="e">
        <f t="shared" ca="1" si="18"/>
        <v>#NAME?</v>
      </c>
      <c r="B223" s="9">
        <f>Upload!G213</f>
        <v>0</v>
      </c>
      <c r="C223" s="9">
        <f>Upload!AN213</f>
        <v>0</v>
      </c>
      <c r="D223" s="9">
        <f>Upload!AO213</f>
        <v>0</v>
      </c>
      <c r="E223" s="9">
        <f>Upload!AP213</f>
        <v>0</v>
      </c>
      <c r="F223" s="9" t="str">
        <f>Upload!AK213</f>
        <v/>
      </c>
      <c r="G223" s="9" t="str">
        <f>Upload!AM213</f>
        <v/>
      </c>
      <c r="H223" s="9" t="str">
        <f>Upload!AJ213</f>
        <v>(seleccione)</v>
      </c>
      <c r="I223" s="9" t="str">
        <f>Upload!AL213</f>
        <v>(seleccione)</v>
      </c>
      <c r="K223" s="15" t="str">
        <f t="shared" si="19"/>
        <v/>
      </c>
      <c r="L223" s="15" t="str">
        <f t="shared" si="20"/>
        <v/>
      </c>
      <c r="M223" s="15" t="str">
        <f t="shared" si="21"/>
        <v/>
      </c>
      <c r="N223" s="15" t="str">
        <f t="shared" si="22"/>
        <v/>
      </c>
      <c r="O223" s="15" t="str">
        <f t="shared" si="23"/>
        <v/>
      </c>
      <c r="P223" s="15" t="str">
        <f>IF(OR(C223="",NOT(OR(ISNUMBER(SEARCH("Antitarnish",Upload!R213&amp;Upload!S213&amp;Upload!T213&amp;Upload!U213&amp;Upload!V213)),ISNUMBER(SEARCH("Anti Tarnish",Upload!R213&amp;Upload!S213&amp;Upload!T213&amp;Upload!U213&amp;Upload!V213))))),"",0.0012*C223)</f>
        <v/>
      </c>
      <c r="Q223" s="15" t="str">
        <f>IF(OR(E223="",NOT(OR(ISNUMBER(SEARCH("Epóxico MT",Upload!R213&amp;Upload!S213&amp;Upload!T213&amp;Upload!U213&amp;Upload!V213))))),"",E223*0.000035)</f>
        <v/>
      </c>
      <c r="R223" s="15" t="str">
        <f>IF(OR(F223="",NOT(OR(ISNUMBER(SEARCH("Epóxico BT",Upload!S213&amp;Upload!T213&amp;Upload!U213&amp;Upload!V213&amp;Upload!W213))))),"",F223*0.000035)</f>
        <v/>
      </c>
      <c r="S223" s="15" t="str">
        <f>IF(OR(G223="",NOT(OR(ISNUMBER(SEARCH("Epóxico Rojo",Upload!T213&amp;Upload!U213&amp;Upload!V213&amp;Upload!W213&amp;Upload!X213))))),"",G223*0.000035)</f>
        <v/>
      </c>
    </row>
    <row r="224" spans="1:19" x14ac:dyDescent="0.2">
      <c r="A224" s="9" t="e">
        <f t="shared" ca="1" si="18"/>
        <v>#NAME?</v>
      </c>
      <c r="B224" s="9">
        <f>Upload!G214</f>
        <v>0</v>
      </c>
      <c r="C224" s="9">
        <f>Upload!AN214</f>
        <v>0</v>
      </c>
      <c r="D224" s="9">
        <f>Upload!AO214</f>
        <v>0</v>
      </c>
      <c r="E224" s="9">
        <f>Upload!AP214</f>
        <v>0</v>
      </c>
      <c r="F224" s="9" t="str">
        <f>Upload!AK214</f>
        <v/>
      </c>
      <c r="G224" s="9" t="str">
        <f>Upload!AM214</f>
        <v/>
      </c>
      <c r="H224" s="9" t="str">
        <f>Upload!AJ214</f>
        <v>(seleccione)</v>
      </c>
      <c r="I224" s="9" t="str">
        <f>Upload!AL214</f>
        <v>(seleccione)</v>
      </c>
      <c r="K224" s="15" t="str">
        <f t="shared" si="19"/>
        <v/>
      </c>
      <c r="L224" s="15" t="str">
        <f t="shared" si="20"/>
        <v/>
      </c>
      <c r="M224" s="15" t="str">
        <f t="shared" si="21"/>
        <v/>
      </c>
      <c r="N224" s="15" t="str">
        <f t="shared" si="22"/>
        <v/>
      </c>
      <c r="O224" s="15" t="str">
        <f t="shared" si="23"/>
        <v/>
      </c>
      <c r="P224" s="15" t="str">
        <f>IF(OR(C224="",NOT(OR(ISNUMBER(SEARCH("Antitarnish",Upload!R214&amp;Upload!S214&amp;Upload!T214&amp;Upload!U214&amp;Upload!V214)),ISNUMBER(SEARCH("Anti Tarnish",Upload!R214&amp;Upload!S214&amp;Upload!T214&amp;Upload!U214&amp;Upload!V214))))),"",0.0012*C224)</f>
        <v/>
      </c>
      <c r="Q224" s="15" t="str">
        <f>IF(OR(E224="",NOT(OR(ISNUMBER(SEARCH("Epóxico MT",Upload!R214&amp;Upload!S214&amp;Upload!T214&amp;Upload!U214&amp;Upload!V214))))),"",E224*0.000035)</f>
        <v/>
      </c>
      <c r="R224" s="15" t="str">
        <f>IF(OR(F224="",NOT(OR(ISNUMBER(SEARCH("Epóxico BT",Upload!S214&amp;Upload!T214&amp;Upload!U214&amp;Upload!V214&amp;Upload!W214))))),"",F224*0.000035)</f>
        <v/>
      </c>
      <c r="S224" s="15" t="str">
        <f>IF(OR(G224="",NOT(OR(ISNUMBER(SEARCH("Epóxico Rojo",Upload!T214&amp;Upload!U214&amp;Upload!V214&amp;Upload!W214&amp;Upload!X214))))),"",G224*0.000035)</f>
        <v/>
      </c>
    </row>
    <row r="225" spans="1:19" x14ac:dyDescent="0.2">
      <c r="A225" s="9" t="e">
        <f t="shared" ca="1" si="18"/>
        <v>#NAME?</v>
      </c>
      <c r="B225" s="9">
        <f>Upload!G215</f>
        <v>0</v>
      </c>
      <c r="C225" s="9">
        <f>Upload!AN215</f>
        <v>0</v>
      </c>
      <c r="D225" s="9">
        <f>Upload!AO215</f>
        <v>0</v>
      </c>
      <c r="E225" s="9">
        <f>Upload!AP215</f>
        <v>0</v>
      </c>
      <c r="F225" s="9" t="str">
        <f>Upload!AK215</f>
        <v/>
      </c>
      <c r="G225" s="9" t="str">
        <f>Upload!AM215</f>
        <v/>
      </c>
      <c r="H225" s="9" t="str">
        <f>Upload!AJ215</f>
        <v>(seleccione)</v>
      </c>
      <c r="I225" s="9" t="str">
        <f>Upload!AL215</f>
        <v>(seleccione)</v>
      </c>
      <c r="K225" s="15" t="str">
        <f t="shared" si="19"/>
        <v/>
      </c>
      <c r="L225" s="15" t="str">
        <f t="shared" si="20"/>
        <v/>
      </c>
      <c r="M225" s="15" t="str">
        <f t="shared" si="21"/>
        <v/>
      </c>
      <c r="N225" s="15" t="str">
        <f t="shared" si="22"/>
        <v/>
      </c>
      <c r="O225" s="15" t="str">
        <f t="shared" si="23"/>
        <v/>
      </c>
      <c r="P225" s="15" t="str">
        <f>IF(OR(C225="",NOT(OR(ISNUMBER(SEARCH("Antitarnish",Upload!R215&amp;Upload!S215&amp;Upload!T215&amp;Upload!U215&amp;Upload!V215)),ISNUMBER(SEARCH("Anti Tarnish",Upload!R215&amp;Upload!S215&amp;Upload!T215&amp;Upload!U215&amp;Upload!V215))))),"",0.0012*C225)</f>
        <v/>
      </c>
      <c r="Q225" s="15" t="str">
        <f>IF(OR(E225="",NOT(OR(ISNUMBER(SEARCH("Epóxico MT",Upload!R215&amp;Upload!S215&amp;Upload!T215&amp;Upload!U215&amp;Upload!V215))))),"",E225*0.000035)</f>
        <v/>
      </c>
      <c r="R225" s="15" t="str">
        <f>IF(OR(F225="",NOT(OR(ISNUMBER(SEARCH("Epóxico BT",Upload!S215&amp;Upload!T215&amp;Upload!U215&amp;Upload!V215&amp;Upload!W215))))),"",F225*0.000035)</f>
        <v/>
      </c>
      <c r="S225" s="15" t="str">
        <f>IF(OR(G225="",NOT(OR(ISNUMBER(SEARCH("Epóxico Rojo",Upload!T215&amp;Upload!U215&amp;Upload!V215&amp;Upload!W215&amp;Upload!X215))))),"",G225*0.000035)</f>
        <v/>
      </c>
    </row>
    <row r="226" spans="1:19" x14ac:dyDescent="0.2">
      <c r="A226" s="9" t="e">
        <f t="shared" ca="1" si="18"/>
        <v>#NAME?</v>
      </c>
      <c r="B226" s="9">
        <f>Upload!G216</f>
        <v>0</v>
      </c>
      <c r="C226" s="9">
        <f>Upload!AN216</f>
        <v>0</v>
      </c>
      <c r="D226" s="9">
        <f>Upload!AO216</f>
        <v>0</v>
      </c>
      <c r="E226" s="9">
        <f>Upload!AP216</f>
        <v>0</v>
      </c>
      <c r="F226" s="9" t="str">
        <f>Upload!AK216</f>
        <v/>
      </c>
      <c r="G226" s="9" t="str">
        <f>Upload!AM216</f>
        <v/>
      </c>
      <c r="H226" s="9" t="str">
        <f>Upload!AJ216</f>
        <v>(seleccione)</v>
      </c>
      <c r="I226" s="9" t="str">
        <f>Upload!AL216</f>
        <v>(seleccione)</v>
      </c>
      <c r="K226" s="15" t="str">
        <f t="shared" si="19"/>
        <v/>
      </c>
      <c r="L226" s="15" t="str">
        <f t="shared" si="20"/>
        <v/>
      </c>
      <c r="M226" s="15" t="str">
        <f t="shared" si="21"/>
        <v/>
      </c>
      <c r="N226" s="15" t="str">
        <f t="shared" si="22"/>
        <v/>
      </c>
      <c r="O226" s="15" t="str">
        <f t="shared" si="23"/>
        <v/>
      </c>
      <c r="P226" s="15" t="str">
        <f>IF(OR(C226="",NOT(OR(ISNUMBER(SEARCH("Antitarnish",Upload!R216&amp;Upload!S216&amp;Upload!T216&amp;Upload!U216&amp;Upload!V216)),ISNUMBER(SEARCH("Anti Tarnish",Upload!R216&amp;Upload!S216&amp;Upload!T216&amp;Upload!U216&amp;Upload!V216))))),"",0.0012*C226)</f>
        <v/>
      </c>
      <c r="Q226" s="15" t="str">
        <f>IF(OR(E226="",NOT(OR(ISNUMBER(SEARCH("Epóxico MT",Upload!R216&amp;Upload!S216&amp;Upload!T216&amp;Upload!U216&amp;Upload!V216))))),"",E226*0.000035)</f>
        <v/>
      </c>
      <c r="R226" s="15" t="str">
        <f>IF(OR(F226="",NOT(OR(ISNUMBER(SEARCH("Epóxico BT",Upload!S216&amp;Upload!T216&amp;Upload!U216&amp;Upload!V216&amp;Upload!W216))))),"",F226*0.000035)</f>
        <v/>
      </c>
      <c r="S226" s="15" t="str">
        <f>IF(OR(G226="",NOT(OR(ISNUMBER(SEARCH("Epóxico Rojo",Upload!T216&amp;Upload!U216&amp;Upload!V216&amp;Upload!W216&amp;Upload!X216))))),"",G226*0.000035)</f>
        <v/>
      </c>
    </row>
    <row r="227" spans="1:19" x14ac:dyDescent="0.2">
      <c r="A227" s="9" t="e">
        <f t="shared" ca="1" si="18"/>
        <v>#NAME?</v>
      </c>
      <c r="B227" s="9">
        <f>Upload!G217</f>
        <v>0</v>
      </c>
      <c r="C227" s="9">
        <f>Upload!AN217</f>
        <v>0</v>
      </c>
      <c r="D227" s="9">
        <f>Upload!AO217</f>
        <v>0</v>
      </c>
      <c r="E227" s="9">
        <f>Upload!AP217</f>
        <v>0</v>
      </c>
      <c r="F227" s="9" t="str">
        <f>Upload!AK217</f>
        <v/>
      </c>
      <c r="G227" s="9" t="str">
        <f>Upload!AM217</f>
        <v/>
      </c>
      <c r="H227" s="9" t="str">
        <f>Upload!AJ217</f>
        <v>(seleccione)</v>
      </c>
      <c r="I227" s="9" t="str">
        <f>Upload!AL217</f>
        <v>(seleccione)</v>
      </c>
      <c r="K227" s="15" t="str">
        <f t="shared" si="19"/>
        <v/>
      </c>
      <c r="L227" s="15" t="str">
        <f t="shared" si="20"/>
        <v/>
      </c>
      <c r="M227" s="15" t="str">
        <f t="shared" si="21"/>
        <v/>
      </c>
      <c r="N227" s="15" t="str">
        <f t="shared" si="22"/>
        <v/>
      </c>
      <c r="O227" s="15" t="str">
        <f t="shared" si="23"/>
        <v/>
      </c>
      <c r="P227" s="15" t="str">
        <f>IF(OR(C227="",NOT(OR(ISNUMBER(SEARCH("Antitarnish",Upload!R217&amp;Upload!S217&amp;Upload!T217&amp;Upload!U217&amp;Upload!V217)),ISNUMBER(SEARCH("Anti Tarnish",Upload!R217&amp;Upload!S217&amp;Upload!T217&amp;Upload!U217&amp;Upload!V217))))),"",0.0012*C227)</f>
        <v/>
      </c>
      <c r="Q227" s="15" t="str">
        <f>IF(OR(E227="",NOT(OR(ISNUMBER(SEARCH("Epóxico MT",Upload!R217&amp;Upload!S217&amp;Upload!T217&amp;Upload!U217&amp;Upload!V217))))),"",E227*0.000035)</f>
        <v/>
      </c>
      <c r="R227" s="15" t="str">
        <f>IF(OR(F227="",NOT(OR(ISNUMBER(SEARCH("Epóxico BT",Upload!S217&amp;Upload!T217&amp;Upload!U217&amp;Upload!V217&amp;Upload!W217))))),"",F227*0.000035)</f>
        <v/>
      </c>
      <c r="S227" s="15" t="str">
        <f>IF(OR(G227="",NOT(OR(ISNUMBER(SEARCH("Epóxico Rojo",Upload!T217&amp;Upload!U217&amp;Upload!V217&amp;Upload!W217&amp;Upload!X217))))),"",G227*0.000035)</f>
        <v/>
      </c>
    </row>
    <row r="228" spans="1:19" x14ac:dyDescent="0.2">
      <c r="A228" s="9" t="e">
        <f t="shared" ca="1" si="18"/>
        <v>#NAME?</v>
      </c>
      <c r="B228" s="9">
        <f>Upload!G218</f>
        <v>0</v>
      </c>
      <c r="C228" s="9">
        <f>Upload!AN218</f>
        <v>0</v>
      </c>
      <c r="D228" s="9">
        <f>Upload!AO218</f>
        <v>0</v>
      </c>
      <c r="E228" s="9">
        <f>Upload!AP218</f>
        <v>0</v>
      </c>
      <c r="F228" s="9" t="str">
        <f>Upload!AK218</f>
        <v/>
      </c>
      <c r="G228" s="9" t="str">
        <f>Upload!AM218</f>
        <v/>
      </c>
      <c r="H228" s="9" t="str">
        <f>Upload!AJ218</f>
        <v>(seleccione)</v>
      </c>
      <c r="I228" s="9" t="str">
        <f>Upload!AL218</f>
        <v>(seleccione)</v>
      </c>
      <c r="K228" s="15" t="str">
        <f t="shared" si="19"/>
        <v/>
      </c>
      <c r="L228" s="15" t="str">
        <f t="shared" si="20"/>
        <v/>
      </c>
      <c r="M228" s="15" t="str">
        <f t="shared" si="21"/>
        <v/>
      </c>
      <c r="N228" s="15" t="str">
        <f t="shared" si="22"/>
        <v/>
      </c>
      <c r="O228" s="15" t="str">
        <f t="shared" si="23"/>
        <v/>
      </c>
      <c r="P228" s="15" t="str">
        <f>IF(OR(C228="",NOT(OR(ISNUMBER(SEARCH("Antitarnish",Upload!R218&amp;Upload!S218&amp;Upload!T218&amp;Upload!U218&amp;Upload!V218)),ISNUMBER(SEARCH("Anti Tarnish",Upload!R218&amp;Upload!S218&amp;Upload!T218&amp;Upload!U218&amp;Upload!V218))))),"",0.0012*C228)</f>
        <v/>
      </c>
      <c r="Q228" s="15" t="str">
        <f>IF(OR(E228="",NOT(OR(ISNUMBER(SEARCH("Epóxico MT",Upload!R218&amp;Upload!S218&amp;Upload!T218&amp;Upload!U218&amp;Upload!V218))))),"",E228*0.000035)</f>
        <v/>
      </c>
      <c r="R228" s="15" t="str">
        <f>IF(OR(F228="",NOT(OR(ISNUMBER(SEARCH("Epóxico BT",Upload!S218&amp;Upload!T218&amp;Upload!U218&amp;Upload!V218&amp;Upload!W218))))),"",F228*0.000035)</f>
        <v/>
      </c>
      <c r="S228" s="15" t="str">
        <f>IF(OR(G228="",NOT(OR(ISNUMBER(SEARCH("Epóxico Rojo",Upload!T218&amp;Upload!U218&amp;Upload!V218&amp;Upload!W218&amp;Upload!X218))))),"",G228*0.000035)</f>
        <v/>
      </c>
    </row>
    <row r="229" spans="1:19" x14ac:dyDescent="0.2">
      <c r="A229" s="9" t="e">
        <f t="shared" ca="1" si="18"/>
        <v>#NAME?</v>
      </c>
      <c r="B229" s="9">
        <f>Upload!G219</f>
        <v>0</v>
      </c>
      <c r="C229" s="9">
        <f>Upload!AN219</f>
        <v>0</v>
      </c>
      <c r="D229" s="9">
        <f>Upload!AO219</f>
        <v>0</v>
      </c>
      <c r="E229" s="9">
        <f>Upload!AP219</f>
        <v>0</v>
      </c>
      <c r="F229" s="9" t="str">
        <f>Upload!AK219</f>
        <v/>
      </c>
      <c r="G229" s="9" t="str">
        <f>Upload!AM219</f>
        <v/>
      </c>
      <c r="H229" s="9" t="str">
        <f>Upload!AJ219</f>
        <v>(seleccione)</v>
      </c>
      <c r="I229" s="9" t="str">
        <f>Upload!AL219</f>
        <v>(seleccione)</v>
      </c>
      <c r="K229" s="15" t="str">
        <f t="shared" si="19"/>
        <v/>
      </c>
      <c r="L229" s="15" t="str">
        <f t="shared" si="20"/>
        <v/>
      </c>
      <c r="M229" s="15" t="str">
        <f t="shared" si="21"/>
        <v/>
      </c>
      <c r="N229" s="15" t="str">
        <f t="shared" si="22"/>
        <v/>
      </c>
      <c r="O229" s="15" t="str">
        <f t="shared" si="23"/>
        <v/>
      </c>
      <c r="P229" s="15" t="str">
        <f>IF(OR(C229="",NOT(OR(ISNUMBER(SEARCH("Antitarnish",Upload!R219&amp;Upload!S219&amp;Upload!T219&amp;Upload!U219&amp;Upload!V219)),ISNUMBER(SEARCH("Anti Tarnish",Upload!R219&amp;Upload!S219&amp;Upload!T219&amp;Upload!U219&amp;Upload!V219))))),"",0.0012*C229)</f>
        <v/>
      </c>
      <c r="Q229" s="15" t="str">
        <f>IF(OR(E229="",NOT(OR(ISNUMBER(SEARCH("Epóxico MT",Upload!R219&amp;Upload!S219&amp;Upload!T219&amp;Upload!U219&amp;Upload!V219))))),"",E229*0.000035)</f>
        <v/>
      </c>
      <c r="R229" s="15" t="str">
        <f>IF(OR(F229="",NOT(OR(ISNUMBER(SEARCH("Epóxico BT",Upload!S219&amp;Upload!T219&amp;Upload!U219&amp;Upload!V219&amp;Upload!W219))))),"",F229*0.000035)</f>
        <v/>
      </c>
      <c r="S229" s="15" t="str">
        <f>IF(OR(G229="",NOT(OR(ISNUMBER(SEARCH("Epóxico Rojo",Upload!T219&amp;Upload!U219&amp;Upload!V219&amp;Upload!W219&amp;Upload!X219))))),"",G229*0.000035)</f>
        <v/>
      </c>
    </row>
    <row r="230" spans="1:19" x14ac:dyDescent="0.2">
      <c r="A230" s="9" t="e">
        <f t="shared" ca="1" si="18"/>
        <v>#NAME?</v>
      </c>
      <c r="B230" s="9">
        <f>Upload!G220</f>
        <v>0</v>
      </c>
      <c r="C230" s="9">
        <f>Upload!AN220</f>
        <v>0</v>
      </c>
      <c r="D230" s="9">
        <f>Upload!AO220</f>
        <v>0</v>
      </c>
      <c r="E230" s="9">
        <f>Upload!AP220</f>
        <v>0</v>
      </c>
      <c r="F230" s="9" t="str">
        <f>Upload!AK220</f>
        <v/>
      </c>
      <c r="G230" s="9" t="str">
        <f>Upload!AM220</f>
        <v/>
      </c>
      <c r="H230" s="9" t="str">
        <f>Upload!AJ220</f>
        <v>(seleccione)</v>
      </c>
      <c r="I230" s="9" t="str">
        <f>Upload!AL220</f>
        <v>(seleccione)</v>
      </c>
      <c r="K230" s="15" t="str">
        <f t="shared" si="19"/>
        <v/>
      </c>
      <c r="L230" s="15" t="str">
        <f t="shared" si="20"/>
        <v/>
      </c>
      <c r="M230" s="15" t="str">
        <f t="shared" si="21"/>
        <v/>
      </c>
      <c r="N230" s="15" t="str">
        <f t="shared" si="22"/>
        <v/>
      </c>
      <c r="O230" s="15" t="str">
        <f t="shared" si="23"/>
        <v/>
      </c>
      <c r="P230" s="15" t="str">
        <f>IF(OR(C230="",NOT(OR(ISNUMBER(SEARCH("Antitarnish",Upload!R220&amp;Upload!S220&amp;Upload!T220&amp;Upload!U220&amp;Upload!V220)),ISNUMBER(SEARCH("Anti Tarnish",Upload!R220&amp;Upload!S220&amp;Upload!T220&amp;Upload!U220&amp;Upload!V220))))),"",0.0012*C230)</f>
        <v/>
      </c>
      <c r="Q230" s="15" t="str">
        <f>IF(OR(E230="",NOT(OR(ISNUMBER(SEARCH("Epóxico MT",Upload!R220&amp;Upload!S220&amp;Upload!T220&amp;Upload!U220&amp;Upload!V220))))),"",E230*0.000035)</f>
        <v/>
      </c>
      <c r="R230" s="15" t="str">
        <f>IF(OR(F230="",NOT(OR(ISNUMBER(SEARCH("Epóxico BT",Upload!S220&amp;Upload!T220&amp;Upload!U220&amp;Upload!V220&amp;Upload!W220))))),"",F230*0.000035)</f>
        <v/>
      </c>
      <c r="S230" s="15" t="str">
        <f>IF(OR(G230="",NOT(OR(ISNUMBER(SEARCH("Epóxico Rojo",Upload!T220&amp;Upload!U220&amp;Upload!V220&amp;Upload!W220&amp;Upload!X220))))),"",G230*0.000035)</f>
        <v/>
      </c>
    </row>
    <row r="231" spans="1:19" x14ac:dyDescent="0.2">
      <c r="A231" s="9" t="e">
        <f t="shared" ca="1" si="18"/>
        <v>#NAME?</v>
      </c>
      <c r="B231" s="9">
        <f>Upload!G221</f>
        <v>0</v>
      </c>
      <c r="C231" s="9">
        <f>Upload!AN221</f>
        <v>0</v>
      </c>
      <c r="D231" s="9">
        <f>Upload!AO221</f>
        <v>0</v>
      </c>
      <c r="E231" s="9">
        <f>Upload!AP221</f>
        <v>0</v>
      </c>
      <c r="F231" s="9" t="str">
        <f>Upload!AK221</f>
        <v/>
      </c>
      <c r="G231" s="9" t="str">
        <f>Upload!AM221</f>
        <v/>
      </c>
      <c r="H231" s="9" t="str">
        <f>Upload!AJ221</f>
        <v>(seleccione)</v>
      </c>
      <c r="I231" s="9" t="str">
        <f>Upload!AL221</f>
        <v>(seleccione)</v>
      </c>
      <c r="K231" s="15" t="str">
        <f t="shared" si="19"/>
        <v/>
      </c>
      <c r="L231" s="15" t="str">
        <f t="shared" si="20"/>
        <v/>
      </c>
      <c r="M231" s="15" t="str">
        <f t="shared" si="21"/>
        <v/>
      </c>
      <c r="N231" s="15" t="str">
        <f t="shared" si="22"/>
        <v/>
      </c>
      <c r="O231" s="15" t="str">
        <f t="shared" si="23"/>
        <v/>
      </c>
      <c r="P231" s="15" t="str">
        <f>IF(OR(C231="",NOT(OR(ISNUMBER(SEARCH("Antitarnish",Upload!R221&amp;Upload!S221&amp;Upload!T221&amp;Upload!U221&amp;Upload!V221)),ISNUMBER(SEARCH("Anti Tarnish",Upload!R221&amp;Upload!S221&amp;Upload!T221&amp;Upload!U221&amp;Upload!V221))))),"",0.0012*C231)</f>
        <v/>
      </c>
      <c r="Q231" s="15" t="str">
        <f>IF(OR(E231="",NOT(OR(ISNUMBER(SEARCH("Epóxico MT",Upload!R221&amp;Upload!S221&amp;Upload!T221&amp;Upload!U221&amp;Upload!V221))))),"",E231*0.000035)</f>
        <v/>
      </c>
      <c r="R231" s="15" t="str">
        <f>IF(OR(F231="",NOT(OR(ISNUMBER(SEARCH("Epóxico BT",Upload!S221&amp;Upload!T221&amp;Upload!U221&amp;Upload!V221&amp;Upload!W221))))),"",F231*0.000035)</f>
        <v/>
      </c>
      <c r="S231" s="15" t="str">
        <f>IF(OR(G231="",NOT(OR(ISNUMBER(SEARCH("Epóxico Rojo",Upload!T221&amp;Upload!U221&amp;Upload!V221&amp;Upload!W221&amp;Upload!X221))))),"",G231*0.000035)</f>
        <v/>
      </c>
    </row>
    <row r="232" spans="1:19" x14ac:dyDescent="0.2">
      <c r="A232" s="9" t="e">
        <f t="shared" ca="1" si="18"/>
        <v>#NAME?</v>
      </c>
      <c r="B232" s="9">
        <f>Upload!G222</f>
        <v>0</v>
      </c>
      <c r="C232" s="9">
        <f>Upload!AN222</f>
        <v>0</v>
      </c>
      <c r="D232" s="9">
        <f>Upload!AO222</f>
        <v>0</v>
      </c>
      <c r="E232" s="9">
        <f>Upload!AP222</f>
        <v>0</v>
      </c>
      <c r="F232" s="9" t="str">
        <f>Upload!AK222</f>
        <v/>
      </c>
      <c r="G232" s="9" t="str">
        <f>Upload!AM222</f>
        <v/>
      </c>
      <c r="H232" s="9" t="str">
        <f>Upload!AJ222</f>
        <v>(seleccione)</v>
      </c>
      <c r="I232" s="9" t="str">
        <f>Upload!AL222</f>
        <v>(seleccione)</v>
      </c>
      <c r="K232" s="15" t="str">
        <f t="shared" si="19"/>
        <v/>
      </c>
      <c r="L232" s="15" t="str">
        <f t="shared" si="20"/>
        <v/>
      </c>
      <c r="M232" s="15" t="str">
        <f t="shared" si="21"/>
        <v/>
      </c>
      <c r="N232" s="15" t="str">
        <f t="shared" si="22"/>
        <v/>
      </c>
      <c r="O232" s="15" t="str">
        <f t="shared" si="23"/>
        <v/>
      </c>
      <c r="P232" s="15" t="str">
        <f>IF(OR(C232="",NOT(OR(ISNUMBER(SEARCH("Antitarnish",Upload!R222&amp;Upload!S222&amp;Upload!T222&amp;Upload!U222&amp;Upload!V222)),ISNUMBER(SEARCH("Anti Tarnish",Upload!R222&amp;Upload!S222&amp;Upload!T222&amp;Upload!U222&amp;Upload!V222))))),"",0.0012*C232)</f>
        <v/>
      </c>
      <c r="Q232" s="15" t="str">
        <f>IF(OR(E232="",NOT(OR(ISNUMBER(SEARCH("Epóxico MT",Upload!R222&amp;Upload!S222&amp;Upload!T222&amp;Upload!U222&amp;Upload!V222))))),"",E232*0.000035)</f>
        <v/>
      </c>
      <c r="R232" s="15" t="str">
        <f>IF(OR(F232="",NOT(OR(ISNUMBER(SEARCH("Epóxico BT",Upload!S222&amp;Upload!T222&amp;Upload!U222&amp;Upload!V222&amp;Upload!W222))))),"",F232*0.000035)</f>
        <v/>
      </c>
      <c r="S232" s="15" t="str">
        <f>IF(OR(G232="",NOT(OR(ISNUMBER(SEARCH("Epóxico Rojo",Upload!T222&amp;Upload!U222&amp;Upload!V222&amp;Upload!W222&amp;Upload!X222))))),"",G232*0.000035)</f>
        <v/>
      </c>
    </row>
    <row r="233" spans="1:19" x14ac:dyDescent="0.2">
      <c r="A233" s="9" t="e">
        <f t="shared" ca="1" si="18"/>
        <v>#NAME?</v>
      </c>
      <c r="B233" s="9">
        <f>Upload!G223</f>
        <v>0</v>
      </c>
      <c r="C233" s="9">
        <f>Upload!AN223</f>
        <v>0</v>
      </c>
      <c r="D233" s="9">
        <f>Upload!AO223</f>
        <v>0</v>
      </c>
      <c r="E233" s="9">
        <f>Upload!AP223</f>
        <v>0</v>
      </c>
      <c r="F233" s="9" t="str">
        <f>Upload!AK223</f>
        <v/>
      </c>
      <c r="G233" s="9" t="str">
        <f>Upload!AM223</f>
        <v/>
      </c>
      <c r="H233" s="9" t="str">
        <f>Upload!AJ223</f>
        <v>(seleccione)</v>
      </c>
      <c r="I233" s="9" t="str">
        <f>Upload!AL223</f>
        <v>(seleccione)</v>
      </c>
      <c r="K233" s="15" t="str">
        <f t="shared" si="19"/>
        <v/>
      </c>
      <c r="L233" s="15" t="str">
        <f t="shared" si="20"/>
        <v/>
      </c>
      <c r="M233" s="15" t="str">
        <f t="shared" si="21"/>
        <v/>
      </c>
      <c r="N233" s="15" t="str">
        <f t="shared" si="22"/>
        <v/>
      </c>
      <c r="O233" s="15" t="str">
        <f t="shared" si="23"/>
        <v/>
      </c>
      <c r="P233" s="15" t="str">
        <f>IF(OR(C233="",NOT(OR(ISNUMBER(SEARCH("Antitarnish",Upload!R223&amp;Upload!S223&amp;Upload!T223&amp;Upload!U223&amp;Upload!V223)),ISNUMBER(SEARCH("Anti Tarnish",Upload!R223&amp;Upload!S223&amp;Upload!T223&amp;Upload!U223&amp;Upload!V223))))),"",0.0012*C233)</f>
        <v/>
      </c>
      <c r="Q233" s="15" t="str">
        <f>IF(OR(E233="",NOT(OR(ISNUMBER(SEARCH("Epóxico MT",Upload!R223&amp;Upload!S223&amp;Upload!T223&amp;Upload!U223&amp;Upload!V223))))),"",E233*0.000035)</f>
        <v/>
      </c>
      <c r="R233" s="15" t="str">
        <f>IF(OR(F233="",NOT(OR(ISNUMBER(SEARCH("Epóxico BT",Upload!S223&amp;Upload!T223&amp;Upload!U223&amp;Upload!V223&amp;Upload!W223))))),"",F233*0.000035)</f>
        <v/>
      </c>
      <c r="S233" s="15" t="str">
        <f>IF(OR(G233="",NOT(OR(ISNUMBER(SEARCH("Epóxico Rojo",Upload!T223&amp;Upload!U223&amp;Upload!V223&amp;Upload!W223&amp;Upload!X223))))),"",G233*0.000035)</f>
        <v/>
      </c>
    </row>
    <row r="234" spans="1:19" x14ac:dyDescent="0.2">
      <c r="A234" s="9" t="e">
        <f t="shared" ca="1" si="18"/>
        <v>#NAME?</v>
      </c>
      <c r="B234" s="9">
        <f>Upload!G224</f>
        <v>0</v>
      </c>
      <c r="C234" s="9">
        <f>Upload!AN224</f>
        <v>0</v>
      </c>
      <c r="D234" s="9">
        <f>Upload!AO224</f>
        <v>0</v>
      </c>
      <c r="E234" s="9">
        <f>Upload!AP224</f>
        <v>0</v>
      </c>
      <c r="F234" s="9" t="str">
        <f>Upload!AK224</f>
        <v/>
      </c>
      <c r="G234" s="9" t="str">
        <f>Upload!AM224</f>
        <v/>
      </c>
      <c r="H234" s="9" t="str">
        <f>Upload!AJ224</f>
        <v>(seleccione)</v>
      </c>
      <c r="I234" s="9" t="str">
        <f>Upload!AL224</f>
        <v>(seleccione)</v>
      </c>
      <c r="K234" s="15" t="str">
        <f t="shared" si="19"/>
        <v/>
      </c>
      <c r="L234" s="15" t="str">
        <f t="shared" si="20"/>
        <v/>
      </c>
      <c r="M234" s="15" t="str">
        <f t="shared" si="21"/>
        <v/>
      </c>
      <c r="N234" s="15" t="str">
        <f t="shared" si="22"/>
        <v/>
      </c>
      <c r="O234" s="15" t="str">
        <f t="shared" si="23"/>
        <v/>
      </c>
      <c r="P234" s="15" t="str">
        <f>IF(OR(C234="",NOT(OR(ISNUMBER(SEARCH("Antitarnish",Upload!R224&amp;Upload!S224&amp;Upload!T224&amp;Upload!U224&amp;Upload!V224)),ISNUMBER(SEARCH("Anti Tarnish",Upload!R224&amp;Upload!S224&amp;Upload!T224&amp;Upload!U224&amp;Upload!V224))))),"",0.0012*C234)</f>
        <v/>
      </c>
      <c r="Q234" s="15" t="str">
        <f>IF(OR(E234="",NOT(OR(ISNUMBER(SEARCH("Epóxico MT",Upload!R224&amp;Upload!S224&amp;Upload!T224&amp;Upload!U224&amp;Upload!V224))))),"",E234*0.000035)</f>
        <v/>
      </c>
      <c r="R234" s="15" t="str">
        <f>IF(OR(F234="",NOT(OR(ISNUMBER(SEARCH("Epóxico BT",Upload!S224&amp;Upload!T224&amp;Upload!U224&amp;Upload!V224&amp;Upload!W224))))),"",F234*0.000035)</f>
        <v/>
      </c>
      <c r="S234" s="15" t="str">
        <f>IF(OR(G234="",NOT(OR(ISNUMBER(SEARCH("Epóxico Rojo",Upload!T224&amp;Upload!U224&amp;Upload!V224&amp;Upload!W224&amp;Upload!X224))))),"",G234*0.000035)</f>
        <v/>
      </c>
    </row>
    <row r="235" spans="1:19" x14ac:dyDescent="0.2">
      <c r="A235" s="9" t="e">
        <f t="shared" ca="1" si="18"/>
        <v>#NAME?</v>
      </c>
      <c r="B235" s="9">
        <f>Upload!G225</f>
        <v>0</v>
      </c>
      <c r="C235" s="9">
        <f>Upload!AN225</f>
        <v>0</v>
      </c>
      <c r="D235" s="9">
        <f>Upload!AO225</f>
        <v>0</v>
      </c>
      <c r="E235" s="9">
        <f>Upload!AP225</f>
        <v>0</v>
      </c>
      <c r="F235" s="9" t="str">
        <f>Upload!AK225</f>
        <v/>
      </c>
      <c r="G235" s="9" t="str">
        <f>Upload!AM225</f>
        <v/>
      </c>
      <c r="H235" s="9" t="str">
        <f>Upload!AJ225</f>
        <v>(seleccione)</v>
      </c>
      <c r="I235" s="9" t="str">
        <f>Upload!AL225</f>
        <v>(seleccione)</v>
      </c>
      <c r="K235" s="15" t="str">
        <f t="shared" si="19"/>
        <v/>
      </c>
      <c r="L235" s="15" t="str">
        <f t="shared" si="20"/>
        <v/>
      </c>
      <c r="M235" s="15" t="str">
        <f t="shared" si="21"/>
        <v/>
      </c>
      <c r="N235" s="15" t="str">
        <f t="shared" si="22"/>
        <v/>
      </c>
      <c r="O235" s="15" t="str">
        <f t="shared" si="23"/>
        <v/>
      </c>
      <c r="P235" s="15" t="str">
        <f>IF(OR(C235="",NOT(OR(ISNUMBER(SEARCH("Antitarnish",Upload!R225&amp;Upload!S225&amp;Upload!T225&amp;Upload!U225&amp;Upload!V225)),ISNUMBER(SEARCH("Anti Tarnish",Upload!R225&amp;Upload!S225&amp;Upload!T225&amp;Upload!U225&amp;Upload!V225))))),"",0.0012*C235)</f>
        <v/>
      </c>
      <c r="Q235" s="15" t="str">
        <f>IF(OR(E235="",NOT(OR(ISNUMBER(SEARCH("Epóxico MT",Upload!R225&amp;Upload!S225&amp;Upload!T225&amp;Upload!U225&amp;Upload!V225))))),"",E235*0.000035)</f>
        <v/>
      </c>
      <c r="R235" s="15" t="str">
        <f>IF(OR(F235="",NOT(OR(ISNUMBER(SEARCH("Epóxico BT",Upload!S225&amp;Upload!T225&amp;Upload!U225&amp;Upload!V225&amp;Upload!W225))))),"",F235*0.000035)</f>
        <v/>
      </c>
      <c r="S235" s="15" t="str">
        <f>IF(OR(G235="",NOT(OR(ISNUMBER(SEARCH("Epóxico Rojo",Upload!T225&amp;Upload!U225&amp;Upload!V225&amp;Upload!W225&amp;Upload!X225))))),"",G235*0.000035)</f>
        <v/>
      </c>
    </row>
    <row r="236" spans="1:19" x14ac:dyDescent="0.2">
      <c r="A236" s="9" t="e">
        <f t="shared" ca="1" si="18"/>
        <v>#NAME?</v>
      </c>
      <c r="B236" s="9">
        <f>Upload!G226</f>
        <v>0</v>
      </c>
      <c r="C236" s="9">
        <f>Upload!AN226</f>
        <v>0</v>
      </c>
      <c r="D236" s="9">
        <f>Upload!AO226</f>
        <v>0</v>
      </c>
      <c r="E236" s="9">
        <f>Upload!AP226</f>
        <v>0</v>
      </c>
      <c r="F236" s="9" t="str">
        <f>Upload!AK226</f>
        <v/>
      </c>
      <c r="G236" s="9" t="str">
        <f>Upload!AM226</f>
        <v/>
      </c>
      <c r="H236" s="9" t="str">
        <f>Upload!AJ226</f>
        <v>(seleccione)</v>
      </c>
      <c r="I236" s="9" t="str">
        <f>Upload!AL226</f>
        <v>(seleccione)</v>
      </c>
      <c r="K236" s="15" t="str">
        <f t="shared" si="19"/>
        <v/>
      </c>
      <c r="L236" s="15" t="str">
        <f t="shared" si="20"/>
        <v/>
      </c>
      <c r="M236" s="15" t="str">
        <f t="shared" si="21"/>
        <v/>
      </c>
      <c r="N236" s="15" t="str">
        <f t="shared" si="22"/>
        <v/>
      </c>
      <c r="O236" s="15" t="str">
        <f t="shared" si="23"/>
        <v/>
      </c>
      <c r="P236" s="15" t="str">
        <f>IF(OR(C236="",NOT(OR(ISNUMBER(SEARCH("Antitarnish",Upload!R226&amp;Upload!S226&amp;Upload!T226&amp;Upload!U226&amp;Upload!V226)),ISNUMBER(SEARCH("Anti Tarnish",Upload!R226&amp;Upload!S226&amp;Upload!T226&amp;Upload!U226&amp;Upload!V226))))),"",0.0012*C236)</f>
        <v/>
      </c>
      <c r="Q236" s="15" t="str">
        <f>IF(OR(E236="",NOT(OR(ISNUMBER(SEARCH("Epóxico MT",Upload!R226&amp;Upload!S226&amp;Upload!T226&amp;Upload!U226&amp;Upload!V226))))),"",E236*0.000035)</f>
        <v/>
      </c>
      <c r="R236" s="15" t="str">
        <f>IF(OR(F236="",NOT(OR(ISNUMBER(SEARCH("Epóxico BT",Upload!S226&amp;Upload!T226&amp;Upload!U226&amp;Upload!V226&amp;Upload!W226))))),"",F236*0.000035)</f>
        <v/>
      </c>
      <c r="S236" s="15" t="str">
        <f>IF(OR(G236="",NOT(OR(ISNUMBER(SEARCH("Epóxico Rojo",Upload!T226&amp;Upload!U226&amp;Upload!V226&amp;Upload!W226&amp;Upload!X226))))),"",G236*0.000035)</f>
        <v/>
      </c>
    </row>
    <row r="237" spans="1:19" x14ac:dyDescent="0.2">
      <c r="A237" s="9" t="e">
        <f t="shared" ca="1" si="18"/>
        <v>#NAME?</v>
      </c>
      <c r="B237" s="9">
        <f>Upload!G227</f>
        <v>0</v>
      </c>
      <c r="C237" s="9">
        <f>Upload!AN227</f>
        <v>0</v>
      </c>
      <c r="D237" s="9">
        <f>Upload!AO227</f>
        <v>0</v>
      </c>
      <c r="E237" s="9">
        <f>Upload!AP227</f>
        <v>0</v>
      </c>
      <c r="F237" s="9" t="str">
        <f>Upload!AK227</f>
        <v/>
      </c>
      <c r="G237" s="9" t="str">
        <f>Upload!AM227</f>
        <v/>
      </c>
      <c r="H237" s="9" t="str">
        <f>Upload!AJ227</f>
        <v>(seleccione)</v>
      </c>
      <c r="I237" s="9" t="str">
        <f>Upload!AL227</f>
        <v>(seleccione)</v>
      </c>
      <c r="K237" s="15" t="str">
        <f t="shared" si="19"/>
        <v/>
      </c>
      <c r="L237" s="15" t="str">
        <f t="shared" si="20"/>
        <v/>
      </c>
      <c r="M237" s="15" t="str">
        <f t="shared" si="21"/>
        <v/>
      </c>
      <c r="N237" s="15" t="str">
        <f t="shared" si="22"/>
        <v/>
      </c>
      <c r="O237" s="15" t="str">
        <f t="shared" si="23"/>
        <v/>
      </c>
      <c r="P237" s="15" t="str">
        <f>IF(OR(C237="",NOT(OR(ISNUMBER(SEARCH("Antitarnish",Upload!R227&amp;Upload!S227&amp;Upload!T227&amp;Upload!U227&amp;Upload!V227)),ISNUMBER(SEARCH("Anti Tarnish",Upload!R227&amp;Upload!S227&amp;Upload!T227&amp;Upload!U227&amp;Upload!V227))))),"",0.0012*C237)</f>
        <v/>
      </c>
      <c r="Q237" s="15" t="str">
        <f>IF(OR(E237="",NOT(OR(ISNUMBER(SEARCH("Epóxico MT",Upload!R227&amp;Upload!S227&amp;Upload!T227&amp;Upload!U227&amp;Upload!V227))))),"",E237*0.000035)</f>
        <v/>
      </c>
      <c r="R237" s="15" t="str">
        <f>IF(OR(F237="",NOT(OR(ISNUMBER(SEARCH("Epóxico BT",Upload!S227&amp;Upload!T227&amp;Upload!U227&amp;Upload!V227&amp;Upload!W227))))),"",F237*0.000035)</f>
        <v/>
      </c>
      <c r="S237" s="15" t="str">
        <f>IF(OR(G237="",NOT(OR(ISNUMBER(SEARCH("Epóxico Rojo",Upload!T227&amp;Upload!U227&amp;Upload!V227&amp;Upload!W227&amp;Upload!X227))))),"",G237*0.000035)</f>
        <v/>
      </c>
    </row>
    <row r="238" spans="1:19" x14ac:dyDescent="0.2">
      <c r="A238" s="9" t="e">
        <f t="shared" ca="1" si="18"/>
        <v>#NAME?</v>
      </c>
      <c r="B238" s="9">
        <f>Upload!G228</f>
        <v>0</v>
      </c>
      <c r="C238" s="9">
        <f>Upload!AN228</f>
        <v>0</v>
      </c>
      <c r="D238" s="9">
        <f>Upload!AO228</f>
        <v>0</v>
      </c>
      <c r="E238" s="9">
        <f>Upload!AP228</f>
        <v>0</v>
      </c>
      <c r="F238" s="9" t="str">
        <f>Upload!AK228</f>
        <v/>
      </c>
      <c r="G238" s="9" t="str">
        <f>Upload!AM228</f>
        <v/>
      </c>
      <c r="H238" s="9" t="str">
        <f>Upload!AJ228</f>
        <v>(seleccione)</v>
      </c>
      <c r="I238" s="9" t="str">
        <f>Upload!AL228</f>
        <v>(seleccione)</v>
      </c>
      <c r="K238" s="15" t="str">
        <f t="shared" si="19"/>
        <v/>
      </c>
      <c r="L238" s="15" t="str">
        <f t="shared" si="20"/>
        <v/>
      </c>
      <c r="M238" s="15" t="str">
        <f t="shared" si="21"/>
        <v/>
      </c>
      <c r="N238" s="15" t="str">
        <f t="shared" si="22"/>
        <v/>
      </c>
      <c r="O238" s="15" t="str">
        <f t="shared" si="23"/>
        <v/>
      </c>
      <c r="P238" s="15" t="str">
        <f>IF(OR(C238="",NOT(OR(ISNUMBER(SEARCH("Antitarnish",Upload!R228&amp;Upload!S228&amp;Upload!T228&amp;Upload!U228&amp;Upload!V228)),ISNUMBER(SEARCH("Anti Tarnish",Upload!R228&amp;Upload!S228&amp;Upload!T228&amp;Upload!U228&amp;Upload!V228))))),"",0.0012*C238)</f>
        <v/>
      </c>
      <c r="Q238" s="15" t="str">
        <f>IF(OR(E238="",NOT(OR(ISNUMBER(SEARCH("Epóxico MT",Upload!R228&amp;Upload!S228&amp;Upload!T228&amp;Upload!U228&amp;Upload!V228))))),"",E238*0.000035)</f>
        <v/>
      </c>
      <c r="R238" s="15" t="str">
        <f>IF(OR(F238="",NOT(OR(ISNUMBER(SEARCH("Epóxico BT",Upload!S228&amp;Upload!T228&amp;Upload!U228&amp;Upload!V228&amp;Upload!W228))))),"",F238*0.000035)</f>
        <v/>
      </c>
      <c r="S238" s="15" t="str">
        <f>IF(OR(G238="",NOT(OR(ISNUMBER(SEARCH("Epóxico Rojo",Upload!T228&amp;Upload!U228&amp;Upload!V228&amp;Upload!W228&amp;Upload!X228))))),"",G238*0.000035)</f>
        <v/>
      </c>
    </row>
    <row r="239" spans="1:19" x14ac:dyDescent="0.2">
      <c r="A239" s="9" t="e">
        <f t="shared" ca="1" si="18"/>
        <v>#NAME?</v>
      </c>
      <c r="B239" s="9">
        <f>Upload!G229</f>
        <v>0</v>
      </c>
      <c r="C239" s="9">
        <f>Upload!AN229</f>
        <v>0</v>
      </c>
      <c r="D239" s="9">
        <f>Upload!AO229</f>
        <v>0</v>
      </c>
      <c r="E239" s="9">
        <f>Upload!AP229</f>
        <v>0</v>
      </c>
      <c r="F239" s="9" t="str">
        <f>Upload!AK229</f>
        <v/>
      </c>
      <c r="G239" s="9" t="str">
        <f>Upload!AM229</f>
        <v/>
      </c>
      <c r="H239" s="9" t="str">
        <f>Upload!AJ229</f>
        <v>(seleccione)</v>
      </c>
      <c r="I239" s="9" t="str">
        <f>Upload!AL229</f>
        <v>(seleccione)</v>
      </c>
      <c r="K239" s="15" t="str">
        <f t="shared" si="19"/>
        <v/>
      </c>
      <c r="L239" s="15" t="str">
        <f t="shared" si="20"/>
        <v/>
      </c>
      <c r="M239" s="15" t="str">
        <f t="shared" si="21"/>
        <v/>
      </c>
      <c r="N239" s="15" t="str">
        <f t="shared" si="22"/>
        <v/>
      </c>
      <c r="O239" s="15" t="str">
        <f t="shared" si="23"/>
        <v/>
      </c>
      <c r="P239" s="15" t="str">
        <f>IF(OR(C239="",NOT(OR(ISNUMBER(SEARCH("Antitarnish",Upload!R229&amp;Upload!S229&amp;Upload!T229&amp;Upload!U229&amp;Upload!V229)),ISNUMBER(SEARCH("Anti Tarnish",Upload!R229&amp;Upload!S229&amp;Upload!T229&amp;Upload!U229&amp;Upload!V229))))),"",0.0012*C239)</f>
        <v/>
      </c>
      <c r="Q239" s="15" t="str">
        <f>IF(OR(E239="",NOT(OR(ISNUMBER(SEARCH("Epóxico MT",Upload!R229&amp;Upload!S229&amp;Upload!T229&amp;Upload!U229&amp;Upload!V229))))),"",E239*0.000035)</f>
        <v/>
      </c>
      <c r="R239" s="15" t="str">
        <f>IF(OR(F239="",NOT(OR(ISNUMBER(SEARCH("Epóxico BT",Upload!S229&amp;Upload!T229&amp;Upload!U229&amp;Upload!V229&amp;Upload!W229))))),"",F239*0.000035)</f>
        <v/>
      </c>
      <c r="S239" s="15" t="str">
        <f>IF(OR(G239="",NOT(OR(ISNUMBER(SEARCH("Epóxico Rojo",Upload!T229&amp;Upload!U229&amp;Upload!V229&amp;Upload!W229&amp;Upload!X229))))),"",G239*0.000035)</f>
        <v/>
      </c>
    </row>
    <row r="240" spans="1:19" x14ac:dyDescent="0.2">
      <c r="A240" s="9" t="e">
        <f t="shared" ca="1" si="18"/>
        <v>#NAME?</v>
      </c>
      <c r="B240" s="9">
        <f>Upload!G230</f>
        <v>0</v>
      </c>
      <c r="C240" s="9">
        <f>Upload!AN230</f>
        <v>0</v>
      </c>
      <c r="D240" s="9">
        <f>Upload!AO230</f>
        <v>0</v>
      </c>
      <c r="E240" s="9">
        <f>Upload!AP230</f>
        <v>0</v>
      </c>
      <c r="F240" s="9" t="str">
        <f>Upload!AK230</f>
        <v/>
      </c>
      <c r="G240" s="9" t="str">
        <f>Upload!AM230</f>
        <v/>
      </c>
      <c r="H240" s="9" t="str">
        <f>Upload!AJ230</f>
        <v>(seleccione)</v>
      </c>
      <c r="I240" s="9" t="str">
        <f>Upload!AL230</f>
        <v>(seleccione)</v>
      </c>
      <c r="K240" s="15" t="str">
        <f t="shared" si="19"/>
        <v/>
      </c>
      <c r="L240" s="15" t="str">
        <f t="shared" si="20"/>
        <v/>
      </c>
      <c r="M240" s="15" t="str">
        <f t="shared" si="21"/>
        <v/>
      </c>
      <c r="N240" s="15" t="str">
        <f t="shared" si="22"/>
        <v/>
      </c>
      <c r="O240" s="15" t="str">
        <f t="shared" si="23"/>
        <v/>
      </c>
      <c r="P240" s="15" t="str">
        <f>IF(OR(C240="",NOT(OR(ISNUMBER(SEARCH("Antitarnish",Upload!R230&amp;Upload!S230&amp;Upload!T230&amp;Upload!U230&amp;Upload!V230)),ISNUMBER(SEARCH("Anti Tarnish",Upload!R230&amp;Upload!S230&amp;Upload!T230&amp;Upload!U230&amp;Upload!V230))))),"",0.0012*C240)</f>
        <v/>
      </c>
      <c r="Q240" s="15" t="str">
        <f>IF(OR(E240="",NOT(OR(ISNUMBER(SEARCH("Epóxico MT",Upload!R230&amp;Upload!S230&amp;Upload!T230&amp;Upload!U230&amp;Upload!V230))))),"",E240*0.000035)</f>
        <v/>
      </c>
      <c r="R240" s="15" t="str">
        <f>IF(OR(F240="",NOT(OR(ISNUMBER(SEARCH("Epóxico BT",Upload!S230&amp;Upload!T230&amp;Upload!U230&amp;Upload!V230&amp;Upload!W230))))),"",F240*0.000035)</f>
        <v/>
      </c>
      <c r="S240" s="15" t="str">
        <f>IF(OR(G240="",NOT(OR(ISNUMBER(SEARCH("Epóxico Rojo",Upload!T230&amp;Upload!U230&amp;Upload!V230&amp;Upload!W230&amp;Upload!X230))))),"",G240*0.000035)</f>
        <v/>
      </c>
    </row>
    <row r="241" spans="1:19" x14ac:dyDescent="0.2">
      <c r="A241" s="9" t="e">
        <f t="shared" ca="1" si="18"/>
        <v>#NAME?</v>
      </c>
      <c r="B241" s="9">
        <f>Upload!G231</f>
        <v>0</v>
      </c>
      <c r="C241" s="9">
        <f>Upload!AN231</f>
        <v>0</v>
      </c>
      <c r="D241" s="9">
        <f>Upload!AO231</f>
        <v>0</v>
      </c>
      <c r="E241" s="9">
        <f>Upload!AP231</f>
        <v>0</v>
      </c>
      <c r="F241" s="9" t="str">
        <f>Upload!AK231</f>
        <v/>
      </c>
      <c r="G241" s="9" t="str">
        <f>Upload!AM231</f>
        <v/>
      </c>
      <c r="H241" s="9" t="str">
        <f>Upload!AJ231</f>
        <v>(seleccione)</v>
      </c>
      <c r="I241" s="9" t="str">
        <f>Upload!AL231</f>
        <v>(seleccione)</v>
      </c>
      <c r="K241" s="15" t="str">
        <f t="shared" si="19"/>
        <v/>
      </c>
      <c r="L241" s="15" t="str">
        <f t="shared" si="20"/>
        <v/>
      </c>
      <c r="M241" s="15" t="str">
        <f t="shared" si="21"/>
        <v/>
      </c>
      <c r="N241" s="15" t="str">
        <f t="shared" si="22"/>
        <v/>
      </c>
      <c r="O241" s="15" t="str">
        <f t="shared" si="23"/>
        <v/>
      </c>
      <c r="P241" s="15" t="str">
        <f>IF(OR(C241="",NOT(OR(ISNUMBER(SEARCH("Antitarnish",Upload!R231&amp;Upload!S231&amp;Upload!T231&amp;Upload!U231&amp;Upload!V231)),ISNUMBER(SEARCH("Anti Tarnish",Upload!R231&amp;Upload!S231&amp;Upload!T231&amp;Upload!U231&amp;Upload!V231))))),"",0.0012*C241)</f>
        <v/>
      </c>
      <c r="Q241" s="15" t="str">
        <f>IF(OR(E241="",NOT(OR(ISNUMBER(SEARCH("Epóxico MT",Upload!R231&amp;Upload!S231&amp;Upload!T231&amp;Upload!U231&amp;Upload!V231))))),"",E241*0.000035)</f>
        <v/>
      </c>
      <c r="R241" s="15" t="str">
        <f>IF(OR(F241="",NOT(OR(ISNUMBER(SEARCH("Epóxico BT",Upload!S231&amp;Upload!T231&amp;Upload!U231&amp;Upload!V231&amp;Upload!W231))))),"",F241*0.000035)</f>
        <v/>
      </c>
      <c r="S241" s="15" t="str">
        <f>IF(OR(G241="",NOT(OR(ISNUMBER(SEARCH("Epóxico Rojo",Upload!T231&amp;Upload!U231&amp;Upload!V231&amp;Upload!W231&amp;Upload!X231))))),"",G241*0.000035)</f>
        <v/>
      </c>
    </row>
    <row r="242" spans="1:19" x14ac:dyDescent="0.2">
      <c r="A242" s="9" t="e">
        <f t="shared" ca="1" si="18"/>
        <v>#NAME?</v>
      </c>
      <c r="B242" s="9">
        <f>Upload!G232</f>
        <v>0</v>
      </c>
      <c r="C242" s="9">
        <f>Upload!AN232</f>
        <v>0</v>
      </c>
      <c r="D242" s="9">
        <f>Upload!AO232</f>
        <v>0</v>
      </c>
      <c r="E242" s="9">
        <f>Upload!AP232</f>
        <v>0</v>
      </c>
      <c r="F242" s="9" t="str">
        <f>Upload!AK232</f>
        <v/>
      </c>
      <c r="G242" s="9" t="str">
        <f>Upload!AM232</f>
        <v/>
      </c>
      <c r="H242" s="9" t="str">
        <f>Upload!AJ232</f>
        <v>(seleccione)</v>
      </c>
      <c r="I242" s="9" t="str">
        <f>Upload!AL232</f>
        <v>(seleccione)</v>
      </c>
      <c r="K242" s="15" t="str">
        <f t="shared" si="19"/>
        <v/>
      </c>
      <c r="L242" s="15" t="str">
        <f t="shared" si="20"/>
        <v/>
      </c>
      <c r="M242" s="15" t="str">
        <f t="shared" si="21"/>
        <v/>
      </c>
      <c r="N242" s="15" t="str">
        <f t="shared" si="22"/>
        <v/>
      </c>
      <c r="O242" s="15" t="str">
        <f t="shared" si="23"/>
        <v/>
      </c>
      <c r="P242" s="15" t="str">
        <f>IF(OR(C242="",NOT(OR(ISNUMBER(SEARCH("Antitarnish",Upload!R232&amp;Upload!S232&amp;Upload!T232&amp;Upload!U232&amp;Upload!V232)),ISNUMBER(SEARCH("Anti Tarnish",Upload!R232&amp;Upload!S232&amp;Upload!T232&amp;Upload!U232&amp;Upload!V232))))),"",0.0012*C242)</f>
        <v/>
      </c>
      <c r="Q242" s="15" t="str">
        <f>IF(OR(E242="",NOT(OR(ISNUMBER(SEARCH("Epóxico MT",Upload!R232&amp;Upload!S232&amp;Upload!T232&amp;Upload!U232&amp;Upload!V232))))),"",E242*0.000035)</f>
        <v/>
      </c>
      <c r="R242" s="15" t="str">
        <f>IF(OR(F242="",NOT(OR(ISNUMBER(SEARCH("Epóxico BT",Upload!S232&amp;Upload!T232&amp;Upload!U232&amp;Upload!V232&amp;Upload!W232))))),"",F242*0.000035)</f>
        <v/>
      </c>
      <c r="S242" s="15" t="str">
        <f>IF(OR(G242="",NOT(OR(ISNUMBER(SEARCH("Epóxico Rojo",Upload!T232&amp;Upload!U232&amp;Upload!V232&amp;Upload!W232&amp;Upload!X232))))),"",G242*0.000035)</f>
        <v/>
      </c>
    </row>
    <row r="243" spans="1:19" x14ac:dyDescent="0.2">
      <c r="A243" s="9" t="e">
        <f t="shared" ca="1" si="18"/>
        <v>#NAME?</v>
      </c>
      <c r="B243" s="9">
        <f>Upload!G233</f>
        <v>0</v>
      </c>
      <c r="C243" s="9">
        <f>Upload!AN233</f>
        <v>0</v>
      </c>
      <c r="D243" s="9">
        <f>Upload!AO233</f>
        <v>0</v>
      </c>
      <c r="E243" s="9">
        <f>Upload!AP233</f>
        <v>0</v>
      </c>
      <c r="F243" s="9" t="str">
        <f>Upload!AK233</f>
        <v/>
      </c>
      <c r="G243" s="9" t="str">
        <f>Upload!AM233</f>
        <v/>
      </c>
      <c r="H243" s="9" t="str">
        <f>Upload!AJ233</f>
        <v>(seleccione)</v>
      </c>
      <c r="I243" s="9" t="str">
        <f>Upload!AL233</f>
        <v>(seleccione)</v>
      </c>
      <c r="K243" s="15" t="str">
        <f t="shared" si="19"/>
        <v/>
      </c>
      <c r="L243" s="15" t="str">
        <f t="shared" si="20"/>
        <v/>
      </c>
      <c r="M243" s="15" t="str">
        <f t="shared" si="21"/>
        <v/>
      </c>
      <c r="N243" s="15" t="str">
        <f t="shared" si="22"/>
        <v/>
      </c>
      <c r="O243" s="15" t="str">
        <f t="shared" si="23"/>
        <v/>
      </c>
      <c r="P243" s="15" t="str">
        <f>IF(OR(C243="",NOT(OR(ISNUMBER(SEARCH("Antitarnish",Upload!R233&amp;Upload!S233&amp;Upload!T233&amp;Upload!U233&amp;Upload!V233)),ISNUMBER(SEARCH("Anti Tarnish",Upload!R233&amp;Upload!S233&amp;Upload!T233&amp;Upload!U233&amp;Upload!V233))))),"",0.0012*C243)</f>
        <v/>
      </c>
      <c r="Q243" s="15" t="str">
        <f>IF(OR(E243="",NOT(OR(ISNUMBER(SEARCH("Epóxico MT",Upload!R233&amp;Upload!S233&amp;Upload!T233&amp;Upload!U233&amp;Upload!V233))))),"",E243*0.000035)</f>
        <v/>
      </c>
      <c r="R243" s="15" t="str">
        <f>IF(OR(F243="",NOT(OR(ISNUMBER(SEARCH("Epóxico BT",Upload!S233&amp;Upload!T233&amp;Upload!U233&amp;Upload!V233&amp;Upload!W233))))),"",F243*0.000035)</f>
        <v/>
      </c>
      <c r="S243" s="15" t="str">
        <f>IF(OR(G243="",NOT(OR(ISNUMBER(SEARCH("Epóxico Rojo",Upload!T233&amp;Upload!U233&amp;Upload!V233&amp;Upload!W233&amp;Upload!X233))))),"",G243*0.000035)</f>
        <v/>
      </c>
    </row>
    <row r="244" spans="1:19" x14ac:dyDescent="0.2">
      <c r="A244" s="9" t="e">
        <f t="shared" ca="1" si="18"/>
        <v>#NAME?</v>
      </c>
      <c r="B244" s="9">
        <f>Upload!G234</f>
        <v>0</v>
      </c>
      <c r="C244" s="9">
        <f>Upload!AN234</f>
        <v>0</v>
      </c>
      <c r="D244" s="9">
        <f>Upload!AO234</f>
        <v>0</v>
      </c>
      <c r="E244" s="9">
        <f>Upload!AP234</f>
        <v>0</v>
      </c>
      <c r="F244" s="9" t="str">
        <f>Upload!AK234</f>
        <v/>
      </c>
      <c r="G244" s="9" t="str">
        <f>Upload!AM234</f>
        <v/>
      </c>
      <c r="H244" s="9" t="str">
        <f>Upload!AJ234</f>
        <v>(seleccione)</v>
      </c>
      <c r="I244" s="9" t="str">
        <f>Upload!AL234</f>
        <v>(seleccione)</v>
      </c>
      <c r="K244" s="15" t="str">
        <f t="shared" si="19"/>
        <v/>
      </c>
      <c r="L244" s="15" t="str">
        <f t="shared" si="20"/>
        <v/>
      </c>
      <c r="M244" s="15" t="str">
        <f t="shared" si="21"/>
        <v/>
      </c>
      <c r="N244" s="15" t="str">
        <f t="shared" si="22"/>
        <v/>
      </c>
      <c r="O244" s="15" t="str">
        <f t="shared" si="23"/>
        <v/>
      </c>
      <c r="P244" s="15" t="str">
        <f>IF(OR(C244="",NOT(OR(ISNUMBER(SEARCH("Antitarnish",Upload!R234&amp;Upload!S234&amp;Upload!T234&amp;Upload!U234&amp;Upload!V234)),ISNUMBER(SEARCH("Anti Tarnish",Upload!R234&amp;Upload!S234&amp;Upload!T234&amp;Upload!U234&amp;Upload!V234))))),"",0.0012*C244)</f>
        <v/>
      </c>
      <c r="Q244" s="15" t="str">
        <f>IF(OR(E244="",NOT(OR(ISNUMBER(SEARCH("Epóxico MT",Upload!R234&amp;Upload!S234&amp;Upload!T234&amp;Upload!U234&amp;Upload!V234))))),"",E244*0.000035)</f>
        <v/>
      </c>
      <c r="R244" s="15" t="str">
        <f>IF(OR(F244="",NOT(OR(ISNUMBER(SEARCH("Epóxico BT",Upload!S234&amp;Upload!T234&amp;Upload!U234&amp;Upload!V234&amp;Upload!W234))))),"",F244*0.000035)</f>
        <v/>
      </c>
      <c r="S244" s="15" t="str">
        <f>IF(OR(G244="",NOT(OR(ISNUMBER(SEARCH("Epóxico Rojo",Upload!T234&amp;Upload!U234&amp;Upload!V234&amp;Upload!W234&amp;Upload!X234))))),"",G244*0.000035)</f>
        <v/>
      </c>
    </row>
    <row r="245" spans="1:19" x14ac:dyDescent="0.2">
      <c r="A245" s="9" t="e">
        <f t="shared" ca="1" si="18"/>
        <v>#NAME?</v>
      </c>
      <c r="B245" s="9">
        <f>Upload!G235</f>
        <v>0</v>
      </c>
      <c r="C245" s="9">
        <f>Upload!AN235</f>
        <v>0</v>
      </c>
      <c r="D245" s="9">
        <f>Upload!AO235</f>
        <v>0</v>
      </c>
      <c r="E245" s="9">
        <f>Upload!AP235</f>
        <v>0</v>
      </c>
      <c r="F245" s="9" t="str">
        <f>Upload!AK235</f>
        <v/>
      </c>
      <c r="G245" s="9" t="str">
        <f>Upload!AM235</f>
        <v/>
      </c>
      <c r="H245" s="9" t="str">
        <f>Upload!AJ235</f>
        <v>(seleccione)</v>
      </c>
      <c r="I245" s="9" t="str">
        <f>Upload!AL235</f>
        <v>(seleccione)</v>
      </c>
      <c r="K245" s="15" t="str">
        <f t="shared" si="19"/>
        <v/>
      </c>
      <c r="L245" s="15" t="str">
        <f t="shared" si="20"/>
        <v/>
      </c>
      <c r="M245" s="15" t="str">
        <f t="shared" si="21"/>
        <v/>
      </c>
      <c r="N245" s="15" t="str">
        <f t="shared" si="22"/>
        <v/>
      </c>
      <c r="O245" s="15" t="str">
        <f t="shared" si="23"/>
        <v/>
      </c>
      <c r="P245" s="15" t="str">
        <f>IF(OR(C245="",NOT(OR(ISNUMBER(SEARCH("Antitarnish",Upload!R235&amp;Upload!S235&amp;Upload!T235&amp;Upload!U235&amp;Upload!V235)),ISNUMBER(SEARCH("Anti Tarnish",Upload!R235&amp;Upload!S235&amp;Upload!T235&amp;Upload!U235&amp;Upload!V235))))),"",0.0012*C245)</f>
        <v/>
      </c>
      <c r="Q245" s="15" t="str">
        <f>IF(OR(E245="",NOT(OR(ISNUMBER(SEARCH("Epóxico MT",Upload!R235&amp;Upload!S235&amp;Upload!T235&amp;Upload!U235&amp;Upload!V235))))),"",E245*0.000035)</f>
        <v/>
      </c>
      <c r="R245" s="15" t="str">
        <f>IF(OR(F245="",NOT(OR(ISNUMBER(SEARCH("Epóxico BT",Upload!S235&amp;Upload!T235&amp;Upload!U235&amp;Upload!V235&amp;Upload!W235))))),"",F245*0.000035)</f>
        <v/>
      </c>
      <c r="S245" s="15" t="str">
        <f>IF(OR(G245="",NOT(OR(ISNUMBER(SEARCH("Epóxico Rojo",Upload!T235&amp;Upload!U235&amp;Upload!V235&amp;Upload!W235&amp;Upload!X235))))),"",G245*0.000035)</f>
        <v/>
      </c>
    </row>
    <row r="246" spans="1:19" x14ac:dyDescent="0.2">
      <c r="A246" s="9" t="e">
        <f t="shared" ca="1" si="18"/>
        <v>#NAME?</v>
      </c>
      <c r="B246" s="9">
        <f>Upload!G236</f>
        <v>0</v>
      </c>
      <c r="C246" s="9">
        <f>Upload!AN236</f>
        <v>0</v>
      </c>
      <c r="D246" s="9">
        <f>Upload!AO236</f>
        <v>0</v>
      </c>
      <c r="E246" s="9">
        <f>Upload!AP236</f>
        <v>0</v>
      </c>
      <c r="F246" s="9" t="str">
        <f>Upload!AK236</f>
        <v/>
      </c>
      <c r="G246" s="9" t="str">
        <f>Upload!AM236</f>
        <v/>
      </c>
      <c r="H246" s="9" t="str">
        <f>Upload!AJ236</f>
        <v>(seleccione)</v>
      </c>
      <c r="I246" s="9" t="str">
        <f>Upload!AL236</f>
        <v>(seleccione)</v>
      </c>
      <c r="K246" s="15" t="str">
        <f t="shared" si="19"/>
        <v/>
      </c>
      <c r="L246" s="15" t="str">
        <f t="shared" si="20"/>
        <v/>
      </c>
      <c r="M246" s="15" t="str">
        <f t="shared" si="21"/>
        <v/>
      </c>
      <c r="N246" s="15" t="str">
        <f t="shared" si="22"/>
        <v/>
      </c>
      <c r="O246" s="15" t="str">
        <f t="shared" si="23"/>
        <v/>
      </c>
      <c r="P246" s="15" t="str">
        <f>IF(OR(C246="",NOT(OR(ISNUMBER(SEARCH("Antitarnish",Upload!R236&amp;Upload!S236&amp;Upload!T236&amp;Upload!U236&amp;Upload!V236)),ISNUMBER(SEARCH("Anti Tarnish",Upload!R236&amp;Upload!S236&amp;Upload!T236&amp;Upload!U236&amp;Upload!V236))))),"",0.0012*C246)</f>
        <v/>
      </c>
      <c r="Q246" s="15" t="str">
        <f>IF(OR(E246="",NOT(OR(ISNUMBER(SEARCH("Epóxico MT",Upload!R236&amp;Upload!S236&amp;Upload!T236&amp;Upload!U236&amp;Upload!V236))))),"",E246*0.000035)</f>
        <v/>
      </c>
      <c r="R246" s="15" t="str">
        <f>IF(OR(F246="",NOT(OR(ISNUMBER(SEARCH("Epóxico BT",Upload!S236&amp;Upload!T236&amp;Upload!U236&amp;Upload!V236&amp;Upload!W236))))),"",F246*0.000035)</f>
        <v/>
      </c>
      <c r="S246" s="15" t="str">
        <f>IF(OR(G246="",NOT(OR(ISNUMBER(SEARCH("Epóxico Rojo",Upload!T236&amp;Upload!U236&amp;Upload!V236&amp;Upload!W236&amp;Upload!X236))))),"",G246*0.000035)</f>
        <v/>
      </c>
    </row>
    <row r="247" spans="1:19" x14ac:dyDescent="0.2">
      <c r="A247" s="9" t="e">
        <f t="shared" ca="1" si="18"/>
        <v>#NAME?</v>
      </c>
      <c r="B247" s="9">
        <f>Upload!G237</f>
        <v>0</v>
      </c>
      <c r="C247" s="9">
        <f>Upload!AN237</f>
        <v>0</v>
      </c>
      <c r="D247" s="9">
        <f>Upload!AO237</f>
        <v>0</v>
      </c>
      <c r="E247" s="9">
        <f>Upload!AP237</f>
        <v>0</v>
      </c>
      <c r="F247" s="9" t="str">
        <f>Upload!AK237</f>
        <v/>
      </c>
      <c r="G247" s="9" t="str">
        <f>Upload!AM237</f>
        <v/>
      </c>
      <c r="H247" s="9" t="str">
        <f>Upload!AJ237</f>
        <v>(seleccione)</v>
      </c>
      <c r="I247" s="9" t="str">
        <f>Upload!AL237</f>
        <v>(seleccione)</v>
      </c>
      <c r="K247" s="15" t="str">
        <f t="shared" si="19"/>
        <v/>
      </c>
      <c r="L247" s="15" t="str">
        <f t="shared" si="20"/>
        <v/>
      </c>
      <c r="M247" s="15" t="str">
        <f t="shared" si="21"/>
        <v/>
      </c>
      <c r="N247" s="15" t="str">
        <f t="shared" si="22"/>
        <v/>
      </c>
      <c r="O247" s="15" t="str">
        <f t="shared" si="23"/>
        <v/>
      </c>
      <c r="P247" s="15" t="str">
        <f>IF(OR(C247="",NOT(OR(ISNUMBER(SEARCH("Antitarnish",Upload!R237&amp;Upload!S237&amp;Upload!T237&amp;Upload!U237&amp;Upload!V237)),ISNUMBER(SEARCH("Anti Tarnish",Upload!R237&amp;Upload!S237&amp;Upload!T237&amp;Upload!U237&amp;Upload!V237))))),"",0.0012*C247)</f>
        <v/>
      </c>
      <c r="Q247" s="15" t="str">
        <f>IF(OR(E247="",NOT(OR(ISNUMBER(SEARCH("Epóxico MT",Upload!R237&amp;Upload!S237&amp;Upload!T237&amp;Upload!U237&amp;Upload!V237))))),"",E247*0.000035)</f>
        <v/>
      </c>
      <c r="R247" s="15" t="str">
        <f>IF(OR(F247="",NOT(OR(ISNUMBER(SEARCH("Epóxico BT",Upload!S237&amp;Upload!T237&amp;Upload!U237&amp;Upload!V237&amp;Upload!W237))))),"",F247*0.000035)</f>
        <v/>
      </c>
      <c r="S247" s="15" t="str">
        <f>IF(OR(G247="",NOT(OR(ISNUMBER(SEARCH("Epóxico Rojo",Upload!T237&amp;Upload!U237&amp;Upload!V237&amp;Upload!W237&amp;Upload!X237))))),"",G247*0.000035)</f>
        <v/>
      </c>
    </row>
    <row r="248" spans="1:19" x14ac:dyDescent="0.2">
      <c r="A248" s="9" t="e">
        <f t="shared" ca="1" si="18"/>
        <v>#NAME?</v>
      </c>
      <c r="B248" s="9">
        <f>Upload!G238</f>
        <v>0</v>
      </c>
      <c r="C248" s="9">
        <f>Upload!AN238</f>
        <v>0</v>
      </c>
      <c r="D248" s="9">
        <f>Upload!AO238</f>
        <v>0</v>
      </c>
      <c r="E248" s="9">
        <f>Upload!AP238</f>
        <v>0</v>
      </c>
      <c r="F248" s="9" t="str">
        <f>Upload!AK238</f>
        <v/>
      </c>
      <c r="G248" s="9" t="str">
        <f>Upload!AM238</f>
        <v/>
      </c>
      <c r="H248" s="9" t="str">
        <f>Upload!AJ238</f>
        <v>(seleccione)</v>
      </c>
      <c r="I248" s="9" t="str">
        <f>Upload!AL238</f>
        <v>(seleccione)</v>
      </c>
      <c r="K248" s="15" t="str">
        <f t="shared" si="19"/>
        <v/>
      </c>
      <c r="L248" s="15" t="str">
        <f t="shared" si="20"/>
        <v/>
      </c>
      <c r="M248" s="15" t="str">
        <f t="shared" si="21"/>
        <v/>
      </c>
      <c r="N248" s="15" t="str">
        <f t="shared" si="22"/>
        <v/>
      </c>
      <c r="O248" s="15" t="str">
        <f t="shared" si="23"/>
        <v/>
      </c>
      <c r="P248" s="15" t="str">
        <f>IF(OR(C248="",NOT(OR(ISNUMBER(SEARCH("Antitarnish",Upload!R238&amp;Upload!S238&amp;Upload!T238&amp;Upload!U238&amp;Upload!V238)),ISNUMBER(SEARCH("Anti Tarnish",Upload!R238&amp;Upload!S238&amp;Upload!T238&amp;Upload!U238&amp;Upload!V238))))),"",0.0012*C248)</f>
        <v/>
      </c>
      <c r="Q248" s="15" t="str">
        <f>IF(OR(E248="",NOT(OR(ISNUMBER(SEARCH("Epóxico MT",Upload!R238&amp;Upload!S238&amp;Upload!T238&amp;Upload!U238&amp;Upload!V238))))),"",E248*0.000035)</f>
        <v/>
      </c>
      <c r="R248" s="15" t="str">
        <f>IF(OR(F248="",NOT(OR(ISNUMBER(SEARCH("Epóxico BT",Upload!S238&amp;Upload!T238&amp;Upload!U238&amp;Upload!V238&amp;Upload!W238))))),"",F248*0.000035)</f>
        <v/>
      </c>
      <c r="S248" s="15" t="str">
        <f>IF(OR(G248="",NOT(OR(ISNUMBER(SEARCH("Epóxico Rojo",Upload!T238&amp;Upload!U238&amp;Upload!V238&amp;Upload!W238&amp;Upload!X238))))),"",G248*0.000035)</f>
        <v/>
      </c>
    </row>
    <row r="249" spans="1:19" x14ac:dyDescent="0.2">
      <c r="A249" s="9" t="e">
        <f t="shared" ca="1" si="18"/>
        <v>#NAME?</v>
      </c>
      <c r="B249" s="9">
        <f>Upload!G239</f>
        <v>0</v>
      </c>
      <c r="C249" s="9">
        <f>Upload!AN239</f>
        <v>0</v>
      </c>
      <c r="D249" s="9">
        <f>Upload!AO239</f>
        <v>0</v>
      </c>
      <c r="E249" s="9">
        <f>Upload!AP239</f>
        <v>0</v>
      </c>
      <c r="F249" s="9" t="str">
        <f>Upload!AK239</f>
        <v/>
      </c>
      <c r="G249" s="9" t="str">
        <f>Upload!AM239</f>
        <v/>
      </c>
      <c r="H249" s="9" t="str">
        <f>Upload!AJ239</f>
        <v>(seleccione)</v>
      </c>
      <c r="I249" s="9" t="str">
        <f>Upload!AL239</f>
        <v>(seleccione)</v>
      </c>
      <c r="K249" s="15" t="str">
        <f t="shared" si="19"/>
        <v/>
      </c>
      <c r="L249" s="15" t="str">
        <f t="shared" si="20"/>
        <v/>
      </c>
      <c r="M249" s="15" t="str">
        <f t="shared" si="21"/>
        <v/>
      </c>
      <c r="N249" s="15" t="str">
        <f t="shared" si="22"/>
        <v/>
      </c>
      <c r="O249" s="15" t="str">
        <f t="shared" si="23"/>
        <v/>
      </c>
      <c r="P249" s="15" t="str">
        <f>IF(OR(C249="",NOT(OR(ISNUMBER(SEARCH("Antitarnish",Upload!R239&amp;Upload!S239&amp;Upload!T239&amp;Upload!U239&amp;Upload!V239)),ISNUMBER(SEARCH("Anti Tarnish",Upload!R239&amp;Upload!S239&amp;Upload!T239&amp;Upload!U239&amp;Upload!V239))))),"",0.0012*C249)</f>
        <v/>
      </c>
      <c r="Q249" s="15" t="str">
        <f>IF(OR(E249="",NOT(OR(ISNUMBER(SEARCH("Epóxico MT",Upload!R239&amp;Upload!S239&amp;Upload!T239&amp;Upload!U239&amp;Upload!V239))))),"",E249*0.000035)</f>
        <v/>
      </c>
      <c r="R249" s="15" t="str">
        <f>IF(OR(F249="",NOT(OR(ISNUMBER(SEARCH("Epóxico BT",Upload!S239&amp;Upload!T239&amp;Upload!U239&amp;Upload!V239&amp;Upload!W239))))),"",F249*0.000035)</f>
        <v/>
      </c>
      <c r="S249" s="15" t="str">
        <f>IF(OR(G249="",NOT(OR(ISNUMBER(SEARCH("Epóxico Rojo",Upload!T239&amp;Upload!U239&amp;Upload!V239&amp;Upload!W239&amp;Upload!X239))))),"",G249*0.000035)</f>
        <v/>
      </c>
    </row>
    <row r="250" spans="1:19" x14ac:dyDescent="0.2">
      <c r="A250" s="9" t="e">
        <f t="shared" ca="1" si="18"/>
        <v>#NAME?</v>
      </c>
      <c r="B250" s="9">
        <f>Upload!G240</f>
        <v>0</v>
      </c>
      <c r="C250" s="9">
        <f>Upload!AN240</f>
        <v>0</v>
      </c>
      <c r="D250" s="9">
        <f>Upload!AO240</f>
        <v>0</v>
      </c>
      <c r="E250" s="9">
        <f>Upload!AP240</f>
        <v>0</v>
      </c>
      <c r="F250" s="9" t="str">
        <f>Upload!AK240</f>
        <v/>
      </c>
      <c r="G250" s="9" t="str">
        <f>Upload!AM240</f>
        <v/>
      </c>
      <c r="H250" s="9" t="str">
        <f>Upload!AJ240</f>
        <v>(seleccione)</v>
      </c>
      <c r="I250" s="9" t="str">
        <f>Upload!AL240</f>
        <v>(seleccione)</v>
      </c>
      <c r="K250" s="15" t="str">
        <f t="shared" si="19"/>
        <v/>
      </c>
      <c r="L250" s="15" t="str">
        <f t="shared" si="20"/>
        <v/>
      </c>
      <c r="M250" s="15" t="str">
        <f t="shared" si="21"/>
        <v/>
      </c>
      <c r="N250" s="15" t="str">
        <f t="shared" si="22"/>
        <v/>
      </c>
      <c r="O250" s="15" t="str">
        <f t="shared" si="23"/>
        <v/>
      </c>
      <c r="P250" s="15" t="str">
        <f>IF(OR(C250="",NOT(OR(ISNUMBER(SEARCH("Antitarnish",Upload!R240&amp;Upload!S240&amp;Upload!T240&amp;Upload!U240&amp;Upload!V240)),ISNUMBER(SEARCH("Anti Tarnish",Upload!R240&amp;Upload!S240&amp;Upload!T240&amp;Upload!U240&amp;Upload!V240))))),"",0.0012*C250)</f>
        <v/>
      </c>
      <c r="Q250" s="15" t="str">
        <f>IF(OR(E250="",NOT(OR(ISNUMBER(SEARCH("Epóxico MT",Upload!R240&amp;Upload!S240&amp;Upload!T240&amp;Upload!U240&amp;Upload!V240))))),"",E250*0.000035)</f>
        <v/>
      </c>
      <c r="R250" s="15" t="str">
        <f>IF(OR(F250="",NOT(OR(ISNUMBER(SEARCH("Epóxico BT",Upload!S240&amp;Upload!T240&amp;Upload!U240&amp;Upload!V240&amp;Upload!W240))))),"",F250*0.000035)</f>
        <v/>
      </c>
      <c r="S250" s="15" t="str">
        <f>IF(OR(G250="",NOT(OR(ISNUMBER(SEARCH("Epóxico Rojo",Upload!T240&amp;Upload!U240&amp;Upload!V240&amp;Upload!W240&amp;Upload!X240))))),"",G250*0.000035)</f>
        <v/>
      </c>
    </row>
    <row r="251" spans="1:19" x14ac:dyDescent="0.2">
      <c r="A251" s="9" t="e">
        <f t="shared" ca="1" si="18"/>
        <v>#NAME?</v>
      </c>
      <c r="B251" s="9">
        <f>Upload!G241</f>
        <v>0</v>
      </c>
      <c r="C251" s="9">
        <f>Upload!AN241</f>
        <v>0</v>
      </c>
      <c r="D251" s="9">
        <f>Upload!AO241</f>
        <v>0</v>
      </c>
      <c r="E251" s="9">
        <f>Upload!AP241</f>
        <v>0</v>
      </c>
      <c r="F251" s="9" t="str">
        <f>Upload!AK241</f>
        <v/>
      </c>
      <c r="G251" s="9" t="str">
        <f>Upload!AM241</f>
        <v/>
      </c>
      <c r="H251" s="9" t="str">
        <f>Upload!AJ241</f>
        <v>(seleccione)</v>
      </c>
      <c r="I251" s="9" t="str">
        <f>Upload!AL241</f>
        <v>(seleccione)</v>
      </c>
      <c r="K251" s="15" t="str">
        <f t="shared" si="19"/>
        <v/>
      </c>
      <c r="L251" s="15" t="str">
        <f t="shared" si="20"/>
        <v/>
      </c>
      <c r="M251" s="15" t="str">
        <f t="shared" si="21"/>
        <v/>
      </c>
      <c r="N251" s="15" t="str">
        <f t="shared" si="22"/>
        <v/>
      </c>
      <c r="O251" s="15" t="str">
        <f t="shared" si="23"/>
        <v/>
      </c>
      <c r="P251" s="15" t="str">
        <f>IF(OR(C251="",NOT(OR(ISNUMBER(SEARCH("Antitarnish",Upload!R241&amp;Upload!S241&amp;Upload!T241&amp;Upload!U241&amp;Upload!V241)),ISNUMBER(SEARCH("Anti Tarnish",Upload!R241&amp;Upload!S241&amp;Upload!T241&amp;Upload!U241&amp;Upload!V241))))),"",0.0012*C251)</f>
        <v/>
      </c>
      <c r="Q251" s="15" t="str">
        <f>IF(OR(E251="",NOT(OR(ISNUMBER(SEARCH("Epóxico MT",Upload!R241&amp;Upload!S241&amp;Upload!T241&amp;Upload!U241&amp;Upload!V241))))),"",E251*0.000035)</f>
        <v/>
      </c>
      <c r="R251" s="15" t="str">
        <f>IF(OR(F251="",NOT(OR(ISNUMBER(SEARCH("Epóxico BT",Upload!S241&amp;Upload!T241&amp;Upload!U241&amp;Upload!V241&amp;Upload!W241))))),"",F251*0.000035)</f>
        <v/>
      </c>
      <c r="S251" s="15" t="str">
        <f>IF(OR(G251="",NOT(OR(ISNUMBER(SEARCH("Epóxico Rojo",Upload!T241&amp;Upload!U241&amp;Upload!V241&amp;Upload!W241&amp;Upload!X241))))),"",G251*0.000035)</f>
        <v/>
      </c>
    </row>
    <row r="252" spans="1:19" x14ac:dyDescent="0.2">
      <c r="A252" s="9" t="e">
        <f t="shared" ca="1" si="18"/>
        <v>#NAME?</v>
      </c>
      <c r="B252" s="9">
        <f>Upload!G242</f>
        <v>0</v>
      </c>
      <c r="C252" s="9">
        <f>Upload!AN242</f>
        <v>0</v>
      </c>
      <c r="D252" s="9">
        <f>Upload!AO242</f>
        <v>0</v>
      </c>
      <c r="E252" s="9">
        <f>Upload!AP242</f>
        <v>0</v>
      </c>
      <c r="F252" s="9" t="str">
        <f>Upload!AK242</f>
        <v/>
      </c>
      <c r="G252" s="9" t="str">
        <f>Upload!AM242</f>
        <v/>
      </c>
      <c r="H252" s="9" t="str">
        <f>Upload!AJ242</f>
        <v>(seleccione)</v>
      </c>
      <c r="I252" s="9" t="str">
        <f>Upload!AL242</f>
        <v>(seleccione)</v>
      </c>
      <c r="K252" s="15" t="str">
        <f t="shared" si="19"/>
        <v/>
      </c>
      <c r="L252" s="15" t="str">
        <f t="shared" si="20"/>
        <v/>
      </c>
      <c r="M252" s="15" t="str">
        <f t="shared" si="21"/>
        <v/>
      </c>
      <c r="N252" s="15" t="str">
        <f t="shared" si="22"/>
        <v/>
      </c>
      <c r="O252" s="15" t="str">
        <f t="shared" si="23"/>
        <v/>
      </c>
      <c r="P252" s="15" t="str">
        <f>IF(OR(C252="",NOT(OR(ISNUMBER(SEARCH("Antitarnish",Upload!R242&amp;Upload!S242&amp;Upload!T242&amp;Upload!U242&amp;Upload!V242)),ISNUMBER(SEARCH("Anti Tarnish",Upload!R242&amp;Upload!S242&amp;Upload!T242&amp;Upload!U242&amp;Upload!V242))))),"",0.0012*C252)</f>
        <v/>
      </c>
      <c r="Q252" s="15" t="str">
        <f>IF(OR(E252="",NOT(OR(ISNUMBER(SEARCH("Epóxico MT",Upload!R242&amp;Upload!S242&amp;Upload!T242&amp;Upload!U242&amp;Upload!V242))))),"",E252*0.000035)</f>
        <v/>
      </c>
      <c r="R252" s="15" t="str">
        <f>IF(OR(F252="",NOT(OR(ISNUMBER(SEARCH("Epóxico BT",Upload!S242&amp;Upload!T242&amp;Upload!U242&amp;Upload!V242&amp;Upload!W242))))),"",F252*0.000035)</f>
        <v/>
      </c>
      <c r="S252" s="15" t="str">
        <f>IF(OR(G252="",NOT(OR(ISNUMBER(SEARCH("Epóxico Rojo",Upload!T242&amp;Upload!U242&amp;Upload!V242&amp;Upload!W242&amp;Upload!X242))))),"",G252*0.000035)</f>
        <v/>
      </c>
    </row>
    <row r="253" spans="1:19" x14ac:dyDescent="0.2">
      <c r="A253" s="9" t="e">
        <f t="shared" ca="1" si="18"/>
        <v>#NAME?</v>
      </c>
      <c r="B253" s="9">
        <f>Upload!G243</f>
        <v>0</v>
      </c>
      <c r="C253" s="9">
        <f>Upload!AN243</f>
        <v>0</v>
      </c>
      <c r="D253" s="9">
        <f>Upload!AO243</f>
        <v>0</v>
      </c>
      <c r="E253" s="9">
        <f>Upload!AP243</f>
        <v>0</v>
      </c>
      <c r="F253" s="9" t="str">
        <f>Upload!AK243</f>
        <v/>
      </c>
      <c r="G253" s="9" t="str">
        <f>Upload!AM243</f>
        <v/>
      </c>
      <c r="H253" s="9" t="str">
        <f>Upload!AJ243</f>
        <v>(seleccione)</v>
      </c>
      <c r="I253" s="9" t="str">
        <f>Upload!AL243</f>
        <v>(seleccione)</v>
      </c>
      <c r="K253" s="15" t="str">
        <f t="shared" si="19"/>
        <v/>
      </c>
      <c r="L253" s="15" t="str">
        <f t="shared" si="20"/>
        <v/>
      </c>
      <c r="M253" s="15" t="str">
        <f t="shared" si="21"/>
        <v/>
      </c>
      <c r="N253" s="15" t="str">
        <f t="shared" si="22"/>
        <v/>
      </c>
      <c r="O253" s="15" t="str">
        <f t="shared" si="23"/>
        <v/>
      </c>
      <c r="P253" s="15" t="str">
        <f>IF(OR(C253="",NOT(OR(ISNUMBER(SEARCH("Antitarnish",Upload!R243&amp;Upload!S243&amp;Upload!T243&amp;Upload!U243&amp;Upload!V243)),ISNUMBER(SEARCH("Anti Tarnish",Upload!R243&amp;Upload!S243&amp;Upload!T243&amp;Upload!U243&amp;Upload!V243))))),"",0.0012*C253)</f>
        <v/>
      </c>
      <c r="Q253" s="15" t="str">
        <f>IF(OR(E253="",NOT(OR(ISNUMBER(SEARCH("Epóxico MT",Upload!R243&amp;Upload!S243&amp;Upload!T243&amp;Upload!U243&amp;Upload!V243))))),"",E253*0.000035)</f>
        <v/>
      </c>
      <c r="R253" s="15" t="str">
        <f>IF(OR(F253="",NOT(OR(ISNUMBER(SEARCH("Epóxico BT",Upload!S243&amp;Upload!T243&amp;Upload!U243&amp;Upload!V243&amp;Upload!W243))))),"",F253*0.000035)</f>
        <v/>
      </c>
      <c r="S253" s="15" t="str">
        <f>IF(OR(G253="",NOT(OR(ISNUMBER(SEARCH("Epóxico Rojo",Upload!T243&amp;Upload!U243&amp;Upload!V243&amp;Upload!W243&amp;Upload!X243))))),"",G253*0.000035)</f>
        <v/>
      </c>
    </row>
    <row r="254" spans="1:19" x14ac:dyDescent="0.2">
      <c r="A254" s="9" t="e">
        <f t="shared" ca="1" si="18"/>
        <v>#NAME?</v>
      </c>
      <c r="B254" s="9">
        <f>Upload!G244</f>
        <v>0</v>
      </c>
      <c r="C254" s="9">
        <f>Upload!AN244</f>
        <v>0</v>
      </c>
      <c r="D254" s="9">
        <f>Upload!AO244</f>
        <v>0</v>
      </c>
      <c r="E254" s="9">
        <f>Upload!AP244</f>
        <v>0</v>
      </c>
      <c r="F254" s="9" t="str">
        <f>Upload!AK244</f>
        <v/>
      </c>
      <c r="G254" s="9" t="str">
        <f>Upload!AM244</f>
        <v/>
      </c>
      <c r="H254" s="9" t="str">
        <f>Upload!AJ244</f>
        <v>(seleccione)</v>
      </c>
      <c r="I254" s="9" t="str">
        <f>Upload!AL244</f>
        <v>(seleccione)</v>
      </c>
      <c r="K254" s="15" t="str">
        <f t="shared" si="19"/>
        <v/>
      </c>
      <c r="L254" s="15" t="str">
        <f t="shared" si="20"/>
        <v/>
      </c>
      <c r="M254" s="15" t="str">
        <f t="shared" si="21"/>
        <v/>
      </c>
      <c r="N254" s="15" t="str">
        <f t="shared" si="22"/>
        <v/>
      </c>
      <c r="O254" s="15" t="str">
        <f t="shared" si="23"/>
        <v/>
      </c>
      <c r="P254" s="15" t="str">
        <f>IF(OR(C254="",NOT(OR(ISNUMBER(SEARCH("Antitarnish",Upload!R244&amp;Upload!S244&amp;Upload!T244&amp;Upload!U244&amp;Upload!V244)),ISNUMBER(SEARCH("Anti Tarnish",Upload!R244&amp;Upload!S244&amp;Upload!T244&amp;Upload!U244&amp;Upload!V244))))),"",0.0012*C254)</f>
        <v/>
      </c>
      <c r="Q254" s="15" t="str">
        <f>IF(OR(E254="",NOT(OR(ISNUMBER(SEARCH("Epóxico MT",Upload!R244&amp;Upload!S244&amp;Upload!T244&amp;Upload!U244&amp;Upload!V244))))),"",E254*0.000035)</f>
        <v/>
      </c>
      <c r="R254" s="15" t="str">
        <f>IF(OR(F254="",NOT(OR(ISNUMBER(SEARCH("Epóxico BT",Upload!S244&amp;Upload!T244&amp;Upload!U244&amp;Upload!V244&amp;Upload!W244))))),"",F254*0.000035)</f>
        <v/>
      </c>
      <c r="S254" s="15" t="str">
        <f>IF(OR(G254="",NOT(OR(ISNUMBER(SEARCH("Epóxico Rojo",Upload!T244&amp;Upload!U244&amp;Upload!V244&amp;Upload!W244&amp;Upload!X244))))),"",G254*0.000035)</f>
        <v/>
      </c>
    </row>
    <row r="255" spans="1:19" x14ac:dyDescent="0.2">
      <c r="A255" s="9" t="e">
        <f t="shared" ca="1" si="18"/>
        <v>#NAME?</v>
      </c>
      <c r="B255" s="9">
        <f>Upload!G245</f>
        <v>0</v>
      </c>
      <c r="C255" s="9">
        <f>Upload!AN245</f>
        <v>0</v>
      </c>
      <c r="D255" s="9">
        <f>Upload!AO245</f>
        <v>0</v>
      </c>
      <c r="E255" s="9">
        <f>Upload!AP245</f>
        <v>0</v>
      </c>
      <c r="F255" s="9" t="str">
        <f>Upload!AK245</f>
        <v/>
      </c>
      <c r="G255" s="9" t="str">
        <f>Upload!AM245</f>
        <v/>
      </c>
      <c r="H255" s="9" t="str">
        <f>Upload!AJ245</f>
        <v>(seleccione)</v>
      </c>
      <c r="I255" s="9" t="str">
        <f>Upload!AL245</f>
        <v>(seleccione)</v>
      </c>
      <c r="K255" s="15" t="str">
        <f t="shared" si="19"/>
        <v/>
      </c>
      <c r="L255" s="15" t="str">
        <f t="shared" si="20"/>
        <v/>
      </c>
      <c r="M255" s="15" t="str">
        <f t="shared" si="21"/>
        <v/>
      </c>
      <c r="N255" s="15" t="str">
        <f t="shared" si="22"/>
        <v/>
      </c>
      <c r="O255" s="15" t="str">
        <f t="shared" si="23"/>
        <v/>
      </c>
      <c r="P255" s="15" t="str">
        <f>IF(OR(C255="",NOT(OR(ISNUMBER(SEARCH("Antitarnish",Upload!R245&amp;Upload!S245&amp;Upload!T245&amp;Upload!U245&amp;Upload!V245)),ISNUMBER(SEARCH("Anti Tarnish",Upload!R245&amp;Upload!S245&amp;Upload!T245&amp;Upload!U245&amp;Upload!V245))))),"",0.0012*C255)</f>
        <v/>
      </c>
      <c r="Q255" s="15" t="str">
        <f>IF(OR(E255="",NOT(OR(ISNUMBER(SEARCH("Epóxico MT",Upload!R245&amp;Upload!S245&amp;Upload!T245&amp;Upload!U245&amp;Upload!V245))))),"",E255*0.000035)</f>
        <v/>
      </c>
      <c r="R255" s="15" t="str">
        <f>IF(OR(F255="",NOT(OR(ISNUMBER(SEARCH("Epóxico BT",Upload!S245&amp;Upload!T245&amp;Upload!U245&amp;Upload!V245&amp;Upload!W245))))),"",F255*0.000035)</f>
        <v/>
      </c>
      <c r="S255" s="15" t="str">
        <f>IF(OR(G255="",NOT(OR(ISNUMBER(SEARCH("Epóxico Rojo",Upload!T245&amp;Upload!U245&amp;Upload!V245&amp;Upload!W245&amp;Upload!X245))))),"",G255*0.000035)</f>
        <v/>
      </c>
    </row>
    <row r="256" spans="1:19" x14ac:dyDescent="0.2">
      <c r="A256" s="9" t="e">
        <f t="shared" ca="1" si="18"/>
        <v>#NAME?</v>
      </c>
      <c r="B256" s="9">
        <f>Upload!G246</f>
        <v>0</v>
      </c>
      <c r="C256" s="9">
        <f>Upload!AN246</f>
        <v>0</v>
      </c>
      <c r="D256" s="9">
        <f>Upload!AO246</f>
        <v>0</v>
      </c>
      <c r="E256" s="9">
        <f>Upload!AP246</f>
        <v>0</v>
      </c>
      <c r="F256" s="9" t="str">
        <f>Upload!AK246</f>
        <v/>
      </c>
      <c r="G256" s="9" t="str">
        <f>Upload!AM246</f>
        <v/>
      </c>
      <c r="H256" s="9" t="str">
        <f>Upload!AJ246</f>
        <v>(seleccione)</v>
      </c>
      <c r="I256" s="9" t="str">
        <f>Upload!AL246</f>
        <v>(seleccione)</v>
      </c>
      <c r="K256" s="15" t="str">
        <f t="shared" si="19"/>
        <v/>
      </c>
      <c r="L256" s="15" t="str">
        <f t="shared" si="20"/>
        <v/>
      </c>
      <c r="M256" s="15" t="str">
        <f t="shared" si="21"/>
        <v/>
      </c>
      <c r="N256" s="15" t="str">
        <f t="shared" si="22"/>
        <v/>
      </c>
      <c r="O256" s="15" t="str">
        <f t="shared" si="23"/>
        <v/>
      </c>
      <c r="P256" s="15" t="str">
        <f>IF(OR(C256="",NOT(OR(ISNUMBER(SEARCH("Antitarnish",Upload!R246&amp;Upload!S246&amp;Upload!T246&amp;Upload!U246&amp;Upload!V246)),ISNUMBER(SEARCH("Anti Tarnish",Upload!R246&amp;Upload!S246&amp;Upload!T246&amp;Upload!U246&amp;Upload!V246))))),"",0.0012*C256)</f>
        <v/>
      </c>
      <c r="Q256" s="15" t="str">
        <f>IF(OR(E256="",NOT(OR(ISNUMBER(SEARCH("Epóxico MT",Upload!R246&amp;Upload!S246&amp;Upload!T246&amp;Upload!U246&amp;Upload!V246))))),"",E256*0.000035)</f>
        <v/>
      </c>
      <c r="R256" s="15" t="str">
        <f>IF(OR(F256="",NOT(OR(ISNUMBER(SEARCH("Epóxico BT",Upload!S246&amp;Upload!T246&amp;Upload!U246&amp;Upload!V246&amp;Upload!W246))))),"",F256*0.000035)</f>
        <v/>
      </c>
      <c r="S256" s="15" t="str">
        <f>IF(OR(G256="",NOT(OR(ISNUMBER(SEARCH("Epóxico Rojo",Upload!T246&amp;Upload!U246&amp;Upload!V246&amp;Upload!W246&amp;Upload!X246))))),"",G256*0.000035)</f>
        <v/>
      </c>
    </row>
    <row r="257" spans="1:19" x14ac:dyDescent="0.2">
      <c r="A257" s="9" t="e">
        <f t="shared" ca="1" si="18"/>
        <v>#NAME?</v>
      </c>
      <c r="B257" s="9">
        <f>Upload!G247</f>
        <v>0</v>
      </c>
      <c r="C257" s="9">
        <f>Upload!AN247</f>
        <v>0</v>
      </c>
      <c r="D257" s="9">
        <f>Upload!AO247</f>
        <v>0</v>
      </c>
      <c r="E257" s="9">
        <f>Upload!AP247</f>
        <v>0</v>
      </c>
      <c r="F257" s="9" t="str">
        <f>Upload!AK247</f>
        <v/>
      </c>
      <c r="G257" s="9" t="str">
        <f>Upload!AM247</f>
        <v/>
      </c>
      <c r="H257" s="9" t="str">
        <f>Upload!AJ247</f>
        <v>(seleccione)</v>
      </c>
      <c r="I257" s="9" t="str">
        <f>Upload!AL247</f>
        <v>(seleccione)</v>
      </c>
      <c r="K257" s="15" t="str">
        <f t="shared" si="19"/>
        <v/>
      </c>
      <c r="L257" s="15" t="str">
        <f t="shared" si="20"/>
        <v/>
      </c>
      <c r="M257" s="15" t="str">
        <f t="shared" si="21"/>
        <v/>
      </c>
      <c r="N257" s="15" t="str">
        <f t="shared" si="22"/>
        <v/>
      </c>
      <c r="O257" s="15" t="str">
        <f t="shared" si="23"/>
        <v/>
      </c>
      <c r="P257" s="15" t="str">
        <f>IF(OR(C257="",NOT(OR(ISNUMBER(SEARCH("Antitarnish",Upload!R247&amp;Upload!S247&amp;Upload!T247&amp;Upload!U247&amp;Upload!V247)),ISNUMBER(SEARCH("Anti Tarnish",Upload!R247&amp;Upload!S247&amp;Upload!T247&amp;Upload!U247&amp;Upload!V247))))),"",0.0012*C257)</f>
        <v/>
      </c>
      <c r="Q257" s="15" t="str">
        <f>IF(OR(E257="",NOT(OR(ISNUMBER(SEARCH("Epóxico MT",Upload!R247&amp;Upload!S247&amp;Upload!T247&amp;Upload!U247&amp;Upload!V247))))),"",E257*0.000035)</f>
        <v/>
      </c>
      <c r="R257" s="15" t="str">
        <f>IF(OR(F257="",NOT(OR(ISNUMBER(SEARCH("Epóxico BT",Upload!S247&amp;Upload!T247&amp;Upload!U247&amp;Upload!V247&amp;Upload!W247))))),"",F257*0.000035)</f>
        <v/>
      </c>
      <c r="S257" s="15" t="str">
        <f>IF(OR(G257="",NOT(OR(ISNUMBER(SEARCH("Epóxico Rojo",Upload!T247&amp;Upload!U247&amp;Upload!V247&amp;Upload!W247&amp;Upload!X247))))),"",G257*0.000035)</f>
        <v/>
      </c>
    </row>
    <row r="258" spans="1:19" x14ac:dyDescent="0.2">
      <c r="A258" s="9" t="e">
        <f t="shared" ca="1" si="18"/>
        <v>#NAME?</v>
      </c>
      <c r="B258" s="9">
        <f>Upload!G248</f>
        <v>0</v>
      </c>
      <c r="C258" s="9">
        <f>Upload!AN248</f>
        <v>0</v>
      </c>
      <c r="D258" s="9">
        <f>Upload!AO248</f>
        <v>0</v>
      </c>
      <c r="E258" s="9">
        <f>Upload!AP248</f>
        <v>0</v>
      </c>
      <c r="F258" s="9" t="str">
        <f>Upload!AK248</f>
        <v/>
      </c>
      <c r="G258" s="9" t="str">
        <f>Upload!AM248</f>
        <v/>
      </c>
      <c r="H258" s="9" t="str">
        <f>Upload!AJ248</f>
        <v>(seleccione)</v>
      </c>
      <c r="I258" s="9" t="str">
        <f>Upload!AL248</f>
        <v>(seleccione)</v>
      </c>
      <c r="K258" s="15" t="str">
        <f t="shared" si="19"/>
        <v/>
      </c>
      <c r="L258" s="15" t="str">
        <f t="shared" si="20"/>
        <v/>
      </c>
      <c r="M258" s="15" t="str">
        <f t="shared" si="21"/>
        <v/>
      </c>
      <c r="N258" s="15" t="str">
        <f t="shared" si="22"/>
        <v/>
      </c>
      <c r="O258" s="15" t="str">
        <f t="shared" si="23"/>
        <v/>
      </c>
      <c r="P258" s="15" t="str">
        <f>IF(OR(C258="",NOT(OR(ISNUMBER(SEARCH("Antitarnish",Upload!R248&amp;Upload!S248&amp;Upload!T248&amp;Upload!U248&amp;Upload!V248)),ISNUMBER(SEARCH("Anti Tarnish",Upload!R248&amp;Upload!S248&amp;Upload!T248&amp;Upload!U248&amp;Upload!V248))))),"",0.0012*C258)</f>
        <v/>
      </c>
      <c r="Q258" s="15" t="str">
        <f>IF(OR(E258="",NOT(OR(ISNUMBER(SEARCH("Epóxico MT",Upload!R248&amp;Upload!S248&amp;Upload!T248&amp;Upload!U248&amp;Upload!V248))))),"",E258*0.000035)</f>
        <v/>
      </c>
      <c r="R258" s="15" t="str">
        <f>IF(OR(F258="",NOT(OR(ISNUMBER(SEARCH("Epóxico BT",Upload!S248&amp;Upload!T248&amp;Upload!U248&amp;Upload!V248&amp;Upload!W248))))),"",F258*0.000035)</f>
        <v/>
      </c>
      <c r="S258" s="15" t="str">
        <f>IF(OR(G258="",NOT(OR(ISNUMBER(SEARCH("Epóxico Rojo",Upload!T248&amp;Upload!U248&amp;Upload!V248&amp;Upload!W248&amp;Upload!X248))))),"",G258*0.000035)</f>
        <v/>
      </c>
    </row>
    <row r="259" spans="1:19" x14ac:dyDescent="0.2">
      <c r="A259" s="9" t="e">
        <f t="shared" ca="1" si="18"/>
        <v>#NAME?</v>
      </c>
      <c r="B259" s="9">
        <f>Upload!G249</f>
        <v>0</v>
      </c>
      <c r="C259" s="9">
        <f>Upload!AN249</f>
        <v>0</v>
      </c>
      <c r="D259" s="9">
        <f>Upload!AO249</f>
        <v>0</v>
      </c>
      <c r="E259" s="9">
        <f>Upload!AP249</f>
        <v>0</v>
      </c>
      <c r="F259" s="9" t="str">
        <f>Upload!AK249</f>
        <v/>
      </c>
      <c r="G259" s="9" t="str">
        <f>Upload!AM249</f>
        <v/>
      </c>
      <c r="H259" s="9" t="str">
        <f>Upload!AJ249</f>
        <v>(seleccione)</v>
      </c>
      <c r="I259" s="9" t="str">
        <f>Upload!AL249</f>
        <v>(seleccione)</v>
      </c>
      <c r="K259" s="15" t="str">
        <f t="shared" si="19"/>
        <v/>
      </c>
      <c r="L259" s="15" t="str">
        <f t="shared" si="20"/>
        <v/>
      </c>
      <c r="M259" s="15" t="str">
        <f t="shared" si="21"/>
        <v/>
      </c>
      <c r="N259" s="15" t="str">
        <f t="shared" si="22"/>
        <v/>
      </c>
      <c r="O259" s="15" t="str">
        <f t="shared" si="23"/>
        <v/>
      </c>
      <c r="P259" s="15" t="str">
        <f>IF(OR(C259="",NOT(OR(ISNUMBER(SEARCH("Antitarnish",Upload!R249&amp;Upload!S249&amp;Upload!T249&amp;Upload!U249&amp;Upload!V249)),ISNUMBER(SEARCH("Anti Tarnish",Upload!R249&amp;Upload!S249&amp;Upload!T249&amp;Upload!U249&amp;Upload!V249))))),"",0.0012*C259)</f>
        <v/>
      </c>
      <c r="Q259" s="15" t="str">
        <f>IF(OR(E259="",NOT(OR(ISNUMBER(SEARCH("Epóxico MT",Upload!R249&amp;Upload!S249&amp;Upload!T249&amp;Upload!U249&amp;Upload!V249))))),"",E259*0.000035)</f>
        <v/>
      </c>
      <c r="R259" s="15" t="str">
        <f>IF(OR(F259="",NOT(OR(ISNUMBER(SEARCH("Epóxico BT",Upload!S249&amp;Upload!T249&amp;Upload!U249&amp;Upload!V249&amp;Upload!W249))))),"",F259*0.000035)</f>
        <v/>
      </c>
      <c r="S259" s="15" t="str">
        <f>IF(OR(G259="",NOT(OR(ISNUMBER(SEARCH("Epóxico Rojo",Upload!T249&amp;Upload!U249&amp;Upload!V249&amp;Upload!W249&amp;Upload!X249))))),"",G259*0.000035)</f>
        <v/>
      </c>
    </row>
    <row r="260" spans="1:19" x14ac:dyDescent="0.2">
      <c r="A260" s="9" t="e">
        <f t="shared" ca="1" si="18"/>
        <v>#NAME?</v>
      </c>
      <c r="B260" s="9">
        <f>Upload!G250</f>
        <v>0</v>
      </c>
      <c r="C260" s="9">
        <f>Upload!AN250</f>
        <v>0</v>
      </c>
      <c r="D260" s="9">
        <f>Upload!AO250</f>
        <v>0</v>
      </c>
      <c r="E260" s="9">
        <f>Upload!AP250</f>
        <v>0</v>
      </c>
      <c r="F260" s="9" t="str">
        <f>Upload!AK250</f>
        <v/>
      </c>
      <c r="G260" s="9" t="str">
        <f>Upload!AM250</f>
        <v/>
      </c>
      <c r="H260" s="9" t="str">
        <f>Upload!AJ250</f>
        <v>(seleccione)</v>
      </c>
      <c r="I260" s="9" t="str">
        <f>Upload!AL250</f>
        <v>(seleccione)</v>
      </c>
      <c r="K260" s="15" t="str">
        <f t="shared" si="19"/>
        <v/>
      </c>
      <c r="L260" s="15" t="str">
        <f t="shared" si="20"/>
        <v/>
      </c>
      <c r="M260" s="15" t="str">
        <f t="shared" si="21"/>
        <v/>
      </c>
      <c r="N260" s="15" t="str">
        <f t="shared" si="22"/>
        <v/>
      </c>
      <c r="O260" s="15" t="str">
        <f t="shared" si="23"/>
        <v/>
      </c>
      <c r="P260" s="15" t="str">
        <f>IF(OR(C260="",NOT(OR(ISNUMBER(SEARCH("Antitarnish",Upload!R250&amp;Upload!S250&amp;Upload!T250&amp;Upload!U250&amp;Upload!V250)),ISNUMBER(SEARCH("Anti Tarnish",Upload!R250&amp;Upload!S250&amp;Upload!T250&amp;Upload!U250&amp;Upload!V250))))),"",0.0012*C260)</f>
        <v/>
      </c>
      <c r="Q260" s="15" t="str">
        <f>IF(OR(E260="",NOT(OR(ISNUMBER(SEARCH("Epóxico MT",Upload!R250&amp;Upload!S250&amp;Upload!T250&amp;Upload!U250&amp;Upload!V250))))),"",E260*0.000035)</f>
        <v/>
      </c>
      <c r="R260" s="15" t="str">
        <f>IF(OR(F260="",NOT(OR(ISNUMBER(SEARCH("Epóxico BT",Upload!S250&amp;Upload!T250&amp;Upload!U250&amp;Upload!V250&amp;Upload!W250))))),"",F260*0.000035)</f>
        <v/>
      </c>
      <c r="S260" s="15" t="str">
        <f>IF(OR(G260="",NOT(OR(ISNUMBER(SEARCH("Epóxico Rojo",Upload!T250&amp;Upload!U250&amp;Upload!V250&amp;Upload!W250&amp;Upload!X250))))),"",G260*0.000035)</f>
        <v/>
      </c>
    </row>
    <row r="261" spans="1:19" x14ac:dyDescent="0.2">
      <c r="A261" s="9" t="e">
        <f t="shared" ca="1" si="18"/>
        <v>#NAME?</v>
      </c>
      <c r="B261" s="9">
        <f>Upload!G251</f>
        <v>0</v>
      </c>
      <c r="C261" s="9">
        <f>Upload!AN251</f>
        <v>0</v>
      </c>
      <c r="D261" s="9">
        <f>Upload!AO251</f>
        <v>0</v>
      </c>
      <c r="E261" s="9">
        <f>Upload!AP251</f>
        <v>0</v>
      </c>
      <c r="F261" s="9" t="str">
        <f>Upload!AK251</f>
        <v/>
      </c>
      <c r="G261" s="9" t="str">
        <f>Upload!AM251</f>
        <v/>
      </c>
      <c r="H261" s="9" t="str">
        <f>Upload!AJ251</f>
        <v>(seleccione)</v>
      </c>
      <c r="I261" s="9" t="str">
        <f>Upload!AL251</f>
        <v>(seleccione)</v>
      </c>
      <c r="K261" s="15" t="str">
        <f t="shared" si="19"/>
        <v/>
      </c>
      <c r="L261" s="15" t="str">
        <f t="shared" si="20"/>
        <v/>
      </c>
      <c r="M261" s="15" t="str">
        <f t="shared" si="21"/>
        <v/>
      </c>
      <c r="N261" s="15" t="str">
        <f t="shared" si="22"/>
        <v/>
      </c>
      <c r="O261" s="15" t="str">
        <f t="shared" si="23"/>
        <v/>
      </c>
      <c r="P261" s="15" t="str">
        <f>IF(OR(C261="",NOT(OR(ISNUMBER(SEARCH("Antitarnish",Upload!R251&amp;Upload!S251&amp;Upload!T251&amp;Upload!U251&amp;Upload!V251)),ISNUMBER(SEARCH("Anti Tarnish",Upload!R251&amp;Upload!S251&amp;Upload!T251&amp;Upload!U251&amp;Upload!V251))))),"",0.0012*C261)</f>
        <v/>
      </c>
      <c r="Q261" s="15" t="str">
        <f>IF(OR(E261="",NOT(OR(ISNUMBER(SEARCH("Epóxico MT",Upload!R251&amp;Upload!S251&amp;Upload!T251&amp;Upload!U251&amp;Upload!V251))))),"",E261*0.000035)</f>
        <v/>
      </c>
      <c r="R261" s="15" t="str">
        <f>IF(OR(F261="",NOT(OR(ISNUMBER(SEARCH("Epóxico BT",Upload!S251&amp;Upload!T251&amp;Upload!U251&amp;Upload!V251&amp;Upload!W251))))),"",F261*0.000035)</f>
        <v/>
      </c>
      <c r="S261" s="15" t="str">
        <f>IF(OR(G261="",NOT(OR(ISNUMBER(SEARCH("Epóxico Rojo",Upload!T251&amp;Upload!U251&amp;Upload!V251&amp;Upload!W251&amp;Upload!X251))))),"",G261*0.000035)</f>
        <v/>
      </c>
    </row>
    <row r="262" spans="1:19" x14ac:dyDescent="0.2">
      <c r="A262" s="9" t="e">
        <f t="shared" ca="1" si="18"/>
        <v>#NAME?</v>
      </c>
      <c r="B262" s="9">
        <f>Upload!G252</f>
        <v>0</v>
      </c>
      <c r="C262" s="9">
        <f>Upload!AN252</f>
        <v>0</v>
      </c>
      <c r="D262" s="9">
        <f>Upload!AO252</f>
        <v>0</v>
      </c>
      <c r="E262" s="9">
        <f>Upload!AP252</f>
        <v>0</v>
      </c>
      <c r="F262" s="9" t="str">
        <f>Upload!AK252</f>
        <v/>
      </c>
      <c r="G262" s="9" t="str">
        <f>Upload!AM252</f>
        <v/>
      </c>
      <c r="H262" s="9" t="str">
        <f>Upload!AJ252</f>
        <v>(seleccione)</v>
      </c>
      <c r="I262" s="9" t="str">
        <f>Upload!AL252</f>
        <v>(seleccione)</v>
      </c>
      <c r="K262" s="15" t="str">
        <f t="shared" si="19"/>
        <v/>
      </c>
      <c r="L262" s="15" t="str">
        <f t="shared" si="20"/>
        <v/>
      </c>
      <c r="M262" s="15" t="str">
        <f t="shared" si="21"/>
        <v/>
      </c>
      <c r="N262" s="15" t="str">
        <f t="shared" si="22"/>
        <v/>
      </c>
      <c r="O262" s="15" t="str">
        <f t="shared" si="23"/>
        <v/>
      </c>
      <c r="P262" s="15" t="str">
        <f>IF(OR(C262="",NOT(OR(ISNUMBER(SEARCH("Antitarnish",Upload!R252&amp;Upload!S252&amp;Upload!T252&amp;Upload!U252&amp;Upload!V252)),ISNUMBER(SEARCH("Anti Tarnish",Upload!R252&amp;Upload!S252&amp;Upload!T252&amp;Upload!U252&amp;Upload!V252))))),"",0.0012*C262)</f>
        <v/>
      </c>
      <c r="Q262" s="15" t="str">
        <f>IF(OR(E262="",NOT(OR(ISNUMBER(SEARCH("Epóxico MT",Upload!R252&amp;Upload!S252&amp;Upload!T252&amp;Upload!U252&amp;Upload!V252))))),"",E262*0.000035)</f>
        <v/>
      </c>
      <c r="R262" s="15" t="str">
        <f>IF(OR(F262="",NOT(OR(ISNUMBER(SEARCH("Epóxico BT",Upload!S252&amp;Upload!T252&amp;Upload!U252&amp;Upload!V252&amp;Upload!W252))))),"",F262*0.000035)</f>
        <v/>
      </c>
      <c r="S262" s="15" t="str">
        <f>IF(OR(G262="",NOT(OR(ISNUMBER(SEARCH("Epóxico Rojo",Upload!T252&amp;Upload!U252&amp;Upload!V252&amp;Upload!W252&amp;Upload!X252))))),"",G262*0.000035)</f>
        <v/>
      </c>
    </row>
    <row r="263" spans="1:19" x14ac:dyDescent="0.2">
      <c r="A263" s="9" t="e">
        <f t="shared" ca="1" si="18"/>
        <v>#NAME?</v>
      </c>
      <c r="B263" s="9">
        <f>Upload!G253</f>
        <v>0</v>
      </c>
      <c r="C263" s="9">
        <f>Upload!AN253</f>
        <v>0</v>
      </c>
      <c r="D263" s="9">
        <f>Upload!AO253</f>
        <v>0</v>
      </c>
      <c r="E263" s="9">
        <f>Upload!AP253</f>
        <v>0</v>
      </c>
      <c r="F263" s="9" t="str">
        <f>Upload!AK253</f>
        <v/>
      </c>
      <c r="G263" s="9" t="str">
        <f>Upload!AM253</f>
        <v/>
      </c>
      <c r="H263" s="9" t="str">
        <f>Upload!AJ253</f>
        <v>(seleccione)</v>
      </c>
      <c r="I263" s="9" t="str">
        <f>Upload!AL253</f>
        <v>(seleccione)</v>
      </c>
      <c r="K263" s="15" t="str">
        <f t="shared" si="19"/>
        <v/>
      </c>
      <c r="L263" s="15" t="str">
        <f t="shared" si="20"/>
        <v/>
      </c>
      <c r="M263" s="15" t="str">
        <f t="shared" si="21"/>
        <v/>
      </c>
      <c r="N263" s="15" t="str">
        <f t="shared" si="22"/>
        <v/>
      </c>
      <c r="O263" s="15" t="str">
        <f t="shared" si="23"/>
        <v/>
      </c>
      <c r="P263" s="15" t="str">
        <f>IF(OR(C263="",NOT(OR(ISNUMBER(SEARCH("Antitarnish",Upload!R253&amp;Upload!S253&amp;Upload!T253&amp;Upload!U253&amp;Upload!V253)),ISNUMBER(SEARCH("Anti Tarnish",Upload!R253&amp;Upload!S253&amp;Upload!T253&amp;Upload!U253&amp;Upload!V253))))),"",0.0012*C263)</f>
        <v/>
      </c>
      <c r="Q263" s="15" t="str">
        <f>IF(OR(E263="",NOT(OR(ISNUMBER(SEARCH("Epóxico MT",Upload!R253&amp;Upload!S253&amp;Upload!T253&amp;Upload!U253&amp;Upload!V253))))),"",E263*0.000035)</f>
        <v/>
      </c>
      <c r="R263" s="15" t="str">
        <f>IF(OR(F263="",NOT(OR(ISNUMBER(SEARCH("Epóxico BT",Upload!S253&amp;Upload!T253&amp;Upload!U253&amp;Upload!V253&amp;Upload!W253))))),"",F263*0.000035)</f>
        <v/>
      </c>
      <c r="S263" s="15" t="str">
        <f>IF(OR(G263="",NOT(OR(ISNUMBER(SEARCH("Epóxico Rojo",Upload!T253&amp;Upload!U253&amp;Upload!V253&amp;Upload!W253&amp;Upload!X253))))),"",G263*0.000035)</f>
        <v/>
      </c>
    </row>
    <row r="264" spans="1:19" x14ac:dyDescent="0.2">
      <c r="A264" s="9" t="e">
        <f t="shared" ca="1" si="18"/>
        <v>#NAME?</v>
      </c>
      <c r="B264" s="9">
        <f>Upload!G254</f>
        <v>0</v>
      </c>
      <c r="C264" s="9">
        <f>Upload!AN254</f>
        <v>0</v>
      </c>
      <c r="D264" s="9">
        <f>Upload!AO254</f>
        <v>0</v>
      </c>
      <c r="E264" s="9">
        <f>Upload!AP254</f>
        <v>0</v>
      </c>
      <c r="F264" s="9" t="str">
        <f>Upload!AK254</f>
        <v/>
      </c>
      <c r="G264" s="9" t="str">
        <f>Upload!AM254</f>
        <v/>
      </c>
      <c r="H264" s="9" t="str">
        <f>Upload!AJ254</f>
        <v>(seleccione)</v>
      </c>
      <c r="I264" s="9" t="str">
        <f>Upload!AL254</f>
        <v>(seleccione)</v>
      </c>
      <c r="K264" s="15" t="str">
        <f t="shared" si="19"/>
        <v/>
      </c>
      <c r="L264" s="15" t="str">
        <f t="shared" si="20"/>
        <v/>
      </c>
      <c r="M264" s="15" t="str">
        <f t="shared" si="21"/>
        <v/>
      </c>
      <c r="N264" s="15" t="str">
        <f t="shared" si="22"/>
        <v/>
      </c>
      <c r="O264" s="15" t="str">
        <f t="shared" si="23"/>
        <v/>
      </c>
      <c r="P264" s="15" t="str">
        <f>IF(OR(C264="",NOT(OR(ISNUMBER(SEARCH("Antitarnish",Upload!R254&amp;Upload!S254&amp;Upload!T254&amp;Upload!U254&amp;Upload!V254)),ISNUMBER(SEARCH("Anti Tarnish",Upload!R254&amp;Upload!S254&amp;Upload!T254&amp;Upload!U254&amp;Upload!V254))))),"",0.0012*C264)</f>
        <v/>
      </c>
      <c r="Q264" s="15" t="str">
        <f>IF(OR(E264="",NOT(OR(ISNUMBER(SEARCH("Epóxico MT",Upload!R254&amp;Upload!S254&amp;Upload!T254&amp;Upload!U254&amp;Upload!V254))))),"",E264*0.000035)</f>
        <v/>
      </c>
      <c r="R264" s="15" t="str">
        <f>IF(OR(F264="",NOT(OR(ISNUMBER(SEARCH("Epóxico BT",Upload!S254&amp;Upload!T254&amp;Upload!U254&amp;Upload!V254&amp;Upload!W254))))),"",F264*0.000035)</f>
        <v/>
      </c>
      <c r="S264" s="15" t="str">
        <f>IF(OR(G264="",NOT(OR(ISNUMBER(SEARCH("Epóxico Rojo",Upload!T254&amp;Upload!U254&amp;Upload!V254&amp;Upload!W254&amp;Upload!X254))))),"",G264*0.000035)</f>
        <v/>
      </c>
    </row>
    <row r="265" spans="1:19" x14ac:dyDescent="0.2">
      <c r="A265" s="9" t="e">
        <f t="shared" ca="1" si="18"/>
        <v>#NAME?</v>
      </c>
      <c r="B265" s="9">
        <f>Upload!G255</f>
        <v>0</v>
      </c>
      <c r="C265" s="9">
        <f>Upload!AN255</f>
        <v>0</v>
      </c>
      <c r="D265" s="9">
        <f>Upload!AO255</f>
        <v>0</v>
      </c>
      <c r="E265" s="9">
        <f>Upload!AP255</f>
        <v>0</v>
      </c>
      <c r="F265" s="9" t="str">
        <f>Upload!AK255</f>
        <v/>
      </c>
      <c r="G265" s="9" t="str">
        <f>Upload!AM255</f>
        <v/>
      </c>
      <c r="H265" s="9" t="str">
        <f>Upload!AJ255</f>
        <v>(seleccione)</v>
      </c>
      <c r="I265" s="9" t="str">
        <f>Upload!AL255</f>
        <v>(seleccione)</v>
      </c>
      <c r="K265" s="15" t="str">
        <f t="shared" si="19"/>
        <v/>
      </c>
      <c r="L265" s="15" t="str">
        <f t="shared" si="20"/>
        <v/>
      </c>
      <c r="M265" s="15" t="str">
        <f t="shared" si="21"/>
        <v/>
      </c>
      <c r="N265" s="15" t="str">
        <f t="shared" si="22"/>
        <v/>
      </c>
      <c r="O265" s="15" t="str">
        <f t="shared" si="23"/>
        <v/>
      </c>
      <c r="P265" s="15" t="str">
        <f>IF(OR(C265="",NOT(OR(ISNUMBER(SEARCH("Antitarnish",Upload!R255&amp;Upload!S255&amp;Upload!T255&amp;Upload!U255&amp;Upload!V255)),ISNUMBER(SEARCH("Anti Tarnish",Upload!R255&amp;Upload!S255&amp;Upload!T255&amp;Upload!U255&amp;Upload!V255))))),"",0.0012*C265)</f>
        <v/>
      </c>
      <c r="Q265" s="15" t="str">
        <f>IF(OR(E265="",NOT(OR(ISNUMBER(SEARCH("Epóxico MT",Upload!R255&amp;Upload!S255&amp;Upload!T255&amp;Upload!U255&amp;Upload!V255))))),"",E265*0.000035)</f>
        <v/>
      </c>
      <c r="R265" s="15" t="str">
        <f>IF(OR(F265="",NOT(OR(ISNUMBER(SEARCH("Epóxico BT",Upload!S255&amp;Upload!T255&amp;Upload!U255&amp;Upload!V255&amp;Upload!W255))))),"",F265*0.000035)</f>
        <v/>
      </c>
      <c r="S265" s="15" t="str">
        <f>IF(OR(G265="",NOT(OR(ISNUMBER(SEARCH("Epóxico Rojo",Upload!T255&amp;Upload!U255&amp;Upload!V255&amp;Upload!W255&amp;Upload!X255))))),"",G265*0.000035)</f>
        <v/>
      </c>
    </row>
    <row r="266" spans="1:19" x14ac:dyDescent="0.2">
      <c r="A266" s="9" t="e">
        <f t="shared" ca="1" si="18"/>
        <v>#NAME?</v>
      </c>
      <c r="B266" s="9">
        <f>Upload!G256</f>
        <v>0</v>
      </c>
      <c r="C266" s="9">
        <f>Upload!AN256</f>
        <v>0</v>
      </c>
      <c r="D266" s="9">
        <f>Upload!AO256</f>
        <v>0</v>
      </c>
      <c r="E266" s="9">
        <f>Upload!AP256</f>
        <v>0</v>
      </c>
      <c r="F266" s="9" t="str">
        <f>Upload!AK256</f>
        <v/>
      </c>
      <c r="G266" s="9" t="str">
        <f>Upload!AM256</f>
        <v/>
      </c>
      <c r="H266" s="9" t="str">
        <f>Upload!AJ256</f>
        <v>(seleccione)</v>
      </c>
      <c r="I266" s="9" t="str">
        <f>Upload!AL256</f>
        <v>(seleccione)</v>
      </c>
      <c r="K266" s="15" t="str">
        <f t="shared" si="19"/>
        <v/>
      </c>
      <c r="L266" s="15" t="str">
        <f t="shared" si="20"/>
        <v/>
      </c>
      <c r="M266" s="15" t="str">
        <f t="shared" si="21"/>
        <v/>
      </c>
      <c r="N266" s="15" t="str">
        <f t="shared" si="22"/>
        <v/>
      </c>
      <c r="O266" s="15" t="str">
        <f t="shared" si="23"/>
        <v/>
      </c>
      <c r="P266" s="15" t="str">
        <f>IF(OR(C266="",NOT(OR(ISNUMBER(SEARCH("Antitarnish",Upload!R256&amp;Upload!S256&amp;Upload!T256&amp;Upload!U256&amp;Upload!V256)),ISNUMBER(SEARCH("Anti Tarnish",Upload!R256&amp;Upload!S256&amp;Upload!T256&amp;Upload!U256&amp;Upload!V256))))),"",0.0012*C266)</f>
        <v/>
      </c>
      <c r="Q266" s="15" t="str">
        <f>IF(OR(E266="",NOT(OR(ISNUMBER(SEARCH("Epóxico MT",Upload!R256&amp;Upload!S256&amp;Upload!T256&amp;Upload!U256&amp;Upload!V256))))),"",E266*0.000035)</f>
        <v/>
      </c>
      <c r="R266" s="15" t="str">
        <f>IF(OR(F266="",NOT(OR(ISNUMBER(SEARCH("Epóxico BT",Upload!S256&amp;Upload!T256&amp;Upload!U256&amp;Upload!V256&amp;Upload!W256))))),"",F266*0.000035)</f>
        <v/>
      </c>
      <c r="S266" s="15" t="str">
        <f>IF(OR(G266="",NOT(OR(ISNUMBER(SEARCH("Epóxico Rojo",Upload!T256&amp;Upload!U256&amp;Upload!V256&amp;Upload!W256&amp;Upload!X256))))),"",G266*0.000035)</f>
        <v/>
      </c>
    </row>
    <row r="267" spans="1:19" x14ac:dyDescent="0.2">
      <c r="A267" s="9" t="e">
        <f t="shared" ca="1" si="18"/>
        <v>#NAME?</v>
      </c>
      <c r="B267" s="9">
        <f>Upload!G257</f>
        <v>0</v>
      </c>
      <c r="C267" s="9">
        <f>Upload!AN257</f>
        <v>0</v>
      </c>
      <c r="D267" s="9">
        <f>Upload!AO257</f>
        <v>0</v>
      </c>
      <c r="E267" s="9">
        <f>Upload!AP257</f>
        <v>0</v>
      </c>
      <c r="F267" s="9" t="str">
        <f>Upload!AK257</f>
        <v/>
      </c>
      <c r="G267" s="9" t="str">
        <f>Upload!AM257</f>
        <v/>
      </c>
      <c r="H267" s="9" t="str">
        <f>Upload!AJ257</f>
        <v>(seleccione)</v>
      </c>
      <c r="I267" s="9" t="str">
        <f>Upload!AL257</f>
        <v>(seleccione)</v>
      </c>
      <c r="K267" s="15" t="str">
        <f t="shared" si="19"/>
        <v/>
      </c>
      <c r="L267" s="15" t="str">
        <f t="shared" si="20"/>
        <v/>
      </c>
      <c r="M267" s="15" t="str">
        <f t="shared" si="21"/>
        <v/>
      </c>
      <c r="N267" s="15" t="str">
        <f t="shared" si="22"/>
        <v/>
      </c>
      <c r="O267" s="15" t="str">
        <f t="shared" si="23"/>
        <v/>
      </c>
      <c r="P267" s="15" t="str">
        <f>IF(OR(C267="",NOT(OR(ISNUMBER(SEARCH("Antitarnish",Upload!R257&amp;Upload!S257&amp;Upload!T257&amp;Upload!U257&amp;Upload!V257)),ISNUMBER(SEARCH("Anti Tarnish",Upload!R257&amp;Upload!S257&amp;Upload!T257&amp;Upload!U257&amp;Upload!V257))))),"",0.0012*C267)</f>
        <v/>
      </c>
      <c r="Q267" s="15" t="str">
        <f>IF(OR(E267="",NOT(OR(ISNUMBER(SEARCH("Epóxico MT",Upload!R257&amp;Upload!S257&amp;Upload!T257&amp;Upload!U257&amp;Upload!V257))))),"",E267*0.000035)</f>
        <v/>
      </c>
      <c r="R267" s="15" t="str">
        <f>IF(OR(F267="",NOT(OR(ISNUMBER(SEARCH("Epóxico BT",Upload!S257&amp;Upload!T257&amp;Upload!U257&amp;Upload!V257&amp;Upload!W257))))),"",F267*0.000035)</f>
        <v/>
      </c>
      <c r="S267" s="15" t="str">
        <f>IF(OR(G267="",NOT(OR(ISNUMBER(SEARCH("Epóxico Rojo",Upload!T257&amp;Upload!U257&amp;Upload!V257&amp;Upload!W257&amp;Upload!X257))))),"",G267*0.000035)</f>
        <v/>
      </c>
    </row>
    <row r="268" spans="1:19" x14ac:dyDescent="0.2">
      <c r="A268" s="9" t="e">
        <f t="shared" ca="1" si="18"/>
        <v>#NAME?</v>
      </c>
      <c r="B268" s="9">
        <f>Upload!G258</f>
        <v>0</v>
      </c>
      <c r="C268" s="9">
        <f>Upload!AN258</f>
        <v>0</v>
      </c>
      <c r="D268" s="9">
        <f>Upload!AO258</f>
        <v>0</v>
      </c>
      <c r="E268" s="9">
        <f>Upload!AP258</f>
        <v>0</v>
      </c>
      <c r="F268" s="9" t="str">
        <f>Upload!AK258</f>
        <v/>
      </c>
      <c r="G268" s="9" t="str">
        <f>Upload!AM258</f>
        <v/>
      </c>
      <c r="H268" s="9" t="str">
        <f>Upload!AJ258</f>
        <v>(seleccione)</v>
      </c>
      <c r="I268" s="9" t="str">
        <f>Upload!AL258</f>
        <v>(seleccione)</v>
      </c>
      <c r="K268" s="15" t="str">
        <f t="shared" si="19"/>
        <v/>
      </c>
      <c r="L268" s="15" t="str">
        <f t="shared" si="20"/>
        <v/>
      </c>
      <c r="M268" s="15" t="str">
        <f t="shared" si="21"/>
        <v/>
      </c>
      <c r="N268" s="15" t="str">
        <f t="shared" si="22"/>
        <v/>
      </c>
      <c r="O268" s="15" t="str">
        <f t="shared" si="23"/>
        <v/>
      </c>
      <c r="P268" s="15" t="str">
        <f>IF(OR(C268="",NOT(OR(ISNUMBER(SEARCH("Antitarnish",Upload!R258&amp;Upload!S258&amp;Upload!T258&amp;Upload!U258&amp;Upload!V258)),ISNUMBER(SEARCH("Anti Tarnish",Upload!R258&amp;Upload!S258&amp;Upload!T258&amp;Upload!U258&amp;Upload!V258))))),"",0.0012*C268)</f>
        <v/>
      </c>
      <c r="Q268" s="15" t="str">
        <f>IF(OR(E268="",NOT(OR(ISNUMBER(SEARCH("Epóxico MT",Upload!R258&amp;Upload!S258&amp;Upload!T258&amp;Upload!U258&amp;Upload!V258))))),"",E268*0.000035)</f>
        <v/>
      </c>
      <c r="R268" s="15" t="str">
        <f>IF(OR(F268="",NOT(OR(ISNUMBER(SEARCH("Epóxico BT",Upload!S258&amp;Upload!T258&amp;Upload!U258&amp;Upload!V258&amp;Upload!W258))))),"",F268*0.000035)</f>
        <v/>
      </c>
      <c r="S268" s="15" t="str">
        <f>IF(OR(G268="",NOT(OR(ISNUMBER(SEARCH("Epóxico Rojo",Upload!T258&amp;Upload!U258&amp;Upload!V258&amp;Upload!W258&amp;Upload!X258))))),"",G268*0.000035)</f>
        <v/>
      </c>
    </row>
    <row r="269" spans="1:19" x14ac:dyDescent="0.2">
      <c r="A269" s="9" t="e">
        <f t="shared" ca="1" si="18"/>
        <v>#NAME?</v>
      </c>
      <c r="B269" s="9">
        <f>Upload!G259</f>
        <v>0</v>
      </c>
      <c r="C269" s="9">
        <f>Upload!AN259</f>
        <v>0</v>
      </c>
      <c r="D269" s="9">
        <f>Upload!AO259</f>
        <v>0</v>
      </c>
      <c r="E269" s="9">
        <f>Upload!AP259</f>
        <v>0</v>
      </c>
      <c r="F269" s="9" t="str">
        <f>Upload!AK259</f>
        <v/>
      </c>
      <c r="G269" s="9" t="str">
        <f>Upload!AM259</f>
        <v/>
      </c>
      <c r="H269" s="9" t="str">
        <f>Upload!AJ259</f>
        <v>(seleccione)</v>
      </c>
      <c r="I269" s="9" t="str">
        <f>Upload!AL259</f>
        <v>(seleccione)</v>
      </c>
      <c r="K269" s="15" t="str">
        <f t="shared" si="19"/>
        <v/>
      </c>
      <c r="L269" s="15" t="str">
        <f t="shared" si="20"/>
        <v/>
      </c>
      <c r="M269" s="15" t="str">
        <f t="shared" si="21"/>
        <v/>
      </c>
      <c r="N269" s="15" t="str">
        <f t="shared" si="22"/>
        <v/>
      </c>
      <c r="O269" s="15" t="str">
        <f t="shared" si="23"/>
        <v/>
      </c>
      <c r="P269" s="15" t="str">
        <f>IF(OR(C269="",NOT(OR(ISNUMBER(SEARCH("Antitarnish",Upload!R259&amp;Upload!S259&amp;Upload!T259&amp;Upload!U259&amp;Upload!V259)),ISNUMBER(SEARCH("Anti Tarnish",Upload!R259&amp;Upload!S259&amp;Upload!T259&amp;Upload!U259&amp;Upload!V259))))),"",0.0012*C269)</f>
        <v/>
      </c>
      <c r="Q269" s="15" t="str">
        <f>IF(OR(E269="",NOT(OR(ISNUMBER(SEARCH("Epóxico MT",Upload!R259&amp;Upload!S259&amp;Upload!T259&amp;Upload!U259&amp;Upload!V259))))),"",E269*0.000035)</f>
        <v/>
      </c>
      <c r="R269" s="15" t="str">
        <f>IF(OR(F269="",NOT(OR(ISNUMBER(SEARCH("Epóxico BT",Upload!S259&amp;Upload!T259&amp;Upload!U259&amp;Upload!V259&amp;Upload!W259))))),"",F269*0.000035)</f>
        <v/>
      </c>
      <c r="S269" s="15" t="str">
        <f>IF(OR(G269="",NOT(OR(ISNUMBER(SEARCH("Epóxico Rojo",Upload!T259&amp;Upload!U259&amp;Upload!V259&amp;Upload!W259&amp;Upload!X259))))),"",G269*0.000035)</f>
        <v/>
      </c>
    </row>
    <row r="270" spans="1:19" x14ac:dyDescent="0.2">
      <c r="A270" s="9" t="e">
        <f t="shared" ca="1" si="18"/>
        <v>#NAME?</v>
      </c>
      <c r="B270" s="9">
        <f>Upload!G260</f>
        <v>0</v>
      </c>
      <c r="C270" s="9">
        <f>Upload!AN260</f>
        <v>0</v>
      </c>
      <c r="D270" s="9">
        <f>Upload!AO260</f>
        <v>0</v>
      </c>
      <c r="E270" s="9">
        <f>Upload!AP260</f>
        <v>0</v>
      </c>
      <c r="F270" s="9" t="str">
        <f>Upload!AK260</f>
        <v/>
      </c>
      <c r="G270" s="9" t="str">
        <f>Upload!AM260</f>
        <v/>
      </c>
      <c r="H270" s="9" t="str">
        <f>Upload!AJ260</f>
        <v>(seleccione)</v>
      </c>
      <c r="I270" s="9" t="str">
        <f>Upload!AL260</f>
        <v>(seleccione)</v>
      </c>
      <c r="K270" s="15" t="str">
        <f t="shared" si="19"/>
        <v/>
      </c>
      <c r="L270" s="15" t="str">
        <f t="shared" si="20"/>
        <v/>
      </c>
      <c r="M270" s="15" t="str">
        <f t="shared" si="21"/>
        <v/>
      </c>
      <c r="N270" s="15" t="str">
        <f t="shared" si="22"/>
        <v/>
      </c>
      <c r="O270" s="15" t="str">
        <f t="shared" si="23"/>
        <v/>
      </c>
      <c r="P270" s="15" t="str">
        <f>IF(OR(C270="",NOT(OR(ISNUMBER(SEARCH("Antitarnish",Upload!R260&amp;Upload!S260&amp;Upload!T260&amp;Upload!U260&amp;Upload!V260)),ISNUMBER(SEARCH("Anti Tarnish",Upload!R260&amp;Upload!S260&amp;Upload!T260&amp;Upload!U260&amp;Upload!V260))))),"",0.0012*C270)</f>
        <v/>
      </c>
      <c r="Q270" s="15" t="str">
        <f>IF(OR(E270="",NOT(OR(ISNUMBER(SEARCH("Epóxico MT",Upload!R260&amp;Upload!S260&amp;Upload!T260&amp;Upload!U260&amp;Upload!V260))))),"",E270*0.000035)</f>
        <v/>
      </c>
      <c r="R270" s="15" t="str">
        <f>IF(OR(F270="",NOT(OR(ISNUMBER(SEARCH("Epóxico BT",Upload!S260&amp;Upload!T260&amp;Upload!U260&amp;Upload!V260&amp;Upload!W260))))),"",F270*0.000035)</f>
        <v/>
      </c>
      <c r="S270" s="15" t="str">
        <f>IF(OR(G270="",NOT(OR(ISNUMBER(SEARCH("Epóxico Rojo",Upload!T260&amp;Upload!U260&amp;Upload!V260&amp;Upload!W260&amp;Upload!X260))))),"",G270*0.000035)</f>
        <v/>
      </c>
    </row>
    <row r="271" spans="1:19" x14ac:dyDescent="0.2">
      <c r="A271" s="9" t="e">
        <f t="shared" ca="1" si="18"/>
        <v>#NAME?</v>
      </c>
      <c r="B271" s="9">
        <f>Upload!G261</f>
        <v>0</v>
      </c>
      <c r="C271" s="9">
        <f>Upload!AN261</f>
        <v>0</v>
      </c>
      <c r="D271" s="9">
        <f>Upload!AO261</f>
        <v>0</v>
      </c>
      <c r="E271" s="9">
        <f>Upload!AP261</f>
        <v>0</v>
      </c>
      <c r="F271" s="9" t="str">
        <f>Upload!AK261</f>
        <v/>
      </c>
      <c r="G271" s="9" t="str">
        <f>Upload!AM261</f>
        <v/>
      </c>
      <c r="H271" s="9" t="str">
        <f>Upload!AJ261</f>
        <v>(seleccione)</v>
      </c>
      <c r="I271" s="9" t="str">
        <f>Upload!AL261</f>
        <v>(seleccione)</v>
      </c>
      <c r="K271" s="15" t="str">
        <f t="shared" si="19"/>
        <v/>
      </c>
      <c r="L271" s="15" t="str">
        <f t="shared" si="20"/>
        <v/>
      </c>
      <c r="M271" s="15" t="str">
        <f t="shared" si="21"/>
        <v/>
      </c>
      <c r="N271" s="15" t="str">
        <f t="shared" si="22"/>
        <v/>
      </c>
      <c r="O271" s="15" t="str">
        <f t="shared" si="23"/>
        <v/>
      </c>
      <c r="P271" s="15" t="str">
        <f>IF(OR(C271="",NOT(OR(ISNUMBER(SEARCH("Antitarnish",Upload!R261&amp;Upload!S261&amp;Upload!T261&amp;Upload!U261&amp;Upload!V261)),ISNUMBER(SEARCH("Anti Tarnish",Upload!R261&amp;Upload!S261&amp;Upload!T261&amp;Upload!U261&amp;Upload!V261))))),"",0.0012*C271)</f>
        <v/>
      </c>
      <c r="Q271" s="15" t="str">
        <f>IF(OR(E271="",NOT(OR(ISNUMBER(SEARCH("Epóxico MT",Upload!R261&amp;Upload!S261&amp;Upload!T261&amp;Upload!U261&amp;Upload!V261))))),"",E271*0.000035)</f>
        <v/>
      </c>
      <c r="R271" s="15" t="str">
        <f>IF(OR(F271="",NOT(OR(ISNUMBER(SEARCH("Epóxico BT",Upload!S261&amp;Upload!T261&amp;Upload!U261&amp;Upload!V261&amp;Upload!W261))))),"",F271*0.000035)</f>
        <v/>
      </c>
      <c r="S271" s="15" t="str">
        <f>IF(OR(G271="",NOT(OR(ISNUMBER(SEARCH("Epóxico Rojo",Upload!T261&amp;Upload!U261&amp;Upload!V261&amp;Upload!W261&amp;Upload!X261))))),"",G271*0.000035)</f>
        <v/>
      </c>
    </row>
    <row r="272" spans="1:19" x14ac:dyDescent="0.2">
      <c r="A272" s="9" t="e">
        <f t="shared" ca="1" si="18"/>
        <v>#NAME?</v>
      </c>
      <c r="B272" s="9">
        <f>Upload!G262</f>
        <v>0</v>
      </c>
      <c r="C272" s="9">
        <f>Upload!AN262</f>
        <v>0</v>
      </c>
      <c r="D272" s="9">
        <f>Upload!AO262</f>
        <v>0</v>
      </c>
      <c r="E272" s="9">
        <f>Upload!AP262</f>
        <v>0</v>
      </c>
      <c r="F272" s="9" t="str">
        <f>Upload!AK262</f>
        <v/>
      </c>
      <c r="G272" s="9" t="str">
        <f>Upload!AM262</f>
        <v/>
      </c>
      <c r="H272" s="9" t="str">
        <f>Upload!AJ262</f>
        <v>(seleccione)</v>
      </c>
      <c r="I272" s="9" t="str">
        <f>Upload!AL262</f>
        <v>(seleccione)</v>
      </c>
      <c r="K272" s="15" t="str">
        <f t="shared" si="19"/>
        <v/>
      </c>
      <c r="L272" s="15" t="str">
        <f t="shared" si="20"/>
        <v/>
      </c>
      <c r="M272" s="15" t="str">
        <f t="shared" si="21"/>
        <v/>
      </c>
      <c r="N272" s="15" t="str">
        <f t="shared" si="22"/>
        <v/>
      </c>
      <c r="O272" s="15" t="str">
        <f t="shared" si="23"/>
        <v/>
      </c>
      <c r="P272" s="15" t="str">
        <f>IF(OR(C272="",NOT(OR(ISNUMBER(SEARCH("Antitarnish",Upload!R262&amp;Upload!S262&amp;Upload!T262&amp;Upload!U262&amp;Upload!V262)),ISNUMBER(SEARCH("Anti Tarnish",Upload!R262&amp;Upload!S262&amp;Upload!T262&amp;Upload!U262&amp;Upload!V262))))),"",0.0012*C272)</f>
        <v/>
      </c>
      <c r="Q272" s="15" t="str">
        <f>IF(OR(E272="",NOT(OR(ISNUMBER(SEARCH("Epóxico MT",Upload!R262&amp;Upload!S262&amp;Upload!T262&amp;Upload!U262&amp;Upload!V262))))),"",E272*0.000035)</f>
        <v/>
      </c>
      <c r="R272" s="15" t="str">
        <f>IF(OR(F272="",NOT(OR(ISNUMBER(SEARCH("Epóxico BT",Upload!S262&amp;Upload!T262&amp;Upload!U262&amp;Upload!V262&amp;Upload!W262))))),"",F272*0.000035)</f>
        <v/>
      </c>
      <c r="S272" s="15" t="str">
        <f>IF(OR(G272="",NOT(OR(ISNUMBER(SEARCH("Epóxico Rojo",Upload!T262&amp;Upload!U262&amp;Upload!V262&amp;Upload!W262&amp;Upload!X262))))),"",G272*0.000035)</f>
        <v/>
      </c>
    </row>
    <row r="273" spans="1:19" x14ac:dyDescent="0.2">
      <c r="A273" s="9" t="e">
        <f t="shared" ca="1" si="18"/>
        <v>#NAME?</v>
      </c>
      <c r="B273" s="9">
        <f>Upload!G263</f>
        <v>0</v>
      </c>
      <c r="C273" s="9">
        <f>Upload!AN263</f>
        <v>0</v>
      </c>
      <c r="D273" s="9">
        <f>Upload!AO263</f>
        <v>0</v>
      </c>
      <c r="E273" s="9">
        <f>Upload!AP263</f>
        <v>0</v>
      </c>
      <c r="F273" s="9" t="str">
        <f>Upload!AK263</f>
        <v/>
      </c>
      <c r="G273" s="9" t="str">
        <f>Upload!AM263</f>
        <v/>
      </c>
      <c r="H273" s="9" t="str">
        <f>Upload!AJ263</f>
        <v>(seleccione)</v>
      </c>
      <c r="I273" s="9" t="str">
        <f>Upload!AL263</f>
        <v>(seleccione)</v>
      </c>
      <c r="K273" s="15" t="str">
        <f t="shared" si="19"/>
        <v/>
      </c>
      <c r="L273" s="15" t="str">
        <f t="shared" si="20"/>
        <v/>
      </c>
      <c r="M273" s="15" t="str">
        <f t="shared" si="21"/>
        <v/>
      </c>
      <c r="N273" s="15" t="str">
        <f t="shared" si="22"/>
        <v/>
      </c>
      <c r="O273" s="15" t="str">
        <f t="shared" si="23"/>
        <v/>
      </c>
      <c r="P273" s="15" t="str">
        <f>IF(OR(C273="",NOT(OR(ISNUMBER(SEARCH("Antitarnish",Upload!R263&amp;Upload!S263&amp;Upload!T263&amp;Upload!U263&amp;Upload!V263)),ISNUMBER(SEARCH("Anti Tarnish",Upload!R263&amp;Upload!S263&amp;Upload!T263&amp;Upload!U263&amp;Upload!V263))))),"",0.0012*C273)</f>
        <v/>
      </c>
      <c r="Q273" s="15" t="str">
        <f>IF(OR(E273="",NOT(OR(ISNUMBER(SEARCH("Epóxico MT",Upload!R263&amp;Upload!S263&amp;Upload!T263&amp;Upload!U263&amp;Upload!V263))))),"",E273*0.000035)</f>
        <v/>
      </c>
      <c r="R273" s="15" t="str">
        <f>IF(OR(F273="",NOT(OR(ISNUMBER(SEARCH("Epóxico BT",Upload!S263&amp;Upload!T263&amp;Upload!U263&amp;Upload!V263&amp;Upload!W263))))),"",F273*0.000035)</f>
        <v/>
      </c>
      <c r="S273" s="15" t="str">
        <f>IF(OR(G273="",NOT(OR(ISNUMBER(SEARCH("Epóxico Rojo",Upload!T263&amp;Upload!U263&amp;Upload!V263&amp;Upload!W263&amp;Upload!X263))))),"",G273*0.000035)</f>
        <v/>
      </c>
    </row>
    <row r="274" spans="1:19" x14ac:dyDescent="0.2">
      <c r="A274" s="9" t="e">
        <f t="shared" ca="1" si="18"/>
        <v>#NAME?</v>
      </c>
      <c r="B274" s="9">
        <f>Upload!G264</f>
        <v>0</v>
      </c>
      <c r="C274" s="9">
        <f>Upload!AN264</f>
        <v>0</v>
      </c>
      <c r="D274" s="9">
        <f>Upload!AO264</f>
        <v>0</v>
      </c>
      <c r="E274" s="9">
        <f>Upload!AP264</f>
        <v>0</v>
      </c>
      <c r="F274" s="9" t="str">
        <f>Upload!AK264</f>
        <v/>
      </c>
      <c r="G274" s="9" t="str">
        <f>Upload!AM264</f>
        <v/>
      </c>
      <c r="H274" s="9" t="str">
        <f>Upload!AJ264</f>
        <v>(seleccione)</v>
      </c>
      <c r="I274" s="9" t="str">
        <f>Upload!AL264</f>
        <v>(seleccione)</v>
      </c>
      <c r="K274" s="15" t="str">
        <f t="shared" si="19"/>
        <v/>
      </c>
      <c r="L274" s="15" t="str">
        <f t="shared" si="20"/>
        <v/>
      </c>
      <c r="M274" s="15" t="str">
        <f t="shared" si="21"/>
        <v/>
      </c>
      <c r="N274" s="15" t="str">
        <f t="shared" si="22"/>
        <v/>
      </c>
      <c r="O274" s="15" t="str">
        <f t="shared" si="23"/>
        <v/>
      </c>
      <c r="P274" s="15" t="str">
        <f>IF(OR(C274="",NOT(OR(ISNUMBER(SEARCH("Antitarnish",Upload!R264&amp;Upload!S264&amp;Upload!T264&amp;Upload!U264&amp;Upload!V264)),ISNUMBER(SEARCH("Anti Tarnish",Upload!R264&amp;Upload!S264&amp;Upload!T264&amp;Upload!U264&amp;Upload!V264))))),"",0.0012*C274)</f>
        <v/>
      </c>
      <c r="Q274" s="15" t="str">
        <f>IF(OR(E274="",NOT(OR(ISNUMBER(SEARCH("Epóxico MT",Upload!R264&amp;Upload!S264&amp;Upload!T264&amp;Upload!U264&amp;Upload!V264))))),"",E274*0.000035)</f>
        <v/>
      </c>
      <c r="R274" s="15" t="str">
        <f>IF(OR(F274="",NOT(OR(ISNUMBER(SEARCH("Epóxico BT",Upload!S264&amp;Upload!T264&amp;Upload!U264&amp;Upload!V264&amp;Upload!W264))))),"",F274*0.000035)</f>
        <v/>
      </c>
      <c r="S274" s="15" t="str">
        <f>IF(OR(G274="",NOT(OR(ISNUMBER(SEARCH("Epóxico Rojo",Upload!T264&amp;Upload!U264&amp;Upload!V264&amp;Upload!W264&amp;Upload!X264))))),"",G274*0.000035)</f>
        <v/>
      </c>
    </row>
    <row r="275" spans="1:19" x14ac:dyDescent="0.2">
      <c r="A275" s="9" t="e">
        <f t="shared" ref="A275:A338" ca="1" si="24">_xludf.ROW()-18</f>
        <v>#NAME?</v>
      </c>
      <c r="B275" s="9">
        <f>Upload!G265</f>
        <v>0</v>
      </c>
      <c r="C275" s="9">
        <f>Upload!AN265</f>
        <v>0</v>
      </c>
      <c r="D275" s="9">
        <f>Upload!AO265</f>
        <v>0</v>
      </c>
      <c r="E275" s="9">
        <f>Upload!AP265</f>
        <v>0</v>
      </c>
      <c r="F275" s="9" t="str">
        <f>Upload!AK265</f>
        <v/>
      </c>
      <c r="G275" s="9" t="str">
        <f>Upload!AM265</f>
        <v/>
      </c>
      <c r="H275" s="9" t="str">
        <f>Upload!AJ265</f>
        <v>(seleccione)</v>
      </c>
      <c r="I275" s="9" t="str">
        <f>Upload!AL265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IF(OR(C275="",NOT(OR(ISNUMBER(SEARCH("Antitarnish",Upload!R265&amp;Upload!S265&amp;Upload!T265&amp;Upload!U265&amp;Upload!V265)),ISNUMBER(SEARCH("Anti Tarnish",Upload!R265&amp;Upload!S265&amp;Upload!T265&amp;Upload!U265&amp;Upload!V265))))),"",0.0012*C275)</f>
        <v/>
      </c>
      <c r="Q275" s="15" t="str">
        <f>IF(OR(E275="",NOT(OR(ISNUMBER(SEARCH("Epóxico MT",Upload!R265&amp;Upload!S265&amp;Upload!T265&amp;Upload!U265&amp;Upload!V265))))),"",E275*0.000035)</f>
        <v/>
      </c>
      <c r="R275" s="15" t="str">
        <f>IF(OR(F275="",NOT(OR(ISNUMBER(SEARCH("Epóxico BT",Upload!S265&amp;Upload!T265&amp;Upload!U265&amp;Upload!V265&amp;Upload!W265))))),"",F275*0.000035)</f>
        <v/>
      </c>
      <c r="S275" s="15" t="str">
        <f>IF(OR(G275="",NOT(OR(ISNUMBER(SEARCH("Epóxico Rojo",Upload!T265&amp;Upload!U265&amp;Upload!V265&amp;Upload!W265&amp;Upload!X265))))),"",G275*0.000035)</f>
        <v/>
      </c>
    </row>
    <row r="276" spans="1:19" x14ac:dyDescent="0.2">
      <c r="A276" s="9" t="e">
        <f t="shared" ca="1" si="24"/>
        <v>#NAME?</v>
      </c>
      <c r="B276" s="9">
        <f>Upload!G266</f>
        <v>0</v>
      </c>
      <c r="C276" s="9">
        <f>Upload!AN266</f>
        <v>0</v>
      </c>
      <c r="D276" s="9">
        <f>Upload!AO266</f>
        <v>0</v>
      </c>
      <c r="E276" s="9">
        <f>Upload!AP266</f>
        <v>0</v>
      </c>
      <c r="F276" s="9" t="str">
        <f>Upload!AK266</f>
        <v/>
      </c>
      <c r="G276" s="9" t="str">
        <f>Upload!AM266</f>
        <v/>
      </c>
      <c r="H276" s="9" t="str">
        <f>Upload!AJ266</f>
        <v>(seleccione)</v>
      </c>
      <c r="I276" s="9" t="str">
        <f>Upload!AL266</f>
        <v>(seleccione)</v>
      </c>
      <c r="K276" s="15" t="str">
        <f t="shared" si="25"/>
        <v/>
      </c>
      <c r="L276" s="15" t="str">
        <f t="shared" si="26"/>
        <v/>
      </c>
      <c r="M276" s="15" t="str">
        <f t="shared" si="27"/>
        <v/>
      </c>
      <c r="N276" s="15" t="str">
        <f t="shared" si="28"/>
        <v/>
      </c>
      <c r="O276" s="15" t="str">
        <f t="shared" si="29"/>
        <v/>
      </c>
      <c r="P276" s="15" t="str">
        <f>IF(OR(C276="",NOT(OR(ISNUMBER(SEARCH("Antitarnish",Upload!R266&amp;Upload!S266&amp;Upload!T266&amp;Upload!U266&amp;Upload!V266)),ISNUMBER(SEARCH("Anti Tarnish",Upload!R266&amp;Upload!S266&amp;Upload!T266&amp;Upload!U266&amp;Upload!V266))))),"",0.0012*C276)</f>
        <v/>
      </c>
      <c r="Q276" s="15" t="str">
        <f>IF(OR(E276="",NOT(OR(ISNUMBER(SEARCH("Epóxico MT",Upload!R266&amp;Upload!S266&amp;Upload!T266&amp;Upload!U266&amp;Upload!V266))))),"",E276*0.000035)</f>
        <v/>
      </c>
      <c r="R276" s="15" t="str">
        <f>IF(OR(F276="",NOT(OR(ISNUMBER(SEARCH("Epóxico BT",Upload!S266&amp;Upload!T266&amp;Upload!U266&amp;Upload!V266&amp;Upload!W266))))),"",F276*0.000035)</f>
        <v/>
      </c>
      <c r="S276" s="15" t="str">
        <f>IF(OR(G276="",NOT(OR(ISNUMBER(SEARCH("Epóxico Rojo",Upload!T266&amp;Upload!U266&amp;Upload!V266&amp;Upload!W266&amp;Upload!X266))))),"",G276*0.000035)</f>
        <v/>
      </c>
    </row>
    <row r="277" spans="1:19" x14ac:dyDescent="0.2">
      <c r="A277" s="9" t="e">
        <f t="shared" ca="1" si="24"/>
        <v>#NAME?</v>
      </c>
      <c r="B277" s="9">
        <f>Upload!G267</f>
        <v>0</v>
      </c>
      <c r="C277" s="9">
        <f>Upload!AN267</f>
        <v>0</v>
      </c>
      <c r="D277" s="9">
        <f>Upload!AO267</f>
        <v>0</v>
      </c>
      <c r="E277" s="9">
        <f>Upload!AP267</f>
        <v>0</v>
      </c>
      <c r="F277" s="9" t="str">
        <f>Upload!AK267</f>
        <v/>
      </c>
      <c r="G277" s="9" t="str">
        <f>Upload!AM267</f>
        <v/>
      </c>
      <c r="H277" s="9" t="str">
        <f>Upload!AJ267</f>
        <v>(seleccione)</v>
      </c>
      <c r="I277" s="9" t="str">
        <f>Upload!AL267</f>
        <v>(seleccione)</v>
      </c>
      <c r="K277" s="15" t="str">
        <f t="shared" si="25"/>
        <v/>
      </c>
      <c r="L277" s="15" t="str">
        <f t="shared" si="26"/>
        <v/>
      </c>
      <c r="M277" s="15" t="str">
        <f t="shared" si="27"/>
        <v/>
      </c>
      <c r="N277" s="15" t="str">
        <f t="shared" si="28"/>
        <v/>
      </c>
      <c r="O277" s="15" t="str">
        <f t="shared" si="29"/>
        <v/>
      </c>
      <c r="P277" s="15" t="str">
        <f>IF(OR(C277="",NOT(OR(ISNUMBER(SEARCH("Antitarnish",Upload!R267&amp;Upload!S267&amp;Upload!T267&amp;Upload!U267&amp;Upload!V267)),ISNUMBER(SEARCH("Anti Tarnish",Upload!R267&amp;Upload!S267&amp;Upload!T267&amp;Upload!U267&amp;Upload!V267))))),"",0.0012*C277)</f>
        <v/>
      </c>
      <c r="Q277" s="15" t="str">
        <f>IF(OR(E277="",NOT(OR(ISNUMBER(SEARCH("Epóxico MT",Upload!R267&amp;Upload!S267&amp;Upload!T267&amp;Upload!U267&amp;Upload!V267))))),"",E277*0.000035)</f>
        <v/>
      </c>
      <c r="R277" s="15" t="str">
        <f>IF(OR(F277="",NOT(OR(ISNUMBER(SEARCH("Epóxico BT",Upload!S267&amp;Upload!T267&amp;Upload!U267&amp;Upload!V267&amp;Upload!W267))))),"",F277*0.000035)</f>
        <v/>
      </c>
      <c r="S277" s="15" t="str">
        <f>IF(OR(G277="",NOT(OR(ISNUMBER(SEARCH("Epóxico Rojo",Upload!T267&amp;Upload!U267&amp;Upload!V267&amp;Upload!W267&amp;Upload!X267))))),"",G277*0.000035)</f>
        <v/>
      </c>
    </row>
    <row r="278" spans="1:19" x14ac:dyDescent="0.2">
      <c r="A278" s="9" t="e">
        <f t="shared" ca="1" si="24"/>
        <v>#NAME?</v>
      </c>
      <c r="B278" s="9">
        <f>Upload!G268</f>
        <v>0</v>
      </c>
      <c r="C278" s="9">
        <f>Upload!AN268</f>
        <v>0</v>
      </c>
      <c r="D278" s="9">
        <f>Upload!AO268</f>
        <v>0</v>
      </c>
      <c r="E278" s="9">
        <f>Upload!AP268</f>
        <v>0</v>
      </c>
      <c r="F278" s="9" t="str">
        <f>Upload!AK268</f>
        <v/>
      </c>
      <c r="G278" s="9" t="str">
        <f>Upload!AM268</f>
        <v/>
      </c>
      <c r="H278" s="9" t="str">
        <f>Upload!AJ268</f>
        <v>(seleccione)</v>
      </c>
      <c r="I278" s="9" t="str">
        <f>Upload!AL268</f>
        <v>(seleccione)</v>
      </c>
      <c r="K278" s="15" t="str">
        <f t="shared" si="25"/>
        <v/>
      </c>
      <c r="L278" s="15" t="str">
        <f t="shared" si="26"/>
        <v/>
      </c>
      <c r="M278" s="15" t="str">
        <f t="shared" si="27"/>
        <v/>
      </c>
      <c r="N278" s="15" t="str">
        <f t="shared" si="28"/>
        <v/>
      </c>
      <c r="O278" s="15" t="str">
        <f t="shared" si="29"/>
        <v/>
      </c>
      <c r="P278" s="15" t="str">
        <f>IF(OR(C278="",NOT(OR(ISNUMBER(SEARCH("Antitarnish",Upload!R268&amp;Upload!S268&amp;Upload!T268&amp;Upload!U268&amp;Upload!V268)),ISNUMBER(SEARCH("Anti Tarnish",Upload!R268&amp;Upload!S268&amp;Upload!T268&amp;Upload!U268&amp;Upload!V268))))),"",0.0012*C278)</f>
        <v/>
      </c>
      <c r="Q278" s="15" t="str">
        <f>IF(OR(E278="",NOT(OR(ISNUMBER(SEARCH("Epóxico MT",Upload!R268&amp;Upload!S268&amp;Upload!T268&amp;Upload!U268&amp;Upload!V268))))),"",E278*0.000035)</f>
        <v/>
      </c>
      <c r="R278" s="15" t="str">
        <f>IF(OR(F278="",NOT(OR(ISNUMBER(SEARCH("Epóxico BT",Upload!S268&amp;Upload!T268&amp;Upload!U268&amp;Upload!V268&amp;Upload!W268))))),"",F278*0.000035)</f>
        <v/>
      </c>
      <c r="S278" s="15" t="str">
        <f>IF(OR(G278="",NOT(OR(ISNUMBER(SEARCH("Epóxico Rojo",Upload!T268&amp;Upload!U268&amp;Upload!V268&amp;Upload!W268&amp;Upload!X268))))),"",G278*0.000035)</f>
        <v/>
      </c>
    </row>
    <row r="279" spans="1:19" x14ac:dyDescent="0.2">
      <c r="A279" s="9" t="e">
        <f t="shared" ca="1" si="24"/>
        <v>#NAME?</v>
      </c>
      <c r="B279" s="9">
        <f>Upload!G269</f>
        <v>0</v>
      </c>
      <c r="C279" s="9">
        <f>Upload!AN269</f>
        <v>0</v>
      </c>
      <c r="D279" s="9">
        <f>Upload!AO269</f>
        <v>0</v>
      </c>
      <c r="E279" s="9">
        <f>Upload!AP269</f>
        <v>0</v>
      </c>
      <c r="F279" s="9" t="str">
        <f>Upload!AK269</f>
        <v/>
      </c>
      <c r="G279" s="9" t="str">
        <f>Upload!AM269</f>
        <v/>
      </c>
      <c r="H279" s="9" t="str">
        <f>Upload!AJ269</f>
        <v>(seleccione)</v>
      </c>
      <c r="I279" s="9" t="str">
        <f>Upload!AL269</f>
        <v>(seleccione)</v>
      </c>
      <c r="K279" s="15" t="str">
        <f t="shared" si="25"/>
        <v/>
      </c>
      <c r="L279" s="15" t="str">
        <f t="shared" si="26"/>
        <v/>
      </c>
      <c r="M279" s="15" t="str">
        <f t="shared" si="27"/>
        <v/>
      </c>
      <c r="N279" s="15" t="str">
        <f t="shared" si="28"/>
        <v/>
      </c>
      <c r="O279" s="15" t="str">
        <f t="shared" si="29"/>
        <v/>
      </c>
      <c r="P279" s="15" t="str">
        <f>IF(OR(C279="",NOT(OR(ISNUMBER(SEARCH("Antitarnish",Upload!R269&amp;Upload!S269&amp;Upload!T269&amp;Upload!U269&amp;Upload!V269)),ISNUMBER(SEARCH("Anti Tarnish",Upload!R269&amp;Upload!S269&amp;Upload!T269&amp;Upload!U269&amp;Upload!V269))))),"",0.0012*C279)</f>
        <v/>
      </c>
      <c r="Q279" s="15" t="str">
        <f>IF(OR(E279="",NOT(OR(ISNUMBER(SEARCH("Epóxico MT",Upload!R269&amp;Upload!S269&amp;Upload!T269&amp;Upload!U269&amp;Upload!V269))))),"",E279*0.000035)</f>
        <v/>
      </c>
      <c r="R279" s="15" t="str">
        <f>IF(OR(F279="",NOT(OR(ISNUMBER(SEARCH("Epóxico BT",Upload!S269&amp;Upload!T269&amp;Upload!U269&amp;Upload!V269&amp;Upload!W269))))),"",F279*0.000035)</f>
        <v/>
      </c>
      <c r="S279" s="15" t="str">
        <f>IF(OR(G279="",NOT(OR(ISNUMBER(SEARCH("Epóxico Rojo",Upload!T269&amp;Upload!U269&amp;Upload!V269&amp;Upload!W269&amp;Upload!X269))))),"",G279*0.000035)</f>
        <v/>
      </c>
    </row>
    <row r="280" spans="1:19" x14ac:dyDescent="0.2">
      <c r="A280" s="9" t="e">
        <f t="shared" ca="1" si="24"/>
        <v>#NAME?</v>
      </c>
      <c r="B280" s="9">
        <f>Upload!G270</f>
        <v>0</v>
      </c>
      <c r="C280" s="9">
        <f>Upload!AN270</f>
        <v>0</v>
      </c>
      <c r="D280" s="9">
        <f>Upload!AO270</f>
        <v>0</v>
      </c>
      <c r="E280" s="9">
        <f>Upload!AP270</f>
        <v>0</v>
      </c>
      <c r="F280" s="9" t="str">
        <f>Upload!AK270</f>
        <v/>
      </c>
      <c r="G280" s="9" t="str">
        <f>Upload!AM270</f>
        <v/>
      </c>
      <c r="H280" s="9" t="str">
        <f>Upload!AJ270</f>
        <v>(seleccione)</v>
      </c>
      <c r="I280" s="9" t="str">
        <f>Upload!AL270</f>
        <v>(seleccione)</v>
      </c>
      <c r="K280" s="15" t="str">
        <f t="shared" si="25"/>
        <v/>
      </c>
      <c r="L280" s="15" t="str">
        <f t="shared" si="26"/>
        <v/>
      </c>
      <c r="M280" s="15" t="str">
        <f t="shared" si="27"/>
        <v/>
      </c>
      <c r="N280" s="15" t="str">
        <f t="shared" si="28"/>
        <v/>
      </c>
      <c r="O280" s="15" t="str">
        <f t="shared" si="29"/>
        <v/>
      </c>
      <c r="P280" s="15" t="str">
        <f>IF(OR(C280="",NOT(OR(ISNUMBER(SEARCH("Antitarnish",Upload!R270&amp;Upload!S270&amp;Upload!T270&amp;Upload!U270&amp;Upload!V270)),ISNUMBER(SEARCH("Anti Tarnish",Upload!R270&amp;Upload!S270&amp;Upload!T270&amp;Upload!U270&amp;Upload!V270))))),"",0.0012*C280)</f>
        <v/>
      </c>
      <c r="Q280" s="15" t="str">
        <f>IF(OR(E280="",NOT(OR(ISNUMBER(SEARCH("Epóxico MT",Upload!R270&amp;Upload!S270&amp;Upload!T270&amp;Upload!U270&amp;Upload!V270))))),"",E280*0.000035)</f>
        <v/>
      </c>
      <c r="R280" s="15" t="str">
        <f>IF(OR(F280="",NOT(OR(ISNUMBER(SEARCH("Epóxico BT",Upload!S270&amp;Upload!T270&amp;Upload!U270&amp;Upload!V270&amp;Upload!W270))))),"",F280*0.000035)</f>
        <v/>
      </c>
      <c r="S280" s="15" t="str">
        <f>IF(OR(G280="",NOT(OR(ISNUMBER(SEARCH("Epóxico Rojo",Upload!T270&amp;Upload!U270&amp;Upload!V270&amp;Upload!W270&amp;Upload!X270))))),"",G280*0.000035)</f>
        <v/>
      </c>
    </row>
    <row r="281" spans="1:19" x14ac:dyDescent="0.2">
      <c r="A281" s="9" t="e">
        <f t="shared" ca="1" si="24"/>
        <v>#NAME?</v>
      </c>
      <c r="B281" s="9">
        <f>Upload!G271</f>
        <v>0</v>
      </c>
      <c r="C281" s="9">
        <f>Upload!AN271</f>
        <v>0</v>
      </c>
      <c r="D281" s="9">
        <f>Upload!AO271</f>
        <v>0</v>
      </c>
      <c r="E281" s="9">
        <f>Upload!AP271</f>
        <v>0</v>
      </c>
      <c r="F281" s="9" t="str">
        <f>Upload!AK271</f>
        <v/>
      </c>
      <c r="G281" s="9" t="str">
        <f>Upload!AM271</f>
        <v/>
      </c>
      <c r="H281" s="9" t="str">
        <f>Upload!AJ271</f>
        <v>(seleccione)</v>
      </c>
      <c r="I281" s="9" t="str">
        <f>Upload!AL271</f>
        <v>(seleccione)</v>
      </c>
      <c r="K281" s="15" t="str">
        <f t="shared" si="25"/>
        <v/>
      </c>
      <c r="L281" s="15" t="str">
        <f t="shared" si="26"/>
        <v/>
      </c>
      <c r="M281" s="15" t="str">
        <f t="shared" si="27"/>
        <v/>
      </c>
      <c r="N281" s="15" t="str">
        <f t="shared" si="28"/>
        <v/>
      </c>
      <c r="O281" s="15" t="str">
        <f t="shared" si="29"/>
        <v/>
      </c>
      <c r="P281" s="15" t="str">
        <f>IF(OR(C281="",NOT(OR(ISNUMBER(SEARCH("Antitarnish",Upload!R271&amp;Upload!S271&amp;Upload!T271&amp;Upload!U271&amp;Upload!V271)),ISNUMBER(SEARCH("Anti Tarnish",Upload!R271&amp;Upload!S271&amp;Upload!T271&amp;Upload!U271&amp;Upload!V271))))),"",0.0012*C281)</f>
        <v/>
      </c>
      <c r="Q281" s="15" t="str">
        <f>IF(OR(E281="",NOT(OR(ISNUMBER(SEARCH("Epóxico MT",Upload!R271&amp;Upload!S271&amp;Upload!T271&amp;Upload!U271&amp;Upload!V271))))),"",E281*0.000035)</f>
        <v/>
      </c>
      <c r="R281" s="15" t="str">
        <f>IF(OR(F281="",NOT(OR(ISNUMBER(SEARCH("Epóxico BT",Upload!S271&amp;Upload!T271&amp;Upload!U271&amp;Upload!V271&amp;Upload!W271))))),"",F281*0.000035)</f>
        <v/>
      </c>
      <c r="S281" s="15" t="str">
        <f>IF(OR(G281="",NOT(OR(ISNUMBER(SEARCH("Epóxico Rojo",Upload!T271&amp;Upload!U271&amp;Upload!V271&amp;Upload!W271&amp;Upload!X271))))),"",G281*0.000035)</f>
        <v/>
      </c>
    </row>
    <row r="282" spans="1:19" x14ac:dyDescent="0.2">
      <c r="A282" s="9" t="e">
        <f t="shared" ca="1" si="24"/>
        <v>#NAME?</v>
      </c>
      <c r="B282" s="9">
        <f>Upload!G272</f>
        <v>0</v>
      </c>
      <c r="C282" s="9">
        <f>Upload!AN272</f>
        <v>0</v>
      </c>
      <c r="D282" s="9">
        <f>Upload!AO272</f>
        <v>0</v>
      </c>
      <c r="E282" s="9">
        <f>Upload!AP272</f>
        <v>0</v>
      </c>
      <c r="F282" s="9" t="str">
        <f>Upload!AK272</f>
        <v/>
      </c>
      <c r="G282" s="9" t="str">
        <f>Upload!AM272</f>
        <v/>
      </c>
      <c r="H282" s="9" t="str">
        <f>Upload!AJ272</f>
        <v>(seleccione)</v>
      </c>
      <c r="I282" s="9" t="str">
        <f>Upload!AL272</f>
        <v>(seleccione)</v>
      </c>
      <c r="K282" s="15" t="str">
        <f t="shared" si="25"/>
        <v/>
      </c>
      <c r="L282" s="15" t="str">
        <f t="shared" si="26"/>
        <v/>
      </c>
      <c r="M282" s="15" t="str">
        <f t="shared" si="27"/>
        <v/>
      </c>
      <c r="N282" s="15" t="str">
        <f t="shared" si="28"/>
        <v/>
      </c>
      <c r="O282" s="15" t="str">
        <f t="shared" si="29"/>
        <v/>
      </c>
      <c r="P282" s="15" t="str">
        <f>IF(OR(C282="",NOT(OR(ISNUMBER(SEARCH("Antitarnish",Upload!R272&amp;Upload!S272&amp;Upload!T272&amp;Upload!U272&amp;Upload!V272)),ISNUMBER(SEARCH("Anti Tarnish",Upload!R272&amp;Upload!S272&amp;Upload!T272&amp;Upload!U272&amp;Upload!V272))))),"",0.0012*C282)</f>
        <v/>
      </c>
      <c r="Q282" s="15" t="str">
        <f>IF(OR(E282="",NOT(OR(ISNUMBER(SEARCH("Epóxico MT",Upload!R272&amp;Upload!S272&amp;Upload!T272&amp;Upload!U272&amp;Upload!V272))))),"",E282*0.000035)</f>
        <v/>
      </c>
      <c r="R282" s="15" t="str">
        <f>IF(OR(F282="",NOT(OR(ISNUMBER(SEARCH("Epóxico BT",Upload!S272&amp;Upload!T272&amp;Upload!U272&amp;Upload!V272&amp;Upload!W272))))),"",F282*0.000035)</f>
        <v/>
      </c>
      <c r="S282" s="15" t="str">
        <f>IF(OR(G282="",NOT(OR(ISNUMBER(SEARCH("Epóxico Rojo",Upload!T272&amp;Upload!U272&amp;Upload!V272&amp;Upload!W272&amp;Upload!X272))))),"",G282*0.000035)</f>
        <v/>
      </c>
    </row>
    <row r="283" spans="1:19" x14ac:dyDescent="0.2">
      <c r="A283" s="9" t="e">
        <f t="shared" ca="1" si="24"/>
        <v>#NAME?</v>
      </c>
      <c r="B283" s="9">
        <f>Upload!G273</f>
        <v>0</v>
      </c>
      <c r="C283" s="9">
        <f>Upload!AN273</f>
        <v>0</v>
      </c>
      <c r="D283" s="9">
        <f>Upload!AO273</f>
        <v>0</v>
      </c>
      <c r="E283" s="9">
        <f>Upload!AP273</f>
        <v>0</v>
      </c>
      <c r="F283" s="9" t="str">
        <f>Upload!AK273</f>
        <v/>
      </c>
      <c r="G283" s="9" t="str">
        <f>Upload!AM273</f>
        <v/>
      </c>
      <c r="H283" s="9" t="str">
        <f>Upload!AJ273</f>
        <v>(seleccione)</v>
      </c>
      <c r="I283" s="9" t="str">
        <f>Upload!AL273</f>
        <v>(seleccione)</v>
      </c>
      <c r="K283" s="15" t="str">
        <f t="shared" si="25"/>
        <v/>
      </c>
      <c r="L283" s="15" t="str">
        <f t="shared" si="26"/>
        <v/>
      </c>
      <c r="M283" s="15" t="str">
        <f t="shared" si="27"/>
        <v/>
      </c>
      <c r="N283" s="15" t="str">
        <f t="shared" si="28"/>
        <v/>
      </c>
      <c r="O283" s="15" t="str">
        <f t="shared" si="29"/>
        <v/>
      </c>
      <c r="P283" s="15" t="str">
        <f>IF(OR(C283="",NOT(OR(ISNUMBER(SEARCH("Antitarnish",Upload!R273&amp;Upload!S273&amp;Upload!T273&amp;Upload!U273&amp;Upload!V273)),ISNUMBER(SEARCH("Anti Tarnish",Upload!R273&amp;Upload!S273&amp;Upload!T273&amp;Upload!U273&amp;Upload!V273))))),"",0.0012*C283)</f>
        <v/>
      </c>
      <c r="Q283" s="15" t="str">
        <f>IF(OR(E283="",NOT(OR(ISNUMBER(SEARCH("Epóxico MT",Upload!R273&amp;Upload!S273&amp;Upload!T273&amp;Upload!U273&amp;Upload!V273))))),"",E283*0.000035)</f>
        <v/>
      </c>
      <c r="R283" s="15" t="str">
        <f>IF(OR(F283="",NOT(OR(ISNUMBER(SEARCH("Epóxico BT",Upload!S273&amp;Upload!T273&amp;Upload!U273&amp;Upload!V273&amp;Upload!W273))))),"",F283*0.000035)</f>
        <v/>
      </c>
      <c r="S283" s="15" t="str">
        <f>IF(OR(G283="",NOT(OR(ISNUMBER(SEARCH("Epóxico Rojo",Upload!T273&amp;Upload!U273&amp;Upload!V273&amp;Upload!W273&amp;Upload!X273))))),"",G283*0.000035)</f>
        <v/>
      </c>
    </row>
    <row r="284" spans="1:19" x14ac:dyDescent="0.2">
      <c r="A284" s="9" t="e">
        <f t="shared" ca="1" si="24"/>
        <v>#NAME?</v>
      </c>
      <c r="B284" s="9">
        <f>Upload!G274</f>
        <v>0</v>
      </c>
      <c r="C284" s="9">
        <f>Upload!AN274</f>
        <v>0</v>
      </c>
      <c r="D284" s="9">
        <f>Upload!AO274</f>
        <v>0</v>
      </c>
      <c r="E284" s="9">
        <f>Upload!AP274</f>
        <v>0</v>
      </c>
      <c r="F284" s="9" t="str">
        <f>Upload!AK274</f>
        <v/>
      </c>
      <c r="G284" s="9" t="str">
        <f>Upload!AM274</f>
        <v/>
      </c>
      <c r="H284" s="9" t="str">
        <f>Upload!AJ274</f>
        <v>(seleccione)</v>
      </c>
      <c r="I284" s="9" t="str">
        <f>Upload!AL274</f>
        <v>(seleccione)</v>
      </c>
      <c r="K284" s="15" t="str">
        <f t="shared" si="25"/>
        <v/>
      </c>
      <c r="L284" s="15" t="str">
        <f t="shared" si="26"/>
        <v/>
      </c>
      <c r="M284" s="15" t="str">
        <f t="shared" si="27"/>
        <v/>
      </c>
      <c r="N284" s="15" t="str">
        <f t="shared" si="28"/>
        <v/>
      </c>
      <c r="O284" s="15" t="str">
        <f t="shared" si="29"/>
        <v/>
      </c>
      <c r="P284" s="15" t="str">
        <f>IF(OR(C284="",NOT(OR(ISNUMBER(SEARCH("Antitarnish",Upload!R274&amp;Upload!S274&amp;Upload!T274&amp;Upload!U274&amp;Upload!V274)),ISNUMBER(SEARCH("Anti Tarnish",Upload!R274&amp;Upload!S274&amp;Upload!T274&amp;Upload!U274&amp;Upload!V274))))),"",0.0012*C284)</f>
        <v/>
      </c>
      <c r="Q284" s="15" t="str">
        <f>IF(OR(E284="",NOT(OR(ISNUMBER(SEARCH("Epóxico MT",Upload!R274&amp;Upload!S274&amp;Upload!T274&amp;Upload!U274&amp;Upload!V274))))),"",E284*0.000035)</f>
        <v/>
      </c>
      <c r="R284" s="15" t="str">
        <f>IF(OR(F284="",NOT(OR(ISNUMBER(SEARCH("Epóxico BT",Upload!S274&amp;Upload!T274&amp;Upload!U274&amp;Upload!V274&amp;Upload!W274))))),"",F284*0.000035)</f>
        <v/>
      </c>
      <c r="S284" s="15" t="str">
        <f>IF(OR(G284="",NOT(OR(ISNUMBER(SEARCH("Epóxico Rojo",Upload!T274&amp;Upload!U274&amp;Upload!V274&amp;Upload!W274&amp;Upload!X274))))),"",G284*0.000035)</f>
        <v/>
      </c>
    </row>
    <row r="285" spans="1:19" x14ac:dyDescent="0.2">
      <c r="A285" s="9" t="e">
        <f t="shared" ca="1" si="24"/>
        <v>#NAME?</v>
      </c>
      <c r="B285" s="9">
        <f>Upload!G275</f>
        <v>0</v>
      </c>
      <c r="C285" s="9">
        <f>Upload!AN275</f>
        <v>0</v>
      </c>
      <c r="D285" s="9">
        <f>Upload!AO275</f>
        <v>0</v>
      </c>
      <c r="E285" s="9">
        <f>Upload!AP275</f>
        <v>0</v>
      </c>
      <c r="F285" s="9" t="str">
        <f>Upload!AK275</f>
        <v/>
      </c>
      <c r="G285" s="9" t="str">
        <f>Upload!AM275</f>
        <v/>
      </c>
      <c r="H285" s="9" t="str">
        <f>Upload!AJ275</f>
        <v>(seleccione)</v>
      </c>
      <c r="I285" s="9" t="str">
        <f>Upload!AL275</f>
        <v>(seleccione)</v>
      </c>
      <c r="K285" s="15" t="str">
        <f t="shared" si="25"/>
        <v/>
      </c>
      <c r="L285" s="15" t="str">
        <f t="shared" si="26"/>
        <v/>
      </c>
      <c r="M285" s="15" t="str">
        <f t="shared" si="27"/>
        <v/>
      </c>
      <c r="N285" s="15" t="str">
        <f t="shared" si="28"/>
        <v/>
      </c>
      <c r="O285" s="15" t="str">
        <f t="shared" si="29"/>
        <v/>
      </c>
      <c r="P285" s="15" t="str">
        <f>IF(OR(C285="",NOT(OR(ISNUMBER(SEARCH("Antitarnish",Upload!R275&amp;Upload!S275&amp;Upload!T275&amp;Upload!U275&amp;Upload!V275)),ISNUMBER(SEARCH("Anti Tarnish",Upload!R275&amp;Upload!S275&amp;Upload!T275&amp;Upload!U275&amp;Upload!V275))))),"",0.0012*C285)</f>
        <v/>
      </c>
      <c r="Q285" s="15" t="str">
        <f>IF(OR(E285="",NOT(OR(ISNUMBER(SEARCH("Epóxico MT",Upload!R275&amp;Upload!S275&amp;Upload!T275&amp;Upload!U275&amp;Upload!V275))))),"",E285*0.000035)</f>
        <v/>
      </c>
      <c r="R285" s="15" t="str">
        <f>IF(OR(F285="",NOT(OR(ISNUMBER(SEARCH("Epóxico BT",Upload!S275&amp;Upload!T275&amp;Upload!U275&amp;Upload!V275&amp;Upload!W275))))),"",F285*0.000035)</f>
        <v/>
      </c>
      <c r="S285" s="15" t="str">
        <f>IF(OR(G285="",NOT(OR(ISNUMBER(SEARCH("Epóxico Rojo",Upload!T275&amp;Upload!U275&amp;Upload!V275&amp;Upload!W275&amp;Upload!X275))))),"",G285*0.000035)</f>
        <v/>
      </c>
    </row>
    <row r="286" spans="1:19" x14ac:dyDescent="0.2">
      <c r="A286" s="9" t="e">
        <f t="shared" ca="1" si="24"/>
        <v>#NAME?</v>
      </c>
      <c r="B286" s="9">
        <f>Upload!G276</f>
        <v>0</v>
      </c>
      <c r="C286" s="9">
        <f>Upload!AN276</f>
        <v>0</v>
      </c>
      <c r="D286" s="9">
        <f>Upload!AO276</f>
        <v>0</v>
      </c>
      <c r="E286" s="9">
        <f>Upload!AP276</f>
        <v>0</v>
      </c>
      <c r="F286" s="9" t="str">
        <f>Upload!AK276</f>
        <v/>
      </c>
      <c r="G286" s="9" t="str">
        <f>Upload!AM276</f>
        <v/>
      </c>
      <c r="H286" s="9" t="str">
        <f>Upload!AJ276</f>
        <v>(seleccione)</v>
      </c>
      <c r="I286" s="9" t="str">
        <f>Upload!AL276</f>
        <v>(seleccione)</v>
      </c>
      <c r="K286" s="15" t="str">
        <f t="shared" si="25"/>
        <v/>
      </c>
      <c r="L286" s="15" t="str">
        <f t="shared" si="26"/>
        <v/>
      </c>
      <c r="M286" s="15" t="str">
        <f t="shared" si="27"/>
        <v/>
      </c>
      <c r="N286" s="15" t="str">
        <f t="shared" si="28"/>
        <v/>
      </c>
      <c r="O286" s="15" t="str">
        <f t="shared" si="29"/>
        <v/>
      </c>
      <c r="P286" s="15" t="str">
        <f>IF(OR(C286="",NOT(OR(ISNUMBER(SEARCH("Antitarnish",Upload!R276&amp;Upload!S276&amp;Upload!T276&amp;Upload!U276&amp;Upload!V276)),ISNUMBER(SEARCH("Anti Tarnish",Upload!R276&amp;Upload!S276&amp;Upload!T276&amp;Upload!U276&amp;Upload!V276))))),"",0.0012*C286)</f>
        <v/>
      </c>
      <c r="Q286" s="15" t="str">
        <f>IF(OR(E286="",NOT(OR(ISNUMBER(SEARCH("Epóxico MT",Upload!R276&amp;Upload!S276&amp;Upload!T276&amp;Upload!U276&amp;Upload!V276))))),"",E286*0.000035)</f>
        <v/>
      </c>
      <c r="R286" s="15" t="str">
        <f>IF(OR(F286="",NOT(OR(ISNUMBER(SEARCH("Epóxico BT",Upload!S276&amp;Upload!T276&amp;Upload!U276&amp;Upload!V276&amp;Upload!W276))))),"",F286*0.000035)</f>
        <v/>
      </c>
      <c r="S286" s="15" t="str">
        <f>IF(OR(G286="",NOT(OR(ISNUMBER(SEARCH("Epóxico Rojo",Upload!T276&amp;Upload!U276&amp;Upload!V276&amp;Upload!W276&amp;Upload!X276))))),"",G286*0.000035)</f>
        <v/>
      </c>
    </row>
    <row r="287" spans="1:19" x14ac:dyDescent="0.2">
      <c r="A287" s="9" t="e">
        <f t="shared" ca="1" si="24"/>
        <v>#NAME?</v>
      </c>
      <c r="B287" s="9">
        <f>Upload!G277</f>
        <v>0</v>
      </c>
      <c r="C287" s="9">
        <f>Upload!AN277</f>
        <v>0</v>
      </c>
      <c r="D287" s="9">
        <f>Upload!AO277</f>
        <v>0</v>
      </c>
      <c r="E287" s="9">
        <f>Upload!AP277</f>
        <v>0</v>
      </c>
      <c r="F287" s="9" t="str">
        <f>Upload!AK277</f>
        <v/>
      </c>
      <c r="G287" s="9" t="str">
        <f>Upload!AM277</f>
        <v/>
      </c>
      <c r="H287" s="9" t="str">
        <f>Upload!AJ277</f>
        <v>(seleccione)</v>
      </c>
      <c r="I287" s="9" t="str">
        <f>Upload!AL277</f>
        <v>(seleccione)</v>
      </c>
      <c r="K287" s="15" t="str">
        <f t="shared" si="25"/>
        <v/>
      </c>
      <c r="L287" s="15" t="str">
        <f t="shared" si="26"/>
        <v/>
      </c>
      <c r="M287" s="15" t="str">
        <f t="shared" si="27"/>
        <v/>
      </c>
      <c r="N287" s="15" t="str">
        <f t="shared" si="28"/>
        <v/>
      </c>
      <c r="O287" s="15" t="str">
        <f t="shared" si="29"/>
        <v/>
      </c>
      <c r="P287" s="15" t="str">
        <f>IF(OR(C287="",NOT(OR(ISNUMBER(SEARCH("Antitarnish",Upload!R277&amp;Upload!S277&amp;Upload!T277&amp;Upload!U277&amp;Upload!V277)),ISNUMBER(SEARCH("Anti Tarnish",Upload!R277&amp;Upload!S277&amp;Upload!T277&amp;Upload!U277&amp;Upload!V277))))),"",0.0012*C287)</f>
        <v/>
      </c>
      <c r="Q287" s="15" t="str">
        <f>IF(OR(E287="",NOT(OR(ISNUMBER(SEARCH("Epóxico MT",Upload!R277&amp;Upload!S277&amp;Upload!T277&amp;Upload!U277&amp;Upload!V277))))),"",E287*0.000035)</f>
        <v/>
      </c>
      <c r="R287" s="15" t="str">
        <f>IF(OR(F287="",NOT(OR(ISNUMBER(SEARCH("Epóxico BT",Upload!S277&amp;Upload!T277&amp;Upload!U277&amp;Upload!V277&amp;Upload!W277))))),"",F287*0.000035)</f>
        <v/>
      </c>
      <c r="S287" s="15" t="str">
        <f>IF(OR(G287="",NOT(OR(ISNUMBER(SEARCH("Epóxico Rojo",Upload!T277&amp;Upload!U277&amp;Upload!V277&amp;Upload!W277&amp;Upload!X277))))),"",G287*0.000035)</f>
        <v/>
      </c>
    </row>
    <row r="288" spans="1:19" x14ac:dyDescent="0.2">
      <c r="A288" s="9" t="e">
        <f t="shared" ca="1" si="24"/>
        <v>#NAME?</v>
      </c>
      <c r="B288" s="9">
        <f>Upload!G278</f>
        <v>0</v>
      </c>
      <c r="C288" s="9">
        <f>Upload!AN278</f>
        <v>0</v>
      </c>
      <c r="D288" s="9">
        <f>Upload!AO278</f>
        <v>0</v>
      </c>
      <c r="E288" s="9">
        <f>Upload!AP278</f>
        <v>0</v>
      </c>
      <c r="F288" s="9" t="str">
        <f>Upload!AK278</f>
        <v/>
      </c>
      <c r="G288" s="9" t="str">
        <f>Upload!AM278</f>
        <v/>
      </c>
      <c r="H288" s="9" t="str">
        <f>Upload!AJ278</f>
        <v>(seleccione)</v>
      </c>
      <c r="I288" s="9" t="str">
        <f>Upload!AL278</f>
        <v>(seleccione)</v>
      </c>
      <c r="K288" s="15" t="str">
        <f t="shared" si="25"/>
        <v/>
      </c>
      <c r="L288" s="15" t="str">
        <f t="shared" si="26"/>
        <v/>
      </c>
      <c r="M288" s="15" t="str">
        <f t="shared" si="27"/>
        <v/>
      </c>
      <c r="N288" s="15" t="str">
        <f t="shared" si="28"/>
        <v/>
      </c>
      <c r="O288" s="15" t="str">
        <f t="shared" si="29"/>
        <v/>
      </c>
      <c r="P288" s="15" t="str">
        <f>IF(OR(C288="",NOT(OR(ISNUMBER(SEARCH("Antitarnish",Upload!R278&amp;Upload!S278&amp;Upload!T278&amp;Upload!U278&amp;Upload!V278)),ISNUMBER(SEARCH("Anti Tarnish",Upload!R278&amp;Upload!S278&amp;Upload!T278&amp;Upload!U278&amp;Upload!V278))))),"",0.0012*C288)</f>
        <v/>
      </c>
      <c r="Q288" s="15" t="str">
        <f>IF(OR(E288="",NOT(OR(ISNUMBER(SEARCH("Epóxico MT",Upload!R278&amp;Upload!S278&amp;Upload!T278&amp;Upload!U278&amp;Upload!V278))))),"",E288*0.000035)</f>
        <v/>
      </c>
      <c r="R288" s="15" t="str">
        <f>IF(OR(F288="",NOT(OR(ISNUMBER(SEARCH("Epóxico BT",Upload!S278&amp;Upload!T278&amp;Upload!U278&amp;Upload!V278&amp;Upload!W278))))),"",F288*0.000035)</f>
        <v/>
      </c>
      <c r="S288" s="15" t="str">
        <f>IF(OR(G288="",NOT(OR(ISNUMBER(SEARCH("Epóxico Rojo",Upload!T278&amp;Upload!U278&amp;Upload!V278&amp;Upload!W278&amp;Upload!X278))))),"",G288*0.000035)</f>
        <v/>
      </c>
    </row>
    <row r="289" spans="1:19" x14ac:dyDescent="0.2">
      <c r="A289" s="9" t="e">
        <f t="shared" ca="1" si="24"/>
        <v>#NAME?</v>
      </c>
      <c r="B289" s="9">
        <f>Upload!G279</f>
        <v>0</v>
      </c>
      <c r="C289" s="9">
        <f>Upload!AN279</f>
        <v>0</v>
      </c>
      <c r="D289" s="9">
        <f>Upload!AO279</f>
        <v>0</v>
      </c>
      <c r="E289" s="9">
        <f>Upload!AP279</f>
        <v>0</v>
      </c>
      <c r="F289" s="9" t="str">
        <f>Upload!AK279</f>
        <v/>
      </c>
      <c r="G289" s="9" t="str">
        <f>Upload!AM279</f>
        <v/>
      </c>
      <c r="H289" s="9" t="str">
        <f>Upload!AJ279</f>
        <v>(seleccione)</v>
      </c>
      <c r="I289" s="9" t="str">
        <f>Upload!AL279</f>
        <v>(seleccione)</v>
      </c>
      <c r="K289" s="15" t="str">
        <f t="shared" si="25"/>
        <v/>
      </c>
      <c r="L289" s="15" t="str">
        <f t="shared" si="26"/>
        <v/>
      </c>
      <c r="M289" s="15" t="str">
        <f t="shared" si="27"/>
        <v/>
      </c>
      <c r="N289" s="15" t="str">
        <f t="shared" si="28"/>
        <v/>
      </c>
      <c r="O289" s="15" t="str">
        <f t="shared" si="29"/>
        <v/>
      </c>
      <c r="P289" s="15" t="str">
        <f>IF(OR(C289="",NOT(OR(ISNUMBER(SEARCH("Antitarnish",Upload!R279&amp;Upload!S279&amp;Upload!T279&amp;Upload!U279&amp;Upload!V279)),ISNUMBER(SEARCH("Anti Tarnish",Upload!R279&amp;Upload!S279&amp;Upload!T279&amp;Upload!U279&amp;Upload!V279))))),"",0.0012*C289)</f>
        <v/>
      </c>
      <c r="Q289" s="15" t="str">
        <f>IF(OR(E289="",NOT(OR(ISNUMBER(SEARCH("Epóxico MT",Upload!R279&amp;Upload!S279&amp;Upload!T279&amp;Upload!U279&amp;Upload!V279))))),"",E289*0.000035)</f>
        <v/>
      </c>
      <c r="R289" s="15" t="str">
        <f>IF(OR(F289="",NOT(OR(ISNUMBER(SEARCH("Epóxico BT",Upload!S279&amp;Upload!T279&amp;Upload!U279&amp;Upload!V279&amp;Upload!W279))))),"",F289*0.000035)</f>
        <v/>
      </c>
      <c r="S289" s="15" t="str">
        <f>IF(OR(G289="",NOT(OR(ISNUMBER(SEARCH("Epóxico Rojo",Upload!T279&amp;Upload!U279&amp;Upload!V279&amp;Upload!W279&amp;Upload!X279))))),"",G289*0.000035)</f>
        <v/>
      </c>
    </row>
    <row r="290" spans="1:19" x14ac:dyDescent="0.2">
      <c r="A290" s="9" t="e">
        <f t="shared" ca="1" si="24"/>
        <v>#NAME?</v>
      </c>
      <c r="B290" s="9">
        <f>Upload!G280</f>
        <v>0</v>
      </c>
      <c r="C290" s="9">
        <f>Upload!AN280</f>
        <v>0</v>
      </c>
      <c r="D290" s="9">
        <f>Upload!AO280</f>
        <v>0</v>
      </c>
      <c r="E290" s="9">
        <f>Upload!AP280</f>
        <v>0</v>
      </c>
      <c r="F290" s="9" t="str">
        <f>Upload!AK280</f>
        <v/>
      </c>
      <c r="G290" s="9" t="str">
        <f>Upload!AM280</f>
        <v/>
      </c>
      <c r="H290" s="9" t="str">
        <f>Upload!AJ280</f>
        <v>(seleccione)</v>
      </c>
      <c r="I290" s="9" t="str">
        <f>Upload!AL280</f>
        <v>(seleccione)</v>
      </c>
      <c r="K290" s="15" t="str">
        <f t="shared" si="25"/>
        <v/>
      </c>
      <c r="L290" s="15" t="str">
        <f t="shared" si="26"/>
        <v/>
      </c>
      <c r="M290" s="15" t="str">
        <f t="shared" si="27"/>
        <v/>
      </c>
      <c r="N290" s="15" t="str">
        <f t="shared" si="28"/>
        <v/>
      </c>
      <c r="O290" s="15" t="str">
        <f t="shared" si="29"/>
        <v/>
      </c>
      <c r="P290" s="15" t="str">
        <f>IF(OR(C290="",NOT(OR(ISNUMBER(SEARCH("Antitarnish",Upload!R280&amp;Upload!S280&amp;Upload!T280&amp;Upload!U280&amp;Upload!V280)),ISNUMBER(SEARCH("Anti Tarnish",Upload!R280&amp;Upload!S280&amp;Upload!T280&amp;Upload!U280&amp;Upload!V280))))),"",0.0012*C290)</f>
        <v/>
      </c>
      <c r="Q290" s="15" t="str">
        <f>IF(OR(E290="",NOT(OR(ISNUMBER(SEARCH("Epóxico MT",Upload!R280&amp;Upload!S280&amp;Upload!T280&amp;Upload!U280&amp;Upload!V280))))),"",E290*0.000035)</f>
        <v/>
      </c>
      <c r="R290" s="15" t="str">
        <f>IF(OR(F290="",NOT(OR(ISNUMBER(SEARCH("Epóxico BT",Upload!S280&amp;Upload!T280&amp;Upload!U280&amp;Upload!V280&amp;Upload!W280))))),"",F290*0.000035)</f>
        <v/>
      </c>
      <c r="S290" s="15" t="str">
        <f>IF(OR(G290="",NOT(OR(ISNUMBER(SEARCH("Epóxico Rojo",Upload!T280&amp;Upload!U280&amp;Upload!V280&amp;Upload!W280&amp;Upload!X280))))),"",G290*0.000035)</f>
        <v/>
      </c>
    </row>
    <row r="291" spans="1:19" x14ac:dyDescent="0.2">
      <c r="A291" s="9" t="e">
        <f t="shared" ca="1" si="24"/>
        <v>#NAME?</v>
      </c>
      <c r="B291" s="9">
        <f>Upload!G281</f>
        <v>0</v>
      </c>
      <c r="C291" s="9">
        <f>Upload!AN281</f>
        <v>0</v>
      </c>
      <c r="D291" s="9">
        <f>Upload!AO281</f>
        <v>0</v>
      </c>
      <c r="E291" s="9">
        <f>Upload!AP281</f>
        <v>0</v>
      </c>
      <c r="F291" s="9" t="str">
        <f>Upload!AK281</f>
        <v/>
      </c>
      <c r="G291" s="9" t="str">
        <f>Upload!AM281</f>
        <v/>
      </c>
      <c r="H291" s="9" t="str">
        <f>Upload!AJ281</f>
        <v>(seleccione)</v>
      </c>
      <c r="I291" s="9" t="str">
        <f>Upload!AL281</f>
        <v>(seleccione)</v>
      </c>
      <c r="K291" s="15" t="str">
        <f t="shared" si="25"/>
        <v/>
      </c>
      <c r="L291" s="15" t="str">
        <f t="shared" si="26"/>
        <v/>
      </c>
      <c r="M291" s="15" t="str">
        <f t="shared" si="27"/>
        <v/>
      </c>
      <c r="N291" s="15" t="str">
        <f t="shared" si="28"/>
        <v/>
      </c>
      <c r="O291" s="15" t="str">
        <f t="shared" si="29"/>
        <v/>
      </c>
      <c r="P291" s="15" t="str">
        <f>IF(OR(C291="",NOT(OR(ISNUMBER(SEARCH("Antitarnish",Upload!R281&amp;Upload!S281&amp;Upload!T281&amp;Upload!U281&amp;Upload!V281)),ISNUMBER(SEARCH("Anti Tarnish",Upload!R281&amp;Upload!S281&amp;Upload!T281&amp;Upload!U281&amp;Upload!V281))))),"",0.0012*C291)</f>
        <v/>
      </c>
      <c r="Q291" s="15" t="str">
        <f>IF(OR(E291="",NOT(OR(ISNUMBER(SEARCH("Epóxico MT",Upload!R281&amp;Upload!S281&amp;Upload!T281&amp;Upload!U281&amp;Upload!V281))))),"",E291*0.000035)</f>
        <v/>
      </c>
      <c r="R291" s="15" t="str">
        <f>IF(OR(F291="",NOT(OR(ISNUMBER(SEARCH("Epóxico BT",Upload!S281&amp;Upload!T281&amp;Upload!U281&amp;Upload!V281&amp;Upload!W281))))),"",F291*0.000035)</f>
        <v/>
      </c>
      <c r="S291" s="15" t="str">
        <f>IF(OR(G291="",NOT(OR(ISNUMBER(SEARCH("Epóxico Rojo",Upload!T281&amp;Upload!U281&amp;Upload!V281&amp;Upload!W281&amp;Upload!X281))))),"",G291*0.000035)</f>
        <v/>
      </c>
    </row>
    <row r="292" spans="1:19" x14ac:dyDescent="0.2">
      <c r="A292" s="9" t="e">
        <f t="shared" ca="1" si="24"/>
        <v>#NAME?</v>
      </c>
      <c r="B292" s="9">
        <f>Upload!G282</f>
        <v>0</v>
      </c>
      <c r="C292" s="9">
        <f>Upload!AN282</f>
        <v>0</v>
      </c>
      <c r="D292" s="9">
        <f>Upload!AO282</f>
        <v>0</v>
      </c>
      <c r="E292" s="9">
        <f>Upload!AP282</f>
        <v>0</v>
      </c>
      <c r="F292" s="9" t="str">
        <f>Upload!AK282</f>
        <v/>
      </c>
      <c r="G292" s="9" t="str">
        <f>Upload!AM282</f>
        <v/>
      </c>
      <c r="H292" s="9" t="str">
        <f>Upload!AJ282</f>
        <v>(seleccione)</v>
      </c>
      <c r="I292" s="9" t="str">
        <f>Upload!AL282</f>
        <v>(seleccione)</v>
      </c>
      <c r="K292" s="15" t="str">
        <f t="shared" si="25"/>
        <v/>
      </c>
      <c r="L292" s="15" t="str">
        <f t="shared" si="26"/>
        <v/>
      </c>
      <c r="M292" s="15" t="str">
        <f t="shared" si="27"/>
        <v/>
      </c>
      <c r="N292" s="15" t="str">
        <f t="shared" si="28"/>
        <v/>
      </c>
      <c r="O292" s="15" t="str">
        <f t="shared" si="29"/>
        <v/>
      </c>
      <c r="P292" s="15" t="str">
        <f>IF(OR(C292="",NOT(OR(ISNUMBER(SEARCH("Antitarnish",Upload!R282&amp;Upload!S282&amp;Upload!T282&amp;Upload!U282&amp;Upload!V282)),ISNUMBER(SEARCH("Anti Tarnish",Upload!R282&amp;Upload!S282&amp;Upload!T282&amp;Upload!U282&amp;Upload!V282))))),"",0.0012*C292)</f>
        <v/>
      </c>
      <c r="Q292" s="15" t="str">
        <f>IF(OR(E292="",NOT(OR(ISNUMBER(SEARCH("Epóxico MT",Upload!R282&amp;Upload!S282&amp;Upload!T282&amp;Upload!U282&amp;Upload!V282))))),"",E292*0.000035)</f>
        <v/>
      </c>
      <c r="R292" s="15" t="str">
        <f>IF(OR(F292="",NOT(OR(ISNUMBER(SEARCH("Epóxico BT",Upload!S282&amp;Upload!T282&amp;Upload!U282&amp;Upload!V282&amp;Upload!W282))))),"",F292*0.000035)</f>
        <v/>
      </c>
      <c r="S292" s="15" t="str">
        <f>IF(OR(G292="",NOT(OR(ISNUMBER(SEARCH("Epóxico Rojo",Upload!T282&amp;Upload!U282&amp;Upload!V282&amp;Upload!W282&amp;Upload!X282))))),"",G292*0.000035)</f>
        <v/>
      </c>
    </row>
    <row r="293" spans="1:19" x14ac:dyDescent="0.2">
      <c r="A293" s="9" t="e">
        <f t="shared" ca="1" si="24"/>
        <v>#NAME?</v>
      </c>
      <c r="B293" s="9">
        <f>Upload!G283</f>
        <v>0</v>
      </c>
      <c r="C293" s="9">
        <f>Upload!AN283</f>
        <v>0</v>
      </c>
      <c r="D293" s="9">
        <f>Upload!AO283</f>
        <v>0</v>
      </c>
      <c r="E293" s="9">
        <f>Upload!AP283</f>
        <v>0</v>
      </c>
      <c r="F293" s="9" t="str">
        <f>Upload!AK283</f>
        <v/>
      </c>
      <c r="G293" s="9" t="str">
        <f>Upload!AM283</f>
        <v/>
      </c>
      <c r="H293" s="9" t="str">
        <f>Upload!AJ283</f>
        <v>(seleccione)</v>
      </c>
      <c r="I293" s="9" t="str">
        <f>Upload!AL283</f>
        <v>(seleccione)</v>
      </c>
      <c r="K293" s="15" t="str">
        <f t="shared" si="25"/>
        <v/>
      </c>
      <c r="L293" s="15" t="str">
        <f t="shared" si="26"/>
        <v/>
      </c>
      <c r="M293" s="15" t="str">
        <f t="shared" si="27"/>
        <v/>
      </c>
      <c r="N293" s="15" t="str">
        <f t="shared" si="28"/>
        <v/>
      </c>
      <c r="O293" s="15" t="str">
        <f t="shared" si="29"/>
        <v/>
      </c>
      <c r="P293" s="15" t="str">
        <f>IF(OR(C293="",NOT(OR(ISNUMBER(SEARCH("Antitarnish",Upload!R283&amp;Upload!S283&amp;Upload!T283&amp;Upload!U283&amp;Upload!V283)),ISNUMBER(SEARCH("Anti Tarnish",Upload!R283&amp;Upload!S283&amp;Upload!T283&amp;Upload!U283&amp;Upload!V283))))),"",0.0012*C293)</f>
        <v/>
      </c>
      <c r="Q293" s="15" t="str">
        <f>IF(OR(E293="",NOT(OR(ISNUMBER(SEARCH("Epóxico MT",Upload!R283&amp;Upload!S283&amp;Upload!T283&amp;Upload!U283&amp;Upload!V283))))),"",E293*0.000035)</f>
        <v/>
      </c>
      <c r="R293" s="15" t="str">
        <f>IF(OR(F293="",NOT(OR(ISNUMBER(SEARCH("Epóxico BT",Upload!S283&amp;Upload!T283&amp;Upload!U283&amp;Upload!V283&amp;Upload!W283))))),"",F293*0.000035)</f>
        <v/>
      </c>
      <c r="S293" s="15" t="str">
        <f>IF(OR(G293="",NOT(OR(ISNUMBER(SEARCH("Epóxico Rojo",Upload!T283&amp;Upload!U283&amp;Upload!V283&amp;Upload!W283&amp;Upload!X283))))),"",G293*0.000035)</f>
        <v/>
      </c>
    </row>
    <row r="294" spans="1:19" x14ac:dyDescent="0.2">
      <c r="A294" s="9" t="e">
        <f t="shared" ca="1" si="24"/>
        <v>#NAME?</v>
      </c>
      <c r="B294" s="9">
        <f>Upload!G284</f>
        <v>0</v>
      </c>
      <c r="C294" s="9">
        <f>Upload!AN284</f>
        <v>0</v>
      </c>
      <c r="D294" s="9">
        <f>Upload!AO284</f>
        <v>0</v>
      </c>
      <c r="E294" s="9">
        <f>Upload!AP284</f>
        <v>0</v>
      </c>
      <c r="F294" s="9" t="str">
        <f>Upload!AK284</f>
        <v/>
      </c>
      <c r="G294" s="9" t="str">
        <f>Upload!AM284</f>
        <v/>
      </c>
      <c r="H294" s="9" t="str">
        <f>Upload!AJ284</f>
        <v>(seleccione)</v>
      </c>
      <c r="I294" s="9" t="str">
        <f>Upload!AL284</f>
        <v>(seleccione)</v>
      </c>
      <c r="K294" s="15" t="str">
        <f t="shared" si="25"/>
        <v/>
      </c>
      <c r="L294" s="15" t="str">
        <f t="shared" si="26"/>
        <v/>
      </c>
      <c r="M294" s="15" t="str">
        <f t="shared" si="27"/>
        <v/>
      </c>
      <c r="N294" s="15" t="str">
        <f t="shared" si="28"/>
        <v/>
      </c>
      <c r="O294" s="15" t="str">
        <f t="shared" si="29"/>
        <v/>
      </c>
      <c r="P294" s="15" t="str">
        <f>IF(OR(C294="",NOT(OR(ISNUMBER(SEARCH("Antitarnish",Upload!R284&amp;Upload!S284&amp;Upload!T284&amp;Upload!U284&amp;Upload!V284)),ISNUMBER(SEARCH("Anti Tarnish",Upload!R284&amp;Upload!S284&amp;Upload!T284&amp;Upload!U284&amp;Upload!V284))))),"",0.0012*C294)</f>
        <v/>
      </c>
      <c r="Q294" s="15" t="str">
        <f>IF(OR(E294="",NOT(OR(ISNUMBER(SEARCH("Epóxico MT",Upload!R284&amp;Upload!S284&amp;Upload!T284&amp;Upload!U284&amp;Upload!V284))))),"",E294*0.000035)</f>
        <v/>
      </c>
      <c r="R294" s="15" t="str">
        <f>IF(OR(F294="",NOT(OR(ISNUMBER(SEARCH("Epóxico BT",Upload!S284&amp;Upload!T284&amp;Upload!U284&amp;Upload!V284&amp;Upload!W284))))),"",F294*0.000035)</f>
        <v/>
      </c>
      <c r="S294" s="15" t="str">
        <f>IF(OR(G294="",NOT(OR(ISNUMBER(SEARCH("Epóxico Rojo",Upload!T284&amp;Upload!U284&amp;Upload!V284&amp;Upload!W284&amp;Upload!X284))))),"",G294*0.000035)</f>
        <v/>
      </c>
    </row>
    <row r="295" spans="1:19" x14ac:dyDescent="0.2">
      <c r="A295" s="9" t="e">
        <f t="shared" ca="1" si="24"/>
        <v>#NAME?</v>
      </c>
      <c r="B295" s="9">
        <f>Upload!G285</f>
        <v>0</v>
      </c>
      <c r="C295" s="9">
        <f>Upload!AN285</f>
        <v>0</v>
      </c>
      <c r="D295" s="9">
        <f>Upload!AO285</f>
        <v>0</v>
      </c>
      <c r="E295" s="9">
        <f>Upload!AP285</f>
        <v>0</v>
      </c>
      <c r="F295" s="9" t="str">
        <f>Upload!AK285</f>
        <v/>
      </c>
      <c r="G295" s="9" t="str">
        <f>Upload!AM285</f>
        <v/>
      </c>
      <c r="H295" s="9" t="str">
        <f>Upload!AJ285</f>
        <v>(seleccione)</v>
      </c>
      <c r="I295" s="9" t="str">
        <f>Upload!AL285</f>
        <v>(seleccione)</v>
      </c>
      <c r="K295" s="15" t="str">
        <f t="shared" si="25"/>
        <v/>
      </c>
      <c r="L295" s="15" t="str">
        <f t="shared" si="26"/>
        <v/>
      </c>
      <c r="M295" s="15" t="str">
        <f t="shared" si="27"/>
        <v/>
      </c>
      <c r="N295" s="15" t="str">
        <f t="shared" si="28"/>
        <v/>
      </c>
      <c r="O295" s="15" t="str">
        <f t="shared" si="29"/>
        <v/>
      </c>
      <c r="P295" s="15" t="str">
        <f>IF(OR(C295="",NOT(OR(ISNUMBER(SEARCH("Antitarnish",Upload!R285&amp;Upload!S285&amp;Upload!T285&amp;Upload!U285&amp;Upload!V285)),ISNUMBER(SEARCH("Anti Tarnish",Upload!R285&amp;Upload!S285&amp;Upload!T285&amp;Upload!U285&amp;Upload!V285))))),"",0.0012*C295)</f>
        <v/>
      </c>
      <c r="Q295" s="15" t="str">
        <f>IF(OR(E295="",NOT(OR(ISNUMBER(SEARCH("Epóxico MT",Upload!R285&amp;Upload!S285&amp;Upload!T285&amp;Upload!U285&amp;Upload!V285))))),"",E295*0.000035)</f>
        <v/>
      </c>
      <c r="R295" s="15" t="str">
        <f>IF(OR(F295="",NOT(OR(ISNUMBER(SEARCH("Epóxico BT",Upload!S285&amp;Upload!T285&amp;Upload!U285&amp;Upload!V285&amp;Upload!W285))))),"",F295*0.000035)</f>
        <v/>
      </c>
      <c r="S295" s="15" t="str">
        <f>IF(OR(G295="",NOT(OR(ISNUMBER(SEARCH("Epóxico Rojo",Upload!T285&amp;Upload!U285&amp;Upload!V285&amp;Upload!W285&amp;Upload!X285))))),"",G295*0.000035)</f>
        <v/>
      </c>
    </row>
    <row r="296" spans="1:19" x14ac:dyDescent="0.2">
      <c r="A296" s="9" t="e">
        <f t="shared" ca="1" si="24"/>
        <v>#NAME?</v>
      </c>
      <c r="B296" s="9">
        <f>Upload!G286</f>
        <v>0</v>
      </c>
      <c r="C296" s="9">
        <f>Upload!AN286</f>
        <v>0</v>
      </c>
      <c r="D296" s="9">
        <f>Upload!AO286</f>
        <v>0</v>
      </c>
      <c r="E296" s="9">
        <f>Upload!AP286</f>
        <v>0</v>
      </c>
      <c r="F296" s="9" t="str">
        <f>Upload!AK286</f>
        <v/>
      </c>
      <c r="G296" s="9" t="str">
        <f>Upload!AM286</f>
        <v/>
      </c>
      <c r="H296" s="9" t="str">
        <f>Upload!AJ286</f>
        <v>(seleccione)</v>
      </c>
      <c r="I296" s="9" t="str">
        <f>Upload!AL286</f>
        <v>(seleccione)</v>
      </c>
      <c r="K296" s="15" t="str">
        <f t="shared" si="25"/>
        <v/>
      </c>
      <c r="L296" s="15" t="str">
        <f t="shared" si="26"/>
        <v/>
      </c>
      <c r="M296" s="15" t="str">
        <f t="shared" si="27"/>
        <v/>
      </c>
      <c r="N296" s="15" t="str">
        <f t="shared" si="28"/>
        <v/>
      </c>
      <c r="O296" s="15" t="str">
        <f t="shared" si="29"/>
        <v/>
      </c>
      <c r="P296" s="15" t="str">
        <f>IF(OR(C296="",NOT(OR(ISNUMBER(SEARCH("Antitarnish",Upload!R286&amp;Upload!S286&amp;Upload!T286&amp;Upload!U286&amp;Upload!V286)),ISNUMBER(SEARCH("Anti Tarnish",Upload!R286&amp;Upload!S286&amp;Upload!T286&amp;Upload!U286&amp;Upload!V286))))),"",0.0012*C296)</f>
        <v/>
      </c>
      <c r="Q296" s="15" t="str">
        <f>IF(OR(E296="",NOT(OR(ISNUMBER(SEARCH("Epóxico MT",Upload!R286&amp;Upload!S286&amp;Upload!T286&amp;Upload!U286&amp;Upload!V286))))),"",E296*0.000035)</f>
        <v/>
      </c>
      <c r="R296" s="15" t="str">
        <f>IF(OR(F296="",NOT(OR(ISNUMBER(SEARCH("Epóxico BT",Upload!S286&amp;Upload!T286&amp;Upload!U286&amp;Upload!V286&amp;Upload!W286))))),"",F296*0.000035)</f>
        <v/>
      </c>
      <c r="S296" s="15" t="str">
        <f>IF(OR(G296="",NOT(OR(ISNUMBER(SEARCH("Epóxico Rojo",Upload!T286&amp;Upload!U286&amp;Upload!V286&amp;Upload!W286&amp;Upload!X286))))),"",G296*0.000035)</f>
        <v/>
      </c>
    </row>
    <row r="297" spans="1:19" x14ac:dyDescent="0.2">
      <c r="A297" s="9" t="e">
        <f t="shared" ca="1" si="24"/>
        <v>#NAME?</v>
      </c>
      <c r="B297" s="9">
        <f>Upload!G287</f>
        <v>0</v>
      </c>
      <c r="C297" s="9">
        <f>Upload!AN287</f>
        <v>0</v>
      </c>
      <c r="D297" s="9">
        <f>Upload!AO287</f>
        <v>0</v>
      </c>
      <c r="E297" s="9">
        <f>Upload!AP287</f>
        <v>0</v>
      </c>
      <c r="F297" s="9" t="str">
        <f>Upload!AK287</f>
        <v/>
      </c>
      <c r="G297" s="9" t="str">
        <f>Upload!AM287</f>
        <v/>
      </c>
      <c r="H297" s="9" t="str">
        <f>Upload!AJ287</f>
        <v>(seleccione)</v>
      </c>
      <c r="I297" s="9" t="str">
        <f>Upload!AL287</f>
        <v>(seleccione)</v>
      </c>
      <c r="K297" s="15" t="str">
        <f t="shared" si="25"/>
        <v/>
      </c>
      <c r="L297" s="15" t="str">
        <f t="shared" si="26"/>
        <v/>
      </c>
      <c r="M297" s="15" t="str">
        <f t="shared" si="27"/>
        <v/>
      </c>
      <c r="N297" s="15" t="str">
        <f t="shared" si="28"/>
        <v/>
      </c>
      <c r="O297" s="15" t="str">
        <f t="shared" si="29"/>
        <v/>
      </c>
      <c r="P297" s="15" t="str">
        <f>IF(OR(C297="",NOT(OR(ISNUMBER(SEARCH("Antitarnish",Upload!R287&amp;Upload!S287&amp;Upload!T287&amp;Upload!U287&amp;Upload!V287)),ISNUMBER(SEARCH("Anti Tarnish",Upload!R287&amp;Upload!S287&amp;Upload!T287&amp;Upload!U287&amp;Upload!V287))))),"",0.0012*C297)</f>
        <v/>
      </c>
      <c r="Q297" s="15" t="str">
        <f>IF(OR(E297="",NOT(OR(ISNUMBER(SEARCH("Epóxico MT",Upload!R287&amp;Upload!S287&amp;Upload!T287&amp;Upload!U287&amp;Upload!V287))))),"",E297*0.000035)</f>
        <v/>
      </c>
      <c r="R297" s="15" t="str">
        <f>IF(OR(F297="",NOT(OR(ISNUMBER(SEARCH("Epóxico BT",Upload!S287&amp;Upload!T287&amp;Upload!U287&amp;Upload!V287&amp;Upload!W287))))),"",F297*0.000035)</f>
        <v/>
      </c>
      <c r="S297" s="15" t="str">
        <f>IF(OR(G297="",NOT(OR(ISNUMBER(SEARCH("Epóxico Rojo",Upload!T287&amp;Upload!U287&amp;Upload!V287&amp;Upload!W287&amp;Upload!X287))))),"",G297*0.000035)</f>
        <v/>
      </c>
    </row>
    <row r="298" spans="1:19" x14ac:dyDescent="0.2">
      <c r="A298" s="9" t="e">
        <f t="shared" ca="1" si="24"/>
        <v>#NAME?</v>
      </c>
      <c r="B298" s="9">
        <f>Upload!G288</f>
        <v>0</v>
      </c>
      <c r="C298" s="9">
        <f>Upload!AN288</f>
        <v>0</v>
      </c>
      <c r="D298" s="9">
        <f>Upload!AO288</f>
        <v>0</v>
      </c>
      <c r="E298" s="9">
        <f>Upload!AP288</f>
        <v>0</v>
      </c>
      <c r="F298" s="9" t="str">
        <f>Upload!AK288</f>
        <v/>
      </c>
      <c r="G298" s="9" t="str">
        <f>Upload!AM288</f>
        <v/>
      </c>
      <c r="H298" s="9" t="str">
        <f>Upload!AJ288</f>
        <v>(seleccione)</v>
      </c>
      <c r="I298" s="9" t="str">
        <f>Upload!AL288</f>
        <v>(seleccione)</v>
      </c>
      <c r="K298" s="15" t="str">
        <f t="shared" si="25"/>
        <v/>
      </c>
      <c r="L298" s="15" t="str">
        <f t="shared" si="26"/>
        <v/>
      </c>
      <c r="M298" s="15" t="str">
        <f t="shared" si="27"/>
        <v/>
      </c>
      <c r="N298" s="15" t="str">
        <f t="shared" si="28"/>
        <v/>
      </c>
      <c r="O298" s="15" t="str">
        <f t="shared" si="29"/>
        <v/>
      </c>
      <c r="P298" s="15" t="str">
        <f>IF(OR(C298="",NOT(OR(ISNUMBER(SEARCH("Antitarnish",Upload!R288&amp;Upload!S288&amp;Upload!T288&amp;Upload!U288&amp;Upload!V288)),ISNUMBER(SEARCH("Anti Tarnish",Upload!R288&amp;Upload!S288&amp;Upload!T288&amp;Upload!U288&amp;Upload!V288))))),"",0.0012*C298)</f>
        <v/>
      </c>
      <c r="Q298" s="15" t="str">
        <f>IF(OR(E298="",NOT(OR(ISNUMBER(SEARCH("Epóxico MT",Upload!R288&amp;Upload!S288&amp;Upload!T288&amp;Upload!U288&amp;Upload!V288))))),"",E298*0.000035)</f>
        <v/>
      </c>
      <c r="R298" s="15" t="str">
        <f>IF(OR(F298="",NOT(OR(ISNUMBER(SEARCH("Epóxico BT",Upload!S288&amp;Upload!T288&amp;Upload!U288&amp;Upload!V288&amp;Upload!W288))))),"",F298*0.000035)</f>
        <v/>
      </c>
      <c r="S298" s="15" t="str">
        <f>IF(OR(G298="",NOT(OR(ISNUMBER(SEARCH("Epóxico Rojo",Upload!T288&amp;Upload!U288&amp;Upload!V288&amp;Upload!W288&amp;Upload!X288))))),"",G298*0.000035)</f>
        <v/>
      </c>
    </row>
    <row r="299" spans="1:19" x14ac:dyDescent="0.2">
      <c r="A299" s="9" t="e">
        <f t="shared" ca="1" si="24"/>
        <v>#NAME?</v>
      </c>
      <c r="B299" s="9">
        <f>Upload!G289</f>
        <v>0</v>
      </c>
      <c r="C299" s="9">
        <f>Upload!AN289</f>
        <v>0</v>
      </c>
      <c r="D299" s="9">
        <f>Upload!AO289</f>
        <v>0</v>
      </c>
      <c r="E299" s="9">
        <f>Upload!AP289</f>
        <v>0</v>
      </c>
      <c r="F299" s="9" t="str">
        <f>Upload!AK289</f>
        <v/>
      </c>
      <c r="G299" s="9" t="str">
        <f>Upload!AM289</f>
        <v/>
      </c>
      <c r="H299" s="9" t="str">
        <f>Upload!AJ289</f>
        <v>(seleccione)</v>
      </c>
      <c r="I299" s="9" t="str">
        <f>Upload!AL289</f>
        <v>(seleccione)</v>
      </c>
      <c r="K299" s="15" t="str">
        <f t="shared" si="25"/>
        <v/>
      </c>
      <c r="L299" s="15" t="str">
        <f t="shared" si="26"/>
        <v/>
      </c>
      <c r="M299" s="15" t="str">
        <f t="shared" si="27"/>
        <v/>
      </c>
      <c r="N299" s="15" t="str">
        <f t="shared" si="28"/>
        <v/>
      </c>
      <c r="O299" s="15" t="str">
        <f t="shared" si="29"/>
        <v/>
      </c>
      <c r="P299" s="15" t="str">
        <f>IF(OR(C299="",NOT(OR(ISNUMBER(SEARCH("Antitarnish",Upload!R289&amp;Upload!S289&amp;Upload!T289&amp;Upload!U289&amp;Upload!V289)),ISNUMBER(SEARCH("Anti Tarnish",Upload!R289&amp;Upload!S289&amp;Upload!T289&amp;Upload!U289&amp;Upload!V289))))),"",0.0012*C299)</f>
        <v/>
      </c>
      <c r="Q299" s="15" t="str">
        <f>IF(OR(E299="",NOT(OR(ISNUMBER(SEARCH("Epóxico MT",Upload!R289&amp;Upload!S289&amp;Upload!T289&amp;Upload!U289&amp;Upload!V289))))),"",E299*0.000035)</f>
        <v/>
      </c>
      <c r="R299" s="15" t="str">
        <f>IF(OR(F299="",NOT(OR(ISNUMBER(SEARCH("Epóxico BT",Upload!S289&amp;Upload!T289&amp;Upload!U289&amp;Upload!V289&amp;Upload!W289))))),"",F299*0.000035)</f>
        <v/>
      </c>
      <c r="S299" s="15" t="str">
        <f>IF(OR(G299="",NOT(OR(ISNUMBER(SEARCH("Epóxico Rojo",Upload!T289&amp;Upload!U289&amp;Upload!V289&amp;Upload!W289&amp;Upload!X289))))),"",G299*0.000035)</f>
        <v/>
      </c>
    </row>
    <row r="300" spans="1:19" x14ac:dyDescent="0.2">
      <c r="A300" s="9" t="e">
        <f t="shared" ca="1" si="24"/>
        <v>#NAME?</v>
      </c>
      <c r="B300" s="9">
        <f>Upload!G290</f>
        <v>0</v>
      </c>
      <c r="C300" s="9">
        <f>Upload!AN290</f>
        <v>0</v>
      </c>
      <c r="D300" s="9">
        <f>Upload!AO290</f>
        <v>0</v>
      </c>
      <c r="E300" s="9">
        <f>Upload!AP290</f>
        <v>0</v>
      </c>
      <c r="F300" s="9" t="str">
        <f>Upload!AK290</f>
        <v/>
      </c>
      <c r="G300" s="9" t="str">
        <f>Upload!AM290</f>
        <v/>
      </c>
      <c r="H300" s="9" t="str">
        <f>Upload!AJ290</f>
        <v>(seleccione)</v>
      </c>
      <c r="I300" s="9" t="str">
        <f>Upload!AL290</f>
        <v>(seleccione)</v>
      </c>
      <c r="K300" s="15" t="str">
        <f t="shared" si="25"/>
        <v/>
      </c>
      <c r="L300" s="15" t="str">
        <f t="shared" si="26"/>
        <v/>
      </c>
      <c r="M300" s="15" t="str">
        <f t="shared" si="27"/>
        <v/>
      </c>
      <c r="N300" s="15" t="str">
        <f t="shared" si="28"/>
        <v/>
      </c>
      <c r="O300" s="15" t="str">
        <f t="shared" si="29"/>
        <v/>
      </c>
      <c r="P300" s="15" t="str">
        <f>IF(OR(C300="",NOT(OR(ISNUMBER(SEARCH("Antitarnish",Upload!R290&amp;Upload!S290&amp;Upload!T290&amp;Upload!U290&amp;Upload!V290)),ISNUMBER(SEARCH("Anti Tarnish",Upload!R290&amp;Upload!S290&amp;Upload!T290&amp;Upload!U290&amp;Upload!V290))))),"",0.0012*C300)</f>
        <v/>
      </c>
      <c r="Q300" s="15" t="str">
        <f>IF(OR(E300="",NOT(OR(ISNUMBER(SEARCH("Epóxico MT",Upload!R290&amp;Upload!S290&amp;Upload!T290&amp;Upload!U290&amp;Upload!V290))))),"",E300*0.000035)</f>
        <v/>
      </c>
      <c r="R300" s="15" t="str">
        <f>IF(OR(F300="",NOT(OR(ISNUMBER(SEARCH("Epóxico BT",Upload!S290&amp;Upload!T290&amp;Upload!U290&amp;Upload!V290&amp;Upload!W290))))),"",F300*0.000035)</f>
        <v/>
      </c>
      <c r="S300" s="15" t="str">
        <f>IF(OR(G300="",NOT(OR(ISNUMBER(SEARCH("Epóxico Rojo",Upload!T290&amp;Upload!U290&amp;Upload!V290&amp;Upload!W290&amp;Upload!X290))))),"",G300*0.000035)</f>
        <v/>
      </c>
    </row>
    <row r="301" spans="1:19" x14ac:dyDescent="0.2">
      <c r="A301" s="9" t="e">
        <f t="shared" ca="1" si="24"/>
        <v>#NAME?</v>
      </c>
      <c r="B301" s="9">
        <f>Upload!G291</f>
        <v>0</v>
      </c>
      <c r="C301" s="9">
        <f>Upload!AN291</f>
        <v>0</v>
      </c>
      <c r="D301" s="9">
        <f>Upload!AO291</f>
        <v>0</v>
      </c>
      <c r="E301" s="9">
        <f>Upload!AP291</f>
        <v>0</v>
      </c>
      <c r="F301" s="9" t="str">
        <f>Upload!AK291</f>
        <v/>
      </c>
      <c r="G301" s="9" t="str">
        <f>Upload!AM291</f>
        <v/>
      </c>
      <c r="H301" s="9" t="str">
        <f>Upload!AJ291</f>
        <v>(seleccione)</v>
      </c>
      <c r="I301" s="9" t="str">
        <f>Upload!AL291</f>
        <v>(seleccione)</v>
      </c>
      <c r="K301" s="15" t="str">
        <f t="shared" si="25"/>
        <v/>
      </c>
      <c r="L301" s="15" t="str">
        <f t="shared" si="26"/>
        <v/>
      </c>
      <c r="M301" s="15" t="str">
        <f t="shared" si="27"/>
        <v/>
      </c>
      <c r="N301" s="15" t="str">
        <f t="shared" si="28"/>
        <v/>
      </c>
      <c r="O301" s="15" t="str">
        <f t="shared" si="29"/>
        <v/>
      </c>
      <c r="P301" s="15" t="str">
        <f>IF(OR(C301="",NOT(OR(ISNUMBER(SEARCH("Antitarnish",Upload!R291&amp;Upload!S291&amp;Upload!T291&amp;Upload!U291&amp;Upload!V291)),ISNUMBER(SEARCH("Anti Tarnish",Upload!R291&amp;Upload!S291&amp;Upload!T291&amp;Upload!U291&amp;Upload!V291))))),"",0.0012*C301)</f>
        <v/>
      </c>
      <c r="Q301" s="15" t="str">
        <f>IF(OR(E301="",NOT(OR(ISNUMBER(SEARCH("Epóxico MT",Upload!R291&amp;Upload!S291&amp;Upload!T291&amp;Upload!U291&amp;Upload!V291))))),"",E301*0.000035)</f>
        <v/>
      </c>
      <c r="R301" s="15" t="str">
        <f>IF(OR(F301="",NOT(OR(ISNUMBER(SEARCH("Epóxico BT",Upload!S291&amp;Upload!T291&amp;Upload!U291&amp;Upload!V291&amp;Upload!W291))))),"",F301*0.000035)</f>
        <v/>
      </c>
      <c r="S301" s="15" t="str">
        <f>IF(OR(G301="",NOT(OR(ISNUMBER(SEARCH("Epóxico Rojo",Upload!T291&amp;Upload!U291&amp;Upload!V291&amp;Upload!W291&amp;Upload!X291))))),"",G301*0.000035)</f>
        <v/>
      </c>
    </row>
    <row r="302" spans="1:19" x14ac:dyDescent="0.2">
      <c r="A302" s="9" t="e">
        <f t="shared" ca="1" si="24"/>
        <v>#NAME?</v>
      </c>
      <c r="B302" s="9">
        <f>Upload!G292</f>
        <v>0</v>
      </c>
      <c r="C302" s="9">
        <f>Upload!AN292</f>
        <v>0</v>
      </c>
      <c r="D302" s="9">
        <f>Upload!AO292</f>
        <v>0</v>
      </c>
      <c r="E302" s="9">
        <f>Upload!AP292</f>
        <v>0</v>
      </c>
      <c r="F302" s="9" t="str">
        <f>Upload!AK292</f>
        <v/>
      </c>
      <c r="G302" s="9" t="str">
        <f>Upload!AM292</f>
        <v/>
      </c>
      <c r="H302" s="9" t="str">
        <f>Upload!AJ292</f>
        <v>(seleccione)</v>
      </c>
      <c r="I302" s="9" t="str">
        <f>Upload!AL292</f>
        <v>(seleccione)</v>
      </c>
      <c r="K302" s="15" t="str">
        <f t="shared" si="25"/>
        <v/>
      </c>
      <c r="L302" s="15" t="str">
        <f t="shared" si="26"/>
        <v/>
      </c>
      <c r="M302" s="15" t="str">
        <f t="shared" si="27"/>
        <v/>
      </c>
      <c r="N302" s="15" t="str">
        <f t="shared" si="28"/>
        <v/>
      </c>
      <c r="O302" s="15" t="str">
        <f t="shared" si="29"/>
        <v/>
      </c>
      <c r="P302" s="15" t="str">
        <f>IF(OR(C302="",NOT(OR(ISNUMBER(SEARCH("Antitarnish",Upload!R292&amp;Upload!S292&amp;Upload!T292&amp;Upload!U292&amp;Upload!V292)),ISNUMBER(SEARCH("Anti Tarnish",Upload!R292&amp;Upload!S292&amp;Upload!T292&amp;Upload!U292&amp;Upload!V292))))),"",0.0012*C302)</f>
        <v/>
      </c>
      <c r="Q302" s="15" t="str">
        <f>IF(OR(E302="",NOT(OR(ISNUMBER(SEARCH("Epóxico MT",Upload!R292&amp;Upload!S292&amp;Upload!T292&amp;Upload!U292&amp;Upload!V292))))),"",E302*0.000035)</f>
        <v/>
      </c>
      <c r="R302" s="15" t="str">
        <f>IF(OR(F302="",NOT(OR(ISNUMBER(SEARCH("Epóxico BT",Upload!S292&amp;Upload!T292&amp;Upload!U292&amp;Upload!V292&amp;Upload!W292))))),"",F302*0.000035)</f>
        <v/>
      </c>
      <c r="S302" s="15" t="str">
        <f>IF(OR(G302="",NOT(OR(ISNUMBER(SEARCH("Epóxico Rojo",Upload!T292&amp;Upload!U292&amp;Upload!V292&amp;Upload!W292&amp;Upload!X292))))),"",G302*0.000035)</f>
        <v/>
      </c>
    </row>
    <row r="303" spans="1:19" x14ac:dyDescent="0.2">
      <c r="A303" s="9" t="e">
        <f t="shared" ca="1" si="24"/>
        <v>#NAME?</v>
      </c>
      <c r="B303" s="9">
        <f>Upload!G293</f>
        <v>0</v>
      </c>
      <c r="C303" s="9">
        <f>Upload!AN293</f>
        <v>0</v>
      </c>
      <c r="D303" s="9">
        <f>Upload!AO293</f>
        <v>0</v>
      </c>
      <c r="E303" s="9">
        <f>Upload!AP293</f>
        <v>0</v>
      </c>
      <c r="F303" s="9" t="str">
        <f>Upload!AK293</f>
        <v/>
      </c>
      <c r="G303" s="9" t="str">
        <f>Upload!AM293</f>
        <v/>
      </c>
      <c r="H303" s="9" t="str">
        <f>Upload!AJ293</f>
        <v>(seleccione)</v>
      </c>
      <c r="I303" s="9" t="str">
        <f>Upload!AL293</f>
        <v>(seleccione)</v>
      </c>
      <c r="K303" s="15" t="str">
        <f t="shared" si="25"/>
        <v/>
      </c>
      <c r="L303" s="15" t="str">
        <f t="shared" si="26"/>
        <v/>
      </c>
      <c r="M303" s="15" t="str">
        <f t="shared" si="27"/>
        <v/>
      </c>
      <c r="N303" s="15" t="str">
        <f t="shared" si="28"/>
        <v/>
      </c>
      <c r="O303" s="15" t="str">
        <f t="shared" si="29"/>
        <v/>
      </c>
      <c r="P303" s="15" t="str">
        <f>IF(OR(C303="",NOT(OR(ISNUMBER(SEARCH("Antitarnish",Upload!R293&amp;Upload!S293&amp;Upload!T293&amp;Upload!U293&amp;Upload!V293)),ISNUMBER(SEARCH("Anti Tarnish",Upload!R293&amp;Upload!S293&amp;Upload!T293&amp;Upload!U293&amp;Upload!V293))))),"",0.0012*C303)</f>
        <v/>
      </c>
      <c r="Q303" s="15" t="str">
        <f>IF(OR(E303="",NOT(OR(ISNUMBER(SEARCH("Epóxico MT",Upload!R293&amp;Upload!S293&amp;Upload!T293&amp;Upload!U293&amp;Upload!V293))))),"",E303*0.000035)</f>
        <v/>
      </c>
      <c r="R303" s="15" t="str">
        <f>IF(OR(F303="",NOT(OR(ISNUMBER(SEARCH("Epóxico BT",Upload!S293&amp;Upload!T293&amp;Upload!U293&amp;Upload!V293&amp;Upload!W293))))),"",F303*0.000035)</f>
        <v/>
      </c>
      <c r="S303" s="15" t="str">
        <f>IF(OR(G303="",NOT(OR(ISNUMBER(SEARCH("Epóxico Rojo",Upload!T293&amp;Upload!U293&amp;Upload!V293&amp;Upload!W293&amp;Upload!X293))))),"",G303*0.000035)</f>
        <v/>
      </c>
    </row>
    <row r="304" spans="1:19" x14ac:dyDescent="0.2">
      <c r="A304" s="9" t="e">
        <f t="shared" ca="1" si="24"/>
        <v>#NAME?</v>
      </c>
      <c r="B304" s="9">
        <f>Upload!G294</f>
        <v>0</v>
      </c>
      <c r="C304" s="9">
        <f>Upload!AN294</f>
        <v>0</v>
      </c>
      <c r="D304" s="9">
        <f>Upload!AO294</f>
        <v>0</v>
      </c>
      <c r="E304" s="9">
        <f>Upload!AP294</f>
        <v>0</v>
      </c>
      <c r="F304" s="9" t="str">
        <f>Upload!AK294</f>
        <v/>
      </c>
      <c r="G304" s="9" t="str">
        <f>Upload!AM294</f>
        <v/>
      </c>
      <c r="H304" s="9" t="str">
        <f>Upload!AJ294</f>
        <v>(seleccione)</v>
      </c>
      <c r="I304" s="9" t="str">
        <f>Upload!AL294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IF(OR(C304="",NOT(OR(ISNUMBER(SEARCH("Antitarnish",Upload!R294&amp;Upload!S294&amp;Upload!T294&amp;Upload!U294&amp;Upload!V294)),ISNUMBER(SEARCH("Anti Tarnish",Upload!R294&amp;Upload!S294&amp;Upload!T294&amp;Upload!U294&amp;Upload!V294))))),"",0.0012*C304)</f>
        <v/>
      </c>
      <c r="Q304" s="15" t="str">
        <f>IF(OR(E304="",NOT(OR(ISNUMBER(SEARCH("Epóxico MT",Upload!R294&amp;Upload!S294&amp;Upload!T294&amp;Upload!U294&amp;Upload!V294))))),"",E304*0.000035)</f>
        <v/>
      </c>
      <c r="R304" s="15" t="str">
        <f>IF(OR(F304="",NOT(OR(ISNUMBER(SEARCH("Epóxico BT",Upload!S294&amp;Upload!T294&amp;Upload!U294&amp;Upload!V294&amp;Upload!W294))))),"",F304*0.000035)</f>
        <v/>
      </c>
      <c r="S304" s="15" t="str">
        <f>IF(OR(G304="",NOT(OR(ISNUMBER(SEARCH("Epóxico Rojo",Upload!T294&amp;Upload!U294&amp;Upload!V294&amp;Upload!W294&amp;Upload!X294))))),"",G304*0.000035)</f>
        <v/>
      </c>
    </row>
    <row r="305" spans="1:19" x14ac:dyDescent="0.2">
      <c r="A305" s="9" t="e">
        <f t="shared" ca="1" si="24"/>
        <v>#NAME?</v>
      </c>
      <c r="B305" s="9">
        <f>Upload!G295</f>
        <v>0</v>
      </c>
      <c r="C305" s="9">
        <f>Upload!AN295</f>
        <v>0</v>
      </c>
      <c r="D305" s="9">
        <f>Upload!AO295</f>
        <v>0</v>
      </c>
      <c r="E305" s="9">
        <f>Upload!AP295</f>
        <v>0</v>
      </c>
      <c r="F305" s="9" t="str">
        <f>Upload!AK295</f>
        <v/>
      </c>
      <c r="G305" s="9" t="str">
        <f>Upload!AM295</f>
        <v/>
      </c>
      <c r="H305" s="9" t="str">
        <f>Upload!AJ295</f>
        <v>(seleccione)</v>
      </c>
      <c r="I305" s="9" t="str">
        <f>Upload!AL295</f>
        <v>(seleccione)</v>
      </c>
      <c r="K305" s="15" t="str">
        <f t="shared" si="30"/>
        <v/>
      </c>
      <c r="L305" s="15" t="str">
        <f t="shared" si="31"/>
        <v/>
      </c>
      <c r="M305" s="15" t="str">
        <f t="shared" si="32"/>
        <v/>
      </c>
      <c r="N305" s="15" t="str">
        <f t="shared" si="33"/>
        <v/>
      </c>
      <c r="O305" s="15" t="str">
        <f t="shared" si="34"/>
        <v/>
      </c>
      <c r="P305" s="15" t="str">
        <f>IF(OR(C305="",NOT(OR(ISNUMBER(SEARCH("Antitarnish",Upload!R295&amp;Upload!S295&amp;Upload!T295&amp;Upload!U295&amp;Upload!V295)),ISNUMBER(SEARCH("Anti Tarnish",Upload!R295&amp;Upload!S295&amp;Upload!T295&amp;Upload!U295&amp;Upload!V295))))),"",0.0012*C305)</f>
        <v/>
      </c>
      <c r="Q305" s="15" t="str">
        <f>IF(OR(E305="",NOT(OR(ISNUMBER(SEARCH("Epóxico MT",Upload!R295&amp;Upload!S295&amp;Upload!T295&amp;Upload!U295&amp;Upload!V295))))),"",E305*0.000035)</f>
        <v/>
      </c>
      <c r="R305" s="15" t="str">
        <f>IF(OR(F305="",NOT(OR(ISNUMBER(SEARCH("Epóxico BT",Upload!S295&amp;Upload!T295&amp;Upload!U295&amp;Upload!V295&amp;Upload!W295))))),"",F305*0.000035)</f>
        <v/>
      </c>
      <c r="S305" s="15" t="str">
        <f>IF(OR(G305="",NOT(OR(ISNUMBER(SEARCH("Epóxico Rojo",Upload!T295&amp;Upload!U295&amp;Upload!V295&amp;Upload!W295&amp;Upload!X295))))),"",G305*0.000035)</f>
        <v/>
      </c>
    </row>
    <row r="306" spans="1:19" x14ac:dyDescent="0.2">
      <c r="A306" s="9" t="e">
        <f t="shared" ca="1" si="24"/>
        <v>#NAME?</v>
      </c>
      <c r="B306" s="9">
        <f>Upload!G296</f>
        <v>0</v>
      </c>
      <c r="C306" s="9">
        <f>Upload!AN296</f>
        <v>0</v>
      </c>
      <c r="D306" s="9">
        <f>Upload!AO296</f>
        <v>0</v>
      </c>
      <c r="E306" s="9">
        <f>Upload!AP296</f>
        <v>0</v>
      </c>
      <c r="F306" s="9" t="str">
        <f>Upload!AK296</f>
        <v/>
      </c>
      <c r="G306" s="9" t="str">
        <f>Upload!AM296</f>
        <v/>
      </c>
      <c r="H306" s="9" t="str">
        <f>Upload!AJ296</f>
        <v>(seleccione)</v>
      </c>
      <c r="I306" s="9" t="str">
        <f>Upload!AL296</f>
        <v>(seleccione)</v>
      </c>
      <c r="K306" s="15" t="str">
        <f t="shared" si="30"/>
        <v/>
      </c>
      <c r="L306" s="15" t="str">
        <f t="shared" si="31"/>
        <v/>
      </c>
      <c r="M306" s="15" t="str">
        <f t="shared" si="32"/>
        <v/>
      </c>
      <c r="N306" s="15" t="str">
        <f t="shared" si="33"/>
        <v/>
      </c>
      <c r="O306" s="15" t="str">
        <f t="shared" si="34"/>
        <v/>
      </c>
      <c r="P306" s="15" t="str">
        <f>IF(OR(C306="",NOT(OR(ISNUMBER(SEARCH("Antitarnish",Upload!R296&amp;Upload!S296&amp;Upload!T296&amp;Upload!U296&amp;Upload!V296)),ISNUMBER(SEARCH("Anti Tarnish",Upload!R296&amp;Upload!S296&amp;Upload!T296&amp;Upload!U296&amp;Upload!V296))))),"",0.0012*C306)</f>
        <v/>
      </c>
      <c r="Q306" s="15" t="str">
        <f>IF(OR(E306="",NOT(OR(ISNUMBER(SEARCH("Epóxico MT",Upload!R296&amp;Upload!S296&amp;Upload!T296&amp;Upload!U296&amp;Upload!V296))))),"",E306*0.000035)</f>
        <v/>
      </c>
      <c r="R306" s="15" t="str">
        <f>IF(OR(F306="",NOT(OR(ISNUMBER(SEARCH("Epóxico BT",Upload!S296&amp;Upload!T296&amp;Upload!U296&amp;Upload!V296&amp;Upload!W296))))),"",F306*0.000035)</f>
        <v/>
      </c>
      <c r="S306" s="15" t="str">
        <f>IF(OR(G306="",NOT(OR(ISNUMBER(SEARCH("Epóxico Rojo",Upload!T296&amp;Upload!U296&amp;Upload!V296&amp;Upload!W296&amp;Upload!X296))))),"",G306*0.000035)</f>
        <v/>
      </c>
    </row>
    <row r="307" spans="1:19" x14ac:dyDescent="0.2">
      <c r="A307" s="9" t="e">
        <f t="shared" ca="1" si="24"/>
        <v>#NAME?</v>
      </c>
      <c r="B307" s="9">
        <f>Upload!G297</f>
        <v>0</v>
      </c>
      <c r="C307" s="9">
        <f>Upload!AN297</f>
        <v>0</v>
      </c>
      <c r="D307" s="9">
        <f>Upload!AO297</f>
        <v>0</v>
      </c>
      <c r="E307" s="9">
        <f>Upload!AP297</f>
        <v>0</v>
      </c>
      <c r="F307" s="9" t="str">
        <f>Upload!AK297</f>
        <v/>
      </c>
      <c r="G307" s="9" t="str">
        <f>Upload!AM297</f>
        <v/>
      </c>
      <c r="H307" s="9" t="str">
        <f>Upload!AJ297</f>
        <v>(seleccione)</v>
      </c>
      <c r="I307" s="9" t="str">
        <f>Upload!AL297</f>
        <v>(seleccione)</v>
      </c>
      <c r="K307" s="15" t="str">
        <f t="shared" si="30"/>
        <v/>
      </c>
      <c r="L307" s="15" t="str">
        <f t="shared" si="31"/>
        <v/>
      </c>
      <c r="M307" s="15" t="str">
        <f t="shared" si="32"/>
        <v/>
      </c>
      <c r="N307" s="15" t="str">
        <f t="shared" si="33"/>
        <v/>
      </c>
      <c r="O307" s="15" t="str">
        <f t="shared" si="34"/>
        <v/>
      </c>
      <c r="P307" s="15" t="str">
        <f>IF(OR(C307="",NOT(OR(ISNUMBER(SEARCH("Antitarnish",Upload!R297&amp;Upload!S297&amp;Upload!T297&amp;Upload!U297&amp;Upload!V297)),ISNUMBER(SEARCH("Anti Tarnish",Upload!R297&amp;Upload!S297&amp;Upload!T297&amp;Upload!U297&amp;Upload!V297))))),"",0.0012*C307)</f>
        <v/>
      </c>
      <c r="Q307" s="15" t="str">
        <f>IF(OR(E307="",NOT(OR(ISNUMBER(SEARCH("Epóxico MT",Upload!R297&amp;Upload!S297&amp;Upload!T297&amp;Upload!U297&amp;Upload!V297))))),"",E307*0.000035)</f>
        <v/>
      </c>
      <c r="R307" s="15" t="str">
        <f>IF(OR(F307="",NOT(OR(ISNUMBER(SEARCH("Epóxico BT",Upload!S297&amp;Upload!T297&amp;Upload!U297&amp;Upload!V297&amp;Upload!W297))))),"",F307*0.000035)</f>
        <v/>
      </c>
      <c r="S307" s="15" t="str">
        <f>IF(OR(G307="",NOT(OR(ISNUMBER(SEARCH("Epóxico Rojo",Upload!T297&amp;Upload!U297&amp;Upload!V297&amp;Upload!W297&amp;Upload!X297))))),"",G307*0.000035)</f>
        <v/>
      </c>
    </row>
    <row r="308" spans="1:19" x14ac:dyDescent="0.2">
      <c r="A308" s="9" t="e">
        <f t="shared" ca="1" si="24"/>
        <v>#NAME?</v>
      </c>
      <c r="B308" s="9">
        <f>Upload!G298</f>
        <v>0</v>
      </c>
      <c r="C308" s="9">
        <f>Upload!AN298</f>
        <v>0</v>
      </c>
      <c r="D308" s="9">
        <f>Upload!AO298</f>
        <v>0</v>
      </c>
      <c r="E308" s="9">
        <f>Upload!AP298</f>
        <v>0</v>
      </c>
      <c r="F308" s="9" t="str">
        <f>Upload!AK298</f>
        <v/>
      </c>
      <c r="G308" s="9" t="str">
        <f>Upload!AM298</f>
        <v/>
      </c>
      <c r="H308" s="9" t="str">
        <f>Upload!AJ298</f>
        <v>(seleccione)</v>
      </c>
      <c r="I308" s="9" t="str">
        <f>Upload!AL298</f>
        <v>(seleccione)</v>
      </c>
      <c r="K308" s="15" t="str">
        <f t="shared" si="30"/>
        <v/>
      </c>
      <c r="L308" s="15" t="str">
        <f t="shared" si="31"/>
        <v/>
      </c>
      <c r="M308" s="15" t="str">
        <f t="shared" si="32"/>
        <v/>
      </c>
      <c r="N308" s="15" t="str">
        <f t="shared" si="33"/>
        <v/>
      </c>
      <c r="O308" s="15" t="str">
        <f t="shared" si="34"/>
        <v/>
      </c>
      <c r="P308" s="15" t="str">
        <f>IF(OR(C308="",NOT(OR(ISNUMBER(SEARCH("Antitarnish",Upload!R298&amp;Upload!S298&amp;Upload!T298&amp;Upload!U298&amp;Upload!V298)),ISNUMBER(SEARCH("Anti Tarnish",Upload!R298&amp;Upload!S298&amp;Upload!T298&amp;Upload!U298&amp;Upload!V298))))),"",0.0012*C308)</f>
        <v/>
      </c>
      <c r="Q308" s="15" t="str">
        <f>IF(OR(E308="",NOT(OR(ISNUMBER(SEARCH("Epóxico MT",Upload!R298&amp;Upload!S298&amp;Upload!T298&amp;Upload!U298&amp;Upload!V298))))),"",E308*0.000035)</f>
        <v/>
      </c>
      <c r="R308" s="15" t="str">
        <f>IF(OR(F308="",NOT(OR(ISNUMBER(SEARCH("Epóxico BT",Upload!S298&amp;Upload!T298&amp;Upload!U298&amp;Upload!V298&amp;Upload!W298))))),"",F308*0.000035)</f>
        <v/>
      </c>
      <c r="S308" s="15" t="str">
        <f>IF(OR(G308="",NOT(OR(ISNUMBER(SEARCH("Epóxico Rojo",Upload!T298&amp;Upload!U298&amp;Upload!V298&amp;Upload!W298&amp;Upload!X298))))),"",G308*0.000035)</f>
        <v/>
      </c>
    </row>
    <row r="309" spans="1:19" x14ac:dyDescent="0.2">
      <c r="A309" s="9" t="e">
        <f t="shared" ca="1" si="24"/>
        <v>#NAME?</v>
      </c>
      <c r="B309" s="9">
        <f>Upload!G299</f>
        <v>0</v>
      </c>
      <c r="C309" s="9">
        <f>Upload!AN299</f>
        <v>0</v>
      </c>
      <c r="D309" s="9">
        <f>Upload!AO299</f>
        <v>0</v>
      </c>
      <c r="E309" s="9">
        <f>Upload!AP299</f>
        <v>0</v>
      </c>
      <c r="F309" s="9" t="str">
        <f>Upload!AK299</f>
        <v/>
      </c>
      <c r="G309" s="9" t="str">
        <f>Upload!AM299</f>
        <v/>
      </c>
      <c r="H309" s="9" t="str">
        <f>Upload!AJ299</f>
        <v>(seleccione)</v>
      </c>
      <c r="I309" s="9" t="str">
        <f>Upload!AL299</f>
        <v>(seleccione)</v>
      </c>
      <c r="K309" s="15" t="str">
        <f t="shared" si="30"/>
        <v/>
      </c>
      <c r="L309" s="15" t="str">
        <f t="shared" si="31"/>
        <v/>
      </c>
      <c r="M309" s="15" t="str">
        <f t="shared" si="32"/>
        <v/>
      </c>
      <c r="N309" s="15" t="str">
        <f t="shared" si="33"/>
        <v/>
      </c>
      <c r="O309" s="15" t="str">
        <f t="shared" si="34"/>
        <v/>
      </c>
      <c r="P309" s="15" t="str">
        <f>IF(OR(C309="",NOT(OR(ISNUMBER(SEARCH("Antitarnish",Upload!R299&amp;Upload!S299&amp;Upload!T299&amp;Upload!U299&amp;Upload!V299)),ISNUMBER(SEARCH("Anti Tarnish",Upload!R299&amp;Upload!S299&amp;Upload!T299&amp;Upload!U299&amp;Upload!V299))))),"",0.0012*C309)</f>
        <v/>
      </c>
      <c r="Q309" s="15" t="str">
        <f>IF(OR(E309="",NOT(OR(ISNUMBER(SEARCH("Epóxico MT",Upload!R299&amp;Upload!S299&amp;Upload!T299&amp;Upload!U299&amp;Upload!V299))))),"",E309*0.000035)</f>
        <v/>
      </c>
      <c r="R309" s="15" t="str">
        <f>IF(OR(F309="",NOT(OR(ISNUMBER(SEARCH("Epóxico BT",Upload!S299&amp;Upload!T299&amp;Upload!U299&amp;Upload!V299&amp;Upload!W299))))),"",F309*0.000035)</f>
        <v/>
      </c>
      <c r="S309" s="15" t="str">
        <f>IF(OR(G309="",NOT(OR(ISNUMBER(SEARCH("Epóxico Rojo",Upload!T299&amp;Upload!U299&amp;Upload!V299&amp;Upload!W299&amp;Upload!X299))))),"",G309*0.000035)</f>
        <v/>
      </c>
    </row>
    <row r="310" spans="1:19" x14ac:dyDescent="0.2">
      <c r="A310" s="9" t="e">
        <f t="shared" ca="1" si="24"/>
        <v>#NAME?</v>
      </c>
      <c r="B310" s="9">
        <f>Upload!G300</f>
        <v>0</v>
      </c>
      <c r="C310" s="9">
        <f>Upload!AN300</f>
        <v>0</v>
      </c>
      <c r="D310" s="9">
        <f>Upload!AO300</f>
        <v>0</v>
      </c>
      <c r="E310" s="9">
        <f>Upload!AP300</f>
        <v>0</v>
      </c>
      <c r="F310" s="9" t="str">
        <f>Upload!AK300</f>
        <v/>
      </c>
      <c r="G310" s="9" t="str">
        <f>Upload!AM300</f>
        <v/>
      </c>
      <c r="H310" s="9" t="str">
        <f>Upload!AJ300</f>
        <v>(seleccione)</v>
      </c>
      <c r="I310" s="9" t="str">
        <f>Upload!AL300</f>
        <v>(seleccione)</v>
      </c>
      <c r="K310" s="15" t="str">
        <f t="shared" si="30"/>
        <v/>
      </c>
      <c r="L310" s="15" t="str">
        <f t="shared" si="31"/>
        <v/>
      </c>
      <c r="M310" s="15" t="str">
        <f t="shared" si="32"/>
        <v/>
      </c>
      <c r="N310" s="15" t="str">
        <f t="shared" si="33"/>
        <v/>
      </c>
      <c r="O310" s="15" t="str">
        <f t="shared" si="34"/>
        <v/>
      </c>
      <c r="P310" s="15" t="str">
        <f>IF(OR(C310="",NOT(OR(ISNUMBER(SEARCH("Antitarnish",Upload!R300&amp;Upload!S300&amp;Upload!T300&amp;Upload!U300&amp;Upload!V300)),ISNUMBER(SEARCH("Anti Tarnish",Upload!R300&amp;Upload!S300&amp;Upload!T300&amp;Upload!U300&amp;Upload!V300))))),"",0.0012*C310)</f>
        <v/>
      </c>
      <c r="Q310" s="15" t="str">
        <f>IF(OR(E310="",NOT(OR(ISNUMBER(SEARCH("Epóxico MT",Upload!R300&amp;Upload!S300&amp;Upload!T300&amp;Upload!U300&amp;Upload!V300))))),"",E310*0.000035)</f>
        <v/>
      </c>
      <c r="R310" s="15" t="str">
        <f>IF(OR(F310="",NOT(OR(ISNUMBER(SEARCH("Epóxico BT",Upload!S300&amp;Upload!T300&amp;Upload!U300&amp;Upload!V300&amp;Upload!W300))))),"",F310*0.000035)</f>
        <v/>
      </c>
      <c r="S310" s="15" t="str">
        <f>IF(OR(G310="",NOT(OR(ISNUMBER(SEARCH("Epóxico Rojo",Upload!T300&amp;Upload!U300&amp;Upload!V300&amp;Upload!W300&amp;Upload!X300))))),"",G310*0.000035)</f>
        <v/>
      </c>
    </row>
    <row r="311" spans="1:19" x14ac:dyDescent="0.2">
      <c r="A311" s="9" t="e">
        <f t="shared" ca="1" si="24"/>
        <v>#NAME?</v>
      </c>
      <c r="B311" s="9">
        <f>Upload!G301</f>
        <v>0</v>
      </c>
      <c r="C311" s="9">
        <f>Upload!AN301</f>
        <v>0</v>
      </c>
      <c r="D311" s="9">
        <f>Upload!AO301</f>
        <v>0</v>
      </c>
      <c r="E311" s="9">
        <f>Upload!AP301</f>
        <v>0</v>
      </c>
      <c r="F311" s="9" t="str">
        <f>Upload!AK301</f>
        <v/>
      </c>
      <c r="G311" s="9" t="str">
        <f>Upload!AM301</f>
        <v/>
      </c>
      <c r="H311" s="9" t="str">
        <f>Upload!AJ301</f>
        <v>(seleccione)</v>
      </c>
      <c r="I311" s="9" t="str">
        <f>Upload!AL301</f>
        <v>(seleccione)</v>
      </c>
      <c r="K311" s="15" t="str">
        <f t="shared" si="30"/>
        <v/>
      </c>
      <c r="L311" s="15" t="str">
        <f t="shared" si="31"/>
        <v/>
      </c>
      <c r="M311" s="15" t="str">
        <f t="shared" si="32"/>
        <v/>
      </c>
      <c r="N311" s="15" t="str">
        <f t="shared" si="33"/>
        <v/>
      </c>
      <c r="O311" s="15" t="str">
        <f t="shared" si="34"/>
        <v/>
      </c>
      <c r="P311" s="15" t="str">
        <f>IF(OR(C311="",NOT(OR(ISNUMBER(SEARCH("Antitarnish",Upload!R301&amp;Upload!S301&amp;Upload!T301&amp;Upload!U301&amp;Upload!V301)),ISNUMBER(SEARCH("Anti Tarnish",Upload!R301&amp;Upload!S301&amp;Upload!T301&amp;Upload!U301&amp;Upload!V301))))),"",0.0012*C311)</f>
        <v/>
      </c>
      <c r="Q311" s="15" t="str">
        <f>IF(OR(E311="",NOT(OR(ISNUMBER(SEARCH("Epóxico MT",Upload!R301&amp;Upload!S301&amp;Upload!T301&amp;Upload!U301&amp;Upload!V301))))),"",E311*0.000035)</f>
        <v/>
      </c>
      <c r="R311" s="15" t="str">
        <f>IF(OR(F311="",NOT(OR(ISNUMBER(SEARCH("Epóxico BT",Upload!S301&amp;Upload!T301&amp;Upload!U301&amp;Upload!V301&amp;Upload!W301))))),"",F311*0.000035)</f>
        <v/>
      </c>
      <c r="S311" s="15" t="str">
        <f>IF(OR(G311="",NOT(OR(ISNUMBER(SEARCH("Epóxico Rojo",Upload!T301&amp;Upload!U301&amp;Upload!V301&amp;Upload!W301&amp;Upload!X301))))),"",G311*0.000035)</f>
        <v/>
      </c>
    </row>
    <row r="312" spans="1:19" x14ac:dyDescent="0.2">
      <c r="A312" s="9" t="e">
        <f t="shared" ca="1" si="24"/>
        <v>#NAME?</v>
      </c>
      <c r="B312" s="9">
        <f>Upload!G302</f>
        <v>0</v>
      </c>
      <c r="C312" s="9">
        <f>Upload!AN302</f>
        <v>0</v>
      </c>
      <c r="D312" s="9">
        <f>Upload!AO302</f>
        <v>0</v>
      </c>
      <c r="E312" s="9">
        <f>Upload!AP302</f>
        <v>0</v>
      </c>
      <c r="F312" s="9" t="str">
        <f>Upload!AK302</f>
        <v/>
      </c>
      <c r="G312" s="9" t="str">
        <f>Upload!AM302</f>
        <v/>
      </c>
      <c r="H312" s="9" t="str">
        <f>Upload!AJ302</f>
        <v>(seleccione)</v>
      </c>
      <c r="I312" s="9" t="str">
        <f>Upload!AL302</f>
        <v>(seleccione)</v>
      </c>
      <c r="K312" s="15" t="str">
        <f t="shared" si="30"/>
        <v/>
      </c>
      <c r="L312" s="15" t="str">
        <f t="shared" si="31"/>
        <v/>
      </c>
      <c r="M312" s="15" t="str">
        <f t="shared" si="32"/>
        <v/>
      </c>
      <c r="N312" s="15" t="str">
        <f t="shared" si="33"/>
        <v/>
      </c>
      <c r="O312" s="15" t="str">
        <f t="shared" si="34"/>
        <v/>
      </c>
      <c r="P312" s="15" t="str">
        <f>IF(OR(C312="",NOT(OR(ISNUMBER(SEARCH("Antitarnish",Upload!R302&amp;Upload!S302&amp;Upload!T302&amp;Upload!U302&amp;Upload!V302)),ISNUMBER(SEARCH("Anti Tarnish",Upload!R302&amp;Upload!S302&amp;Upload!T302&amp;Upload!U302&amp;Upload!V302))))),"",0.0012*C312)</f>
        <v/>
      </c>
      <c r="Q312" s="15" t="str">
        <f>IF(OR(E312="",NOT(OR(ISNUMBER(SEARCH("Epóxico MT",Upload!R302&amp;Upload!S302&amp;Upload!T302&amp;Upload!U302&amp;Upload!V302))))),"",E312*0.000035)</f>
        <v/>
      </c>
      <c r="R312" s="15" t="str">
        <f>IF(OR(F312="",NOT(OR(ISNUMBER(SEARCH("Epóxico BT",Upload!S302&amp;Upload!T302&amp;Upload!U302&amp;Upload!V302&amp;Upload!W302))))),"",F312*0.000035)</f>
        <v/>
      </c>
      <c r="S312" s="15" t="str">
        <f>IF(OR(G312="",NOT(OR(ISNUMBER(SEARCH("Epóxico Rojo",Upload!T302&amp;Upload!U302&amp;Upload!V302&amp;Upload!W302&amp;Upload!X302))))),"",G312*0.000035)</f>
        <v/>
      </c>
    </row>
    <row r="313" spans="1:19" x14ac:dyDescent="0.2">
      <c r="A313" s="9" t="e">
        <f t="shared" ca="1" si="24"/>
        <v>#NAME?</v>
      </c>
      <c r="B313" s="9">
        <f>Upload!G303</f>
        <v>0</v>
      </c>
      <c r="C313" s="9">
        <f>Upload!AN303</f>
        <v>0</v>
      </c>
      <c r="D313" s="9">
        <f>Upload!AO303</f>
        <v>0</v>
      </c>
      <c r="E313" s="9">
        <f>Upload!AP303</f>
        <v>0</v>
      </c>
      <c r="F313" s="9" t="str">
        <f>Upload!AK303</f>
        <v/>
      </c>
      <c r="G313" s="9" t="str">
        <f>Upload!AM303</f>
        <v/>
      </c>
      <c r="H313" s="9" t="str">
        <f>Upload!AJ303</f>
        <v>(seleccione)</v>
      </c>
      <c r="I313" s="9" t="str">
        <f>Upload!AL303</f>
        <v>(seleccione)</v>
      </c>
      <c r="K313" s="15" t="str">
        <f t="shared" si="30"/>
        <v/>
      </c>
      <c r="L313" s="15" t="str">
        <f t="shared" si="31"/>
        <v/>
      </c>
      <c r="M313" s="15" t="str">
        <f t="shared" si="32"/>
        <v/>
      </c>
      <c r="N313" s="15" t="str">
        <f t="shared" si="33"/>
        <v/>
      </c>
      <c r="O313" s="15" t="str">
        <f t="shared" si="34"/>
        <v/>
      </c>
      <c r="P313" s="15" t="str">
        <f>IF(OR(C313="",NOT(OR(ISNUMBER(SEARCH("Antitarnish",Upload!R303&amp;Upload!S303&amp;Upload!T303&amp;Upload!U303&amp;Upload!V303)),ISNUMBER(SEARCH("Anti Tarnish",Upload!R303&amp;Upload!S303&amp;Upload!T303&amp;Upload!U303&amp;Upload!V303))))),"",0.0012*C313)</f>
        <v/>
      </c>
      <c r="Q313" s="15" t="str">
        <f>IF(OR(E313="",NOT(OR(ISNUMBER(SEARCH("Epóxico MT",Upload!R303&amp;Upload!S303&amp;Upload!T303&amp;Upload!U303&amp;Upload!V303))))),"",E313*0.000035)</f>
        <v/>
      </c>
      <c r="R313" s="15" t="str">
        <f>IF(OR(F313="",NOT(OR(ISNUMBER(SEARCH("Epóxico BT",Upload!S303&amp;Upload!T303&amp;Upload!U303&amp;Upload!V303&amp;Upload!W303))))),"",F313*0.000035)</f>
        <v/>
      </c>
      <c r="S313" s="15" t="str">
        <f>IF(OR(G313="",NOT(OR(ISNUMBER(SEARCH("Epóxico Rojo",Upload!T303&amp;Upload!U303&amp;Upload!V303&amp;Upload!W303&amp;Upload!X303))))),"",G313*0.000035)</f>
        <v/>
      </c>
    </row>
    <row r="314" spans="1:19" x14ac:dyDescent="0.2">
      <c r="A314" s="9" t="e">
        <f t="shared" ca="1" si="24"/>
        <v>#NAME?</v>
      </c>
      <c r="B314" s="9">
        <f>Upload!G304</f>
        <v>0</v>
      </c>
      <c r="C314" s="9">
        <f>Upload!AN304</f>
        <v>0</v>
      </c>
      <c r="D314" s="9">
        <f>Upload!AO304</f>
        <v>0</v>
      </c>
      <c r="E314" s="9">
        <f>Upload!AP304</f>
        <v>0</v>
      </c>
      <c r="F314" s="9" t="str">
        <f>Upload!AK304</f>
        <v/>
      </c>
      <c r="G314" s="9" t="str">
        <f>Upload!AM304</f>
        <v/>
      </c>
      <c r="H314" s="9" t="str">
        <f>Upload!AJ304</f>
        <v>(seleccione)</v>
      </c>
      <c r="I314" s="9" t="str">
        <f>Upload!AL304</f>
        <v>(seleccione)</v>
      </c>
      <c r="K314" s="15" t="str">
        <f t="shared" si="30"/>
        <v/>
      </c>
      <c r="L314" s="15" t="str">
        <f t="shared" si="31"/>
        <v/>
      </c>
      <c r="M314" s="15" t="str">
        <f t="shared" si="32"/>
        <v/>
      </c>
      <c r="N314" s="15" t="str">
        <f t="shared" si="33"/>
        <v/>
      </c>
      <c r="O314" s="15" t="str">
        <f t="shared" si="34"/>
        <v/>
      </c>
      <c r="P314" s="15" t="str">
        <f>IF(OR(C314="",NOT(OR(ISNUMBER(SEARCH("Antitarnish",Upload!R304&amp;Upload!S304&amp;Upload!T304&amp;Upload!U304&amp;Upload!V304)),ISNUMBER(SEARCH("Anti Tarnish",Upload!R304&amp;Upload!S304&amp;Upload!T304&amp;Upload!U304&amp;Upload!V304))))),"",0.0012*C314)</f>
        <v/>
      </c>
      <c r="Q314" s="15" t="str">
        <f>IF(OR(E314="",NOT(OR(ISNUMBER(SEARCH("Epóxico MT",Upload!R304&amp;Upload!S304&amp;Upload!T304&amp;Upload!U304&amp;Upload!V304))))),"",E314*0.000035)</f>
        <v/>
      </c>
      <c r="R314" s="15" t="str">
        <f>IF(OR(F314="",NOT(OR(ISNUMBER(SEARCH("Epóxico BT",Upload!S304&amp;Upload!T304&amp;Upload!U304&amp;Upload!V304&amp;Upload!W304))))),"",F314*0.000035)</f>
        <v/>
      </c>
      <c r="S314" s="15" t="str">
        <f>IF(OR(G314="",NOT(OR(ISNUMBER(SEARCH("Epóxico Rojo",Upload!T304&amp;Upload!U304&amp;Upload!V304&amp;Upload!W304&amp;Upload!X304))))),"",G314*0.000035)</f>
        <v/>
      </c>
    </row>
    <row r="315" spans="1:19" x14ac:dyDescent="0.2">
      <c r="A315" s="9" t="e">
        <f t="shared" ca="1" si="24"/>
        <v>#NAME?</v>
      </c>
      <c r="B315" s="9">
        <f>Upload!G305</f>
        <v>0</v>
      </c>
      <c r="C315" s="9">
        <f>Upload!AN305</f>
        <v>0</v>
      </c>
      <c r="D315" s="9">
        <f>Upload!AO305</f>
        <v>0</v>
      </c>
      <c r="E315" s="9">
        <f>Upload!AP305</f>
        <v>0</v>
      </c>
      <c r="F315" s="9" t="str">
        <f>Upload!AK305</f>
        <v/>
      </c>
      <c r="G315" s="9" t="str">
        <f>Upload!AM305</f>
        <v/>
      </c>
      <c r="H315" s="9" t="str">
        <f>Upload!AJ305</f>
        <v>(seleccione)</v>
      </c>
      <c r="I315" s="9" t="str">
        <f>Upload!AL305</f>
        <v>(seleccione)</v>
      </c>
      <c r="K315" s="15" t="str">
        <f t="shared" si="30"/>
        <v/>
      </c>
      <c r="L315" s="15" t="str">
        <f t="shared" si="31"/>
        <v/>
      </c>
      <c r="M315" s="15" t="str">
        <f t="shared" si="32"/>
        <v/>
      </c>
      <c r="N315" s="15" t="str">
        <f t="shared" si="33"/>
        <v/>
      </c>
      <c r="O315" s="15" t="str">
        <f t="shared" si="34"/>
        <v/>
      </c>
      <c r="P315" s="15" t="str">
        <f>IF(OR(C315="",NOT(OR(ISNUMBER(SEARCH("Antitarnish",Upload!R305&amp;Upload!S305&amp;Upload!T305&amp;Upload!U305&amp;Upload!V305)),ISNUMBER(SEARCH("Anti Tarnish",Upload!R305&amp;Upload!S305&amp;Upload!T305&amp;Upload!U305&amp;Upload!V305))))),"",0.0012*C315)</f>
        <v/>
      </c>
      <c r="Q315" s="15" t="str">
        <f>IF(OR(E315="",NOT(OR(ISNUMBER(SEARCH("Epóxico MT",Upload!R305&amp;Upload!S305&amp;Upload!T305&amp;Upload!U305&amp;Upload!V305))))),"",E315*0.000035)</f>
        <v/>
      </c>
      <c r="R315" s="15" t="str">
        <f>IF(OR(F315="",NOT(OR(ISNUMBER(SEARCH("Epóxico BT",Upload!S305&amp;Upload!T305&amp;Upload!U305&amp;Upload!V305&amp;Upload!W305))))),"",F315*0.000035)</f>
        <v/>
      </c>
      <c r="S315" s="15" t="str">
        <f>IF(OR(G315="",NOT(OR(ISNUMBER(SEARCH("Epóxico Rojo",Upload!T305&amp;Upload!U305&amp;Upload!V305&amp;Upload!W305&amp;Upload!X305))))),"",G315*0.000035)</f>
        <v/>
      </c>
    </row>
    <row r="316" spans="1:19" x14ac:dyDescent="0.2">
      <c r="A316" s="9" t="e">
        <f t="shared" ca="1" si="24"/>
        <v>#NAME?</v>
      </c>
      <c r="B316" s="9">
        <f>Upload!G306</f>
        <v>0</v>
      </c>
      <c r="C316" s="9">
        <f>Upload!AN306</f>
        <v>0</v>
      </c>
      <c r="D316" s="9">
        <f>Upload!AO306</f>
        <v>0</v>
      </c>
      <c r="E316" s="9">
        <f>Upload!AP306</f>
        <v>0</v>
      </c>
      <c r="F316" s="9" t="str">
        <f>Upload!AK306</f>
        <v/>
      </c>
      <c r="G316" s="9" t="str">
        <f>Upload!AM306</f>
        <v/>
      </c>
      <c r="H316" s="9" t="str">
        <f>Upload!AJ306</f>
        <v>(seleccione)</v>
      </c>
      <c r="I316" s="9" t="str">
        <f>Upload!AL306</f>
        <v>(seleccione)</v>
      </c>
      <c r="K316" s="15" t="str">
        <f t="shared" si="30"/>
        <v/>
      </c>
      <c r="L316" s="15" t="str">
        <f t="shared" si="31"/>
        <v/>
      </c>
      <c r="M316" s="15" t="str">
        <f t="shared" si="32"/>
        <v/>
      </c>
      <c r="N316" s="15" t="str">
        <f t="shared" si="33"/>
        <v/>
      </c>
      <c r="O316" s="15" t="str">
        <f t="shared" si="34"/>
        <v/>
      </c>
      <c r="P316" s="15" t="str">
        <f>IF(OR(C316="",NOT(OR(ISNUMBER(SEARCH("Antitarnish",Upload!R306&amp;Upload!S306&amp;Upload!T306&amp;Upload!U306&amp;Upload!V306)),ISNUMBER(SEARCH("Anti Tarnish",Upload!R306&amp;Upload!S306&amp;Upload!T306&amp;Upload!U306&amp;Upload!V306))))),"",0.0012*C316)</f>
        <v/>
      </c>
      <c r="Q316" s="15" t="str">
        <f>IF(OR(E316="",NOT(OR(ISNUMBER(SEARCH("Epóxico MT",Upload!R306&amp;Upload!S306&amp;Upload!T306&amp;Upload!U306&amp;Upload!V306))))),"",E316*0.000035)</f>
        <v/>
      </c>
      <c r="R316" s="15" t="str">
        <f>IF(OR(F316="",NOT(OR(ISNUMBER(SEARCH("Epóxico BT",Upload!S306&amp;Upload!T306&amp;Upload!U306&amp;Upload!V306&amp;Upload!W306))))),"",F316*0.000035)</f>
        <v/>
      </c>
      <c r="S316" s="15" t="str">
        <f>IF(OR(G316="",NOT(OR(ISNUMBER(SEARCH("Epóxico Rojo",Upload!T306&amp;Upload!U306&amp;Upload!V306&amp;Upload!W306&amp;Upload!X306))))),"",G316*0.000035)</f>
        <v/>
      </c>
    </row>
    <row r="317" spans="1:19" x14ac:dyDescent="0.2">
      <c r="A317" s="9" t="e">
        <f t="shared" ca="1" si="24"/>
        <v>#NAME?</v>
      </c>
      <c r="B317" s="9">
        <f>Upload!G307</f>
        <v>0</v>
      </c>
      <c r="C317" s="9">
        <f>Upload!AN307</f>
        <v>0</v>
      </c>
      <c r="D317" s="9">
        <f>Upload!AO307</f>
        <v>0</v>
      </c>
      <c r="E317" s="9">
        <f>Upload!AP307</f>
        <v>0</v>
      </c>
      <c r="F317" s="9" t="str">
        <f>Upload!AK307</f>
        <v/>
      </c>
      <c r="G317" s="9" t="str">
        <f>Upload!AM307</f>
        <v/>
      </c>
      <c r="H317" s="9" t="str">
        <f>Upload!AJ307</f>
        <v>(seleccione)</v>
      </c>
      <c r="I317" s="9" t="str">
        <f>Upload!AL307</f>
        <v>(seleccione)</v>
      </c>
      <c r="K317" s="15" t="str">
        <f t="shared" si="30"/>
        <v/>
      </c>
      <c r="L317" s="15" t="str">
        <f t="shared" si="31"/>
        <v/>
      </c>
      <c r="M317" s="15" t="str">
        <f t="shared" si="32"/>
        <v/>
      </c>
      <c r="N317" s="15" t="str">
        <f t="shared" si="33"/>
        <v/>
      </c>
      <c r="O317" s="15" t="str">
        <f t="shared" si="34"/>
        <v/>
      </c>
      <c r="P317" s="15" t="str">
        <f>IF(OR(C317="",NOT(OR(ISNUMBER(SEARCH("Antitarnish",Upload!R307&amp;Upload!S307&amp;Upload!T307&amp;Upload!U307&amp;Upload!V307)),ISNUMBER(SEARCH("Anti Tarnish",Upload!R307&amp;Upload!S307&amp;Upload!T307&amp;Upload!U307&amp;Upload!V307))))),"",0.0012*C317)</f>
        <v/>
      </c>
      <c r="Q317" s="15" t="str">
        <f>IF(OR(E317="",NOT(OR(ISNUMBER(SEARCH("Epóxico MT",Upload!R307&amp;Upload!S307&amp;Upload!T307&amp;Upload!U307&amp;Upload!V307))))),"",E317*0.000035)</f>
        <v/>
      </c>
      <c r="R317" s="15" t="str">
        <f>IF(OR(F317="",NOT(OR(ISNUMBER(SEARCH("Epóxico BT",Upload!S307&amp;Upload!T307&amp;Upload!U307&amp;Upload!V307&amp;Upload!W307))))),"",F317*0.000035)</f>
        <v/>
      </c>
      <c r="S317" s="15" t="str">
        <f>IF(OR(G317="",NOT(OR(ISNUMBER(SEARCH("Epóxico Rojo",Upload!T307&amp;Upload!U307&amp;Upload!V307&amp;Upload!W307&amp;Upload!X307))))),"",G317*0.000035)</f>
        <v/>
      </c>
    </row>
    <row r="318" spans="1:19" x14ac:dyDescent="0.2">
      <c r="A318" s="9" t="e">
        <f t="shared" ca="1" si="24"/>
        <v>#NAME?</v>
      </c>
      <c r="B318" s="9">
        <f>Upload!G308</f>
        <v>0</v>
      </c>
      <c r="C318" s="9">
        <f>Upload!AN308</f>
        <v>0</v>
      </c>
      <c r="D318" s="9">
        <f>Upload!AO308</f>
        <v>0</v>
      </c>
      <c r="E318" s="9">
        <f>Upload!AP308</f>
        <v>0</v>
      </c>
      <c r="F318" s="9" t="str">
        <f>Upload!AK308</f>
        <v/>
      </c>
      <c r="G318" s="9" t="str">
        <f>Upload!AM308</f>
        <v/>
      </c>
      <c r="H318" s="9" t="str">
        <f>Upload!AJ308</f>
        <v>(seleccione)</v>
      </c>
      <c r="I318" s="9" t="str">
        <f>Upload!AL308</f>
        <v>(seleccione)</v>
      </c>
      <c r="K318" s="15" t="str">
        <f t="shared" si="30"/>
        <v/>
      </c>
      <c r="L318" s="15" t="str">
        <f t="shared" si="31"/>
        <v/>
      </c>
      <c r="M318" s="15" t="str">
        <f t="shared" si="32"/>
        <v/>
      </c>
      <c r="N318" s="15" t="str">
        <f t="shared" si="33"/>
        <v/>
      </c>
      <c r="O318" s="15" t="str">
        <f t="shared" si="34"/>
        <v/>
      </c>
      <c r="P318" s="15" t="str">
        <f>IF(OR(C318="",NOT(OR(ISNUMBER(SEARCH("Antitarnish",Upload!R308&amp;Upload!S308&amp;Upload!T308&amp;Upload!U308&amp;Upload!V308)),ISNUMBER(SEARCH("Anti Tarnish",Upload!R308&amp;Upload!S308&amp;Upload!T308&amp;Upload!U308&amp;Upload!V308))))),"",0.0012*C318)</f>
        <v/>
      </c>
      <c r="Q318" s="15" t="str">
        <f>IF(OR(E318="",NOT(OR(ISNUMBER(SEARCH("Epóxico MT",Upload!R308&amp;Upload!S308&amp;Upload!T308&amp;Upload!U308&amp;Upload!V308))))),"",E318*0.000035)</f>
        <v/>
      </c>
      <c r="R318" s="15" t="str">
        <f>IF(OR(F318="",NOT(OR(ISNUMBER(SEARCH("Epóxico BT",Upload!S308&amp;Upload!T308&amp;Upload!U308&amp;Upload!V308&amp;Upload!W308))))),"",F318*0.000035)</f>
        <v/>
      </c>
      <c r="S318" s="15" t="str">
        <f>IF(OR(G318="",NOT(OR(ISNUMBER(SEARCH("Epóxico Rojo",Upload!T308&amp;Upload!U308&amp;Upload!V308&amp;Upload!W308&amp;Upload!X308))))),"",G318*0.000035)</f>
        <v/>
      </c>
    </row>
    <row r="319" spans="1:19" x14ac:dyDescent="0.2">
      <c r="A319" s="9" t="e">
        <f t="shared" ca="1" si="24"/>
        <v>#NAME?</v>
      </c>
      <c r="B319" s="9">
        <f>Upload!G309</f>
        <v>0</v>
      </c>
      <c r="C319" s="9">
        <f>Upload!AN309</f>
        <v>0</v>
      </c>
      <c r="D319" s="9">
        <f>Upload!AO309</f>
        <v>0</v>
      </c>
      <c r="E319" s="9">
        <f>Upload!AP309</f>
        <v>0</v>
      </c>
      <c r="F319" s="9" t="str">
        <f>Upload!AK309</f>
        <v/>
      </c>
      <c r="G319" s="9" t="str">
        <f>Upload!AM309</f>
        <v/>
      </c>
      <c r="H319" s="9" t="str">
        <f>Upload!AJ309</f>
        <v>(seleccione)</v>
      </c>
      <c r="I319" s="9" t="str">
        <f>Upload!AL309</f>
        <v>(seleccione)</v>
      </c>
      <c r="K319" s="15" t="str">
        <f t="shared" si="30"/>
        <v/>
      </c>
      <c r="L319" s="15" t="str">
        <f t="shared" si="31"/>
        <v/>
      </c>
      <c r="M319" s="15" t="str">
        <f t="shared" si="32"/>
        <v/>
      </c>
      <c r="N319" s="15" t="str">
        <f t="shared" si="33"/>
        <v/>
      </c>
      <c r="O319" s="15" t="str">
        <f t="shared" si="34"/>
        <v/>
      </c>
      <c r="P319" s="15" t="str">
        <f>IF(OR(C319="",NOT(OR(ISNUMBER(SEARCH("Antitarnish",Upload!R309&amp;Upload!S309&amp;Upload!T309&amp;Upload!U309&amp;Upload!V309)),ISNUMBER(SEARCH("Anti Tarnish",Upload!R309&amp;Upload!S309&amp;Upload!T309&amp;Upload!U309&amp;Upload!V309))))),"",0.0012*C319)</f>
        <v/>
      </c>
      <c r="Q319" s="15" t="str">
        <f>IF(OR(E319="",NOT(OR(ISNUMBER(SEARCH("Epóxico MT",Upload!R309&amp;Upload!S309&amp;Upload!T309&amp;Upload!U309&amp;Upload!V309))))),"",E319*0.000035)</f>
        <v/>
      </c>
      <c r="R319" s="15" t="str">
        <f>IF(OR(F319="",NOT(OR(ISNUMBER(SEARCH("Epóxico BT",Upload!S309&amp;Upload!T309&amp;Upload!U309&amp;Upload!V309&amp;Upload!W309))))),"",F319*0.000035)</f>
        <v/>
      </c>
      <c r="S319" s="15" t="str">
        <f>IF(OR(G319="",NOT(OR(ISNUMBER(SEARCH("Epóxico Rojo",Upload!T309&amp;Upload!U309&amp;Upload!V309&amp;Upload!W309&amp;Upload!X309))))),"",G319*0.000035)</f>
        <v/>
      </c>
    </row>
    <row r="320" spans="1:19" x14ac:dyDescent="0.2">
      <c r="A320" s="9" t="e">
        <f t="shared" ca="1" si="24"/>
        <v>#NAME?</v>
      </c>
      <c r="B320" s="9">
        <f>Upload!G310</f>
        <v>0</v>
      </c>
      <c r="C320" s="9">
        <f>Upload!AN310</f>
        <v>0</v>
      </c>
      <c r="D320" s="9">
        <f>Upload!AO310</f>
        <v>0</v>
      </c>
      <c r="E320" s="9">
        <f>Upload!AP310</f>
        <v>0</v>
      </c>
      <c r="F320" s="9" t="str">
        <f>Upload!AK310</f>
        <v/>
      </c>
      <c r="G320" s="9" t="str">
        <f>Upload!AM310</f>
        <v/>
      </c>
      <c r="H320" s="9" t="str">
        <f>Upload!AJ310</f>
        <v>(seleccione)</v>
      </c>
      <c r="I320" s="9" t="str">
        <f>Upload!AL310</f>
        <v>(seleccione)</v>
      </c>
      <c r="K320" s="15" t="str">
        <f t="shared" si="30"/>
        <v/>
      </c>
      <c r="L320" s="15" t="str">
        <f t="shared" si="31"/>
        <v/>
      </c>
      <c r="M320" s="15" t="str">
        <f t="shared" si="32"/>
        <v/>
      </c>
      <c r="N320" s="15" t="str">
        <f t="shared" si="33"/>
        <v/>
      </c>
      <c r="O320" s="15" t="str">
        <f t="shared" si="34"/>
        <v/>
      </c>
      <c r="P320" s="15" t="str">
        <f>IF(OR(C320="",NOT(OR(ISNUMBER(SEARCH("Antitarnish",Upload!R310&amp;Upload!S310&amp;Upload!T310&amp;Upload!U310&amp;Upload!V310)),ISNUMBER(SEARCH("Anti Tarnish",Upload!R310&amp;Upload!S310&amp;Upload!T310&amp;Upload!U310&amp;Upload!V310))))),"",0.0012*C320)</f>
        <v/>
      </c>
      <c r="Q320" s="15" t="str">
        <f>IF(OR(E320="",NOT(OR(ISNUMBER(SEARCH("Epóxico MT",Upload!R310&amp;Upload!S310&amp;Upload!T310&amp;Upload!U310&amp;Upload!V310))))),"",E320*0.000035)</f>
        <v/>
      </c>
      <c r="R320" s="15" t="str">
        <f>IF(OR(F320="",NOT(OR(ISNUMBER(SEARCH("Epóxico BT",Upload!S310&amp;Upload!T310&amp;Upload!U310&amp;Upload!V310&amp;Upload!W310))))),"",F320*0.000035)</f>
        <v/>
      </c>
      <c r="S320" s="15" t="str">
        <f>IF(OR(G320="",NOT(OR(ISNUMBER(SEARCH("Epóxico Rojo",Upload!T310&amp;Upload!U310&amp;Upload!V310&amp;Upload!W310&amp;Upload!X310))))),"",G320*0.000035)</f>
        <v/>
      </c>
    </row>
    <row r="321" spans="1:19" x14ac:dyDescent="0.2">
      <c r="A321" s="9" t="e">
        <f t="shared" ca="1" si="24"/>
        <v>#NAME?</v>
      </c>
      <c r="B321" s="9">
        <f>Upload!G311</f>
        <v>0</v>
      </c>
      <c r="C321" s="9">
        <f>Upload!AN311</f>
        <v>0</v>
      </c>
      <c r="D321" s="9">
        <f>Upload!AO311</f>
        <v>0</v>
      </c>
      <c r="E321" s="9">
        <f>Upload!AP311</f>
        <v>0</v>
      </c>
      <c r="F321" s="9" t="str">
        <f>Upload!AK311</f>
        <v/>
      </c>
      <c r="G321" s="9" t="str">
        <f>Upload!AM311</f>
        <v/>
      </c>
      <c r="H321" s="9" t="str">
        <f>Upload!AJ311</f>
        <v>(seleccione)</v>
      </c>
      <c r="I321" s="9" t="str">
        <f>Upload!AL311</f>
        <v>(seleccione)</v>
      </c>
      <c r="K321" s="15" t="str">
        <f t="shared" si="30"/>
        <v/>
      </c>
      <c r="L321" s="15" t="str">
        <f t="shared" si="31"/>
        <v/>
      </c>
      <c r="M321" s="15" t="str">
        <f t="shared" si="32"/>
        <v/>
      </c>
      <c r="N321" s="15" t="str">
        <f t="shared" si="33"/>
        <v/>
      </c>
      <c r="O321" s="15" t="str">
        <f t="shared" si="34"/>
        <v/>
      </c>
      <c r="P321" s="15" t="str">
        <f>IF(OR(C321="",NOT(OR(ISNUMBER(SEARCH("Antitarnish",Upload!R311&amp;Upload!S311&amp;Upload!T311&amp;Upload!U311&amp;Upload!V311)),ISNUMBER(SEARCH("Anti Tarnish",Upload!R311&amp;Upload!S311&amp;Upload!T311&amp;Upload!U311&amp;Upload!V311))))),"",0.0012*C321)</f>
        <v/>
      </c>
      <c r="Q321" s="15" t="str">
        <f>IF(OR(E321="",NOT(OR(ISNUMBER(SEARCH("Epóxico MT",Upload!R311&amp;Upload!S311&amp;Upload!T311&amp;Upload!U311&amp;Upload!V311))))),"",E321*0.000035)</f>
        <v/>
      </c>
      <c r="R321" s="15" t="str">
        <f>IF(OR(F321="",NOT(OR(ISNUMBER(SEARCH("Epóxico BT",Upload!S311&amp;Upload!T311&amp;Upload!U311&amp;Upload!V311&amp;Upload!W311))))),"",F321*0.000035)</f>
        <v/>
      </c>
      <c r="S321" s="15" t="str">
        <f>IF(OR(G321="",NOT(OR(ISNUMBER(SEARCH("Epóxico Rojo",Upload!T311&amp;Upload!U311&amp;Upload!V311&amp;Upload!W311&amp;Upload!X311))))),"",G321*0.000035)</f>
        <v/>
      </c>
    </row>
    <row r="322" spans="1:19" x14ac:dyDescent="0.2">
      <c r="A322" s="9" t="e">
        <f t="shared" ca="1" si="24"/>
        <v>#NAME?</v>
      </c>
      <c r="B322" s="9">
        <f>Upload!G312</f>
        <v>0</v>
      </c>
      <c r="C322" s="9">
        <f>Upload!AN312</f>
        <v>0</v>
      </c>
      <c r="D322" s="9">
        <f>Upload!AO312</f>
        <v>0</v>
      </c>
      <c r="E322" s="9">
        <f>Upload!AP312</f>
        <v>0</v>
      </c>
      <c r="F322" s="9" t="str">
        <f>Upload!AK312</f>
        <v/>
      </c>
      <c r="G322" s="9" t="str">
        <f>Upload!AM312</f>
        <v/>
      </c>
      <c r="H322" s="9" t="str">
        <f>Upload!AJ312</f>
        <v>(seleccione)</v>
      </c>
      <c r="I322" s="9" t="str">
        <f>Upload!AL312</f>
        <v>(seleccione)</v>
      </c>
      <c r="K322" s="15" t="str">
        <f t="shared" si="30"/>
        <v/>
      </c>
      <c r="L322" s="15" t="str">
        <f t="shared" si="31"/>
        <v/>
      </c>
      <c r="M322" s="15" t="str">
        <f t="shared" si="32"/>
        <v/>
      </c>
      <c r="N322" s="15" t="str">
        <f t="shared" si="33"/>
        <v/>
      </c>
      <c r="O322" s="15" t="str">
        <f t="shared" si="34"/>
        <v/>
      </c>
      <c r="P322" s="15" t="str">
        <f>IF(OR(C322="",NOT(OR(ISNUMBER(SEARCH("Antitarnish",Upload!R312&amp;Upload!S312&amp;Upload!T312&amp;Upload!U312&amp;Upload!V312)),ISNUMBER(SEARCH("Anti Tarnish",Upload!R312&amp;Upload!S312&amp;Upload!T312&amp;Upload!U312&amp;Upload!V312))))),"",0.0012*C322)</f>
        <v/>
      </c>
      <c r="Q322" s="15" t="str">
        <f>IF(OR(E322="",NOT(OR(ISNUMBER(SEARCH("Epóxico MT",Upload!R312&amp;Upload!S312&amp;Upload!T312&amp;Upload!U312&amp;Upload!V312))))),"",E322*0.000035)</f>
        <v/>
      </c>
      <c r="R322" s="15" t="str">
        <f>IF(OR(F322="",NOT(OR(ISNUMBER(SEARCH("Epóxico BT",Upload!S312&amp;Upload!T312&amp;Upload!U312&amp;Upload!V312&amp;Upload!W312))))),"",F322*0.000035)</f>
        <v/>
      </c>
      <c r="S322" s="15" t="str">
        <f>IF(OR(G322="",NOT(OR(ISNUMBER(SEARCH("Epóxico Rojo",Upload!T312&amp;Upload!U312&amp;Upload!V312&amp;Upload!W312&amp;Upload!X312))))),"",G322*0.000035)</f>
        <v/>
      </c>
    </row>
    <row r="323" spans="1:19" x14ac:dyDescent="0.2">
      <c r="A323" s="9" t="e">
        <f t="shared" ca="1" si="24"/>
        <v>#NAME?</v>
      </c>
      <c r="B323" s="9">
        <f>Upload!G313</f>
        <v>0</v>
      </c>
      <c r="C323" s="9">
        <f>Upload!AN313</f>
        <v>0</v>
      </c>
      <c r="D323" s="9">
        <f>Upload!AO313</f>
        <v>0</v>
      </c>
      <c r="E323" s="9">
        <f>Upload!AP313</f>
        <v>0</v>
      </c>
      <c r="F323" s="9" t="str">
        <f>Upload!AK313</f>
        <v/>
      </c>
      <c r="G323" s="9" t="str">
        <f>Upload!AM313</f>
        <v/>
      </c>
      <c r="H323" s="9" t="str">
        <f>Upload!AJ313</f>
        <v>(seleccione)</v>
      </c>
      <c r="I323" s="9" t="str">
        <f>Upload!AL313</f>
        <v>(seleccione)</v>
      </c>
      <c r="K323" s="15" t="str">
        <f t="shared" si="30"/>
        <v/>
      </c>
      <c r="L323" s="15" t="str">
        <f t="shared" si="31"/>
        <v/>
      </c>
      <c r="M323" s="15" t="str">
        <f t="shared" si="32"/>
        <v/>
      </c>
      <c r="N323" s="15" t="str">
        <f t="shared" si="33"/>
        <v/>
      </c>
      <c r="O323" s="15" t="str">
        <f t="shared" si="34"/>
        <v/>
      </c>
      <c r="P323" s="15" t="str">
        <f>IF(OR(C323="",NOT(OR(ISNUMBER(SEARCH("Antitarnish",Upload!R313&amp;Upload!S313&amp;Upload!T313&amp;Upload!U313&amp;Upload!V313)),ISNUMBER(SEARCH("Anti Tarnish",Upload!R313&amp;Upload!S313&amp;Upload!T313&amp;Upload!U313&amp;Upload!V313))))),"",0.0012*C323)</f>
        <v/>
      </c>
      <c r="Q323" s="15" t="str">
        <f>IF(OR(E323="",NOT(OR(ISNUMBER(SEARCH("Epóxico MT",Upload!R313&amp;Upload!S313&amp;Upload!T313&amp;Upload!U313&amp;Upload!V313))))),"",E323*0.000035)</f>
        <v/>
      </c>
      <c r="R323" s="15" t="str">
        <f>IF(OR(F323="",NOT(OR(ISNUMBER(SEARCH("Epóxico BT",Upload!S313&amp;Upload!T313&amp;Upload!U313&amp;Upload!V313&amp;Upload!W313))))),"",F323*0.000035)</f>
        <v/>
      </c>
      <c r="S323" s="15" t="str">
        <f>IF(OR(G323="",NOT(OR(ISNUMBER(SEARCH("Epóxico Rojo",Upload!T313&amp;Upload!U313&amp;Upload!V313&amp;Upload!W313&amp;Upload!X313))))),"",G323*0.000035)</f>
        <v/>
      </c>
    </row>
    <row r="324" spans="1:19" x14ac:dyDescent="0.2">
      <c r="A324" s="9" t="e">
        <f t="shared" ca="1" si="24"/>
        <v>#NAME?</v>
      </c>
      <c r="B324" s="9">
        <f>Upload!G314</f>
        <v>0</v>
      </c>
      <c r="C324" s="9">
        <f>Upload!AN314</f>
        <v>0</v>
      </c>
      <c r="D324" s="9">
        <f>Upload!AO314</f>
        <v>0</v>
      </c>
      <c r="E324" s="9">
        <f>Upload!AP314</f>
        <v>0</v>
      </c>
      <c r="F324" s="9" t="str">
        <f>Upload!AK314</f>
        <v/>
      </c>
      <c r="G324" s="9" t="str">
        <f>Upload!AM314</f>
        <v/>
      </c>
      <c r="H324" s="9" t="str">
        <f>Upload!AJ314</f>
        <v>(seleccione)</v>
      </c>
      <c r="I324" s="9" t="str">
        <f>Upload!AL314</f>
        <v>(seleccione)</v>
      </c>
      <c r="K324" s="15" t="str">
        <f t="shared" si="30"/>
        <v/>
      </c>
      <c r="L324" s="15" t="str">
        <f t="shared" si="31"/>
        <v/>
      </c>
      <c r="M324" s="15" t="str">
        <f t="shared" si="32"/>
        <v/>
      </c>
      <c r="N324" s="15" t="str">
        <f t="shared" si="33"/>
        <v/>
      </c>
      <c r="O324" s="15" t="str">
        <f t="shared" si="34"/>
        <v/>
      </c>
      <c r="P324" s="15" t="str">
        <f>IF(OR(C324="",NOT(OR(ISNUMBER(SEARCH("Antitarnish",Upload!R314&amp;Upload!S314&amp;Upload!T314&amp;Upload!U314&amp;Upload!V314)),ISNUMBER(SEARCH("Anti Tarnish",Upload!R314&amp;Upload!S314&amp;Upload!T314&amp;Upload!U314&amp;Upload!V314))))),"",0.0012*C324)</f>
        <v/>
      </c>
      <c r="Q324" s="15" t="str">
        <f>IF(OR(E324="",NOT(OR(ISNUMBER(SEARCH("Epóxico MT",Upload!R314&amp;Upload!S314&amp;Upload!T314&amp;Upload!U314&amp;Upload!V314))))),"",E324*0.000035)</f>
        <v/>
      </c>
      <c r="R324" s="15" t="str">
        <f>IF(OR(F324="",NOT(OR(ISNUMBER(SEARCH("Epóxico BT",Upload!S314&amp;Upload!T314&amp;Upload!U314&amp;Upload!V314&amp;Upload!W314))))),"",F324*0.000035)</f>
        <v/>
      </c>
      <c r="S324" s="15" t="str">
        <f>IF(OR(G324="",NOT(OR(ISNUMBER(SEARCH("Epóxico Rojo",Upload!T314&amp;Upload!U314&amp;Upload!V314&amp;Upload!W314&amp;Upload!X314))))),"",G324*0.000035)</f>
        <v/>
      </c>
    </row>
    <row r="325" spans="1:19" x14ac:dyDescent="0.2">
      <c r="A325" s="9" t="e">
        <f t="shared" ca="1" si="24"/>
        <v>#NAME?</v>
      </c>
      <c r="B325" s="9">
        <f>Upload!G315</f>
        <v>0</v>
      </c>
      <c r="C325" s="9">
        <f>Upload!AN315</f>
        <v>0</v>
      </c>
      <c r="D325" s="9">
        <f>Upload!AO315</f>
        <v>0</v>
      </c>
      <c r="E325" s="9">
        <f>Upload!AP315</f>
        <v>0</v>
      </c>
      <c r="F325" s="9" t="str">
        <f>Upload!AK315</f>
        <v/>
      </c>
      <c r="G325" s="9" t="str">
        <f>Upload!AM315</f>
        <v/>
      </c>
      <c r="H325" s="9" t="str">
        <f>Upload!AJ315</f>
        <v>(seleccione)</v>
      </c>
      <c r="I325" s="9" t="str">
        <f>Upload!AL315</f>
        <v>(seleccione)</v>
      </c>
      <c r="K325" s="15" t="str">
        <f t="shared" si="30"/>
        <v/>
      </c>
      <c r="L325" s="15" t="str">
        <f t="shared" si="31"/>
        <v/>
      </c>
      <c r="M325" s="15" t="str">
        <f t="shared" si="32"/>
        <v/>
      </c>
      <c r="N325" s="15" t="str">
        <f t="shared" si="33"/>
        <v/>
      </c>
      <c r="O325" s="15" t="str">
        <f t="shared" si="34"/>
        <v/>
      </c>
      <c r="P325" s="15" t="str">
        <f>IF(OR(C325="",NOT(OR(ISNUMBER(SEARCH("Antitarnish",Upload!R315&amp;Upload!S315&amp;Upload!T315&amp;Upload!U315&amp;Upload!V315)),ISNUMBER(SEARCH("Anti Tarnish",Upload!R315&amp;Upload!S315&amp;Upload!T315&amp;Upload!U315&amp;Upload!V315))))),"",0.0012*C325)</f>
        <v/>
      </c>
      <c r="Q325" s="15" t="str">
        <f>IF(OR(E325="",NOT(OR(ISNUMBER(SEARCH("Epóxico MT",Upload!R315&amp;Upload!S315&amp;Upload!T315&amp;Upload!U315&amp;Upload!V315))))),"",E325*0.000035)</f>
        <v/>
      </c>
      <c r="R325" s="15" t="str">
        <f>IF(OR(F325="",NOT(OR(ISNUMBER(SEARCH("Epóxico BT",Upload!S315&amp;Upload!T315&amp;Upload!U315&amp;Upload!V315&amp;Upload!W315))))),"",F325*0.000035)</f>
        <v/>
      </c>
      <c r="S325" s="15" t="str">
        <f>IF(OR(G325="",NOT(OR(ISNUMBER(SEARCH("Epóxico Rojo",Upload!T315&amp;Upload!U315&amp;Upload!V315&amp;Upload!W315&amp;Upload!X315))))),"",G325*0.000035)</f>
        <v/>
      </c>
    </row>
    <row r="326" spans="1:19" x14ac:dyDescent="0.2">
      <c r="A326" s="9" t="e">
        <f t="shared" ca="1" si="24"/>
        <v>#NAME?</v>
      </c>
      <c r="B326" s="9">
        <f>Upload!G316</f>
        <v>0</v>
      </c>
      <c r="C326" s="9">
        <f>Upload!AN316</f>
        <v>0</v>
      </c>
      <c r="D326" s="9">
        <f>Upload!AO316</f>
        <v>0</v>
      </c>
      <c r="E326" s="9">
        <f>Upload!AP316</f>
        <v>0</v>
      </c>
      <c r="F326" s="9" t="str">
        <f>Upload!AK316</f>
        <v/>
      </c>
      <c r="G326" s="9" t="str">
        <f>Upload!AM316</f>
        <v/>
      </c>
      <c r="H326" s="9" t="str">
        <f>Upload!AJ316</f>
        <v>(seleccione)</v>
      </c>
      <c r="I326" s="9" t="str">
        <f>Upload!AL316</f>
        <v>(seleccione)</v>
      </c>
      <c r="K326" s="15" t="str">
        <f t="shared" si="30"/>
        <v/>
      </c>
      <c r="L326" s="15" t="str">
        <f t="shared" si="31"/>
        <v/>
      </c>
      <c r="M326" s="15" t="str">
        <f t="shared" si="32"/>
        <v/>
      </c>
      <c r="N326" s="15" t="str">
        <f t="shared" si="33"/>
        <v/>
      </c>
      <c r="O326" s="15" t="str">
        <f t="shared" si="34"/>
        <v/>
      </c>
      <c r="P326" s="15" t="str">
        <f>IF(OR(C326="",NOT(OR(ISNUMBER(SEARCH("Antitarnish",Upload!R316&amp;Upload!S316&amp;Upload!T316&amp;Upload!U316&amp;Upload!V316)),ISNUMBER(SEARCH("Anti Tarnish",Upload!R316&amp;Upload!S316&amp;Upload!T316&amp;Upload!U316&amp;Upload!V316))))),"",0.0012*C326)</f>
        <v/>
      </c>
      <c r="Q326" s="15" t="str">
        <f>IF(OR(E326="",NOT(OR(ISNUMBER(SEARCH("Epóxico MT",Upload!R316&amp;Upload!S316&amp;Upload!T316&amp;Upload!U316&amp;Upload!V316))))),"",E326*0.000035)</f>
        <v/>
      </c>
      <c r="R326" s="15" t="str">
        <f>IF(OR(F326="",NOT(OR(ISNUMBER(SEARCH("Epóxico BT",Upload!S316&amp;Upload!T316&amp;Upload!U316&amp;Upload!V316&amp;Upload!W316))))),"",F326*0.000035)</f>
        <v/>
      </c>
      <c r="S326" s="15" t="str">
        <f>IF(OR(G326="",NOT(OR(ISNUMBER(SEARCH("Epóxico Rojo",Upload!T316&amp;Upload!U316&amp;Upload!V316&amp;Upload!W316&amp;Upload!X316))))),"",G326*0.000035)</f>
        <v/>
      </c>
    </row>
    <row r="327" spans="1:19" x14ac:dyDescent="0.2">
      <c r="A327" s="9" t="e">
        <f t="shared" ca="1" si="24"/>
        <v>#NAME?</v>
      </c>
      <c r="B327" s="9">
        <f>Upload!G317</f>
        <v>0</v>
      </c>
      <c r="C327" s="9">
        <f>Upload!AN317</f>
        <v>0</v>
      </c>
      <c r="D327" s="9">
        <f>Upload!AO317</f>
        <v>0</v>
      </c>
      <c r="E327" s="9">
        <f>Upload!AP317</f>
        <v>0</v>
      </c>
      <c r="F327" s="9" t="str">
        <f>Upload!AK317</f>
        <v/>
      </c>
      <c r="G327" s="9" t="str">
        <f>Upload!AM317</f>
        <v/>
      </c>
      <c r="H327" s="9" t="str">
        <f>Upload!AJ317</f>
        <v>(seleccione)</v>
      </c>
      <c r="I327" s="9" t="str">
        <f>Upload!AL317</f>
        <v>(seleccione)</v>
      </c>
      <c r="K327" s="15" t="str">
        <f t="shared" si="30"/>
        <v/>
      </c>
      <c r="L327" s="15" t="str">
        <f t="shared" si="31"/>
        <v/>
      </c>
      <c r="M327" s="15" t="str">
        <f t="shared" si="32"/>
        <v/>
      </c>
      <c r="N327" s="15" t="str">
        <f t="shared" si="33"/>
        <v/>
      </c>
      <c r="O327" s="15" t="str">
        <f t="shared" si="34"/>
        <v/>
      </c>
      <c r="P327" s="15" t="str">
        <f>IF(OR(C327="",NOT(OR(ISNUMBER(SEARCH("Antitarnish",Upload!R317&amp;Upload!S317&amp;Upload!T317&amp;Upload!U317&amp;Upload!V317)),ISNUMBER(SEARCH("Anti Tarnish",Upload!R317&amp;Upload!S317&amp;Upload!T317&amp;Upload!U317&amp;Upload!V317))))),"",0.0012*C327)</f>
        <v/>
      </c>
      <c r="Q327" s="15" t="str">
        <f>IF(OR(E327="",NOT(OR(ISNUMBER(SEARCH("Epóxico MT",Upload!R317&amp;Upload!S317&amp;Upload!T317&amp;Upload!U317&amp;Upload!V317))))),"",E327*0.000035)</f>
        <v/>
      </c>
      <c r="R327" s="15" t="str">
        <f>IF(OR(F327="",NOT(OR(ISNUMBER(SEARCH("Epóxico BT",Upload!S317&amp;Upload!T317&amp;Upload!U317&amp;Upload!V317&amp;Upload!W317))))),"",F327*0.000035)</f>
        <v/>
      </c>
      <c r="S327" s="15" t="str">
        <f>IF(OR(G327="",NOT(OR(ISNUMBER(SEARCH("Epóxico Rojo",Upload!T317&amp;Upload!U317&amp;Upload!V317&amp;Upload!W317&amp;Upload!X317))))),"",G327*0.000035)</f>
        <v/>
      </c>
    </row>
    <row r="328" spans="1:19" x14ac:dyDescent="0.2">
      <c r="A328" s="9" t="e">
        <f t="shared" ca="1" si="24"/>
        <v>#NAME?</v>
      </c>
      <c r="B328" s="9">
        <f>Upload!G318</f>
        <v>0</v>
      </c>
      <c r="C328" s="9">
        <f>Upload!AN318</f>
        <v>0</v>
      </c>
      <c r="D328" s="9">
        <f>Upload!AO318</f>
        <v>0</v>
      </c>
      <c r="E328" s="9">
        <f>Upload!AP318</f>
        <v>0</v>
      </c>
      <c r="F328" s="9" t="str">
        <f>Upload!AK318</f>
        <v/>
      </c>
      <c r="G328" s="9" t="str">
        <f>Upload!AM318</f>
        <v/>
      </c>
      <c r="H328" s="9" t="str">
        <f>Upload!AJ318</f>
        <v>(seleccione)</v>
      </c>
      <c r="I328" s="9" t="str">
        <f>Upload!AL318</f>
        <v>(seleccione)</v>
      </c>
      <c r="K328" s="15" t="str">
        <f t="shared" si="30"/>
        <v/>
      </c>
      <c r="L328" s="15" t="str">
        <f t="shared" si="31"/>
        <v/>
      </c>
      <c r="M328" s="15" t="str">
        <f t="shared" si="32"/>
        <v/>
      </c>
      <c r="N328" s="15" t="str">
        <f t="shared" si="33"/>
        <v/>
      </c>
      <c r="O328" s="15" t="str">
        <f t="shared" si="34"/>
        <v/>
      </c>
      <c r="P328" s="15" t="str">
        <f>IF(OR(C328="",NOT(OR(ISNUMBER(SEARCH("Antitarnish",Upload!R318&amp;Upload!S318&amp;Upload!T318&amp;Upload!U318&amp;Upload!V318)),ISNUMBER(SEARCH("Anti Tarnish",Upload!R318&amp;Upload!S318&amp;Upload!T318&amp;Upload!U318&amp;Upload!V318))))),"",0.0012*C328)</f>
        <v/>
      </c>
      <c r="Q328" s="15" t="str">
        <f>IF(OR(E328="",NOT(OR(ISNUMBER(SEARCH("Epóxico MT",Upload!R318&amp;Upload!S318&amp;Upload!T318&amp;Upload!U318&amp;Upload!V318))))),"",E328*0.000035)</f>
        <v/>
      </c>
      <c r="R328" s="15" t="str">
        <f>IF(OR(F328="",NOT(OR(ISNUMBER(SEARCH("Epóxico BT",Upload!S318&amp;Upload!T318&amp;Upload!U318&amp;Upload!V318&amp;Upload!W318))))),"",F328*0.000035)</f>
        <v/>
      </c>
      <c r="S328" s="15" t="str">
        <f>IF(OR(G328="",NOT(OR(ISNUMBER(SEARCH("Epóxico Rojo",Upload!T318&amp;Upload!U318&amp;Upload!V318&amp;Upload!W318&amp;Upload!X318))))),"",G328*0.000035)</f>
        <v/>
      </c>
    </row>
    <row r="329" spans="1:19" x14ac:dyDescent="0.2">
      <c r="A329" s="9" t="e">
        <f t="shared" ca="1" si="24"/>
        <v>#NAME?</v>
      </c>
      <c r="B329" s="9">
        <f>Upload!G319</f>
        <v>0</v>
      </c>
      <c r="C329" s="9">
        <f>Upload!AN319</f>
        <v>0</v>
      </c>
      <c r="D329" s="9">
        <f>Upload!AO319</f>
        <v>0</v>
      </c>
      <c r="E329" s="9">
        <f>Upload!AP319</f>
        <v>0</v>
      </c>
      <c r="F329" s="9" t="str">
        <f>Upload!AK319</f>
        <v/>
      </c>
      <c r="G329" s="9" t="str">
        <f>Upload!AM319</f>
        <v/>
      </c>
      <c r="H329" s="9" t="str">
        <f>Upload!AJ319</f>
        <v>(seleccione)</v>
      </c>
      <c r="I329" s="9" t="str">
        <f>Upload!AL319</f>
        <v>(seleccione)</v>
      </c>
      <c r="K329" s="15" t="str">
        <f t="shared" si="30"/>
        <v/>
      </c>
      <c r="L329" s="15" t="str">
        <f t="shared" si="31"/>
        <v/>
      </c>
      <c r="M329" s="15" t="str">
        <f t="shared" si="32"/>
        <v/>
      </c>
      <c r="N329" s="15" t="str">
        <f t="shared" si="33"/>
        <v/>
      </c>
      <c r="O329" s="15" t="str">
        <f t="shared" si="34"/>
        <v/>
      </c>
      <c r="P329" s="15" t="str">
        <f>IF(OR(C329="",NOT(OR(ISNUMBER(SEARCH("Antitarnish",Upload!R319&amp;Upload!S319&amp;Upload!T319&amp;Upload!U319&amp;Upload!V319)),ISNUMBER(SEARCH("Anti Tarnish",Upload!R319&amp;Upload!S319&amp;Upload!T319&amp;Upload!U319&amp;Upload!V319))))),"",0.0012*C329)</f>
        <v/>
      </c>
      <c r="Q329" s="15" t="str">
        <f>IF(OR(E329="",NOT(OR(ISNUMBER(SEARCH("Epóxico MT",Upload!R319&amp;Upload!S319&amp;Upload!T319&amp;Upload!U319&amp;Upload!V319))))),"",E329*0.000035)</f>
        <v/>
      </c>
      <c r="R329" s="15" t="str">
        <f>IF(OR(F329="",NOT(OR(ISNUMBER(SEARCH("Epóxico BT",Upload!S319&amp;Upload!T319&amp;Upload!U319&amp;Upload!V319&amp;Upload!W319))))),"",F329*0.000035)</f>
        <v/>
      </c>
      <c r="S329" s="15" t="str">
        <f>IF(OR(G329="",NOT(OR(ISNUMBER(SEARCH("Epóxico Rojo",Upload!T319&amp;Upload!U319&amp;Upload!V319&amp;Upload!W319&amp;Upload!X319))))),"",G329*0.000035)</f>
        <v/>
      </c>
    </row>
    <row r="330" spans="1:19" x14ac:dyDescent="0.2">
      <c r="A330" s="9" t="e">
        <f t="shared" ca="1" si="24"/>
        <v>#NAME?</v>
      </c>
      <c r="B330" s="9">
        <f>Upload!G320</f>
        <v>0</v>
      </c>
      <c r="C330" s="9">
        <f>Upload!AN320</f>
        <v>0</v>
      </c>
      <c r="D330" s="9">
        <f>Upload!AO320</f>
        <v>0</v>
      </c>
      <c r="E330" s="9">
        <f>Upload!AP320</f>
        <v>0</v>
      </c>
      <c r="F330" s="9" t="str">
        <f>Upload!AK320</f>
        <v/>
      </c>
      <c r="G330" s="9" t="str">
        <f>Upload!AM320</f>
        <v/>
      </c>
      <c r="H330" s="9" t="str">
        <f>Upload!AJ320</f>
        <v>(seleccione)</v>
      </c>
      <c r="I330" s="9" t="str">
        <f>Upload!AL320</f>
        <v>(seleccione)</v>
      </c>
      <c r="K330" s="15" t="str">
        <f t="shared" si="30"/>
        <v/>
      </c>
      <c r="L330" s="15" t="str">
        <f t="shared" si="31"/>
        <v/>
      </c>
      <c r="M330" s="15" t="str">
        <f t="shared" si="32"/>
        <v/>
      </c>
      <c r="N330" s="15" t="str">
        <f t="shared" si="33"/>
        <v/>
      </c>
      <c r="O330" s="15" t="str">
        <f t="shared" si="34"/>
        <v/>
      </c>
      <c r="P330" s="15" t="str">
        <f>IF(OR(C330="",NOT(OR(ISNUMBER(SEARCH("Antitarnish",Upload!R320&amp;Upload!S320&amp;Upload!T320&amp;Upload!U320&amp;Upload!V320)),ISNUMBER(SEARCH("Anti Tarnish",Upload!R320&amp;Upload!S320&amp;Upload!T320&amp;Upload!U320&amp;Upload!V320))))),"",0.0012*C330)</f>
        <v/>
      </c>
      <c r="Q330" s="15" t="str">
        <f>IF(OR(E330="",NOT(OR(ISNUMBER(SEARCH("Epóxico MT",Upload!R320&amp;Upload!S320&amp;Upload!T320&amp;Upload!U320&amp;Upload!V320))))),"",E330*0.000035)</f>
        <v/>
      </c>
      <c r="R330" s="15" t="str">
        <f>IF(OR(F330="",NOT(OR(ISNUMBER(SEARCH("Epóxico BT",Upload!S320&amp;Upload!T320&amp;Upload!U320&amp;Upload!V320&amp;Upload!W320))))),"",F330*0.000035)</f>
        <v/>
      </c>
      <c r="S330" s="15" t="str">
        <f>IF(OR(G330="",NOT(OR(ISNUMBER(SEARCH("Epóxico Rojo",Upload!T320&amp;Upload!U320&amp;Upload!V320&amp;Upload!W320&amp;Upload!X320))))),"",G330*0.000035)</f>
        <v/>
      </c>
    </row>
    <row r="331" spans="1:19" x14ac:dyDescent="0.2">
      <c r="A331" s="9" t="e">
        <f t="shared" ca="1" si="24"/>
        <v>#NAME?</v>
      </c>
      <c r="B331" s="9">
        <f>Upload!G321</f>
        <v>0</v>
      </c>
      <c r="C331" s="9">
        <f>Upload!AN321</f>
        <v>0</v>
      </c>
      <c r="D331" s="9">
        <f>Upload!AO321</f>
        <v>0</v>
      </c>
      <c r="E331" s="9">
        <f>Upload!AP321</f>
        <v>0</v>
      </c>
      <c r="F331" s="9" t="str">
        <f>Upload!AK321</f>
        <v/>
      </c>
      <c r="G331" s="9" t="str">
        <f>Upload!AM321</f>
        <v/>
      </c>
      <c r="H331" s="9" t="str">
        <f>Upload!AJ321</f>
        <v>(seleccione)</v>
      </c>
      <c r="I331" s="9" t="str">
        <f>Upload!AL321</f>
        <v>(seleccione)</v>
      </c>
      <c r="K331" s="15" t="str">
        <f t="shared" si="30"/>
        <v/>
      </c>
      <c r="L331" s="15" t="str">
        <f t="shared" si="31"/>
        <v/>
      </c>
      <c r="M331" s="15" t="str">
        <f t="shared" si="32"/>
        <v/>
      </c>
      <c r="N331" s="15" t="str">
        <f t="shared" si="33"/>
        <v/>
      </c>
      <c r="O331" s="15" t="str">
        <f t="shared" si="34"/>
        <v/>
      </c>
      <c r="P331" s="15" t="str">
        <f>IF(OR(C331="",NOT(OR(ISNUMBER(SEARCH("Antitarnish",Upload!R321&amp;Upload!S321&amp;Upload!T321&amp;Upload!U321&amp;Upload!V321)),ISNUMBER(SEARCH("Anti Tarnish",Upload!R321&amp;Upload!S321&amp;Upload!T321&amp;Upload!U321&amp;Upload!V321))))),"",0.0012*C331)</f>
        <v/>
      </c>
      <c r="Q331" s="15" t="str">
        <f>IF(OR(E331="",NOT(OR(ISNUMBER(SEARCH("Epóxico MT",Upload!R321&amp;Upload!S321&amp;Upload!T321&amp;Upload!U321&amp;Upload!V321))))),"",E331*0.000035)</f>
        <v/>
      </c>
      <c r="R331" s="15" t="str">
        <f>IF(OR(F331="",NOT(OR(ISNUMBER(SEARCH("Epóxico BT",Upload!S321&amp;Upload!T321&amp;Upload!U321&amp;Upload!V321&amp;Upload!W321))))),"",F331*0.000035)</f>
        <v/>
      </c>
      <c r="S331" s="15" t="str">
        <f>IF(OR(G331="",NOT(OR(ISNUMBER(SEARCH("Epóxico Rojo",Upload!T321&amp;Upload!U321&amp;Upload!V321&amp;Upload!W321&amp;Upload!X321))))),"",G331*0.000035)</f>
        <v/>
      </c>
    </row>
    <row r="332" spans="1:19" x14ac:dyDescent="0.2">
      <c r="A332" s="9" t="e">
        <f t="shared" ca="1" si="24"/>
        <v>#NAME?</v>
      </c>
      <c r="B332" s="9">
        <f>Upload!G322</f>
        <v>0</v>
      </c>
      <c r="C332" s="9">
        <f>Upload!AN322</f>
        <v>0</v>
      </c>
      <c r="D332" s="9">
        <f>Upload!AO322</f>
        <v>0</v>
      </c>
      <c r="E332" s="9">
        <f>Upload!AP322</f>
        <v>0</v>
      </c>
      <c r="F332" s="9" t="str">
        <f>Upload!AK322</f>
        <v/>
      </c>
      <c r="G332" s="9" t="str">
        <f>Upload!AM322</f>
        <v/>
      </c>
      <c r="H332" s="9" t="str">
        <f>Upload!AJ322</f>
        <v>(seleccione)</v>
      </c>
      <c r="I332" s="9" t="str">
        <f>Upload!AL322</f>
        <v>(seleccione)</v>
      </c>
      <c r="K332" s="15" t="str">
        <f t="shared" si="30"/>
        <v/>
      </c>
      <c r="L332" s="15" t="str">
        <f t="shared" si="31"/>
        <v/>
      </c>
      <c r="M332" s="15" t="str">
        <f t="shared" si="32"/>
        <v/>
      </c>
      <c r="N332" s="15" t="str">
        <f t="shared" si="33"/>
        <v/>
      </c>
      <c r="O332" s="15" t="str">
        <f t="shared" si="34"/>
        <v/>
      </c>
      <c r="P332" s="15" t="str">
        <f>IF(OR(C332="",NOT(OR(ISNUMBER(SEARCH("Antitarnish",Upload!R322&amp;Upload!S322&amp;Upload!T322&amp;Upload!U322&amp;Upload!V322)),ISNUMBER(SEARCH("Anti Tarnish",Upload!R322&amp;Upload!S322&amp;Upload!T322&amp;Upload!U322&amp;Upload!V322))))),"",0.0012*C332)</f>
        <v/>
      </c>
      <c r="Q332" s="15" t="str">
        <f>IF(OR(E332="",NOT(OR(ISNUMBER(SEARCH("Epóxico MT",Upload!R322&amp;Upload!S322&amp;Upload!T322&amp;Upload!U322&amp;Upload!V322))))),"",E332*0.000035)</f>
        <v/>
      </c>
      <c r="R332" s="15" t="str">
        <f>IF(OR(F332="",NOT(OR(ISNUMBER(SEARCH("Epóxico BT",Upload!S322&amp;Upload!T322&amp;Upload!U322&amp;Upload!V322&amp;Upload!W322))))),"",F332*0.000035)</f>
        <v/>
      </c>
      <c r="S332" s="15" t="str">
        <f>IF(OR(G332="",NOT(OR(ISNUMBER(SEARCH("Epóxico Rojo",Upload!T322&amp;Upload!U322&amp;Upload!V322&amp;Upload!W322&amp;Upload!X322))))),"",G332*0.000035)</f>
        <v/>
      </c>
    </row>
    <row r="333" spans="1:19" x14ac:dyDescent="0.2">
      <c r="A333" s="9" t="e">
        <f t="shared" ca="1" si="24"/>
        <v>#NAME?</v>
      </c>
      <c r="B333" s="9">
        <f>Upload!G323</f>
        <v>0</v>
      </c>
      <c r="C333" s="9">
        <f>Upload!AN323</f>
        <v>0</v>
      </c>
      <c r="D333" s="9">
        <f>Upload!AO323</f>
        <v>0</v>
      </c>
      <c r="E333" s="9">
        <f>Upload!AP323</f>
        <v>0</v>
      </c>
      <c r="F333" s="9" t="str">
        <f>Upload!AK323</f>
        <v/>
      </c>
      <c r="G333" s="9" t="str">
        <f>Upload!AM323</f>
        <v/>
      </c>
      <c r="H333" s="9" t="str">
        <f>Upload!AJ323</f>
        <v>(seleccione)</v>
      </c>
      <c r="I333" s="9" t="str">
        <f>Upload!AL323</f>
        <v>(seleccione)</v>
      </c>
      <c r="K333" s="15" t="str">
        <f t="shared" si="30"/>
        <v/>
      </c>
      <c r="L333" s="15" t="str">
        <f t="shared" si="31"/>
        <v/>
      </c>
      <c r="M333" s="15" t="str">
        <f t="shared" si="32"/>
        <v/>
      </c>
      <c r="N333" s="15" t="str">
        <f t="shared" si="33"/>
        <v/>
      </c>
      <c r="O333" s="15" t="str">
        <f t="shared" si="34"/>
        <v/>
      </c>
      <c r="P333" s="15" t="str">
        <f>IF(OR(C333="",NOT(OR(ISNUMBER(SEARCH("Antitarnish",Upload!R323&amp;Upload!S323&amp;Upload!T323&amp;Upload!U323&amp;Upload!V323)),ISNUMBER(SEARCH("Anti Tarnish",Upload!R323&amp;Upload!S323&amp;Upload!T323&amp;Upload!U323&amp;Upload!V323))))),"",0.0012*C333)</f>
        <v/>
      </c>
      <c r="Q333" s="15" t="str">
        <f>IF(OR(E333="",NOT(OR(ISNUMBER(SEARCH("Epóxico MT",Upload!R323&amp;Upload!S323&amp;Upload!T323&amp;Upload!U323&amp;Upload!V323))))),"",E333*0.000035)</f>
        <v/>
      </c>
      <c r="R333" s="15" t="str">
        <f>IF(OR(F333="",NOT(OR(ISNUMBER(SEARCH("Epóxico BT",Upload!S323&amp;Upload!T323&amp;Upload!U323&amp;Upload!V323&amp;Upload!W323))))),"",F333*0.000035)</f>
        <v/>
      </c>
      <c r="S333" s="15" t="str">
        <f>IF(OR(G333="",NOT(OR(ISNUMBER(SEARCH("Epóxico Rojo",Upload!T323&amp;Upload!U323&amp;Upload!V323&amp;Upload!W323&amp;Upload!X323))))),"",G333*0.000035)</f>
        <v/>
      </c>
    </row>
    <row r="334" spans="1:19" x14ac:dyDescent="0.2">
      <c r="A334" s="9" t="e">
        <f t="shared" ca="1" si="24"/>
        <v>#NAME?</v>
      </c>
      <c r="B334" s="9">
        <f>Upload!G324</f>
        <v>0</v>
      </c>
      <c r="C334" s="9">
        <f>Upload!AN324</f>
        <v>0</v>
      </c>
      <c r="D334" s="9">
        <f>Upload!AO324</f>
        <v>0</v>
      </c>
      <c r="E334" s="9">
        <f>Upload!AP324</f>
        <v>0</v>
      </c>
      <c r="F334" s="9" t="str">
        <f>Upload!AK324</f>
        <v/>
      </c>
      <c r="G334" s="9" t="str">
        <f>Upload!AM324</f>
        <v/>
      </c>
      <c r="H334" s="9" t="str">
        <f>Upload!AJ324</f>
        <v>(seleccione)</v>
      </c>
      <c r="I334" s="9" t="str">
        <f>Upload!AL324</f>
        <v>(seleccione)</v>
      </c>
      <c r="K334" s="15" t="str">
        <f t="shared" si="30"/>
        <v/>
      </c>
      <c r="L334" s="15" t="str">
        <f t="shared" si="31"/>
        <v/>
      </c>
      <c r="M334" s="15" t="str">
        <f t="shared" si="32"/>
        <v/>
      </c>
      <c r="N334" s="15" t="str">
        <f t="shared" si="33"/>
        <v/>
      </c>
      <c r="O334" s="15" t="str">
        <f t="shared" si="34"/>
        <v/>
      </c>
      <c r="P334" s="15" t="str">
        <f>IF(OR(C334="",NOT(OR(ISNUMBER(SEARCH("Antitarnish",Upload!R324&amp;Upload!S324&amp;Upload!T324&amp;Upload!U324&amp;Upload!V324)),ISNUMBER(SEARCH("Anti Tarnish",Upload!R324&amp;Upload!S324&amp;Upload!T324&amp;Upload!U324&amp;Upload!V324))))),"",0.0012*C334)</f>
        <v/>
      </c>
      <c r="Q334" s="15" t="str">
        <f>IF(OR(E334="",NOT(OR(ISNUMBER(SEARCH("Epóxico MT",Upload!R324&amp;Upload!S324&amp;Upload!T324&amp;Upload!U324&amp;Upload!V324))))),"",E334*0.000035)</f>
        <v/>
      </c>
      <c r="R334" s="15" t="str">
        <f>IF(OR(F334="",NOT(OR(ISNUMBER(SEARCH("Epóxico BT",Upload!S324&amp;Upload!T324&amp;Upload!U324&amp;Upload!V324&amp;Upload!W324))))),"",F334*0.000035)</f>
        <v/>
      </c>
      <c r="S334" s="15" t="str">
        <f>IF(OR(G334="",NOT(OR(ISNUMBER(SEARCH("Epóxico Rojo",Upload!T324&amp;Upload!U324&amp;Upload!V324&amp;Upload!W324&amp;Upload!X324))))),"",G334*0.000035)</f>
        <v/>
      </c>
    </row>
    <row r="335" spans="1:19" x14ac:dyDescent="0.2">
      <c r="A335" s="9" t="e">
        <f t="shared" ca="1" si="24"/>
        <v>#NAME?</v>
      </c>
      <c r="B335" s="9">
        <f>Upload!G325</f>
        <v>0</v>
      </c>
      <c r="C335" s="9">
        <f>Upload!AN325</f>
        <v>0</v>
      </c>
      <c r="D335" s="9">
        <f>Upload!AO325</f>
        <v>0</v>
      </c>
      <c r="E335" s="9">
        <f>Upload!AP325</f>
        <v>0</v>
      </c>
      <c r="F335" s="9" t="str">
        <f>Upload!AK325</f>
        <v/>
      </c>
      <c r="G335" s="9" t="str">
        <f>Upload!AM325</f>
        <v/>
      </c>
      <c r="H335" s="9" t="str">
        <f>Upload!AJ325</f>
        <v>(seleccione)</v>
      </c>
      <c r="I335" s="9" t="str">
        <f>Upload!AL325</f>
        <v>(seleccione)</v>
      </c>
      <c r="K335" s="15" t="str">
        <f t="shared" si="30"/>
        <v/>
      </c>
      <c r="L335" s="15" t="str">
        <f t="shared" si="31"/>
        <v/>
      </c>
      <c r="M335" s="15" t="str">
        <f t="shared" si="32"/>
        <v/>
      </c>
      <c r="N335" s="15" t="str">
        <f t="shared" si="33"/>
        <v/>
      </c>
      <c r="O335" s="15" t="str">
        <f t="shared" si="34"/>
        <v/>
      </c>
      <c r="P335" s="15" t="str">
        <f>IF(OR(C335="",NOT(OR(ISNUMBER(SEARCH("Antitarnish",Upload!R325&amp;Upload!S325&amp;Upload!T325&amp;Upload!U325&amp;Upload!V325)),ISNUMBER(SEARCH("Anti Tarnish",Upload!R325&amp;Upload!S325&amp;Upload!T325&amp;Upload!U325&amp;Upload!V325))))),"",0.0012*C335)</f>
        <v/>
      </c>
      <c r="Q335" s="15" t="str">
        <f>IF(OR(E335="",NOT(OR(ISNUMBER(SEARCH("Epóxico MT",Upload!R325&amp;Upload!S325&amp;Upload!T325&amp;Upload!U325&amp;Upload!V325))))),"",E335*0.000035)</f>
        <v/>
      </c>
      <c r="R335" s="15" t="str">
        <f>IF(OR(F335="",NOT(OR(ISNUMBER(SEARCH("Epóxico BT",Upload!S325&amp;Upload!T325&amp;Upload!U325&amp;Upload!V325&amp;Upload!W325))))),"",F335*0.000035)</f>
        <v/>
      </c>
      <c r="S335" s="15" t="str">
        <f>IF(OR(G335="",NOT(OR(ISNUMBER(SEARCH("Epóxico Rojo",Upload!T325&amp;Upload!U325&amp;Upload!V325&amp;Upload!W325&amp;Upload!X325))))),"",G335*0.000035)</f>
        <v/>
      </c>
    </row>
    <row r="336" spans="1:19" x14ac:dyDescent="0.2">
      <c r="A336" s="9" t="e">
        <f t="shared" ca="1" si="24"/>
        <v>#NAME?</v>
      </c>
      <c r="B336" s="9">
        <f>Upload!G326</f>
        <v>0</v>
      </c>
      <c r="C336" s="9">
        <f>Upload!AN326</f>
        <v>0</v>
      </c>
      <c r="D336" s="9">
        <f>Upload!AO326</f>
        <v>0</v>
      </c>
      <c r="E336" s="9">
        <f>Upload!AP326</f>
        <v>0</v>
      </c>
      <c r="F336" s="9" t="str">
        <f>Upload!AK326</f>
        <v/>
      </c>
      <c r="G336" s="9" t="str">
        <f>Upload!AM326</f>
        <v/>
      </c>
      <c r="H336" s="9" t="str">
        <f>Upload!AJ326</f>
        <v>(seleccione)</v>
      </c>
      <c r="I336" s="9" t="str">
        <f>Upload!AL326</f>
        <v>(seleccione)</v>
      </c>
      <c r="K336" s="15" t="str">
        <f t="shared" si="30"/>
        <v/>
      </c>
      <c r="L336" s="15" t="str">
        <f t="shared" si="31"/>
        <v/>
      </c>
      <c r="M336" s="15" t="str">
        <f t="shared" si="32"/>
        <v/>
      </c>
      <c r="N336" s="15" t="str">
        <f t="shared" si="33"/>
        <v/>
      </c>
      <c r="O336" s="15" t="str">
        <f t="shared" si="34"/>
        <v/>
      </c>
      <c r="P336" s="15" t="str">
        <f>IF(OR(C336="",NOT(OR(ISNUMBER(SEARCH("Antitarnish",Upload!R326&amp;Upload!S326&amp;Upload!T326&amp;Upload!U326&amp;Upload!V326)),ISNUMBER(SEARCH("Anti Tarnish",Upload!R326&amp;Upload!S326&amp;Upload!T326&amp;Upload!U326&amp;Upload!V326))))),"",0.0012*C336)</f>
        <v/>
      </c>
      <c r="Q336" s="15" t="str">
        <f>IF(OR(E336="",NOT(OR(ISNUMBER(SEARCH("Epóxico MT",Upload!R326&amp;Upload!S326&amp;Upload!T326&amp;Upload!U326&amp;Upload!V326))))),"",E336*0.000035)</f>
        <v/>
      </c>
      <c r="R336" s="15" t="str">
        <f>IF(OR(F336="",NOT(OR(ISNUMBER(SEARCH("Epóxico BT",Upload!S326&amp;Upload!T326&amp;Upload!U326&amp;Upload!V326&amp;Upload!W326))))),"",F336*0.000035)</f>
        <v/>
      </c>
      <c r="S336" s="15" t="str">
        <f>IF(OR(G336="",NOT(OR(ISNUMBER(SEARCH("Epóxico Rojo",Upload!T326&amp;Upload!U326&amp;Upload!V326&amp;Upload!W326&amp;Upload!X326))))),"",G336*0.000035)</f>
        <v/>
      </c>
    </row>
    <row r="337" spans="1:19" x14ac:dyDescent="0.2">
      <c r="A337" s="9" t="e">
        <f t="shared" ca="1" si="24"/>
        <v>#NAME?</v>
      </c>
      <c r="B337" s="9">
        <f>Upload!G327</f>
        <v>0</v>
      </c>
      <c r="C337" s="9">
        <f>Upload!AN327</f>
        <v>0</v>
      </c>
      <c r="D337" s="9">
        <f>Upload!AO327</f>
        <v>0</v>
      </c>
      <c r="E337" s="9">
        <f>Upload!AP327</f>
        <v>0</v>
      </c>
      <c r="F337" s="9" t="str">
        <f>Upload!AK327</f>
        <v/>
      </c>
      <c r="G337" s="9" t="str">
        <f>Upload!AM327</f>
        <v/>
      </c>
      <c r="H337" s="9" t="str">
        <f>Upload!AJ327</f>
        <v>(seleccione)</v>
      </c>
      <c r="I337" s="9" t="str">
        <f>Upload!AL327</f>
        <v>(seleccione)</v>
      </c>
      <c r="K337" s="15" t="str">
        <f t="shared" si="30"/>
        <v/>
      </c>
      <c r="L337" s="15" t="str">
        <f t="shared" si="31"/>
        <v/>
      </c>
      <c r="M337" s="15" t="str">
        <f t="shared" si="32"/>
        <v/>
      </c>
      <c r="N337" s="15" t="str">
        <f t="shared" si="33"/>
        <v/>
      </c>
      <c r="O337" s="15" t="str">
        <f t="shared" si="34"/>
        <v/>
      </c>
      <c r="P337" s="15" t="str">
        <f>IF(OR(C337="",NOT(OR(ISNUMBER(SEARCH("Antitarnish",Upload!R327&amp;Upload!S327&amp;Upload!T327&amp;Upload!U327&amp;Upload!V327)),ISNUMBER(SEARCH("Anti Tarnish",Upload!R327&amp;Upload!S327&amp;Upload!T327&amp;Upload!U327&amp;Upload!V327))))),"",0.0012*C337)</f>
        <v/>
      </c>
      <c r="Q337" s="15" t="str">
        <f>IF(OR(E337="",NOT(OR(ISNUMBER(SEARCH("Epóxico MT",Upload!R327&amp;Upload!S327&amp;Upload!T327&amp;Upload!U327&amp;Upload!V327))))),"",E337*0.000035)</f>
        <v/>
      </c>
      <c r="R337" s="15" t="str">
        <f>IF(OR(F337="",NOT(OR(ISNUMBER(SEARCH("Epóxico BT",Upload!S327&amp;Upload!T327&amp;Upload!U327&amp;Upload!V327&amp;Upload!W327))))),"",F337*0.000035)</f>
        <v/>
      </c>
      <c r="S337" s="15" t="str">
        <f>IF(OR(G337="",NOT(OR(ISNUMBER(SEARCH("Epóxico Rojo",Upload!T327&amp;Upload!U327&amp;Upload!V327&amp;Upload!W327&amp;Upload!X327))))),"",G337*0.000035)</f>
        <v/>
      </c>
    </row>
    <row r="338" spans="1:19" x14ac:dyDescent="0.2">
      <c r="A338" s="9" t="e">
        <f t="shared" ca="1" si="24"/>
        <v>#NAME?</v>
      </c>
      <c r="B338" s="9">
        <f>Upload!G328</f>
        <v>0</v>
      </c>
      <c r="C338" s="9">
        <f>Upload!AN328</f>
        <v>0</v>
      </c>
      <c r="D338" s="9">
        <f>Upload!AO328</f>
        <v>0</v>
      </c>
      <c r="E338" s="9">
        <f>Upload!AP328</f>
        <v>0</v>
      </c>
      <c r="F338" s="9" t="str">
        <f>Upload!AK328</f>
        <v/>
      </c>
      <c r="G338" s="9" t="str">
        <f>Upload!AM328</f>
        <v/>
      </c>
      <c r="H338" s="9" t="str">
        <f>Upload!AJ328</f>
        <v>(seleccione)</v>
      </c>
      <c r="I338" s="9" t="str">
        <f>Upload!AL328</f>
        <v>(seleccione)</v>
      </c>
      <c r="K338" s="15" t="str">
        <f t="shared" si="30"/>
        <v/>
      </c>
      <c r="L338" s="15" t="str">
        <f t="shared" si="31"/>
        <v/>
      </c>
      <c r="M338" s="15" t="str">
        <f t="shared" si="32"/>
        <v/>
      </c>
      <c r="N338" s="15" t="str">
        <f t="shared" si="33"/>
        <v/>
      </c>
      <c r="O338" s="15" t="str">
        <f t="shared" si="34"/>
        <v/>
      </c>
      <c r="P338" s="15" t="str">
        <f>IF(OR(C338="",NOT(OR(ISNUMBER(SEARCH("Antitarnish",Upload!R328&amp;Upload!S328&amp;Upload!T328&amp;Upload!U328&amp;Upload!V328)),ISNUMBER(SEARCH("Anti Tarnish",Upload!R328&amp;Upload!S328&amp;Upload!T328&amp;Upload!U328&amp;Upload!V328))))),"",0.0012*C338)</f>
        <v/>
      </c>
      <c r="Q338" s="15" t="str">
        <f>IF(OR(E338="",NOT(OR(ISNUMBER(SEARCH("Epóxico MT",Upload!R328&amp;Upload!S328&amp;Upload!T328&amp;Upload!U328&amp;Upload!V328))))),"",E338*0.000035)</f>
        <v/>
      </c>
      <c r="R338" s="15" t="str">
        <f>IF(OR(F338="",NOT(OR(ISNUMBER(SEARCH("Epóxico BT",Upload!S328&amp;Upload!T328&amp;Upload!U328&amp;Upload!V328&amp;Upload!W328))))),"",F338*0.000035)</f>
        <v/>
      </c>
      <c r="S338" s="15" t="str">
        <f>IF(OR(G338="",NOT(OR(ISNUMBER(SEARCH("Epóxico Rojo",Upload!T328&amp;Upload!U328&amp;Upload!V328&amp;Upload!W328&amp;Upload!X328))))),"",G338*0.000035)</f>
        <v/>
      </c>
    </row>
    <row r="339" spans="1:19" x14ac:dyDescent="0.2">
      <c r="A339" s="9" t="e">
        <f t="shared" ref="A339:A402" ca="1" si="35">_xludf.ROW()-18</f>
        <v>#NAME?</v>
      </c>
      <c r="B339" s="9">
        <f>Upload!G329</f>
        <v>0</v>
      </c>
      <c r="C339" s="9">
        <f>Upload!AN329</f>
        <v>0</v>
      </c>
      <c r="D339" s="9">
        <f>Upload!AO329</f>
        <v>0</v>
      </c>
      <c r="E339" s="9">
        <f>Upload!AP329</f>
        <v>0</v>
      </c>
      <c r="F339" s="9" t="str">
        <f>Upload!AK329</f>
        <v/>
      </c>
      <c r="G339" s="9" t="str">
        <f>Upload!AM329</f>
        <v/>
      </c>
      <c r="H339" s="9" t="str">
        <f>Upload!AJ329</f>
        <v>(seleccione)</v>
      </c>
      <c r="I339" s="9" t="str">
        <f>Upload!AL329</f>
        <v>(seleccione)</v>
      </c>
      <c r="K339" s="15" t="str">
        <f t="shared" si="30"/>
        <v/>
      </c>
      <c r="L339" s="15" t="str">
        <f t="shared" si="31"/>
        <v/>
      </c>
      <c r="M339" s="15" t="str">
        <f t="shared" si="32"/>
        <v/>
      </c>
      <c r="N339" s="15" t="str">
        <f t="shared" si="33"/>
        <v/>
      </c>
      <c r="O339" s="15" t="str">
        <f t="shared" si="34"/>
        <v/>
      </c>
      <c r="P339" s="15" t="str">
        <f>IF(OR(C339="",NOT(OR(ISNUMBER(SEARCH("Antitarnish",Upload!R329&amp;Upload!S329&amp;Upload!T329&amp;Upload!U329&amp;Upload!V329)),ISNUMBER(SEARCH("Anti Tarnish",Upload!R329&amp;Upload!S329&amp;Upload!T329&amp;Upload!U329&amp;Upload!V329))))),"",0.0012*C339)</f>
        <v/>
      </c>
      <c r="Q339" s="15" t="str">
        <f>IF(OR(E339="",NOT(OR(ISNUMBER(SEARCH("Epóxico MT",Upload!R329&amp;Upload!S329&amp;Upload!T329&amp;Upload!U329&amp;Upload!V329))))),"",E339*0.000035)</f>
        <v/>
      </c>
      <c r="R339" s="15" t="str">
        <f>IF(OR(F339="",NOT(OR(ISNUMBER(SEARCH("Epóxico BT",Upload!S329&amp;Upload!T329&amp;Upload!U329&amp;Upload!V329&amp;Upload!W329))))),"",F339*0.000035)</f>
        <v/>
      </c>
      <c r="S339" s="15" t="str">
        <f>IF(OR(G339="",NOT(OR(ISNUMBER(SEARCH("Epóxico Rojo",Upload!T329&amp;Upload!U329&amp;Upload!V329&amp;Upload!W329&amp;Upload!X329))))),"",G339*0.000035)</f>
        <v/>
      </c>
    </row>
    <row r="340" spans="1:19" x14ac:dyDescent="0.2">
      <c r="A340" s="9" t="e">
        <f t="shared" ca="1" si="35"/>
        <v>#NAME?</v>
      </c>
      <c r="B340" s="9">
        <f>Upload!G330</f>
        <v>0</v>
      </c>
      <c r="C340" s="9">
        <f>Upload!AN330</f>
        <v>0</v>
      </c>
      <c r="D340" s="9">
        <f>Upload!AO330</f>
        <v>0</v>
      </c>
      <c r="E340" s="9">
        <f>Upload!AP330</f>
        <v>0</v>
      </c>
      <c r="F340" s="9" t="str">
        <f>Upload!AK330</f>
        <v/>
      </c>
      <c r="G340" s="9" t="str">
        <f>Upload!AM330</f>
        <v/>
      </c>
      <c r="H340" s="9" t="str">
        <f>Upload!AJ330</f>
        <v>(seleccione)</v>
      </c>
      <c r="I340" s="9" t="str">
        <f>Upload!AL330</f>
        <v>(seleccione)</v>
      </c>
      <c r="K340" s="15" t="str">
        <f t="shared" si="30"/>
        <v/>
      </c>
      <c r="L340" s="15" t="str">
        <f t="shared" si="31"/>
        <v/>
      </c>
      <c r="M340" s="15" t="str">
        <f t="shared" si="32"/>
        <v/>
      </c>
      <c r="N340" s="15" t="str">
        <f t="shared" si="33"/>
        <v/>
      </c>
      <c r="O340" s="15" t="str">
        <f t="shared" si="34"/>
        <v/>
      </c>
      <c r="P340" s="15" t="str">
        <f>IF(OR(C340="",NOT(OR(ISNUMBER(SEARCH("Antitarnish",Upload!R330&amp;Upload!S330&amp;Upload!T330&amp;Upload!U330&amp;Upload!V330)),ISNUMBER(SEARCH("Anti Tarnish",Upload!R330&amp;Upload!S330&amp;Upload!T330&amp;Upload!U330&amp;Upload!V330))))),"",0.0012*C340)</f>
        <v/>
      </c>
      <c r="Q340" s="15" t="str">
        <f>IF(OR(E340="",NOT(OR(ISNUMBER(SEARCH("Epóxico MT",Upload!R330&amp;Upload!S330&amp;Upload!T330&amp;Upload!U330&amp;Upload!V330))))),"",E340*0.000035)</f>
        <v/>
      </c>
      <c r="R340" s="15" t="str">
        <f>IF(OR(F340="",NOT(OR(ISNUMBER(SEARCH("Epóxico BT",Upload!S330&amp;Upload!T330&amp;Upload!U330&amp;Upload!V330&amp;Upload!W330))))),"",F340*0.000035)</f>
        <v/>
      </c>
      <c r="S340" s="15" t="str">
        <f>IF(OR(G340="",NOT(OR(ISNUMBER(SEARCH("Epóxico Rojo",Upload!T330&amp;Upload!U330&amp;Upload!V330&amp;Upload!W330&amp;Upload!X330))))),"",G340*0.000035)</f>
        <v/>
      </c>
    </row>
    <row r="341" spans="1:19" x14ac:dyDescent="0.2">
      <c r="A341" s="9" t="e">
        <f t="shared" ca="1" si="35"/>
        <v>#NAME?</v>
      </c>
      <c r="B341" s="9">
        <f>Upload!G331</f>
        <v>0</v>
      </c>
      <c r="C341" s="9">
        <f>Upload!AN331</f>
        <v>0</v>
      </c>
      <c r="D341" s="9">
        <f>Upload!AO331</f>
        <v>0</v>
      </c>
      <c r="E341" s="9">
        <f>Upload!AP331</f>
        <v>0</v>
      </c>
      <c r="F341" s="9" t="str">
        <f>Upload!AK331</f>
        <v/>
      </c>
      <c r="G341" s="9" t="str">
        <f>Upload!AM331</f>
        <v/>
      </c>
      <c r="H341" s="9" t="str">
        <f>Upload!AJ331</f>
        <v>(seleccione)</v>
      </c>
      <c r="I341" s="9" t="str">
        <f>Upload!AL331</f>
        <v>(seleccione)</v>
      </c>
      <c r="K341" s="15" t="str">
        <f t="shared" si="30"/>
        <v/>
      </c>
      <c r="L341" s="15" t="str">
        <f t="shared" si="31"/>
        <v/>
      </c>
      <c r="M341" s="15" t="str">
        <f t="shared" si="32"/>
        <v/>
      </c>
      <c r="N341" s="15" t="str">
        <f t="shared" si="33"/>
        <v/>
      </c>
      <c r="O341" s="15" t="str">
        <f t="shared" si="34"/>
        <v/>
      </c>
      <c r="P341" s="15" t="str">
        <f>IF(OR(C341="",NOT(OR(ISNUMBER(SEARCH("Antitarnish",Upload!R331&amp;Upload!S331&amp;Upload!T331&amp;Upload!U331&amp;Upload!V331)),ISNUMBER(SEARCH("Anti Tarnish",Upload!R331&amp;Upload!S331&amp;Upload!T331&amp;Upload!U331&amp;Upload!V331))))),"",0.0012*C341)</f>
        <v/>
      </c>
      <c r="Q341" s="15" t="str">
        <f>IF(OR(E341="",NOT(OR(ISNUMBER(SEARCH("Epóxico MT",Upload!R331&amp;Upload!S331&amp;Upload!T331&amp;Upload!U331&amp;Upload!V331))))),"",E341*0.000035)</f>
        <v/>
      </c>
      <c r="R341" s="15" t="str">
        <f>IF(OR(F341="",NOT(OR(ISNUMBER(SEARCH("Epóxico BT",Upload!S331&amp;Upload!T331&amp;Upload!U331&amp;Upload!V331&amp;Upload!W331))))),"",F341*0.000035)</f>
        <v/>
      </c>
      <c r="S341" s="15" t="str">
        <f>IF(OR(G341="",NOT(OR(ISNUMBER(SEARCH("Epóxico Rojo",Upload!T331&amp;Upload!U331&amp;Upload!V331&amp;Upload!W331&amp;Upload!X331))))),"",G341*0.000035)</f>
        <v/>
      </c>
    </row>
    <row r="342" spans="1:19" x14ac:dyDescent="0.2">
      <c r="A342" s="9" t="e">
        <f t="shared" ca="1" si="35"/>
        <v>#NAME?</v>
      </c>
      <c r="B342" s="9">
        <f>Upload!G332</f>
        <v>0</v>
      </c>
      <c r="C342" s="9">
        <f>Upload!AN332</f>
        <v>0</v>
      </c>
      <c r="D342" s="9">
        <f>Upload!AO332</f>
        <v>0</v>
      </c>
      <c r="E342" s="9">
        <f>Upload!AP332</f>
        <v>0</v>
      </c>
      <c r="F342" s="9" t="str">
        <f>Upload!AK332</f>
        <v/>
      </c>
      <c r="G342" s="9" t="str">
        <f>Upload!AM332</f>
        <v/>
      </c>
      <c r="H342" s="9" t="str">
        <f>Upload!AJ332</f>
        <v>(seleccione)</v>
      </c>
      <c r="I342" s="9" t="str">
        <f>Upload!AL332</f>
        <v>(seleccione)</v>
      </c>
      <c r="K342" s="15" t="str">
        <f t="shared" si="30"/>
        <v/>
      </c>
      <c r="L342" s="15" t="str">
        <f t="shared" si="31"/>
        <v/>
      </c>
      <c r="M342" s="15" t="str">
        <f t="shared" si="32"/>
        <v/>
      </c>
      <c r="N342" s="15" t="str">
        <f t="shared" si="33"/>
        <v/>
      </c>
      <c r="O342" s="15" t="str">
        <f t="shared" si="34"/>
        <v/>
      </c>
      <c r="P342" s="15" t="str">
        <f>IF(OR(C342="",NOT(OR(ISNUMBER(SEARCH("Antitarnish",Upload!R332&amp;Upload!S332&amp;Upload!T332&amp;Upload!U332&amp;Upload!V332)),ISNUMBER(SEARCH("Anti Tarnish",Upload!R332&amp;Upload!S332&amp;Upload!T332&amp;Upload!U332&amp;Upload!V332))))),"",0.0012*C342)</f>
        <v/>
      </c>
      <c r="Q342" s="15" t="str">
        <f>IF(OR(E342="",NOT(OR(ISNUMBER(SEARCH("Epóxico MT",Upload!R332&amp;Upload!S332&amp;Upload!T332&amp;Upload!U332&amp;Upload!V332))))),"",E342*0.000035)</f>
        <v/>
      </c>
      <c r="R342" s="15" t="str">
        <f>IF(OR(F342="",NOT(OR(ISNUMBER(SEARCH("Epóxico BT",Upload!S332&amp;Upload!T332&amp;Upload!U332&amp;Upload!V332&amp;Upload!W332))))),"",F342*0.000035)</f>
        <v/>
      </c>
      <c r="S342" s="15" t="str">
        <f>IF(OR(G342="",NOT(OR(ISNUMBER(SEARCH("Epóxico Rojo",Upload!T332&amp;Upload!U332&amp;Upload!V332&amp;Upload!W332&amp;Upload!X332))))),"",G342*0.000035)</f>
        <v/>
      </c>
    </row>
    <row r="343" spans="1:19" x14ac:dyDescent="0.2">
      <c r="A343" s="9" t="e">
        <f t="shared" ca="1" si="35"/>
        <v>#NAME?</v>
      </c>
      <c r="B343" s="9">
        <f>Upload!G333</f>
        <v>0</v>
      </c>
      <c r="C343" s="9">
        <f>Upload!AN333</f>
        <v>0</v>
      </c>
      <c r="D343" s="9">
        <f>Upload!AO333</f>
        <v>0</v>
      </c>
      <c r="E343" s="9">
        <f>Upload!AP333</f>
        <v>0</v>
      </c>
      <c r="F343" s="9" t="str">
        <f>Upload!AK333</f>
        <v/>
      </c>
      <c r="G343" s="9" t="str">
        <f>Upload!AM333</f>
        <v/>
      </c>
      <c r="H343" s="9" t="str">
        <f>Upload!AJ333</f>
        <v>(seleccione)</v>
      </c>
      <c r="I343" s="9" t="str">
        <f>Upload!AL333</f>
        <v>(seleccione)</v>
      </c>
      <c r="K343" s="15" t="str">
        <f t="shared" si="30"/>
        <v/>
      </c>
      <c r="L343" s="15" t="str">
        <f t="shared" si="31"/>
        <v/>
      </c>
      <c r="M343" s="15" t="str">
        <f t="shared" si="32"/>
        <v/>
      </c>
      <c r="N343" s="15" t="str">
        <f t="shared" si="33"/>
        <v/>
      </c>
      <c r="O343" s="15" t="str">
        <f t="shared" si="34"/>
        <v/>
      </c>
      <c r="P343" s="15" t="str">
        <f>IF(OR(C343="",NOT(OR(ISNUMBER(SEARCH("Antitarnish",Upload!R333&amp;Upload!S333&amp;Upload!T333&amp;Upload!U333&amp;Upload!V333)),ISNUMBER(SEARCH("Anti Tarnish",Upload!R333&amp;Upload!S333&amp;Upload!T333&amp;Upload!U333&amp;Upload!V333))))),"",0.0012*C343)</f>
        <v/>
      </c>
      <c r="Q343" s="15" t="str">
        <f>IF(OR(E343="",NOT(OR(ISNUMBER(SEARCH("Epóxico MT",Upload!R333&amp;Upload!S333&amp;Upload!T333&amp;Upload!U333&amp;Upload!V333))))),"",E343*0.000035)</f>
        <v/>
      </c>
      <c r="R343" s="15" t="str">
        <f>IF(OR(F343="",NOT(OR(ISNUMBER(SEARCH("Epóxico BT",Upload!S333&amp;Upload!T333&amp;Upload!U333&amp;Upload!V333&amp;Upload!W333))))),"",F343*0.000035)</f>
        <v/>
      </c>
      <c r="S343" s="15" t="str">
        <f>IF(OR(G343="",NOT(OR(ISNUMBER(SEARCH("Epóxico Rojo",Upload!T333&amp;Upload!U333&amp;Upload!V333&amp;Upload!W333&amp;Upload!X333))))),"",G343*0.000035)</f>
        <v/>
      </c>
    </row>
    <row r="344" spans="1:19" x14ac:dyDescent="0.2">
      <c r="A344" s="9" t="e">
        <f t="shared" ca="1" si="35"/>
        <v>#NAME?</v>
      </c>
      <c r="B344" s="9">
        <f>Upload!G334</f>
        <v>0</v>
      </c>
      <c r="C344" s="9">
        <f>Upload!AN334</f>
        <v>0</v>
      </c>
      <c r="D344" s="9">
        <f>Upload!AO334</f>
        <v>0</v>
      </c>
      <c r="E344" s="9">
        <f>Upload!AP334</f>
        <v>0</v>
      </c>
      <c r="F344" s="9" t="str">
        <f>Upload!AK334</f>
        <v/>
      </c>
      <c r="G344" s="9" t="str">
        <f>Upload!AM334</f>
        <v/>
      </c>
      <c r="H344" s="9" t="str">
        <f>Upload!AJ334</f>
        <v>(seleccione)</v>
      </c>
      <c r="I344" s="9" t="str">
        <f>Upload!AL334</f>
        <v>(seleccione)</v>
      </c>
      <c r="K344" s="15" t="str">
        <f t="shared" si="30"/>
        <v/>
      </c>
      <c r="L344" s="15" t="str">
        <f t="shared" si="31"/>
        <v/>
      </c>
      <c r="M344" s="15" t="str">
        <f t="shared" si="32"/>
        <v/>
      </c>
      <c r="N344" s="15" t="str">
        <f t="shared" si="33"/>
        <v/>
      </c>
      <c r="O344" s="15" t="str">
        <f t="shared" si="34"/>
        <v/>
      </c>
      <c r="P344" s="15" t="str">
        <f>IF(OR(C344="",NOT(OR(ISNUMBER(SEARCH("Antitarnish",Upload!R334&amp;Upload!S334&amp;Upload!T334&amp;Upload!U334&amp;Upload!V334)),ISNUMBER(SEARCH("Anti Tarnish",Upload!R334&amp;Upload!S334&amp;Upload!T334&amp;Upload!U334&amp;Upload!V334))))),"",0.0012*C344)</f>
        <v/>
      </c>
      <c r="Q344" s="15" t="str">
        <f>IF(OR(E344="",NOT(OR(ISNUMBER(SEARCH("Epóxico MT",Upload!R334&amp;Upload!S334&amp;Upload!T334&amp;Upload!U334&amp;Upload!V334))))),"",E344*0.000035)</f>
        <v/>
      </c>
      <c r="R344" s="15" t="str">
        <f>IF(OR(F344="",NOT(OR(ISNUMBER(SEARCH("Epóxico BT",Upload!S334&amp;Upload!T334&amp;Upload!U334&amp;Upload!V334&amp;Upload!W334))))),"",F344*0.000035)</f>
        <v/>
      </c>
      <c r="S344" s="15" t="str">
        <f>IF(OR(G344="",NOT(OR(ISNUMBER(SEARCH("Epóxico Rojo",Upload!T334&amp;Upload!U334&amp;Upload!V334&amp;Upload!W334&amp;Upload!X334))))),"",G344*0.000035)</f>
        <v/>
      </c>
    </row>
    <row r="345" spans="1:19" x14ac:dyDescent="0.2">
      <c r="A345" s="9" t="e">
        <f t="shared" ca="1" si="35"/>
        <v>#NAME?</v>
      </c>
      <c r="B345" s="9">
        <f>Upload!G335</f>
        <v>0</v>
      </c>
      <c r="C345" s="9">
        <f>Upload!AN335</f>
        <v>0</v>
      </c>
      <c r="D345" s="9">
        <f>Upload!AO335</f>
        <v>0</v>
      </c>
      <c r="E345" s="9">
        <f>Upload!AP335</f>
        <v>0</v>
      </c>
      <c r="F345" s="9" t="str">
        <f>Upload!AK335</f>
        <v/>
      </c>
      <c r="G345" s="9" t="str">
        <f>Upload!AM335</f>
        <v/>
      </c>
      <c r="H345" s="9" t="str">
        <f>Upload!AJ335</f>
        <v>(seleccione)</v>
      </c>
      <c r="I345" s="9" t="str">
        <f>Upload!AL335</f>
        <v>(seleccione)</v>
      </c>
      <c r="K345" s="15" t="str">
        <f t="shared" si="30"/>
        <v/>
      </c>
      <c r="L345" s="15" t="str">
        <f t="shared" si="31"/>
        <v/>
      </c>
      <c r="M345" s="15" t="str">
        <f t="shared" si="32"/>
        <v/>
      </c>
      <c r="N345" s="15" t="str">
        <f t="shared" si="33"/>
        <v/>
      </c>
      <c r="O345" s="15" t="str">
        <f t="shared" si="34"/>
        <v/>
      </c>
      <c r="P345" s="15" t="str">
        <f>IF(OR(C345="",NOT(OR(ISNUMBER(SEARCH("Antitarnish",Upload!R335&amp;Upload!S335&amp;Upload!T335&amp;Upload!U335&amp;Upload!V335)),ISNUMBER(SEARCH("Anti Tarnish",Upload!R335&amp;Upload!S335&amp;Upload!T335&amp;Upload!U335&amp;Upload!V335))))),"",0.0012*C345)</f>
        <v/>
      </c>
      <c r="Q345" s="15" t="str">
        <f>IF(OR(E345="",NOT(OR(ISNUMBER(SEARCH("Epóxico MT",Upload!R335&amp;Upload!S335&amp;Upload!T335&amp;Upload!U335&amp;Upload!V335))))),"",E345*0.000035)</f>
        <v/>
      </c>
      <c r="R345" s="15" t="str">
        <f>IF(OR(F345="",NOT(OR(ISNUMBER(SEARCH("Epóxico BT",Upload!S335&amp;Upload!T335&amp;Upload!U335&amp;Upload!V335&amp;Upload!W335))))),"",F345*0.000035)</f>
        <v/>
      </c>
      <c r="S345" s="15" t="str">
        <f>IF(OR(G345="",NOT(OR(ISNUMBER(SEARCH("Epóxico Rojo",Upload!T335&amp;Upload!U335&amp;Upload!V335&amp;Upload!W335&amp;Upload!X335))))),"",G345*0.000035)</f>
        <v/>
      </c>
    </row>
    <row r="346" spans="1:19" x14ac:dyDescent="0.2">
      <c r="A346" s="9" t="e">
        <f t="shared" ca="1" si="35"/>
        <v>#NAME?</v>
      </c>
      <c r="B346" s="9">
        <f>Upload!G336</f>
        <v>0</v>
      </c>
      <c r="C346" s="9">
        <f>Upload!AN336</f>
        <v>0</v>
      </c>
      <c r="D346" s="9">
        <f>Upload!AO336</f>
        <v>0</v>
      </c>
      <c r="E346" s="9">
        <f>Upload!AP336</f>
        <v>0</v>
      </c>
      <c r="F346" s="9" t="str">
        <f>Upload!AK336</f>
        <v/>
      </c>
      <c r="G346" s="9" t="str">
        <f>Upload!AM336</f>
        <v/>
      </c>
      <c r="H346" s="9" t="str">
        <f>Upload!AJ336</f>
        <v>(seleccione)</v>
      </c>
      <c r="I346" s="9" t="str">
        <f>Upload!AL336</f>
        <v>(seleccione)</v>
      </c>
      <c r="K346" s="15" t="str">
        <f t="shared" si="30"/>
        <v/>
      </c>
      <c r="L346" s="15" t="str">
        <f t="shared" si="31"/>
        <v/>
      </c>
      <c r="M346" s="15" t="str">
        <f t="shared" si="32"/>
        <v/>
      </c>
      <c r="N346" s="15" t="str">
        <f t="shared" si="33"/>
        <v/>
      </c>
      <c r="O346" s="15" t="str">
        <f t="shared" si="34"/>
        <v/>
      </c>
      <c r="P346" s="15" t="str">
        <f>IF(OR(C346="",NOT(OR(ISNUMBER(SEARCH("Antitarnish",Upload!R336&amp;Upload!S336&amp;Upload!T336&amp;Upload!U336&amp;Upload!V336)),ISNUMBER(SEARCH("Anti Tarnish",Upload!R336&amp;Upload!S336&amp;Upload!T336&amp;Upload!U336&amp;Upload!V336))))),"",0.0012*C346)</f>
        <v/>
      </c>
      <c r="Q346" s="15" t="str">
        <f>IF(OR(E346="",NOT(OR(ISNUMBER(SEARCH("Epóxico MT",Upload!R336&amp;Upload!S336&amp;Upload!T336&amp;Upload!U336&amp;Upload!V336))))),"",E346*0.000035)</f>
        <v/>
      </c>
      <c r="R346" s="15" t="str">
        <f>IF(OR(F346="",NOT(OR(ISNUMBER(SEARCH("Epóxico BT",Upload!S336&amp;Upload!T336&amp;Upload!U336&amp;Upload!V336&amp;Upload!W336))))),"",F346*0.000035)</f>
        <v/>
      </c>
      <c r="S346" s="15" t="str">
        <f>IF(OR(G346="",NOT(OR(ISNUMBER(SEARCH("Epóxico Rojo",Upload!T336&amp;Upload!U336&amp;Upload!V336&amp;Upload!W336&amp;Upload!X336))))),"",G346*0.000035)</f>
        <v/>
      </c>
    </row>
    <row r="347" spans="1:19" x14ac:dyDescent="0.2">
      <c r="A347" s="9" t="e">
        <f t="shared" ca="1" si="35"/>
        <v>#NAME?</v>
      </c>
      <c r="B347" s="9">
        <f>Upload!G337</f>
        <v>0</v>
      </c>
      <c r="C347" s="9">
        <f>Upload!AN337</f>
        <v>0</v>
      </c>
      <c r="D347" s="9">
        <f>Upload!AO337</f>
        <v>0</v>
      </c>
      <c r="E347" s="9">
        <f>Upload!AP337</f>
        <v>0</v>
      </c>
      <c r="F347" s="9" t="str">
        <f>Upload!AK337</f>
        <v/>
      </c>
      <c r="G347" s="9" t="str">
        <f>Upload!AM337</f>
        <v/>
      </c>
      <c r="H347" s="9" t="str">
        <f>Upload!AJ337</f>
        <v>(seleccione)</v>
      </c>
      <c r="I347" s="9" t="str">
        <f>Upload!AL337</f>
        <v>(seleccione)</v>
      </c>
      <c r="K347" s="15" t="str">
        <f t="shared" si="30"/>
        <v/>
      </c>
      <c r="L347" s="15" t="str">
        <f t="shared" si="31"/>
        <v/>
      </c>
      <c r="M347" s="15" t="str">
        <f t="shared" si="32"/>
        <v/>
      </c>
      <c r="N347" s="15" t="str">
        <f t="shared" si="33"/>
        <v/>
      </c>
      <c r="O347" s="15" t="str">
        <f t="shared" si="34"/>
        <v/>
      </c>
      <c r="P347" s="15" t="str">
        <f>IF(OR(C347="",NOT(OR(ISNUMBER(SEARCH("Antitarnish",Upload!R337&amp;Upload!S337&amp;Upload!T337&amp;Upload!U337&amp;Upload!V337)),ISNUMBER(SEARCH("Anti Tarnish",Upload!R337&amp;Upload!S337&amp;Upload!T337&amp;Upload!U337&amp;Upload!V337))))),"",0.0012*C347)</f>
        <v/>
      </c>
      <c r="Q347" s="15" t="str">
        <f>IF(OR(E347="",NOT(OR(ISNUMBER(SEARCH("Epóxico MT",Upload!R337&amp;Upload!S337&amp;Upload!T337&amp;Upload!U337&amp;Upload!V337))))),"",E347*0.000035)</f>
        <v/>
      </c>
      <c r="R347" s="15" t="str">
        <f>IF(OR(F347="",NOT(OR(ISNUMBER(SEARCH("Epóxico BT",Upload!S337&amp;Upload!T337&amp;Upload!U337&amp;Upload!V337&amp;Upload!W337))))),"",F347*0.000035)</f>
        <v/>
      </c>
      <c r="S347" s="15" t="str">
        <f>IF(OR(G347="",NOT(OR(ISNUMBER(SEARCH("Epóxico Rojo",Upload!T337&amp;Upload!U337&amp;Upload!V337&amp;Upload!W337&amp;Upload!X337))))),"",G347*0.000035)</f>
        <v/>
      </c>
    </row>
    <row r="348" spans="1:19" x14ac:dyDescent="0.2">
      <c r="A348" s="9" t="e">
        <f t="shared" ca="1" si="35"/>
        <v>#NAME?</v>
      </c>
      <c r="B348" s="9">
        <f>Upload!G338</f>
        <v>0</v>
      </c>
      <c r="C348" s="9">
        <f>Upload!AN338</f>
        <v>0</v>
      </c>
      <c r="D348" s="9">
        <f>Upload!AO338</f>
        <v>0</v>
      </c>
      <c r="E348" s="9">
        <f>Upload!AP338</f>
        <v>0</v>
      </c>
      <c r="F348" s="9" t="str">
        <f>Upload!AK338</f>
        <v/>
      </c>
      <c r="G348" s="9" t="str">
        <f>Upload!AM338</f>
        <v/>
      </c>
      <c r="H348" s="9" t="str">
        <f>Upload!AJ338</f>
        <v>(seleccione)</v>
      </c>
      <c r="I348" s="9" t="str">
        <f>Upload!AL338</f>
        <v>(seleccione)</v>
      </c>
      <c r="K348" s="15" t="str">
        <f t="shared" si="30"/>
        <v/>
      </c>
      <c r="L348" s="15" t="str">
        <f t="shared" si="31"/>
        <v/>
      </c>
      <c r="M348" s="15" t="str">
        <f t="shared" si="32"/>
        <v/>
      </c>
      <c r="N348" s="15" t="str">
        <f t="shared" si="33"/>
        <v/>
      </c>
      <c r="O348" s="15" t="str">
        <f t="shared" si="34"/>
        <v/>
      </c>
      <c r="P348" s="15" t="str">
        <f>IF(OR(C348="",NOT(OR(ISNUMBER(SEARCH("Antitarnish",Upload!R338&amp;Upload!S338&amp;Upload!T338&amp;Upload!U338&amp;Upload!V338)),ISNUMBER(SEARCH("Anti Tarnish",Upload!R338&amp;Upload!S338&amp;Upload!T338&amp;Upload!U338&amp;Upload!V338))))),"",0.0012*C348)</f>
        <v/>
      </c>
      <c r="Q348" s="15" t="str">
        <f>IF(OR(E348="",NOT(OR(ISNUMBER(SEARCH("Epóxico MT",Upload!R338&amp;Upload!S338&amp;Upload!T338&amp;Upload!U338&amp;Upload!V338))))),"",E348*0.000035)</f>
        <v/>
      </c>
      <c r="R348" s="15" t="str">
        <f>IF(OR(F348="",NOT(OR(ISNUMBER(SEARCH("Epóxico BT",Upload!S338&amp;Upload!T338&amp;Upload!U338&amp;Upload!V338&amp;Upload!W338))))),"",F348*0.000035)</f>
        <v/>
      </c>
      <c r="S348" s="15" t="str">
        <f>IF(OR(G348="",NOT(OR(ISNUMBER(SEARCH("Epóxico Rojo",Upload!T338&amp;Upload!U338&amp;Upload!V338&amp;Upload!W338&amp;Upload!X338))))),"",G348*0.000035)</f>
        <v/>
      </c>
    </row>
    <row r="349" spans="1:19" x14ac:dyDescent="0.2">
      <c r="A349" s="9" t="e">
        <f t="shared" ca="1" si="35"/>
        <v>#NAME?</v>
      </c>
      <c r="B349" s="9">
        <f>Upload!G339</f>
        <v>0</v>
      </c>
      <c r="C349" s="9">
        <f>Upload!AN339</f>
        <v>0</v>
      </c>
      <c r="D349" s="9">
        <f>Upload!AO339</f>
        <v>0</v>
      </c>
      <c r="E349" s="9">
        <f>Upload!AP339</f>
        <v>0</v>
      </c>
      <c r="F349" s="9" t="str">
        <f>Upload!AK339</f>
        <v/>
      </c>
      <c r="G349" s="9" t="str">
        <f>Upload!AM339</f>
        <v/>
      </c>
      <c r="H349" s="9" t="str">
        <f>Upload!AJ339</f>
        <v>(seleccione)</v>
      </c>
      <c r="I349" s="9" t="str">
        <f>Upload!AL339</f>
        <v>(seleccione)</v>
      </c>
      <c r="K349" s="15" t="str">
        <f t="shared" si="30"/>
        <v/>
      </c>
      <c r="L349" s="15" t="str">
        <f t="shared" si="31"/>
        <v/>
      </c>
      <c r="M349" s="15" t="str">
        <f t="shared" si="32"/>
        <v/>
      </c>
      <c r="N349" s="15" t="str">
        <f t="shared" si="33"/>
        <v/>
      </c>
      <c r="O349" s="15" t="str">
        <f t="shared" si="34"/>
        <v/>
      </c>
      <c r="P349" s="15" t="str">
        <f>IF(OR(C349="",NOT(OR(ISNUMBER(SEARCH("Antitarnish",Upload!R339&amp;Upload!S339&amp;Upload!T339&amp;Upload!U339&amp;Upload!V339)),ISNUMBER(SEARCH("Anti Tarnish",Upload!R339&amp;Upload!S339&amp;Upload!T339&amp;Upload!U339&amp;Upload!V339))))),"",0.0012*C349)</f>
        <v/>
      </c>
      <c r="Q349" s="15" t="str">
        <f>IF(OR(E349="",NOT(OR(ISNUMBER(SEARCH("Epóxico MT",Upload!R339&amp;Upload!S339&amp;Upload!T339&amp;Upload!U339&amp;Upload!V339))))),"",E349*0.000035)</f>
        <v/>
      </c>
      <c r="R349" s="15" t="str">
        <f>IF(OR(F349="",NOT(OR(ISNUMBER(SEARCH("Epóxico BT",Upload!S339&amp;Upload!T339&amp;Upload!U339&amp;Upload!V339&amp;Upload!W339))))),"",F349*0.000035)</f>
        <v/>
      </c>
      <c r="S349" s="15" t="str">
        <f>IF(OR(G349="",NOT(OR(ISNUMBER(SEARCH("Epóxico Rojo",Upload!T339&amp;Upload!U339&amp;Upload!V339&amp;Upload!W339&amp;Upload!X339))))),"",G349*0.000035)</f>
        <v/>
      </c>
    </row>
    <row r="350" spans="1:19" x14ac:dyDescent="0.2">
      <c r="A350" s="9" t="e">
        <f t="shared" ca="1" si="35"/>
        <v>#NAME?</v>
      </c>
      <c r="B350" s="9">
        <f>Upload!G340</f>
        <v>0</v>
      </c>
      <c r="C350" s="9">
        <f>Upload!AN340</f>
        <v>0</v>
      </c>
      <c r="D350" s="9">
        <f>Upload!AO340</f>
        <v>0</v>
      </c>
      <c r="E350" s="9">
        <f>Upload!AP340</f>
        <v>0</v>
      </c>
      <c r="F350" s="9" t="str">
        <f>Upload!AK340</f>
        <v/>
      </c>
      <c r="G350" s="9" t="str">
        <f>Upload!AM340</f>
        <v/>
      </c>
      <c r="H350" s="9" t="str">
        <f>Upload!AJ340</f>
        <v>(seleccione)</v>
      </c>
      <c r="I350" s="9" t="str">
        <f>Upload!AL340</f>
        <v>(seleccione)</v>
      </c>
      <c r="K350" s="15" t="str">
        <f t="shared" si="30"/>
        <v/>
      </c>
      <c r="L350" s="15" t="str">
        <f t="shared" si="31"/>
        <v/>
      </c>
      <c r="M350" s="15" t="str">
        <f t="shared" si="32"/>
        <v/>
      </c>
      <c r="N350" s="15" t="str">
        <f t="shared" si="33"/>
        <v/>
      </c>
      <c r="O350" s="15" t="str">
        <f t="shared" si="34"/>
        <v/>
      </c>
      <c r="P350" s="15" t="str">
        <f>IF(OR(C350="",NOT(OR(ISNUMBER(SEARCH("Antitarnish",Upload!R340&amp;Upload!S340&amp;Upload!T340&amp;Upload!U340&amp;Upload!V340)),ISNUMBER(SEARCH("Anti Tarnish",Upload!R340&amp;Upload!S340&amp;Upload!T340&amp;Upload!U340&amp;Upload!V340))))),"",0.0012*C350)</f>
        <v/>
      </c>
      <c r="Q350" s="15" t="str">
        <f>IF(OR(E350="",NOT(OR(ISNUMBER(SEARCH("Epóxico MT",Upload!R340&amp;Upload!S340&amp;Upload!T340&amp;Upload!U340&amp;Upload!V340))))),"",E350*0.000035)</f>
        <v/>
      </c>
      <c r="R350" s="15" t="str">
        <f>IF(OR(F350="",NOT(OR(ISNUMBER(SEARCH("Epóxico BT",Upload!S340&amp;Upload!T340&amp;Upload!U340&amp;Upload!V340&amp;Upload!W340))))),"",F350*0.000035)</f>
        <v/>
      </c>
      <c r="S350" s="15" t="str">
        <f>IF(OR(G350="",NOT(OR(ISNUMBER(SEARCH("Epóxico Rojo",Upload!T340&amp;Upload!U340&amp;Upload!V340&amp;Upload!W340&amp;Upload!X340))))),"",G350*0.000035)</f>
        <v/>
      </c>
    </row>
    <row r="351" spans="1:19" x14ac:dyDescent="0.2">
      <c r="A351" s="9" t="e">
        <f t="shared" ca="1" si="35"/>
        <v>#NAME?</v>
      </c>
      <c r="B351" s="9">
        <f>Upload!G341</f>
        <v>0</v>
      </c>
      <c r="C351" s="9">
        <f>Upload!AN341</f>
        <v>0</v>
      </c>
      <c r="D351" s="9">
        <f>Upload!AO341</f>
        <v>0</v>
      </c>
      <c r="E351" s="9">
        <f>Upload!AP341</f>
        <v>0</v>
      </c>
      <c r="F351" s="9" t="str">
        <f>Upload!AK341</f>
        <v/>
      </c>
      <c r="G351" s="9" t="str">
        <f>Upload!AM341</f>
        <v/>
      </c>
      <c r="H351" s="9" t="str">
        <f>Upload!AJ341</f>
        <v>(seleccione)</v>
      </c>
      <c r="I351" s="9" t="str">
        <f>Upload!AL341</f>
        <v>(seleccione)</v>
      </c>
      <c r="K351" s="15" t="str">
        <f t="shared" si="30"/>
        <v/>
      </c>
      <c r="L351" s="15" t="str">
        <f t="shared" si="31"/>
        <v/>
      </c>
      <c r="M351" s="15" t="str">
        <f t="shared" si="32"/>
        <v/>
      </c>
      <c r="N351" s="15" t="str">
        <f t="shared" si="33"/>
        <v/>
      </c>
      <c r="O351" s="15" t="str">
        <f t="shared" si="34"/>
        <v/>
      </c>
      <c r="P351" s="15" t="str">
        <f>IF(OR(C351="",NOT(OR(ISNUMBER(SEARCH("Antitarnish",Upload!R341&amp;Upload!S341&amp;Upload!T341&amp;Upload!U341&amp;Upload!V341)),ISNUMBER(SEARCH("Anti Tarnish",Upload!R341&amp;Upload!S341&amp;Upload!T341&amp;Upload!U341&amp;Upload!V341))))),"",0.0012*C351)</f>
        <v/>
      </c>
      <c r="Q351" s="15" t="str">
        <f>IF(OR(E351="",NOT(OR(ISNUMBER(SEARCH("Epóxico MT",Upload!R341&amp;Upload!S341&amp;Upload!T341&amp;Upload!U341&amp;Upload!V341))))),"",E351*0.000035)</f>
        <v/>
      </c>
      <c r="R351" s="15" t="str">
        <f>IF(OR(F351="",NOT(OR(ISNUMBER(SEARCH("Epóxico BT",Upload!S341&amp;Upload!T341&amp;Upload!U341&amp;Upload!V341&amp;Upload!W341))))),"",F351*0.000035)</f>
        <v/>
      </c>
      <c r="S351" s="15" t="str">
        <f>IF(OR(G351="",NOT(OR(ISNUMBER(SEARCH("Epóxico Rojo",Upload!T341&amp;Upload!U341&amp;Upload!V341&amp;Upload!W341&amp;Upload!X341))))),"",G351*0.000035)</f>
        <v/>
      </c>
    </row>
    <row r="352" spans="1:19" x14ac:dyDescent="0.2">
      <c r="A352" s="9" t="e">
        <f t="shared" ca="1" si="35"/>
        <v>#NAME?</v>
      </c>
      <c r="B352" s="9">
        <f>Upload!G342</f>
        <v>0</v>
      </c>
      <c r="C352" s="9">
        <f>Upload!AN342</f>
        <v>0</v>
      </c>
      <c r="D352" s="9">
        <f>Upload!AO342</f>
        <v>0</v>
      </c>
      <c r="E352" s="9">
        <f>Upload!AP342</f>
        <v>0</v>
      </c>
      <c r="F352" s="9" t="str">
        <f>Upload!AK342</f>
        <v/>
      </c>
      <c r="G352" s="9" t="str">
        <f>Upload!AM342</f>
        <v/>
      </c>
      <c r="H352" s="9" t="str">
        <f>Upload!AJ342</f>
        <v>(seleccione)</v>
      </c>
      <c r="I352" s="9" t="str">
        <f>Upload!AL342</f>
        <v>(seleccione)</v>
      </c>
      <c r="K352" s="15" t="str">
        <f t="shared" si="30"/>
        <v/>
      </c>
      <c r="L352" s="15" t="str">
        <f t="shared" si="31"/>
        <v/>
      </c>
      <c r="M352" s="15" t="str">
        <f t="shared" si="32"/>
        <v/>
      </c>
      <c r="N352" s="15" t="str">
        <f t="shared" si="33"/>
        <v/>
      </c>
      <c r="O352" s="15" t="str">
        <f t="shared" si="34"/>
        <v/>
      </c>
      <c r="P352" s="15" t="str">
        <f>IF(OR(C352="",NOT(OR(ISNUMBER(SEARCH("Antitarnish",Upload!R342&amp;Upload!S342&amp;Upload!T342&amp;Upload!U342&amp;Upload!V342)),ISNUMBER(SEARCH("Anti Tarnish",Upload!R342&amp;Upload!S342&amp;Upload!T342&amp;Upload!U342&amp;Upload!V342))))),"",0.0012*C352)</f>
        <v/>
      </c>
      <c r="Q352" s="15" t="str">
        <f>IF(OR(E352="",NOT(OR(ISNUMBER(SEARCH("Epóxico MT",Upload!R342&amp;Upload!S342&amp;Upload!T342&amp;Upload!U342&amp;Upload!V342))))),"",E352*0.000035)</f>
        <v/>
      </c>
      <c r="R352" s="15" t="str">
        <f>IF(OR(F352="",NOT(OR(ISNUMBER(SEARCH("Epóxico BT",Upload!S342&amp;Upload!T342&amp;Upload!U342&amp;Upload!V342&amp;Upload!W342))))),"",F352*0.000035)</f>
        <v/>
      </c>
      <c r="S352" s="15" t="str">
        <f>IF(OR(G352="",NOT(OR(ISNUMBER(SEARCH("Epóxico Rojo",Upload!T342&amp;Upload!U342&amp;Upload!V342&amp;Upload!W342&amp;Upload!X342))))),"",G352*0.000035)</f>
        <v/>
      </c>
    </row>
    <row r="353" spans="1:19" x14ac:dyDescent="0.2">
      <c r="A353" s="9" t="e">
        <f t="shared" ca="1" si="35"/>
        <v>#NAME?</v>
      </c>
      <c r="B353" s="9">
        <f>Upload!G343</f>
        <v>0</v>
      </c>
      <c r="C353" s="9">
        <f>Upload!AN343</f>
        <v>0</v>
      </c>
      <c r="D353" s="9">
        <f>Upload!AO343</f>
        <v>0</v>
      </c>
      <c r="E353" s="9">
        <f>Upload!AP343</f>
        <v>0</v>
      </c>
      <c r="F353" s="9" t="str">
        <f>Upload!AK343</f>
        <v/>
      </c>
      <c r="G353" s="9" t="str">
        <f>Upload!AM343</f>
        <v/>
      </c>
      <c r="H353" s="9" t="str">
        <f>Upload!AJ343</f>
        <v>(seleccione)</v>
      </c>
      <c r="I353" s="9" t="str">
        <f>Upload!AL343</f>
        <v>(seleccione)</v>
      </c>
      <c r="K353" s="15" t="str">
        <f t="shared" si="30"/>
        <v/>
      </c>
      <c r="L353" s="15" t="str">
        <f t="shared" si="31"/>
        <v/>
      </c>
      <c r="M353" s="15" t="str">
        <f t="shared" si="32"/>
        <v/>
      </c>
      <c r="N353" s="15" t="str">
        <f t="shared" si="33"/>
        <v/>
      </c>
      <c r="O353" s="15" t="str">
        <f t="shared" si="34"/>
        <v/>
      </c>
      <c r="P353" s="15" t="str">
        <f>IF(OR(C353="",NOT(OR(ISNUMBER(SEARCH("Antitarnish",Upload!R343&amp;Upload!S343&amp;Upload!T343&amp;Upload!U343&amp;Upload!V343)),ISNUMBER(SEARCH("Anti Tarnish",Upload!R343&amp;Upload!S343&amp;Upload!T343&amp;Upload!U343&amp;Upload!V343))))),"",0.0012*C353)</f>
        <v/>
      </c>
      <c r="Q353" s="15" t="str">
        <f>IF(OR(E353="",NOT(OR(ISNUMBER(SEARCH("Epóxico MT",Upload!R343&amp;Upload!S343&amp;Upload!T343&amp;Upload!U343&amp;Upload!V343))))),"",E353*0.000035)</f>
        <v/>
      </c>
      <c r="R353" s="15" t="str">
        <f>IF(OR(F353="",NOT(OR(ISNUMBER(SEARCH("Epóxico BT",Upload!S343&amp;Upload!T343&amp;Upload!U343&amp;Upload!V343&amp;Upload!W343))))),"",F353*0.000035)</f>
        <v/>
      </c>
      <c r="S353" s="15" t="str">
        <f>IF(OR(G353="",NOT(OR(ISNUMBER(SEARCH("Epóxico Rojo",Upload!T343&amp;Upload!U343&amp;Upload!V343&amp;Upload!W343&amp;Upload!X343))))),"",G353*0.000035)</f>
        <v/>
      </c>
    </row>
    <row r="354" spans="1:19" x14ac:dyDescent="0.2">
      <c r="A354" s="9" t="e">
        <f t="shared" ca="1" si="35"/>
        <v>#NAME?</v>
      </c>
      <c r="B354" s="9">
        <f>Upload!G344</f>
        <v>0</v>
      </c>
      <c r="C354" s="9">
        <f>Upload!AN344</f>
        <v>0</v>
      </c>
      <c r="D354" s="9">
        <f>Upload!AO344</f>
        <v>0</v>
      </c>
      <c r="E354" s="9">
        <f>Upload!AP344</f>
        <v>0</v>
      </c>
      <c r="F354" s="9" t="str">
        <f>Upload!AK344</f>
        <v/>
      </c>
      <c r="G354" s="9" t="str">
        <f>Upload!AM344</f>
        <v/>
      </c>
      <c r="H354" s="9" t="str">
        <f>Upload!AJ344</f>
        <v>(seleccione)</v>
      </c>
      <c r="I354" s="9" t="str">
        <f>Upload!AL344</f>
        <v>(seleccione)</v>
      </c>
      <c r="K354" s="15" t="str">
        <f t="shared" si="30"/>
        <v/>
      </c>
      <c r="L354" s="15" t="str">
        <f t="shared" si="31"/>
        <v/>
      </c>
      <c r="M354" s="15" t="str">
        <f t="shared" si="32"/>
        <v/>
      </c>
      <c r="N354" s="15" t="str">
        <f t="shared" si="33"/>
        <v/>
      </c>
      <c r="O354" s="15" t="str">
        <f t="shared" si="34"/>
        <v/>
      </c>
      <c r="P354" s="15" t="str">
        <f>IF(OR(C354="",NOT(OR(ISNUMBER(SEARCH("Antitarnish",Upload!R344&amp;Upload!S344&amp;Upload!T344&amp;Upload!U344&amp;Upload!V344)),ISNUMBER(SEARCH("Anti Tarnish",Upload!R344&amp;Upload!S344&amp;Upload!T344&amp;Upload!U344&amp;Upload!V344))))),"",0.0012*C354)</f>
        <v/>
      </c>
      <c r="Q354" s="15" t="str">
        <f>IF(OR(E354="",NOT(OR(ISNUMBER(SEARCH("Epóxico MT",Upload!R344&amp;Upload!S344&amp;Upload!T344&amp;Upload!U344&amp;Upload!V344))))),"",E354*0.000035)</f>
        <v/>
      </c>
      <c r="R354" s="15" t="str">
        <f>IF(OR(F354="",NOT(OR(ISNUMBER(SEARCH("Epóxico BT",Upload!S344&amp;Upload!T344&amp;Upload!U344&amp;Upload!V344&amp;Upload!W344))))),"",F354*0.000035)</f>
        <v/>
      </c>
      <c r="S354" s="15" t="str">
        <f>IF(OR(G354="",NOT(OR(ISNUMBER(SEARCH("Epóxico Rojo",Upload!T344&amp;Upload!U344&amp;Upload!V344&amp;Upload!W344&amp;Upload!X344))))),"",G354*0.000035)</f>
        <v/>
      </c>
    </row>
    <row r="355" spans="1:19" x14ac:dyDescent="0.2">
      <c r="A355" s="9" t="e">
        <f t="shared" ca="1" si="35"/>
        <v>#NAME?</v>
      </c>
      <c r="B355" s="9">
        <f>Upload!G345</f>
        <v>0</v>
      </c>
      <c r="C355" s="9">
        <f>Upload!AN345</f>
        <v>0</v>
      </c>
      <c r="D355" s="9">
        <f>Upload!AO345</f>
        <v>0</v>
      </c>
      <c r="E355" s="9">
        <f>Upload!AP345</f>
        <v>0</v>
      </c>
      <c r="F355" s="9" t="str">
        <f>Upload!AK345</f>
        <v/>
      </c>
      <c r="G355" s="9" t="str">
        <f>Upload!AM345</f>
        <v/>
      </c>
      <c r="H355" s="9" t="str">
        <f>Upload!AJ345</f>
        <v>(seleccione)</v>
      </c>
      <c r="I355" s="9" t="str">
        <f>Upload!AL345</f>
        <v>(seleccione)</v>
      </c>
      <c r="K355" s="15" t="str">
        <f t="shared" si="30"/>
        <v/>
      </c>
      <c r="L355" s="15" t="str">
        <f t="shared" si="31"/>
        <v/>
      </c>
      <c r="M355" s="15" t="str">
        <f t="shared" si="32"/>
        <v/>
      </c>
      <c r="N355" s="15" t="str">
        <f t="shared" si="33"/>
        <v/>
      </c>
      <c r="O355" s="15" t="str">
        <f t="shared" si="34"/>
        <v/>
      </c>
      <c r="P355" s="15" t="str">
        <f>IF(OR(C355="",NOT(OR(ISNUMBER(SEARCH("Antitarnish",Upload!R345&amp;Upload!S345&amp;Upload!T345&amp;Upload!U345&amp;Upload!V345)),ISNUMBER(SEARCH("Anti Tarnish",Upload!R345&amp;Upload!S345&amp;Upload!T345&amp;Upload!U345&amp;Upload!V345))))),"",0.0012*C355)</f>
        <v/>
      </c>
      <c r="Q355" s="15" t="str">
        <f>IF(OR(E355="",NOT(OR(ISNUMBER(SEARCH("Epóxico MT",Upload!R345&amp;Upload!S345&amp;Upload!T345&amp;Upload!U345&amp;Upload!V345))))),"",E355*0.000035)</f>
        <v/>
      </c>
      <c r="R355" s="15" t="str">
        <f>IF(OR(F355="",NOT(OR(ISNUMBER(SEARCH("Epóxico BT",Upload!S345&amp;Upload!T345&amp;Upload!U345&amp;Upload!V345&amp;Upload!W345))))),"",F355*0.000035)</f>
        <v/>
      </c>
      <c r="S355" s="15" t="str">
        <f>IF(OR(G355="",NOT(OR(ISNUMBER(SEARCH("Epóxico Rojo",Upload!T345&amp;Upload!U345&amp;Upload!V345&amp;Upload!W345&amp;Upload!X345))))),"",G355*0.000035)</f>
        <v/>
      </c>
    </row>
    <row r="356" spans="1:19" x14ac:dyDescent="0.2">
      <c r="A356" s="9" t="e">
        <f t="shared" ca="1" si="35"/>
        <v>#NAME?</v>
      </c>
      <c r="B356" s="9">
        <f>Upload!G346</f>
        <v>0</v>
      </c>
      <c r="C356" s="9">
        <f>Upload!AN346</f>
        <v>0</v>
      </c>
      <c r="D356" s="9">
        <f>Upload!AO346</f>
        <v>0</v>
      </c>
      <c r="E356" s="9">
        <f>Upload!AP346</f>
        <v>0</v>
      </c>
      <c r="F356" s="9" t="str">
        <f>Upload!AK346</f>
        <v/>
      </c>
      <c r="G356" s="9" t="str">
        <f>Upload!AM346</f>
        <v/>
      </c>
      <c r="H356" s="9" t="str">
        <f>Upload!AJ346</f>
        <v>(seleccione)</v>
      </c>
      <c r="I356" s="9" t="str">
        <f>Upload!AL346</f>
        <v>(seleccione)</v>
      </c>
      <c r="K356" s="15" t="str">
        <f t="shared" si="30"/>
        <v/>
      </c>
      <c r="L356" s="15" t="str">
        <f t="shared" si="31"/>
        <v/>
      </c>
      <c r="M356" s="15" t="str">
        <f t="shared" si="32"/>
        <v/>
      </c>
      <c r="N356" s="15" t="str">
        <f t="shared" si="33"/>
        <v/>
      </c>
      <c r="O356" s="15" t="str">
        <f t="shared" si="34"/>
        <v/>
      </c>
      <c r="P356" s="15" t="str">
        <f>IF(OR(C356="",NOT(OR(ISNUMBER(SEARCH("Antitarnish",Upload!R346&amp;Upload!S346&amp;Upload!T346&amp;Upload!U346&amp;Upload!V346)),ISNUMBER(SEARCH("Anti Tarnish",Upload!R346&amp;Upload!S346&amp;Upload!T346&amp;Upload!U346&amp;Upload!V346))))),"",0.0012*C356)</f>
        <v/>
      </c>
      <c r="Q356" s="15" t="str">
        <f>IF(OR(E356="",NOT(OR(ISNUMBER(SEARCH("Epóxico MT",Upload!R346&amp;Upload!S346&amp;Upload!T346&amp;Upload!U346&amp;Upload!V346))))),"",E356*0.000035)</f>
        <v/>
      </c>
      <c r="R356" s="15" t="str">
        <f>IF(OR(F356="",NOT(OR(ISNUMBER(SEARCH("Epóxico BT",Upload!S346&amp;Upload!T346&amp;Upload!U346&amp;Upload!V346&amp;Upload!W346))))),"",F356*0.000035)</f>
        <v/>
      </c>
      <c r="S356" s="15" t="str">
        <f>IF(OR(G356="",NOT(OR(ISNUMBER(SEARCH("Epóxico Rojo",Upload!T346&amp;Upload!U346&amp;Upload!V346&amp;Upload!W346&amp;Upload!X346))))),"",G356*0.000035)</f>
        <v/>
      </c>
    </row>
    <row r="357" spans="1:19" x14ac:dyDescent="0.2">
      <c r="A357" s="9" t="e">
        <f t="shared" ca="1" si="35"/>
        <v>#NAME?</v>
      </c>
      <c r="B357" s="9">
        <f>Upload!G347</f>
        <v>0</v>
      </c>
      <c r="C357" s="9">
        <f>Upload!AN347</f>
        <v>0</v>
      </c>
      <c r="D357" s="9">
        <f>Upload!AO347</f>
        <v>0</v>
      </c>
      <c r="E357" s="9">
        <f>Upload!AP347</f>
        <v>0</v>
      </c>
      <c r="F357" s="9" t="str">
        <f>Upload!AK347</f>
        <v/>
      </c>
      <c r="G357" s="9" t="str">
        <f>Upload!AM347</f>
        <v/>
      </c>
      <c r="H357" s="9" t="str">
        <f>Upload!AJ347</f>
        <v>(seleccione)</v>
      </c>
      <c r="I357" s="9" t="str">
        <f>Upload!AL347</f>
        <v>(seleccione)</v>
      </c>
      <c r="K357" s="15" t="str">
        <f t="shared" si="30"/>
        <v/>
      </c>
      <c r="L357" s="15" t="str">
        <f t="shared" si="31"/>
        <v/>
      </c>
      <c r="M357" s="15" t="str">
        <f t="shared" si="32"/>
        <v/>
      </c>
      <c r="N357" s="15" t="str">
        <f t="shared" si="33"/>
        <v/>
      </c>
      <c r="O357" s="15" t="str">
        <f t="shared" si="34"/>
        <v/>
      </c>
      <c r="P357" s="15" t="str">
        <f>IF(OR(C357="",NOT(OR(ISNUMBER(SEARCH("Antitarnish",Upload!R347&amp;Upload!S347&amp;Upload!T347&amp;Upload!U347&amp;Upload!V347)),ISNUMBER(SEARCH("Anti Tarnish",Upload!R347&amp;Upload!S347&amp;Upload!T347&amp;Upload!U347&amp;Upload!V347))))),"",0.0012*C357)</f>
        <v/>
      </c>
      <c r="Q357" s="15" t="str">
        <f>IF(OR(E357="",NOT(OR(ISNUMBER(SEARCH("Epóxico MT",Upload!R347&amp;Upload!S347&amp;Upload!T347&amp;Upload!U347&amp;Upload!V347))))),"",E357*0.000035)</f>
        <v/>
      </c>
      <c r="R357" s="15" t="str">
        <f>IF(OR(F357="",NOT(OR(ISNUMBER(SEARCH("Epóxico BT",Upload!S347&amp;Upload!T347&amp;Upload!U347&amp;Upload!V347&amp;Upload!W347))))),"",F357*0.000035)</f>
        <v/>
      </c>
      <c r="S357" s="15" t="str">
        <f>IF(OR(G357="",NOT(OR(ISNUMBER(SEARCH("Epóxico Rojo",Upload!T347&amp;Upload!U347&amp;Upload!V347&amp;Upload!W347&amp;Upload!X347))))),"",G357*0.000035)</f>
        <v/>
      </c>
    </row>
    <row r="358" spans="1:19" x14ac:dyDescent="0.2">
      <c r="A358" s="9" t="e">
        <f t="shared" ca="1" si="35"/>
        <v>#NAME?</v>
      </c>
      <c r="B358" s="9">
        <f>Upload!G348</f>
        <v>0</v>
      </c>
      <c r="C358" s="9">
        <f>Upload!AN348</f>
        <v>0</v>
      </c>
      <c r="D358" s="9">
        <f>Upload!AO348</f>
        <v>0</v>
      </c>
      <c r="E358" s="9">
        <f>Upload!AP348</f>
        <v>0</v>
      </c>
      <c r="F358" s="9" t="str">
        <f>Upload!AK348</f>
        <v/>
      </c>
      <c r="G358" s="9" t="str">
        <f>Upload!AM348</f>
        <v/>
      </c>
      <c r="H358" s="9" t="str">
        <f>Upload!AJ348</f>
        <v>(seleccione)</v>
      </c>
      <c r="I358" s="9" t="str">
        <f>Upload!AL348</f>
        <v>(seleccione)</v>
      </c>
      <c r="K358" s="15" t="str">
        <f t="shared" si="30"/>
        <v/>
      </c>
      <c r="L358" s="15" t="str">
        <f t="shared" si="31"/>
        <v/>
      </c>
      <c r="M358" s="15" t="str">
        <f t="shared" si="32"/>
        <v/>
      </c>
      <c r="N358" s="15" t="str">
        <f t="shared" si="33"/>
        <v/>
      </c>
      <c r="O358" s="15" t="str">
        <f t="shared" si="34"/>
        <v/>
      </c>
      <c r="P358" s="15" t="str">
        <f>IF(OR(C358="",NOT(OR(ISNUMBER(SEARCH("Antitarnish",Upload!R348&amp;Upload!S348&amp;Upload!T348&amp;Upload!U348&amp;Upload!V348)),ISNUMBER(SEARCH("Anti Tarnish",Upload!R348&amp;Upload!S348&amp;Upload!T348&amp;Upload!U348&amp;Upload!V348))))),"",0.0012*C358)</f>
        <v/>
      </c>
      <c r="Q358" s="15" t="str">
        <f>IF(OR(E358="",NOT(OR(ISNUMBER(SEARCH("Epóxico MT",Upload!R348&amp;Upload!S348&amp;Upload!T348&amp;Upload!U348&amp;Upload!V348))))),"",E358*0.000035)</f>
        <v/>
      </c>
      <c r="R358" s="15" t="str">
        <f>IF(OR(F358="",NOT(OR(ISNUMBER(SEARCH("Epóxico BT",Upload!S348&amp;Upload!T348&amp;Upload!U348&amp;Upload!V348&amp;Upload!W348))))),"",F358*0.000035)</f>
        <v/>
      </c>
      <c r="S358" s="15" t="str">
        <f>IF(OR(G358="",NOT(OR(ISNUMBER(SEARCH("Epóxico Rojo",Upload!T348&amp;Upload!U348&amp;Upload!V348&amp;Upload!W348&amp;Upload!X348))))),"",G358*0.000035)</f>
        <v/>
      </c>
    </row>
    <row r="359" spans="1:19" x14ac:dyDescent="0.2">
      <c r="A359" s="9" t="e">
        <f t="shared" ca="1" si="35"/>
        <v>#NAME?</v>
      </c>
      <c r="B359" s="9">
        <f>Upload!G349</f>
        <v>0</v>
      </c>
      <c r="C359" s="9">
        <f>Upload!AN349</f>
        <v>0</v>
      </c>
      <c r="D359" s="9">
        <f>Upload!AO349</f>
        <v>0</v>
      </c>
      <c r="E359" s="9">
        <f>Upload!AP349</f>
        <v>0</v>
      </c>
      <c r="F359" s="9" t="str">
        <f>Upload!AK349</f>
        <v/>
      </c>
      <c r="G359" s="9" t="str">
        <f>Upload!AM349</f>
        <v/>
      </c>
      <c r="H359" s="9" t="str">
        <f>Upload!AJ349</f>
        <v>(seleccione)</v>
      </c>
      <c r="I359" s="9" t="str">
        <f>Upload!AL349</f>
        <v>(seleccione)</v>
      </c>
      <c r="K359" s="15" t="str">
        <f t="shared" si="30"/>
        <v/>
      </c>
      <c r="L359" s="15" t="str">
        <f t="shared" si="31"/>
        <v/>
      </c>
      <c r="M359" s="15" t="str">
        <f t="shared" si="32"/>
        <v/>
      </c>
      <c r="N359" s="15" t="str">
        <f t="shared" si="33"/>
        <v/>
      </c>
      <c r="O359" s="15" t="str">
        <f t="shared" si="34"/>
        <v/>
      </c>
      <c r="P359" s="15" t="str">
        <f>IF(OR(C359="",NOT(OR(ISNUMBER(SEARCH("Antitarnish",Upload!R349&amp;Upload!S349&amp;Upload!T349&amp;Upload!U349&amp;Upload!V349)),ISNUMBER(SEARCH("Anti Tarnish",Upload!R349&amp;Upload!S349&amp;Upload!T349&amp;Upload!U349&amp;Upload!V349))))),"",0.0012*C359)</f>
        <v/>
      </c>
      <c r="Q359" s="15" t="str">
        <f>IF(OR(E359="",NOT(OR(ISNUMBER(SEARCH("Epóxico MT",Upload!R349&amp;Upload!S349&amp;Upload!T349&amp;Upload!U349&amp;Upload!V349))))),"",E359*0.000035)</f>
        <v/>
      </c>
      <c r="R359" s="15" t="str">
        <f>IF(OR(F359="",NOT(OR(ISNUMBER(SEARCH("Epóxico BT",Upload!S349&amp;Upload!T349&amp;Upload!U349&amp;Upload!V349&amp;Upload!W349))))),"",F359*0.000035)</f>
        <v/>
      </c>
      <c r="S359" s="15" t="str">
        <f>IF(OR(G359="",NOT(OR(ISNUMBER(SEARCH("Epóxico Rojo",Upload!T349&amp;Upload!U349&amp;Upload!V349&amp;Upload!W349&amp;Upload!X349))))),"",G359*0.000035)</f>
        <v/>
      </c>
    </row>
    <row r="360" spans="1:19" x14ac:dyDescent="0.2">
      <c r="A360" s="9" t="e">
        <f t="shared" ca="1" si="35"/>
        <v>#NAME?</v>
      </c>
      <c r="B360" s="9">
        <f>Upload!G350</f>
        <v>0</v>
      </c>
      <c r="C360" s="9">
        <f>Upload!AN350</f>
        <v>0</v>
      </c>
      <c r="D360" s="9">
        <f>Upload!AO350</f>
        <v>0</v>
      </c>
      <c r="E360" s="9">
        <f>Upload!AP350</f>
        <v>0</v>
      </c>
      <c r="F360" s="9" t="str">
        <f>Upload!AK350</f>
        <v/>
      </c>
      <c r="G360" s="9" t="str">
        <f>Upload!AM350</f>
        <v/>
      </c>
      <c r="H360" s="9" t="str">
        <f>Upload!AJ350</f>
        <v>(seleccione)</v>
      </c>
      <c r="I360" s="9" t="str">
        <f>Upload!AL350</f>
        <v>(seleccione)</v>
      </c>
      <c r="K360" s="15" t="str">
        <f t="shared" si="30"/>
        <v/>
      </c>
      <c r="L360" s="15" t="str">
        <f t="shared" si="31"/>
        <v/>
      </c>
      <c r="M360" s="15" t="str">
        <f t="shared" si="32"/>
        <v/>
      </c>
      <c r="N360" s="15" t="str">
        <f t="shared" si="33"/>
        <v/>
      </c>
      <c r="O360" s="15" t="str">
        <f t="shared" si="34"/>
        <v/>
      </c>
      <c r="P360" s="15" t="str">
        <f>IF(OR(C360="",NOT(OR(ISNUMBER(SEARCH("Antitarnish",Upload!R350&amp;Upload!S350&amp;Upload!T350&amp;Upload!U350&amp;Upload!V350)),ISNUMBER(SEARCH("Anti Tarnish",Upload!R350&amp;Upload!S350&amp;Upload!T350&amp;Upload!U350&amp;Upload!V350))))),"",0.0012*C360)</f>
        <v/>
      </c>
      <c r="Q360" s="15" t="str">
        <f>IF(OR(E360="",NOT(OR(ISNUMBER(SEARCH("Epóxico MT",Upload!R350&amp;Upload!S350&amp;Upload!T350&amp;Upload!U350&amp;Upload!V350))))),"",E360*0.000035)</f>
        <v/>
      </c>
      <c r="R360" s="15" t="str">
        <f>IF(OR(F360="",NOT(OR(ISNUMBER(SEARCH("Epóxico BT",Upload!S350&amp;Upload!T350&amp;Upload!U350&amp;Upload!V350&amp;Upload!W350))))),"",F360*0.000035)</f>
        <v/>
      </c>
      <c r="S360" s="15" t="str">
        <f>IF(OR(G360="",NOT(OR(ISNUMBER(SEARCH("Epóxico Rojo",Upload!T350&amp;Upload!U350&amp;Upload!V350&amp;Upload!W350&amp;Upload!X350))))),"",G360*0.000035)</f>
        <v/>
      </c>
    </row>
    <row r="361" spans="1:19" x14ac:dyDescent="0.2">
      <c r="A361" s="9" t="e">
        <f t="shared" ca="1" si="35"/>
        <v>#NAME?</v>
      </c>
      <c r="B361" s="9">
        <f>Upload!G351</f>
        <v>0</v>
      </c>
      <c r="C361" s="9">
        <f>Upload!AN351</f>
        <v>0</v>
      </c>
      <c r="D361" s="9">
        <f>Upload!AO351</f>
        <v>0</v>
      </c>
      <c r="E361" s="9">
        <f>Upload!AP351</f>
        <v>0</v>
      </c>
      <c r="F361" s="9" t="str">
        <f>Upload!AK351</f>
        <v/>
      </c>
      <c r="G361" s="9" t="str">
        <f>Upload!AM351</f>
        <v/>
      </c>
      <c r="H361" s="9" t="str">
        <f>Upload!AJ351</f>
        <v>(seleccione)</v>
      </c>
      <c r="I361" s="9" t="str">
        <f>Upload!AL351</f>
        <v>(seleccione)</v>
      </c>
      <c r="K361" s="15" t="str">
        <f t="shared" si="30"/>
        <v/>
      </c>
      <c r="L361" s="15" t="str">
        <f t="shared" si="31"/>
        <v/>
      </c>
      <c r="M361" s="15" t="str">
        <f t="shared" si="32"/>
        <v/>
      </c>
      <c r="N361" s="15" t="str">
        <f t="shared" si="33"/>
        <v/>
      </c>
      <c r="O361" s="15" t="str">
        <f t="shared" si="34"/>
        <v/>
      </c>
      <c r="P361" s="15" t="str">
        <f>IF(OR(C361="",NOT(OR(ISNUMBER(SEARCH("Antitarnish",Upload!R351&amp;Upload!S351&amp;Upload!T351&amp;Upload!U351&amp;Upload!V351)),ISNUMBER(SEARCH("Anti Tarnish",Upload!R351&amp;Upload!S351&amp;Upload!T351&amp;Upload!U351&amp;Upload!V351))))),"",0.0012*C361)</f>
        <v/>
      </c>
      <c r="Q361" s="15" t="str">
        <f>IF(OR(E361="",NOT(OR(ISNUMBER(SEARCH("Epóxico MT",Upload!R351&amp;Upload!S351&amp;Upload!T351&amp;Upload!U351&amp;Upload!V351))))),"",E361*0.000035)</f>
        <v/>
      </c>
      <c r="R361" s="15" t="str">
        <f>IF(OR(F361="",NOT(OR(ISNUMBER(SEARCH("Epóxico BT",Upload!S351&amp;Upload!T351&amp;Upload!U351&amp;Upload!V351&amp;Upload!W351))))),"",F361*0.000035)</f>
        <v/>
      </c>
      <c r="S361" s="15" t="str">
        <f>IF(OR(G361="",NOT(OR(ISNUMBER(SEARCH("Epóxico Rojo",Upload!T351&amp;Upload!U351&amp;Upload!V351&amp;Upload!W351&amp;Upload!X351))))),"",G361*0.000035)</f>
        <v/>
      </c>
    </row>
    <row r="362" spans="1:19" x14ac:dyDescent="0.2">
      <c r="A362" s="9" t="e">
        <f t="shared" ca="1" si="35"/>
        <v>#NAME?</v>
      </c>
      <c r="B362" s="9">
        <f>Upload!G352</f>
        <v>0</v>
      </c>
      <c r="C362" s="9">
        <f>Upload!AN352</f>
        <v>0</v>
      </c>
      <c r="D362" s="9">
        <f>Upload!AO352</f>
        <v>0</v>
      </c>
      <c r="E362" s="9">
        <f>Upload!AP352</f>
        <v>0</v>
      </c>
      <c r="F362" s="9" t="str">
        <f>Upload!AK352</f>
        <v/>
      </c>
      <c r="G362" s="9" t="str">
        <f>Upload!AM352</f>
        <v/>
      </c>
      <c r="H362" s="9" t="str">
        <f>Upload!AJ352</f>
        <v>(seleccione)</v>
      </c>
      <c r="I362" s="9" t="str">
        <f>Upload!AL352</f>
        <v>(seleccione)</v>
      </c>
      <c r="K362" s="15" t="str">
        <f t="shared" si="30"/>
        <v/>
      </c>
      <c r="L362" s="15" t="str">
        <f t="shared" si="31"/>
        <v/>
      </c>
      <c r="M362" s="15" t="str">
        <f t="shared" si="32"/>
        <v/>
      </c>
      <c r="N362" s="15" t="str">
        <f t="shared" si="33"/>
        <v/>
      </c>
      <c r="O362" s="15" t="str">
        <f t="shared" si="34"/>
        <v/>
      </c>
      <c r="P362" s="15" t="str">
        <f>IF(OR(C362="",NOT(OR(ISNUMBER(SEARCH("Antitarnish",Upload!R352&amp;Upload!S352&amp;Upload!T352&amp;Upload!U352&amp;Upload!V352)),ISNUMBER(SEARCH("Anti Tarnish",Upload!R352&amp;Upload!S352&amp;Upload!T352&amp;Upload!U352&amp;Upload!V352))))),"",0.0012*C362)</f>
        <v/>
      </c>
      <c r="Q362" s="15" t="str">
        <f>IF(OR(E362="",NOT(OR(ISNUMBER(SEARCH("Epóxico MT",Upload!R352&amp;Upload!S352&amp;Upload!T352&amp;Upload!U352&amp;Upload!V352))))),"",E362*0.000035)</f>
        <v/>
      </c>
      <c r="R362" s="15" t="str">
        <f>IF(OR(F362="",NOT(OR(ISNUMBER(SEARCH("Epóxico BT",Upload!S352&amp;Upload!T352&amp;Upload!U352&amp;Upload!V352&amp;Upload!W352))))),"",F362*0.000035)</f>
        <v/>
      </c>
      <c r="S362" s="15" t="str">
        <f>IF(OR(G362="",NOT(OR(ISNUMBER(SEARCH("Epóxico Rojo",Upload!T352&amp;Upload!U352&amp;Upload!V352&amp;Upload!W352&amp;Upload!X352))))),"",G362*0.000035)</f>
        <v/>
      </c>
    </row>
    <row r="363" spans="1:19" x14ac:dyDescent="0.2">
      <c r="A363" s="9" t="e">
        <f t="shared" ca="1" si="35"/>
        <v>#NAME?</v>
      </c>
      <c r="B363" s="9">
        <f>Upload!G353</f>
        <v>0</v>
      </c>
      <c r="C363" s="9">
        <f>Upload!AN353</f>
        <v>0</v>
      </c>
      <c r="D363" s="9">
        <f>Upload!AO353</f>
        <v>0</v>
      </c>
      <c r="E363" s="9">
        <f>Upload!AP353</f>
        <v>0</v>
      </c>
      <c r="F363" s="9" t="str">
        <f>Upload!AK353</f>
        <v/>
      </c>
      <c r="G363" s="9" t="str">
        <f>Upload!AM353</f>
        <v/>
      </c>
      <c r="H363" s="9" t="str">
        <f>Upload!AJ353</f>
        <v>(seleccione)</v>
      </c>
      <c r="I363" s="9" t="str">
        <f>Upload!AL353</f>
        <v>(seleccione)</v>
      </c>
      <c r="K363" s="15" t="str">
        <f t="shared" si="30"/>
        <v/>
      </c>
      <c r="L363" s="15" t="str">
        <f t="shared" si="31"/>
        <v/>
      </c>
      <c r="M363" s="15" t="str">
        <f t="shared" si="32"/>
        <v/>
      </c>
      <c r="N363" s="15" t="str">
        <f t="shared" si="33"/>
        <v/>
      </c>
      <c r="O363" s="15" t="str">
        <f t="shared" si="34"/>
        <v/>
      </c>
      <c r="P363" s="15" t="str">
        <f>IF(OR(C363="",NOT(OR(ISNUMBER(SEARCH("Antitarnish",Upload!R353&amp;Upload!S353&amp;Upload!T353&amp;Upload!U353&amp;Upload!V353)),ISNUMBER(SEARCH("Anti Tarnish",Upload!R353&amp;Upload!S353&amp;Upload!T353&amp;Upload!U353&amp;Upload!V353))))),"",0.0012*C363)</f>
        <v/>
      </c>
      <c r="Q363" s="15" t="str">
        <f>IF(OR(E363="",NOT(OR(ISNUMBER(SEARCH("Epóxico MT",Upload!R353&amp;Upload!S353&amp;Upload!T353&amp;Upload!U353&amp;Upload!V353))))),"",E363*0.000035)</f>
        <v/>
      </c>
      <c r="R363" s="15" t="str">
        <f>IF(OR(F363="",NOT(OR(ISNUMBER(SEARCH("Epóxico BT",Upload!S353&amp;Upload!T353&amp;Upload!U353&amp;Upload!V353&amp;Upload!W353))))),"",F363*0.000035)</f>
        <v/>
      </c>
      <c r="S363" s="15" t="str">
        <f>IF(OR(G363="",NOT(OR(ISNUMBER(SEARCH("Epóxico Rojo",Upload!T353&amp;Upload!U353&amp;Upload!V353&amp;Upload!W353&amp;Upload!X353))))),"",G363*0.000035)</f>
        <v/>
      </c>
    </row>
    <row r="364" spans="1:19" x14ac:dyDescent="0.2">
      <c r="A364" s="9" t="e">
        <f t="shared" ca="1" si="35"/>
        <v>#NAME?</v>
      </c>
      <c r="B364" s="9">
        <f>Upload!G354</f>
        <v>0</v>
      </c>
      <c r="C364" s="9">
        <f>Upload!AN354</f>
        <v>0</v>
      </c>
      <c r="D364" s="9">
        <f>Upload!AO354</f>
        <v>0</v>
      </c>
      <c r="E364" s="9">
        <f>Upload!AP354</f>
        <v>0</v>
      </c>
      <c r="F364" s="9" t="str">
        <f>Upload!AK354</f>
        <v/>
      </c>
      <c r="G364" s="9" t="str">
        <f>Upload!AM354</f>
        <v/>
      </c>
      <c r="H364" s="9" t="str">
        <f>Upload!AJ354</f>
        <v>(seleccione)</v>
      </c>
      <c r="I364" s="9" t="str">
        <f>Upload!AL354</f>
        <v>(seleccione)</v>
      </c>
      <c r="K364" s="15" t="str">
        <f t="shared" si="30"/>
        <v/>
      </c>
      <c r="L364" s="15" t="str">
        <f t="shared" si="31"/>
        <v/>
      </c>
      <c r="M364" s="15" t="str">
        <f t="shared" si="32"/>
        <v/>
      </c>
      <c r="N364" s="15" t="str">
        <f t="shared" si="33"/>
        <v/>
      </c>
      <c r="O364" s="15" t="str">
        <f t="shared" si="34"/>
        <v/>
      </c>
      <c r="P364" s="15" t="str">
        <f>IF(OR(C364="",NOT(OR(ISNUMBER(SEARCH("Antitarnish",Upload!R354&amp;Upload!S354&amp;Upload!T354&amp;Upload!U354&amp;Upload!V354)),ISNUMBER(SEARCH("Anti Tarnish",Upload!R354&amp;Upload!S354&amp;Upload!T354&amp;Upload!U354&amp;Upload!V354))))),"",0.0012*C364)</f>
        <v/>
      </c>
      <c r="Q364" s="15" t="str">
        <f>IF(OR(E364="",NOT(OR(ISNUMBER(SEARCH("Epóxico MT",Upload!R354&amp;Upload!S354&amp;Upload!T354&amp;Upload!U354&amp;Upload!V354))))),"",E364*0.000035)</f>
        <v/>
      </c>
      <c r="R364" s="15" t="str">
        <f>IF(OR(F364="",NOT(OR(ISNUMBER(SEARCH("Epóxico BT",Upload!S354&amp;Upload!T354&amp;Upload!U354&amp;Upload!V354&amp;Upload!W354))))),"",F364*0.000035)</f>
        <v/>
      </c>
      <c r="S364" s="15" t="str">
        <f>IF(OR(G364="",NOT(OR(ISNUMBER(SEARCH("Epóxico Rojo",Upload!T354&amp;Upload!U354&amp;Upload!V354&amp;Upload!W354&amp;Upload!X354))))),"",G364*0.000035)</f>
        <v/>
      </c>
    </row>
    <row r="365" spans="1:19" x14ac:dyDescent="0.2">
      <c r="A365" s="9" t="e">
        <f t="shared" ca="1" si="35"/>
        <v>#NAME?</v>
      </c>
      <c r="B365" s="9">
        <f>Upload!G355</f>
        <v>0</v>
      </c>
      <c r="C365" s="9">
        <f>Upload!AN355</f>
        <v>0</v>
      </c>
      <c r="D365" s="9">
        <f>Upload!AO355</f>
        <v>0</v>
      </c>
      <c r="E365" s="9">
        <f>Upload!AP355</f>
        <v>0</v>
      </c>
      <c r="F365" s="9" t="str">
        <f>Upload!AK355</f>
        <v/>
      </c>
      <c r="G365" s="9" t="str">
        <f>Upload!AM355</f>
        <v/>
      </c>
      <c r="H365" s="9" t="str">
        <f>Upload!AJ355</f>
        <v>(seleccione)</v>
      </c>
      <c r="I365" s="9" t="str">
        <f>Upload!AL355</f>
        <v>(seleccione)</v>
      </c>
      <c r="K365" s="15" t="str">
        <f t="shared" si="30"/>
        <v/>
      </c>
      <c r="L365" s="15" t="str">
        <f t="shared" si="31"/>
        <v/>
      </c>
      <c r="M365" s="15" t="str">
        <f t="shared" si="32"/>
        <v/>
      </c>
      <c r="N365" s="15" t="str">
        <f t="shared" si="33"/>
        <v/>
      </c>
      <c r="O365" s="15" t="str">
        <f t="shared" si="34"/>
        <v/>
      </c>
      <c r="P365" s="15" t="str">
        <f>IF(OR(C365="",NOT(OR(ISNUMBER(SEARCH("Antitarnish",Upload!R355&amp;Upload!S355&amp;Upload!T355&amp;Upload!U355&amp;Upload!V355)),ISNUMBER(SEARCH("Anti Tarnish",Upload!R355&amp;Upload!S355&amp;Upload!T355&amp;Upload!U355&amp;Upload!V355))))),"",0.0012*C365)</f>
        <v/>
      </c>
      <c r="Q365" s="15" t="str">
        <f>IF(OR(E365="",NOT(OR(ISNUMBER(SEARCH("Epóxico MT",Upload!R355&amp;Upload!S355&amp;Upload!T355&amp;Upload!U355&amp;Upload!V355))))),"",E365*0.000035)</f>
        <v/>
      </c>
      <c r="R365" s="15" t="str">
        <f>IF(OR(F365="",NOT(OR(ISNUMBER(SEARCH("Epóxico BT",Upload!S355&amp;Upload!T355&amp;Upload!U355&amp;Upload!V355&amp;Upload!W355))))),"",F365*0.000035)</f>
        <v/>
      </c>
      <c r="S365" s="15" t="str">
        <f>IF(OR(G365="",NOT(OR(ISNUMBER(SEARCH("Epóxico Rojo",Upload!T355&amp;Upload!U355&amp;Upload!V355&amp;Upload!W355&amp;Upload!X355))))),"",G365*0.000035)</f>
        <v/>
      </c>
    </row>
    <row r="366" spans="1:19" x14ac:dyDescent="0.2">
      <c r="A366" s="9" t="e">
        <f t="shared" ca="1" si="35"/>
        <v>#NAME?</v>
      </c>
      <c r="B366" s="9">
        <f>Upload!G356</f>
        <v>0</v>
      </c>
      <c r="C366" s="9">
        <f>Upload!AN356</f>
        <v>0</v>
      </c>
      <c r="D366" s="9">
        <f>Upload!AO356</f>
        <v>0</v>
      </c>
      <c r="E366" s="9">
        <f>Upload!AP356</f>
        <v>0</v>
      </c>
      <c r="F366" s="9" t="str">
        <f>Upload!AK356</f>
        <v/>
      </c>
      <c r="G366" s="9" t="str">
        <f>Upload!AM356</f>
        <v/>
      </c>
      <c r="H366" s="9" t="str">
        <f>Upload!AJ356</f>
        <v>(seleccione)</v>
      </c>
      <c r="I366" s="9" t="str">
        <f>Upload!AL356</f>
        <v>(seleccione)</v>
      </c>
      <c r="K366" s="15" t="str">
        <f t="shared" si="30"/>
        <v/>
      </c>
      <c r="L366" s="15" t="str">
        <f t="shared" si="31"/>
        <v/>
      </c>
      <c r="M366" s="15" t="str">
        <f t="shared" si="32"/>
        <v/>
      </c>
      <c r="N366" s="15" t="str">
        <f t="shared" si="33"/>
        <v/>
      </c>
      <c r="O366" s="15" t="str">
        <f t="shared" si="34"/>
        <v/>
      </c>
      <c r="P366" s="15" t="str">
        <f>IF(OR(C366="",NOT(OR(ISNUMBER(SEARCH("Antitarnish",Upload!R356&amp;Upload!S356&amp;Upload!T356&amp;Upload!U356&amp;Upload!V356)),ISNUMBER(SEARCH("Anti Tarnish",Upload!R356&amp;Upload!S356&amp;Upload!T356&amp;Upload!U356&amp;Upload!V356))))),"",0.0012*C366)</f>
        <v/>
      </c>
      <c r="Q366" s="15" t="str">
        <f>IF(OR(E366="",NOT(OR(ISNUMBER(SEARCH("Epóxico MT",Upload!R356&amp;Upload!S356&amp;Upload!T356&amp;Upload!U356&amp;Upload!V356))))),"",E366*0.000035)</f>
        <v/>
      </c>
      <c r="R366" s="15" t="str">
        <f>IF(OR(F366="",NOT(OR(ISNUMBER(SEARCH("Epóxico BT",Upload!S356&amp;Upload!T356&amp;Upload!U356&amp;Upload!V356&amp;Upload!W356))))),"",F366*0.000035)</f>
        <v/>
      </c>
      <c r="S366" s="15" t="str">
        <f>IF(OR(G366="",NOT(OR(ISNUMBER(SEARCH("Epóxico Rojo",Upload!T356&amp;Upload!U356&amp;Upload!V356&amp;Upload!W356&amp;Upload!X356))))),"",G366*0.000035)</f>
        <v/>
      </c>
    </row>
    <row r="367" spans="1:19" x14ac:dyDescent="0.2">
      <c r="A367" s="9" t="e">
        <f t="shared" ca="1" si="35"/>
        <v>#NAME?</v>
      </c>
      <c r="B367" s="9">
        <f>Upload!G357</f>
        <v>0</v>
      </c>
      <c r="C367" s="9">
        <f>Upload!AN357</f>
        <v>0</v>
      </c>
      <c r="D367" s="9">
        <f>Upload!AO357</f>
        <v>0</v>
      </c>
      <c r="E367" s="9">
        <f>Upload!AP357</f>
        <v>0</v>
      </c>
      <c r="F367" s="9" t="str">
        <f>Upload!AK357</f>
        <v/>
      </c>
      <c r="G367" s="9" t="str">
        <f>Upload!AM357</f>
        <v/>
      </c>
      <c r="H367" s="9" t="str">
        <f>Upload!AJ357</f>
        <v>(seleccione)</v>
      </c>
      <c r="I367" s="9" t="str">
        <f>Upload!AL357</f>
        <v>(seleccione)</v>
      </c>
      <c r="K367" s="15" t="str">
        <f t="shared" si="30"/>
        <v/>
      </c>
      <c r="L367" s="15" t="str">
        <f t="shared" si="31"/>
        <v/>
      </c>
      <c r="M367" s="15" t="str">
        <f t="shared" si="32"/>
        <v/>
      </c>
      <c r="N367" s="15" t="str">
        <f t="shared" si="33"/>
        <v/>
      </c>
      <c r="O367" s="15" t="str">
        <f t="shared" si="34"/>
        <v/>
      </c>
      <c r="P367" s="15" t="str">
        <f>IF(OR(C367="",NOT(OR(ISNUMBER(SEARCH("Antitarnish",Upload!R357&amp;Upload!S357&amp;Upload!T357&amp;Upload!U357&amp;Upload!V357)),ISNUMBER(SEARCH("Anti Tarnish",Upload!R357&amp;Upload!S357&amp;Upload!T357&amp;Upload!U357&amp;Upload!V357))))),"",0.0012*C367)</f>
        <v/>
      </c>
      <c r="Q367" s="15" t="str">
        <f>IF(OR(E367="",NOT(OR(ISNUMBER(SEARCH("Epóxico MT",Upload!R357&amp;Upload!S357&amp;Upload!T357&amp;Upload!U357&amp;Upload!V357))))),"",E367*0.000035)</f>
        <v/>
      </c>
      <c r="R367" s="15" t="str">
        <f>IF(OR(F367="",NOT(OR(ISNUMBER(SEARCH("Epóxico BT",Upload!S357&amp;Upload!T357&amp;Upload!U357&amp;Upload!V357&amp;Upload!W357))))),"",F367*0.000035)</f>
        <v/>
      </c>
      <c r="S367" s="15" t="str">
        <f>IF(OR(G367="",NOT(OR(ISNUMBER(SEARCH("Epóxico Rojo",Upload!T357&amp;Upload!U357&amp;Upload!V357&amp;Upload!W357&amp;Upload!X357))))),"",G367*0.000035)</f>
        <v/>
      </c>
    </row>
    <row r="368" spans="1:19" x14ac:dyDescent="0.2">
      <c r="A368" s="9" t="e">
        <f t="shared" ca="1" si="35"/>
        <v>#NAME?</v>
      </c>
      <c r="B368" s="9">
        <f>Upload!G358</f>
        <v>0</v>
      </c>
      <c r="C368" s="9">
        <f>Upload!AN358</f>
        <v>0</v>
      </c>
      <c r="D368" s="9">
        <f>Upload!AO358</f>
        <v>0</v>
      </c>
      <c r="E368" s="9">
        <f>Upload!AP358</f>
        <v>0</v>
      </c>
      <c r="F368" s="9" t="str">
        <f>Upload!AK358</f>
        <v/>
      </c>
      <c r="G368" s="9" t="str">
        <f>Upload!AM358</f>
        <v/>
      </c>
      <c r="H368" s="9" t="str">
        <f>Upload!AJ358</f>
        <v>(seleccione)</v>
      </c>
      <c r="I368" s="9" t="str">
        <f>Upload!AL358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IF(OR(C368="",NOT(OR(ISNUMBER(SEARCH("Antitarnish",Upload!R358&amp;Upload!S358&amp;Upload!T358&amp;Upload!U358&amp;Upload!V358)),ISNUMBER(SEARCH("Anti Tarnish",Upload!R358&amp;Upload!S358&amp;Upload!T358&amp;Upload!U358&amp;Upload!V358))))),"",0.0012*C368)</f>
        <v/>
      </c>
      <c r="Q368" s="15" t="str">
        <f>IF(OR(E368="",NOT(OR(ISNUMBER(SEARCH("Epóxico MT",Upload!R358&amp;Upload!S358&amp;Upload!T358&amp;Upload!U358&amp;Upload!V358))))),"",E368*0.000035)</f>
        <v/>
      </c>
      <c r="R368" s="15" t="str">
        <f>IF(OR(F368="",NOT(OR(ISNUMBER(SEARCH("Epóxico BT",Upload!S358&amp;Upload!T358&amp;Upload!U358&amp;Upload!V358&amp;Upload!W358))))),"",F368*0.000035)</f>
        <v/>
      </c>
      <c r="S368" s="15" t="str">
        <f>IF(OR(G368="",NOT(OR(ISNUMBER(SEARCH("Epóxico Rojo",Upload!T358&amp;Upload!U358&amp;Upload!V358&amp;Upload!W358&amp;Upload!X358))))),"",G368*0.000035)</f>
        <v/>
      </c>
    </row>
    <row r="369" spans="1:19" x14ac:dyDescent="0.2">
      <c r="A369" s="9" t="e">
        <f t="shared" ca="1" si="35"/>
        <v>#NAME?</v>
      </c>
      <c r="B369" s="9">
        <f>Upload!G359</f>
        <v>0</v>
      </c>
      <c r="C369" s="9">
        <f>Upload!AN359</f>
        <v>0</v>
      </c>
      <c r="D369" s="9">
        <f>Upload!AO359</f>
        <v>0</v>
      </c>
      <c r="E369" s="9">
        <f>Upload!AP359</f>
        <v>0</v>
      </c>
      <c r="F369" s="9" t="str">
        <f>Upload!AK359</f>
        <v/>
      </c>
      <c r="G369" s="9" t="str">
        <f>Upload!AM359</f>
        <v/>
      </c>
      <c r="H369" s="9" t="str">
        <f>Upload!AJ359</f>
        <v>(seleccione)</v>
      </c>
      <c r="I369" s="9" t="str">
        <f>Upload!AL359</f>
        <v>(seleccione)</v>
      </c>
      <c r="K369" s="15" t="str">
        <f t="shared" si="36"/>
        <v/>
      </c>
      <c r="L369" s="15" t="str">
        <f t="shared" si="37"/>
        <v/>
      </c>
      <c r="M369" s="15" t="str">
        <f t="shared" si="38"/>
        <v/>
      </c>
      <c r="N369" s="15" t="str">
        <f t="shared" si="39"/>
        <v/>
      </c>
      <c r="O369" s="15" t="str">
        <f t="shared" si="40"/>
        <v/>
      </c>
      <c r="P369" s="15" t="str">
        <f>IF(OR(C369="",NOT(OR(ISNUMBER(SEARCH("Antitarnish",Upload!R359&amp;Upload!S359&amp;Upload!T359&amp;Upload!U359&amp;Upload!V359)),ISNUMBER(SEARCH("Anti Tarnish",Upload!R359&amp;Upload!S359&amp;Upload!T359&amp;Upload!U359&amp;Upload!V359))))),"",0.0012*C369)</f>
        <v/>
      </c>
      <c r="Q369" s="15" t="str">
        <f>IF(OR(E369="",NOT(OR(ISNUMBER(SEARCH("Epóxico MT",Upload!R359&amp;Upload!S359&amp;Upload!T359&amp;Upload!U359&amp;Upload!V359))))),"",E369*0.000035)</f>
        <v/>
      </c>
      <c r="R369" s="15" t="str">
        <f>IF(OR(F369="",NOT(OR(ISNUMBER(SEARCH("Epóxico BT",Upload!S359&amp;Upload!T359&amp;Upload!U359&amp;Upload!V359&amp;Upload!W359))))),"",F369*0.000035)</f>
        <v/>
      </c>
      <c r="S369" s="15" t="str">
        <f>IF(OR(G369="",NOT(OR(ISNUMBER(SEARCH("Epóxico Rojo",Upload!T359&amp;Upload!U359&amp;Upload!V359&amp;Upload!W359&amp;Upload!X359))))),"",G369*0.000035)</f>
        <v/>
      </c>
    </row>
    <row r="370" spans="1:19" x14ac:dyDescent="0.2">
      <c r="A370" s="9" t="e">
        <f t="shared" ca="1" si="35"/>
        <v>#NAME?</v>
      </c>
      <c r="B370" s="9">
        <f>Upload!G360</f>
        <v>0</v>
      </c>
      <c r="C370" s="9">
        <f>Upload!AN360</f>
        <v>0</v>
      </c>
      <c r="D370" s="9">
        <f>Upload!AO360</f>
        <v>0</v>
      </c>
      <c r="E370" s="9">
        <f>Upload!AP360</f>
        <v>0</v>
      </c>
      <c r="F370" s="9" t="str">
        <f>Upload!AK360</f>
        <v/>
      </c>
      <c r="G370" s="9" t="str">
        <f>Upload!AM360</f>
        <v/>
      </c>
      <c r="H370" s="9" t="str">
        <f>Upload!AJ360</f>
        <v>(seleccione)</v>
      </c>
      <c r="I370" s="9" t="str">
        <f>Upload!AL360</f>
        <v>(seleccione)</v>
      </c>
      <c r="K370" s="15" t="str">
        <f t="shared" si="36"/>
        <v/>
      </c>
      <c r="L370" s="15" t="str">
        <f t="shared" si="37"/>
        <v/>
      </c>
      <c r="M370" s="15" t="str">
        <f t="shared" si="38"/>
        <v/>
      </c>
      <c r="N370" s="15" t="str">
        <f t="shared" si="39"/>
        <v/>
      </c>
      <c r="O370" s="15" t="str">
        <f t="shared" si="40"/>
        <v/>
      </c>
      <c r="P370" s="15" t="str">
        <f>IF(OR(C370="",NOT(OR(ISNUMBER(SEARCH("Antitarnish",Upload!R360&amp;Upload!S360&amp;Upload!T360&amp;Upload!U360&amp;Upload!V360)),ISNUMBER(SEARCH("Anti Tarnish",Upload!R360&amp;Upload!S360&amp;Upload!T360&amp;Upload!U360&amp;Upload!V360))))),"",0.0012*C370)</f>
        <v/>
      </c>
      <c r="Q370" s="15" t="str">
        <f>IF(OR(E370="",NOT(OR(ISNUMBER(SEARCH("Epóxico MT",Upload!R360&amp;Upload!S360&amp;Upload!T360&amp;Upload!U360&amp;Upload!V360))))),"",E370*0.000035)</f>
        <v/>
      </c>
      <c r="R370" s="15" t="str">
        <f>IF(OR(F370="",NOT(OR(ISNUMBER(SEARCH("Epóxico BT",Upload!S360&amp;Upload!T360&amp;Upload!U360&amp;Upload!V360&amp;Upload!W360))))),"",F370*0.000035)</f>
        <v/>
      </c>
      <c r="S370" s="15" t="str">
        <f>IF(OR(G370="",NOT(OR(ISNUMBER(SEARCH("Epóxico Rojo",Upload!T360&amp;Upload!U360&amp;Upload!V360&amp;Upload!W360&amp;Upload!X360))))),"",G370*0.000035)</f>
        <v/>
      </c>
    </row>
    <row r="371" spans="1:19" x14ac:dyDescent="0.2">
      <c r="A371" s="9" t="e">
        <f t="shared" ca="1" si="35"/>
        <v>#NAME?</v>
      </c>
      <c r="B371" s="9">
        <f>Upload!G361</f>
        <v>0</v>
      </c>
      <c r="C371" s="9">
        <f>Upload!AN361</f>
        <v>0</v>
      </c>
      <c r="D371" s="9">
        <f>Upload!AO361</f>
        <v>0</v>
      </c>
      <c r="E371" s="9">
        <f>Upload!AP361</f>
        <v>0</v>
      </c>
      <c r="F371" s="9" t="str">
        <f>Upload!AK361</f>
        <v/>
      </c>
      <c r="G371" s="9" t="str">
        <f>Upload!AM361</f>
        <v/>
      </c>
      <c r="H371" s="9" t="str">
        <f>Upload!AJ361</f>
        <v>(seleccione)</v>
      </c>
      <c r="I371" s="9" t="str">
        <f>Upload!AL361</f>
        <v>(seleccione)</v>
      </c>
      <c r="K371" s="15" t="str">
        <f t="shared" si="36"/>
        <v/>
      </c>
      <c r="L371" s="15" t="str">
        <f t="shared" si="37"/>
        <v/>
      </c>
      <c r="M371" s="15" t="str">
        <f t="shared" si="38"/>
        <v/>
      </c>
      <c r="N371" s="15" t="str">
        <f t="shared" si="39"/>
        <v/>
      </c>
      <c r="O371" s="15" t="str">
        <f t="shared" si="40"/>
        <v/>
      </c>
      <c r="P371" s="15" t="str">
        <f>IF(OR(C371="",NOT(OR(ISNUMBER(SEARCH("Antitarnish",Upload!R361&amp;Upload!S361&amp;Upload!T361&amp;Upload!U361&amp;Upload!V361)),ISNUMBER(SEARCH("Anti Tarnish",Upload!R361&amp;Upload!S361&amp;Upload!T361&amp;Upload!U361&amp;Upload!V361))))),"",0.0012*C371)</f>
        <v/>
      </c>
      <c r="Q371" s="15" t="str">
        <f>IF(OR(E371="",NOT(OR(ISNUMBER(SEARCH("Epóxico MT",Upload!R361&amp;Upload!S361&amp;Upload!T361&amp;Upload!U361&amp;Upload!V361))))),"",E371*0.000035)</f>
        <v/>
      </c>
      <c r="R371" s="15" t="str">
        <f>IF(OR(F371="",NOT(OR(ISNUMBER(SEARCH("Epóxico BT",Upload!S361&amp;Upload!T361&amp;Upload!U361&amp;Upload!V361&amp;Upload!W361))))),"",F371*0.000035)</f>
        <v/>
      </c>
      <c r="S371" s="15" t="str">
        <f>IF(OR(G371="",NOT(OR(ISNUMBER(SEARCH("Epóxico Rojo",Upload!T361&amp;Upload!U361&amp;Upload!V361&amp;Upload!W361&amp;Upload!X361))))),"",G371*0.000035)</f>
        <v/>
      </c>
    </row>
    <row r="372" spans="1:19" x14ac:dyDescent="0.2">
      <c r="A372" s="9" t="e">
        <f t="shared" ca="1" si="35"/>
        <v>#NAME?</v>
      </c>
      <c r="B372" s="9">
        <f>Upload!G362</f>
        <v>0</v>
      </c>
      <c r="C372" s="9">
        <f>Upload!AN362</f>
        <v>0</v>
      </c>
      <c r="D372" s="9">
        <f>Upload!AO362</f>
        <v>0</v>
      </c>
      <c r="E372" s="9">
        <f>Upload!AP362</f>
        <v>0</v>
      </c>
      <c r="F372" s="9" t="str">
        <f>Upload!AK362</f>
        <v/>
      </c>
      <c r="G372" s="9" t="str">
        <f>Upload!AM362</f>
        <v/>
      </c>
      <c r="H372" s="9" t="str">
        <f>Upload!AJ362</f>
        <v>(seleccione)</v>
      </c>
      <c r="I372" s="9" t="str">
        <f>Upload!AL362</f>
        <v>(seleccione)</v>
      </c>
      <c r="K372" s="15" t="str">
        <f t="shared" si="36"/>
        <v/>
      </c>
      <c r="L372" s="15" t="str">
        <f t="shared" si="37"/>
        <v/>
      </c>
      <c r="M372" s="15" t="str">
        <f t="shared" si="38"/>
        <v/>
      </c>
      <c r="N372" s="15" t="str">
        <f t="shared" si="39"/>
        <v/>
      </c>
      <c r="O372" s="15" t="str">
        <f t="shared" si="40"/>
        <v/>
      </c>
      <c r="P372" s="15" t="str">
        <f>IF(OR(C372="",NOT(OR(ISNUMBER(SEARCH("Antitarnish",Upload!R362&amp;Upload!S362&amp;Upload!T362&amp;Upload!U362&amp;Upload!V362)),ISNUMBER(SEARCH("Anti Tarnish",Upload!R362&amp;Upload!S362&amp;Upload!T362&amp;Upload!U362&amp;Upload!V362))))),"",0.0012*C372)</f>
        <v/>
      </c>
      <c r="Q372" s="15" t="str">
        <f>IF(OR(E372="",NOT(OR(ISNUMBER(SEARCH("Epóxico MT",Upload!R362&amp;Upload!S362&amp;Upload!T362&amp;Upload!U362&amp;Upload!V362))))),"",E372*0.000035)</f>
        <v/>
      </c>
      <c r="R372" s="15" t="str">
        <f>IF(OR(F372="",NOT(OR(ISNUMBER(SEARCH("Epóxico BT",Upload!S362&amp;Upload!T362&amp;Upload!U362&amp;Upload!V362&amp;Upload!W362))))),"",F372*0.000035)</f>
        <v/>
      </c>
      <c r="S372" s="15" t="str">
        <f>IF(OR(G372="",NOT(OR(ISNUMBER(SEARCH("Epóxico Rojo",Upload!T362&amp;Upload!U362&amp;Upload!V362&amp;Upload!W362&amp;Upload!X362))))),"",G372*0.000035)</f>
        <v/>
      </c>
    </row>
    <row r="373" spans="1:19" x14ac:dyDescent="0.2">
      <c r="A373" s="9" t="e">
        <f t="shared" ca="1" si="35"/>
        <v>#NAME?</v>
      </c>
      <c r="B373" s="9">
        <f>Upload!G363</f>
        <v>0</v>
      </c>
      <c r="C373" s="9">
        <f>Upload!AN363</f>
        <v>0</v>
      </c>
      <c r="D373" s="9">
        <f>Upload!AO363</f>
        <v>0</v>
      </c>
      <c r="E373" s="9">
        <f>Upload!AP363</f>
        <v>0</v>
      </c>
      <c r="F373" s="9" t="str">
        <f>Upload!AK363</f>
        <v/>
      </c>
      <c r="G373" s="9" t="str">
        <f>Upload!AM363</f>
        <v/>
      </c>
      <c r="H373" s="9" t="str">
        <f>Upload!AJ363</f>
        <v>(seleccione)</v>
      </c>
      <c r="I373" s="9" t="str">
        <f>Upload!AL363</f>
        <v>(seleccione)</v>
      </c>
      <c r="K373" s="15" t="str">
        <f t="shared" si="36"/>
        <v/>
      </c>
      <c r="L373" s="15" t="str">
        <f t="shared" si="37"/>
        <v/>
      </c>
      <c r="M373" s="15" t="str">
        <f t="shared" si="38"/>
        <v/>
      </c>
      <c r="N373" s="15" t="str">
        <f t="shared" si="39"/>
        <v/>
      </c>
      <c r="O373" s="15" t="str">
        <f t="shared" si="40"/>
        <v/>
      </c>
      <c r="P373" s="15" t="str">
        <f>IF(OR(C373="",NOT(OR(ISNUMBER(SEARCH("Antitarnish",Upload!R363&amp;Upload!S363&amp;Upload!T363&amp;Upload!U363&amp;Upload!V363)),ISNUMBER(SEARCH("Anti Tarnish",Upload!R363&amp;Upload!S363&amp;Upload!T363&amp;Upload!U363&amp;Upload!V363))))),"",0.0012*C373)</f>
        <v/>
      </c>
      <c r="Q373" s="15" t="str">
        <f>IF(OR(E373="",NOT(OR(ISNUMBER(SEARCH("Epóxico MT",Upload!R363&amp;Upload!S363&amp;Upload!T363&amp;Upload!U363&amp;Upload!V363))))),"",E373*0.000035)</f>
        <v/>
      </c>
      <c r="R373" s="15" t="str">
        <f>IF(OR(F373="",NOT(OR(ISNUMBER(SEARCH("Epóxico BT",Upload!S363&amp;Upload!T363&amp;Upload!U363&amp;Upload!V363&amp;Upload!W363))))),"",F373*0.000035)</f>
        <v/>
      </c>
      <c r="S373" s="15" t="str">
        <f>IF(OR(G373="",NOT(OR(ISNUMBER(SEARCH("Epóxico Rojo",Upload!T363&amp;Upload!U363&amp;Upload!V363&amp;Upload!W363&amp;Upload!X363))))),"",G373*0.000035)</f>
        <v/>
      </c>
    </row>
    <row r="374" spans="1:19" x14ac:dyDescent="0.2">
      <c r="A374" s="9" t="e">
        <f t="shared" ca="1" si="35"/>
        <v>#NAME?</v>
      </c>
      <c r="B374" s="9">
        <f>Upload!G364</f>
        <v>0</v>
      </c>
      <c r="C374" s="9">
        <f>Upload!AN364</f>
        <v>0</v>
      </c>
      <c r="D374" s="9">
        <f>Upload!AO364</f>
        <v>0</v>
      </c>
      <c r="E374" s="9">
        <f>Upload!AP364</f>
        <v>0</v>
      </c>
      <c r="F374" s="9" t="str">
        <f>Upload!AK364</f>
        <v/>
      </c>
      <c r="G374" s="9" t="str">
        <f>Upload!AM364</f>
        <v/>
      </c>
      <c r="H374" s="9" t="str">
        <f>Upload!AJ364</f>
        <v>(seleccione)</v>
      </c>
      <c r="I374" s="9" t="str">
        <f>Upload!AL364</f>
        <v>(seleccione)</v>
      </c>
      <c r="K374" s="15" t="str">
        <f t="shared" si="36"/>
        <v/>
      </c>
      <c r="L374" s="15" t="str">
        <f t="shared" si="37"/>
        <v/>
      </c>
      <c r="M374" s="15" t="str">
        <f t="shared" si="38"/>
        <v/>
      </c>
      <c r="N374" s="15" t="str">
        <f t="shared" si="39"/>
        <v/>
      </c>
      <c r="O374" s="15" t="str">
        <f t="shared" si="40"/>
        <v/>
      </c>
      <c r="P374" s="15" t="str">
        <f>IF(OR(C374="",NOT(OR(ISNUMBER(SEARCH("Antitarnish",Upload!R364&amp;Upload!S364&amp;Upload!T364&amp;Upload!U364&amp;Upload!V364)),ISNUMBER(SEARCH("Anti Tarnish",Upload!R364&amp;Upload!S364&amp;Upload!T364&amp;Upload!U364&amp;Upload!V364))))),"",0.0012*C374)</f>
        <v/>
      </c>
      <c r="Q374" s="15" t="str">
        <f>IF(OR(E374="",NOT(OR(ISNUMBER(SEARCH("Epóxico MT",Upload!R364&amp;Upload!S364&amp;Upload!T364&amp;Upload!U364&amp;Upload!V364))))),"",E374*0.000035)</f>
        <v/>
      </c>
      <c r="R374" s="15" t="str">
        <f>IF(OR(F374="",NOT(OR(ISNUMBER(SEARCH("Epóxico BT",Upload!S364&amp;Upload!T364&amp;Upload!U364&amp;Upload!V364&amp;Upload!W364))))),"",F374*0.000035)</f>
        <v/>
      </c>
      <c r="S374" s="15" t="str">
        <f>IF(OR(G374="",NOT(OR(ISNUMBER(SEARCH("Epóxico Rojo",Upload!T364&amp;Upload!U364&amp;Upload!V364&amp;Upload!W364&amp;Upload!X364))))),"",G374*0.000035)</f>
        <v/>
      </c>
    </row>
    <row r="375" spans="1:19" x14ac:dyDescent="0.2">
      <c r="A375" s="9" t="e">
        <f t="shared" ca="1" si="35"/>
        <v>#NAME?</v>
      </c>
      <c r="B375" s="9">
        <f>Upload!G365</f>
        <v>0</v>
      </c>
      <c r="C375" s="9">
        <f>Upload!AN365</f>
        <v>0</v>
      </c>
      <c r="D375" s="9">
        <f>Upload!AO365</f>
        <v>0</v>
      </c>
      <c r="E375" s="9">
        <f>Upload!AP365</f>
        <v>0</v>
      </c>
      <c r="F375" s="9" t="str">
        <f>Upload!AK365</f>
        <v/>
      </c>
      <c r="G375" s="9" t="str">
        <f>Upload!AM365</f>
        <v/>
      </c>
      <c r="H375" s="9" t="str">
        <f>Upload!AJ365</f>
        <v>(seleccione)</v>
      </c>
      <c r="I375" s="9" t="str">
        <f>Upload!AL365</f>
        <v>(seleccione)</v>
      </c>
      <c r="K375" s="15" t="str">
        <f t="shared" si="36"/>
        <v/>
      </c>
      <c r="L375" s="15" t="str">
        <f t="shared" si="37"/>
        <v/>
      </c>
      <c r="M375" s="15" t="str">
        <f t="shared" si="38"/>
        <v/>
      </c>
      <c r="N375" s="15" t="str">
        <f t="shared" si="39"/>
        <v/>
      </c>
      <c r="O375" s="15" t="str">
        <f t="shared" si="40"/>
        <v/>
      </c>
      <c r="P375" s="15" t="str">
        <f>IF(OR(C375="",NOT(OR(ISNUMBER(SEARCH("Antitarnish",Upload!R365&amp;Upload!S365&amp;Upload!T365&amp;Upload!U365&amp;Upload!V365)),ISNUMBER(SEARCH("Anti Tarnish",Upload!R365&amp;Upload!S365&amp;Upload!T365&amp;Upload!U365&amp;Upload!V365))))),"",0.0012*C375)</f>
        <v/>
      </c>
      <c r="Q375" s="15" t="str">
        <f>IF(OR(E375="",NOT(OR(ISNUMBER(SEARCH("Epóxico MT",Upload!R365&amp;Upload!S365&amp;Upload!T365&amp;Upload!U365&amp;Upload!V365))))),"",E375*0.000035)</f>
        <v/>
      </c>
      <c r="R375" s="15" t="str">
        <f>IF(OR(F375="",NOT(OR(ISNUMBER(SEARCH("Epóxico BT",Upload!S365&amp;Upload!T365&amp;Upload!U365&amp;Upload!V365&amp;Upload!W365))))),"",F375*0.000035)</f>
        <v/>
      </c>
      <c r="S375" s="15" t="str">
        <f>IF(OR(G375="",NOT(OR(ISNUMBER(SEARCH("Epóxico Rojo",Upload!T365&amp;Upload!U365&amp;Upload!V365&amp;Upload!W365&amp;Upload!X365))))),"",G375*0.000035)</f>
        <v/>
      </c>
    </row>
    <row r="376" spans="1:19" x14ac:dyDescent="0.2">
      <c r="A376" s="9" t="e">
        <f t="shared" ca="1" si="35"/>
        <v>#NAME?</v>
      </c>
      <c r="B376" s="9">
        <f>Upload!G366</f>
        <v>0</v>
      </c>
      <c r="C376" s="9">
        <f>Upload!AN366</f>
        <v>0</v>
      </c>
      <c r="D376" s="9">
        <f>Upload!AO366</f>
        <v>0</v>
      </c>
      <c r="E376" s="9">
        <f>Upload!AP366</f>
        <v>0</v>
      </c>
      <c r="F376" s="9" t="str">
        <f>Upload!AK366</f>
        <v/>
      </c>
      <c r="G376" s="9" t="str">
        <f>Upload!AM366</f>
        <v/>
      </c>
      <c r="H376" s="9" t="str">
        <f>Upload!AJ366</f>
        <v>(seleccione)</v>
      </c>
      <c r="I376" s="9" t="str">
        <f>Upload!AL366</f>
        <v>(seleccione)</v>
      </c>
      <c r="K376" s="15" t="str">
        <f t="shared" si="36"/>
        <v/>
      </c>
      <c r="L376" s="15" t="str">
        <f t="shared" si="37"/>
        <v/>
      </c>
      <c r="M376" s="15" t="str">
        <f t="shared" si="38"/>
        <v/>
      </c>
      <c r="N376" s="15" t="str">
        <f t="shared" si="39"/>
        <v/>
      </c>
      <c r="O376" s="15" t="str">
        <f t="shared" si="40"/>
        <v/>
      </c>
      <c r="P376" s="15" t="str">
        <f>IF(OR(C376="",NOT(OR(ISNUMBER(SEARCH("Antitarnish",Upload!R366&amp;Upload!S366&amp;Upload!T366&amp;Upload!U366&amp;Upload!V366)),ISNUMBER(SEARCH("Anti Tarnish",Upload!R366&amp;Upload!S366&amp;Upload!T366&amp;Upload!U366&amp;Upload!V366))))),"",0.0012*C376)</f>
        <v/>
      </c>
      <c r="Q376" s="15" t="str">
        <f>IF(OR(E376="",NOT(OR(ISNUMBER(SEARCH("Epóxico MT",Upload!R366&amp;Upload!S366&amp;Upload!T366&amp;Upload!U366&amp;Upload!V366))))),"",E376*0.000035)</f>
        <v/>
      </c>
      <c r="R376" s="15" t="str">
        <f>IF(OR(F376="",NOT(OR(ISNUMBER(SEARCH("Epóxico BT",Upload!S366&amp;Upload!T366&amp;Upload!U366&amp;Upload!V366&amp;Upload!W366))))),"",F376*0.000035)</f>
        <v/>
      </c>
      <c r="S376" s="15" t="str">
        <f>IF(OR(G376="",NOT(OR(ISNUMBER(SEARCH("Epóxico Rojo",Upload!T366&amp;Upload!U366&amp;Upload!V366&amp;Upload!W366&amp;Upload!X366))))),"",G376*0.000035)</f>
        <v/>
      </c>
    </row>
    <row r="377" spans="1:19" x14ac:dyDescent="0.2">
      <c r="A377" s="9" t="e">
        <f t="shared" ca="1" si="35"/>
        <v>#NAME?</v>
      </c>
      <c r="B377" s="9">
        <f>Upload!G367</f>
        <v>0</v>
      </c>
      <c r="C377" s="9">
        <f>Upload!AN367</f>
        <v>0</v>
      </c>
      <c r="D377" s="9">
        <f>Upload!AO367</f>
        <v>0</v>
      </c>
      <c r="E377" s="9">
        <f>Upload!AP367</f>
        <v>0</v>
      </c>
      <c r="F377" s="9" t="str">
        <f>Upload!AK367</f>
        <v/>
      </c>
      <c r="G377" s="9" t="str">
        <f>Upload!AM367</f>
        <v/>
      </c>
      <c r="H377" s="9" t="str">
        <f>Upload!AJ367</f>
        <v>(seleccione)</v>
      </c>
      <c r="I377" s="9" t="str">
        <f>Upload!AL367</f>
        <v>(seleccione)</v>
      </c>
      <c r="K377" s="15" t="str">
        <f t="shared" si="36"/>
        <v/>
      </c>
      <c r="L377" s="15" t="str">
        <f t="shared" si="37"/>
        <v/>
      </c>
      <c r="M377" s="15" t="str">
        <f t="shared" si="38"/>
        <v/>
      </c>
      <c r="N377" s="15" t="str">
        <f t="shared" si="39"/>
        <v/>
      </c>
      <c r="O377" s="15" t="str">
        <f t="shared" si="40"/>
        <v/>
      </c>
      <c r="P377" s="15" t="str">
        <f>IF(OR(C377="",NOT(OR(ISNUMBER(SEARCH("Antitarnish",Upload!R367&amp;Upload!S367&amp;Upload!T367&amp;Upload!U367&amp;Upload!V367)),ISNUMBER(SEARCH("Anti Tarnish",Upload!R367&amp;Upload!S367&amp;Upload!T367&amp;Upload!U367&amp;Upload!V367))))),"",0.0012*C377)</f>
        <v/>
      </c>
      <c r="Q377" s="15" t="str">
        <f>IF(OR(E377="",NOT(OR(ISNUMBER(SEARCH("Epóxico MT",Upload!R367&amp;Upload!S367&amp;Upload!T367&amp;Upload!U367&amp;Upload!V367))))),"",E377*0.000035)</f>
        <v/>
      </c>
      <c r="R377" s="15" t="str">
        <f>IF(OR(F377="",NOT(OR(ISNUMBER(SEARCH("Epóxico BT",Upload!S367&amp;Upload!T367&amp;Upload!U367&amp;Upload!V367&amp;Upload!W367))))),"",F377*0.000035)</f>
        <v/>
      </c>
      <c r="S377" s="15" t="str">
        <f>IF(OR(G377="",NOT(OR(ISNUMBER(SEARCH("Epóxico Rojo",Upload!T367&amp;Upload!U367&amp;Upload!V367&amp;Upload!W367&amp;Upload!X367))))),"",G377*0.000035)</f>
        <v/>
      </c>
    </row>
    <row r="378" spans="1:19" x14ac:dyDescent="0.2">
      <c r="A378" s="9" t="e">
        <f t="shared" ca="1" si="35"/>
        <v>#NAME?</v>
      </c>
      <c r="B378" s="9">
        <f>Upload!G368</f>
        <v>0</v>
      </c>
      <c r="C378" s="9">
        <f>Upload!AN368</f>
        <v>0</v>
      </c>
      <c r="D378" s="9">
        <f>Upload!AO368</f>
        <v>0</v>
      </c>
      <c r="E378" s="9">
        <f>Upload!AP368</f>
        <v>0</v>
      </c>
      <c r="F378" s="9" t="str">
        <f>Upload!AK368</f>
        <v/>
      </c>
      <c r="G378" s="9" t="str">
        <f>Upload!AM368</f>
        <v/>
      </c>
      <c r="H378" s="9" t="str">
        <f>Upload!AJ368</f>
        <v>(seleccione)</v>
      </c>
      <c r="I378" s="9" t="str">
        <f>Upload!AL368</f>
        <v>(seleccione)</v>
      </c>
      <c r="K378" s="15" t="str">
        <f t="shared" si="36"/>
        <v/>
      </c>
      <c r="L378" s="15" t="str">
        <f t="shared" si="37"/>
        <v/>
      </c>
      <c r="M378" s="15" t="str">
        <f t="shared" si="38"/>
        <v/>
      </c>
      <c r="N378" s="15" t="str">
        <f t="shared" si="39"/>
        <v/>
      </c>
      <c r="O378" s="15" t="str">
        <f t="shared" si="40"/>
        <v/>
      </c>
      <c r="P378" s="15" t="str">
        <f>IF(OR(C378="",NOT(OR(ISNUMBER(SEARCH("Antitarnish",Upload!R368&amp;Upload!S368&amp;Upload!T368&amp;Upload!U368&amp;Upload!V368)),ISNUMBER(SEARCH("Anti Tarnish",Upload!R368&amp;Upload!S368&amp;Upload!T368&amp;Upload!U368&amp;Upload!V368))))),"",0.0012*C378)</f>
        <v/>
      </c>
      <c r="Q378" s="15" t="str">
        <f>IF(OR(E378="",NOT(OR(ISNUMBER(SEARCH("Epóxico MT",Upload!R368&amp;Upload!S368&amp;Upload!T368&amp;Upload!U368&amp;Upload!V368))))),"",E378*0.000035)</f>
        <v/>
      </c>
      <c r="R378" s="15" t="str">
        <f>IF(OR(F378="",NOT(OR(ISNUMBER(SEARCH("Epóxico BT",Upload!S368&amp;Upload!T368&amp;Upload!U368&amp;Upload!V368&amp;Upload!W368))))),"",F378*0.000035)</f>
        <v/>
      </c>
      <c r="S378" s="15" t="str">
        <f>IF(OR(G378="",NOT(OR(ISNUMBER(SEARCH("Epóxico Rojo",Upload!T368&amp;Upload!U368&amp;Upload!V368&amp;Upload!W368&amp;Upload!X368))))),"",G378*0.000035)</f>
        <v/>
      </c>
    </row>
    <row r="379" spans="1:19" x14ac:dyDescent="0.2">
      <c r="A379" s="9" t="e">
        <f t="shared" ca="1" si="35"/>
        <v>#NAME?</v>
      </c>
      <c r="B379" s="9">
        <f>Upload!G369</f>
        <v>0</v>
      </c>
      <c r="C379" s="9">
        <f>Upload!AN369</f>
        <v>0</v>
      </c>
      <c r="D379" s="9">
        <f>Upload!AO369</f>
        <v>0</v>
      </c>
      <c r="E379" s="9">
        <f>Upload!AP369</f>
        <v>0</v>
      </c>
      <c r="F379" s="9" t="str">
        <f>Upload!AK369</f>
        <v/>
      </c>
      <c r="G379" s="9" t="str">
        <f>Upload!AM369</f>
        <v/>
      </c>
      <c r="H379" s="9" t="str">
        <f>Upload!AJ369</f>
        <v>(seleccione)</v>
      </c>
      <c r="I379" s="9" t="str">
        <f>Upload!AL369</f>
        <v>(seleccione)</v>
      </c>
      <c r="K379" s="15" t="str">
        <f t="shared" si="36"/>
        <v/>
      </c>
      <c r="L379" s="15" t="str">
        <f t="shared" si="37"/>
        <v/>
      </c>
      <c r="M379" s="15" t="str">
        <f t="shared" si="38"/>
        <v/>
      </c>
      <c r="N379" s="15" t="str">
        <f t="shared" si="39"/>
        <v/>
      </c>
      <c r="O379" s="15" t="str">
        <f t="shared" si="40"/>
        <v/>
      </c>
      <c r="P379" s="15" t="str">
        <f>IF(OR(C379="",NOT(OR(ISNUMBER(SEARCH("Antitarnish",Upload!R369&amp;Upload!S369&amp;Upload!T369&amp;Upload!U369&amp;Upload!V369)),ISNUMBER(SEARCH("Anti Tarnish",Upload!R369&amp;Upload!S369&amp;Upload!T369&amp;Upload!U369&amp;Upload!V369))))),"",0.0012*C379)</f>
        <v/>
      </c>
      <c r="Q379" s="15" t="str">
        <f>IF(OR(E379="",NOT(OR(ISNUMBER(SEARCH("Epóxico MT",Upload!R369&amp;Upload!S369&amp;Upload!T369&amp;Upload!U369&amp;Upload!V369))))),"",E379*0.000035)</f>
        <v/>
      </c>
      <c r="R379" s="15" t="str">
        <f>IF(OR(F379="",NOT(OR(ISNUMBER(SEARCH("Epóxico BT",Upload!S369&amp;Upload!T369&amp;Upload!U369&amp;Upload!V369&amp;Upload!W369))))),"",F379*0.000035)</f>
        <v/>
      </c>
      <c r="S379" s="15" t="str">
        <f>IF(OR(G379="",NOT(OR(ISNUMBER(SEARCH("Epóxico Rojo",Upload!T369&amp;Upload!U369&amp;Upload!V369&amp;Upload!W369&amp;Upload!X369))))),"",G379*0.000035)</f>
        <v/>
      </c>
    </row>
    <row r="380" spans="1:19" x14ac:dyDescent="0.2">
      <c r="A380" s="9" t="e">
        <f t="shared" ca="1" si="35"/>
        <v>#NAME?</v>
      </c>
      <c r="B380" s="9">
        <f>Upload!G370</f>
        <v>0</v>
      </c>
      <c r="C380" s="9">
        <f>Upload!AN370</f>
        <v>0</v>
      </c>
      <c r="D380" s="9">
        <f>Upload!AO370</f>
        <v>0</v>
      </c>
      <c r="E380" s="9">
        <f>Upload!AP370</f>
        <v>0</v>
      </c>
      <c r="F380" s="9" t="str">
        <f>Upload!AK370</f>
        <v/>
      </c>
      <c r="G380" s="9" t="str">
        <f>Upload!AM370</f>
        <v/>
      </c>
      <c r="H380" s="9" t="str">
        <f>Upload!AJ370</f>
        <v>(seleccione)</v>
      </c>
      <c r="I380" s="9" t="str">
        <f>Upload!AL370</f>
        <v>(seleccione)</v>
      </c>
      <c r="K380" s="15" t="str">
        <f t="shared" si="36"/>
        <v/>
      </c>
      <c r="L380" s="15" t="str">
        <f t="shared" si="37"/>
        <v/>
      </c>
      <c r="M380" s="15" t="str">
        <f t="shared" si="38"/>
        <v/>
      </c>
      <c r="N380" s="15" t="str">
        <f t="shared" si="39"/>
        <v/>
      </c>
      <c r="O380" s="15" t="str">
        <f t="shared" si="40"/>
        <v/>
      </c>
      <c r="P380" s="15" t="str">
        <f>IF(OR(C380="",NOT(OR(ISNUMBER(SEARCH("Antitarnish",Upload!R370&amp;Upload!S370&amp;Upload!T370&amp;Upload!U370&amp;Upload!V370)),ISNUMBER(SEARCH("Anti Tarnish",Upload!R370&amp;Upload!S370&amp;Upload!T370&amp;Upload!U370&amp;Upload!V370))))),"",0.0012*C380)</f>
        <v/>
      </c>
      <c r="Q380" s="15" t="str">
        <f>IF(OR(E380="",NOT(OR(ISNUMBER(SEARCH("Epóxico MT",Upload!R370&amp;Upload!S370&amp;Upload!T370&amp;Upload!U370&amp;Upload!V370))))),"",E380*0.000035)</f>
        <v/>
      </c>
      <c r="R380" s="15" t="str">
        <f>IF(OR(F380="",NOT(OR(ISNUMBER(SEARCH("Epóxico BT",Upload!S370&amp;Upload!T370&amp;Upload!U370&amp;Upload!V370&amp;Upload!W370))))),"",F380*0.000035)</f>
        <v/>
      </c>
      <c r="S380" s="15" t="str">
        <f>IF(OR(G380="",NOT(OR(ISNUMBER(SEARCH("Epóxico Rojo",Upload!T370&amp;Upload!U370&amp;Upload!V370&amp;Upload!W370&amp;Upload!X370))))),"",G380*0.000035)</f>
        <v/>
      </c>
    </row>
    <row r="381" spans="1:19" x14ac:dyDescent="0.2">
      <c r="A381" s="9" t="e">
        <f t="shared" ca="1" si="35"/>
        <v>#NAME?</v>
      </c>
      <c r="B381" s="9">
        <f>Upload!G371</f>
        <v>0</v>
      </c>
      <c r="C381" s="9">
        <f>Upload!AN371</f>
        <v>0</v>
      </c>
      <c r="D381" s="9">
        <f>Upload!AO371</f>
        <v>0</v>
      </c>
      <c r="E381" s="9">
        <f>Upload!AP371</f>
        <v>0</v>
      </c>
      <c r="F381" s="9" t="str">
        <f>Upload!AK371</f>
        <v/>
      </c>
      <c r="G381" s="9" t="str">
        <f>Upload!AM371</f>
        <v/>
      </c>
      <c r="H381" s="9" t="str">
        <f>Upload!AJ371</f>
        <v>(seleccione)</v>
      </c>
      <c r="I381" s="9" t="str">
        <f>Upload!AL371</f>
        <v>(seleccione)</v>
      </c>
      <c r="K381" s="15" t="str">
        <f t="shared" si="36"/>
        <v/>
      </c>
      <c r="L381" s="15" t="str">
        <f t="shared" si="37"/>
        <v/>
      </c>
      <c r="M381" s="15" t="str">
        <f t="shared" si="38"/>
        <v/>
      </c>
      <c r="N381" s="15" t="str">
        <f t="shared" si="39"/>
        <v/>
      </c>
      <c r="O381" s="15" t="str">
        <f t="shared" si="40"/>
        <v/>
      </c>
      <c r="P381" s="15" t="str">
        <f>IF(OR(C381="",NOT(OR(ISNUMBER(SEARCH("Antitarnish",Upload!R371&amp;Upload!S371&amp;Upload!T371&amp;Upload!U371&amp;Upload!V371)),ISNUMBER(SEARCH("Anti Tarnish",Upload!R371&amp;Upload!S371&amp;Upload!T371&amp;Upload!U371&amp;Upload!V371))))),"",0.0012*C381)</f>
        <v/>
      </c>
      <c r="Q381" s="15" t="str">
        <f>IF(OR(E381="",NOT(OR(ISNUMBER(SEARCH("Epóxico MT",Upload!R371&amp;Upload!S371&amp;Upload!T371&amp;Upload!U371&amp;Upload!V371))))),"",E381*0.000035)</f>
        <v/>
      </c>
      <c r="R381" s="15" t="str">
        <f>IF(OR(F381="",NOT(OR(ISNUMBER(SEARCH("Epóxico BT",Upload!S371&amp;Upload!T371&amp;Upload!U371&amp;Upload!V371&amp;Upload!W371))))),"",F381*0.000035)</f>
        <v/>
      </c>
      <c r="S381" s="15" t="str">
        <f>IF(OR(G381="",NOT(OR(ISNUMBER(SEARCH("Epóxico Rojo",Upload!T371&amp;Upload!U371&amp;Upload!V371&amp;Upload!W371&amp;Upload!X371))))),"",G381*0.000035)</f>
        <v/>
      </c>
    </row>
    <row r="382" spans="1:19" x14ac:dyDescent="0.2">
      <c r="A382" s="9" t="e">
        <f t="shared" ca="1" si="35"/>
        <v>#NAME?</v>
      </c>
      <c r="B382" s="9">
        <f>Upload!G372</f>
        <v>0</v>
      </c>
      <c r="C382" s="9">
        <f>Upload!AN372</f>
        <v>0</v>
      </c>
      <c r="D382" s="9">
        <f>Upload!AO372</f>
        <v>0</v>
      </c>
      <c r="E382" s="9">
        <f>Upload!AP372</f>
        <v>0</v>
      </c>
      <c r="F382" s="9" t="str">
        <f>Upload!AK372</f>
        <v/>
      </c>
      <c r="G382" s="9" t="str">
        <f>Upload!AM372</f>
        <v/>
      </c>
      <c r="H382" s="9" t="str">
        <f>Upload!AJ372</f>
        <v>(seleccione)</v>
      </c>
      <c r="I382" s="9" t="str">
        <f>Upload!AL372</f>
        <v>(seleccione)</v>
      </c>
      <c r="K382" s="15" t="str">
        <f t="shared" si="36"/>
        <v/>
      </c>
      <c r="L382" s="15" t="str">
        <f t="shared" si="37"/>
        <v/>
      </c>
      <c r="M382" s="15" t="str">
        <f t="shared" si="38"/>
        <v/>
      </c>
      <c r="N382" s="15" t="str">
        <f t="shared" si="39"/>
        <v/>
      </c>
      <c r="O382" s="15" t="str">
        <f t="shared" si="40"/>
        <v/>
      </c>
      <c r="P382" s="15" t="str">
        <f>IF(OR(C382="",NOT(OR(ISNUMBER(SEARCH("Antitarnish",Upload!R372&amp;Upload!S372&amp;Upload!T372&amp;Upload!U372&amp;Upload!V372)),ISNUMBER(SEARCH("Anti Tarnish",Upload!R372&amp;Upload!S372&amp;Upload!T372&amp;Upload!U372&amp;Upload!V372))))),"",0.0012*C382)</f>
        <v/>
      </c>
      <c r="Q382" s="15" t="str">
        <f>IF(OR(E382="",NOT(OR(ISNUMBER(SEARCH("Epóxico MT",Upload!R372&amp;Upload!S372&amp;Upload!T372&amp;Upload!U372&amp;Upload!V372))))),"",E382*0.000035)</f>
        <v/>
      </c>
      <c r="R382" s="15" t="str">
        <f>IF(OR(F382="",NOT(OR(ISNUMBER(SEARCH("Epóxico BT",Upload!S372&amp;Upload!T372&amp;Upload!U372&amp;Upload!V372&amp;Upload!W372))))),"",F382*0.000035)</f>
        <v/>
      </c>
      <c r="S382" s="15" t="str">
        <f>IF(OR(G382="",NOT(OR(ISNUMBER(SEARCH("Epóxico Rojo",Upload!T372&amp;Upload!U372&amp;Upload!V372&amp;Upload!W372&amp;Upload!X372))))),"",G382*0.000035)</f>
        <v/>
      </c>
    </row>
    <row r="383" spans="1:19" x14ac:dyDescent="0.2">
      <c r="A383" s="9" t="e">
        <f t="shared" ca="1" si="35"/>
        <v>#NAME?</v>
      </c>
      <c r="B383" s="9">
        <f>Upload!G373</f>
        <v>0</v>
      </c>
      <c r="C383" s="9">
        <f>Upload!AN373</f>
        <v>0</v>
      </c>
      <c r="D383" s="9">
        <f>Upload!AO373</f>
        <v>0</v>
      </c>
      <c r="E383" s="9">
        <f>Upload!AP373</f>
        <v>0</v>
      </c>
      <c r="F383" s="9" t="str">
        <f>Upload!AK373</f>
        <v/>
      </c>
      <c r="G383" s="9" t="str">
        <f>Upload!AM373</f>
        <v/>
      </c>
      <c r="H383" s="9" t="str">
        <f>Upload!AJ373</f>
        <v>(seleccione)</v>
      </c>
      <c r="I383" s="9" t="str">
        <f>Upload!AL373</f>
        <v>(seleccione)</v>
      </c>
      <c r="K383" s="15" t="str">
        <f t="shared" si="36"/>
        <v/>
      </c>
      <c r="L383" s="15" t="str">
        <f t="shared" si="37"/>
        <v/>
      </c>
      <c r="M383" s="15" t="str">
        <f t="shared" si="38"/>
        <v/>
      </c>
      <c r="N383" s="15" t="str">
        <f t="shared" si="39"/>
        <v/>
      </c>
      <c r="O383" s="15" t="str">
        <f t="shared" si="40"/>
        <v/>
      </c>
      <c r="P383" s="15" t="str">
        <f>IF(OR(C383="",NOT(OR(ISNUMBER(SEARCH("Antitarnish",Upload!R373&amp;Upload!S373&amp;Upload!T373&amp;Upload!U373&amp;Upload!V373)),ISNUMBER(SEARCH("Anti Tarnish",Upload!R373&amp;Upload!S373&amp;Upload!T373&amp;Upload!U373&amp;Upload!V373))))),"",0.0012*C383)</f>
        <v/>
      </c>
      <c r="Q383" s="15" t="str">
        <f>IF(OR(E383="",NOT(OR(ISNUMBER(SEARCH("Epóxico MT",Upload!R373&amp;Upload!S373&amp;Upload!T373&amp;Upload!U373&amp;Upload!V373))))),"",E383*0.000035)</f>
        <v/>
      </c>
      <c r="R383" s="15" t="str">
        <f>IF(OR(F383="",NOT(OR(ISNUMBER(SEARCH("Epóxico BT",Upload!S373&amp;Upload!T373&amp;Upload!U373&amp;Upload!V373&amp;Upload!W373))))),"",F383*0.000035)</f>
        <v/>
      </c>
      <c r="S383" s="15" t="str">
        <f>IF(OR(G383="",NOT(OR(ISNUMBER(SEARCH("Epóxico Rojo",Upload!T373&amp;Upload!U373&amp;Upload!V373&amp;Upload!W373&amp;Upload!X373))))),"",G383*0.000035)</f>
        <v/>
      </c>
    </row>
    <row r="384" spans="1:19" x14ac:dyDescent="0.2">
      <c r="A384" s="9" t="e">
        <f t="shared" ca="1" si="35"/>
        <v>#NAME?</v>
      </c>
      <c r="B384" s="9">
        <f>Upload!G374</f>
        <v>0</v>
      </c>
      <c r="C384" s="9">
        <f>Upload!AN374</f>
        <v>0</v>
      </c>
      <c r="D384" s="9">
        <f>Upload!AO374</f>
        <v>0</v>
      </c>
      <c r="E384" s="9">
        <f>Upload!AP374</f>
        <v>0</v>
      </c>
      <c r="F384" s="9" t="str">
        <f>Upload!AK374</f>
        <v/>
      </c>
      <c r="G384" s="9" t="str">
        <f>Upload!AM374</f>
        <v/>
      </c>
      <c r="H384" s="9" t="str">
        <f>Upload!AJ374</f>
        <v>(seleccione)</v>
      </c>
      <c r="I384" s="9" t="str">
        <f>Upload!AL374</f>
        <v>(seleccione)</v>
      </c>
      <c r="K384" s="15" t="str">
        <f t="shared" si="36"/>
        <v/>
      </c>
      <c r="L384" s="15" t="str">
        <f t="shared" si="37"/>
        <v/>
      </c>
      <c r="M384" s="15" t="str">
        <f t="shared" si="38"/>
        <v/>
      </c>
      <c r="N384" s="15" t="str">
        <f t="shared" si="39"/>
        <v/>
      </c>
      <c r="O384" s="15" t="str">
        <f t="shared" si="40"/>
        <v/>
      </c>
      <c r="P384" s="15" t="str">
        <f>IF(OR(C384="",NOT(OR(ISNUMBER(SEARCH("Antitarnish",Upload!R374&amp;Upload!S374&amp;Upload!T374&amp;Upload!U374&amp;Upload!V374)),ISNUMBER(SEARCH("Anti Tarnish",Upload!R374&amp;Upload!S374&amp;Upload!T374&amp;Upload!U374&amp;Upload!V374))))),"",0.0012*C384)</f>
        <v/>
      </c>
      <c r="Q384" s="15" t="str">
        <f>IF(OR(E384="",NOT(OR(ISNUMBER(SEARCH("Epóxico MT",Upload!R374&amp;Upload!S374&amp;Upload!T374&amp;Upload!U374&amp;Upload!V374))))),"",E384*0.000035)</f>
        <v/>
      </c>
      <c r="R384" s="15" t="str">
        <f>IF(OR(F384="",NOT(OR(ISNUMBER(SEARCH("Epóxico BT",Upload!S374&amp;Upload!T374&amp;Upload!U374&amp;Upload!V374&amp;Upload!W374))))),"",F384*0.000035)</f>
        <v/>
      </c>
      <c r="S384" s="15" t="str">
        <f>IF(OR(G384="",NOT(OR(ISNUMBER(SEARCH("Epóxico Rojo",Upload!T374&amp;Upload!U374&amp;Upload!V374&amp;Upload!W374&amp;Upload!X374))))),"",G384*0.000035)</f>
        <v/>
      </c>
    </row>
    <row r="385" spans="1:19" x14ac:dyDescent="0.2">
      <c r="A385" s="9" t="e">
        <f t="shared" ca="1" si="35"/>
        <v>#NAME?</v>
      </c>
      <c r="B385" s="9">
        <f>Upload!G375</f>
        <v>0</v>
      </c>
      <c r="C385" s="9">
        <f>Upload!AN375</f>
        <v>0</v>
      </c>
      <c r="D385" s="9">
        <f>Upload!AO375</f>
        <v>0</v>
      </c>
      <c r="E385" s="9">
        <f>Upload!AP375</f>
        <v>0</v>
      </c>
      <c r="F385" s="9" t="str">
        <f>Upload!AK375</f>
        <v/>
      </c>
      <c r="G385" s="9" t="str">
        <f>Upload!AM375</f>
        <v/>
      </c>
      <c r="H385" s="9" t="str">
        <f>Upload!AJ375</f>
        <v>(seleccione)</v>
      </c>
      <c r="I385" s="9" t="str">
        <f>Upload!AL375</f>
        <v>(seleccione)</v>
      </c>
      <c r="K385" s="15" t="str">
        <f t="shared" si="36"/>
        <v/>
      </c>
      <c r="L385" s="15" t="str">
        <f t="shared" si="37"/>
        <v/>
      </c>
      <c r="M385" s="15" t="str">
        <f t="shared" si="38"/>
        <v/>
      </c>
      <c r="N385" s="15" t="str">
        <f t="shared" si="39"/>
        <v/>
      </c>
      <c r="O385" s="15" t="str">
        <f t="shared" si="40"/>
        <v/>
      </c>
      <c r="P385" s="15" t="str">
        <f>IF(OR(C385="",NOT(OR(ISNUMBER(SEARCH("Antitarnish",Upload!R375&amp;Upload!S375&amp;Upload!T375&amp;Upload!U375&amp;Upload!V375)),ISNUMBER(SEARCH("Anti Tarnish",Upload!R375&amp;Upload!S375&amp;Upload!T375&amp;Upload!U375&amp;Upload!V375))))),"",0.0012*C385)</f>
        <v/>
      </c>
      <c r="Q385" s="15" t="str">
        <f>IF(OR(E385="",NOT(OR(ISNUMBER(SEARCH("Epóxico MT",Upload!R375&amp;Upload!S375&amp;Upload!T375&amp;Upload!U375&amp;Upload!V375))))),"",E385*0.000035)</f>
        <v/>
      </c>
      <c r="R385" s="15" t="str">
        <f>IF(OR(F385="",NOT(OR(ISNUMBER(SEARCH("Epóxico BT",Upload!S375&amp;Upload!T375&amp;Upload!U375&amp;Upload!V375&amp;Upload!W375))))),"",F385*0.000035)</f>
        <v/>
      </c>
      <c r="S385" s="15" t="str">
        <f>IF(OR(G385="",NOT(OR(ISNUMBER(SEARCH("Epóxico Rojo",Upload!T375&amp;Upload!U375&amp;Upload!V375&amp;Upload!W375&amp;Upload!X375))))),"",G385*0.000035)</f>
        <v/>
      </c>
    </row>
    <row r="386" spans="1:19" x14ac:dyDescent="0.2">
      <c r="A386" s="9" t="e">
        <f t="shared" ca="1" si="35"/>
        <v>#NAME?</v>
      </c>
      <c r="B386" s="9">
        <f>Upload!G376</f>
        <v>0</v>
      </c>
      <c r="C386" s="9">
        <f>Upload!AN376</f>
        <v>0</v>
      </c>
      <c r="D386" s="9">
        <f>Upload!AO376</f>
        <v>0</v>
      </c>
      <c r="E386" s="9">
        <f>Upload!AP376</f>
        <v>0</v>
      </c>
      <c r="F386" s="9" t="str">
        <f>Upload!AK376</f>
        <v/>
      </c>
      <c r="G386" s="9" t="str">
        <f>Upload!AM376</f>
        <v/>
      </c>
      <c r="H386" s="9" t="str">
        <f>Upload!AJ376</f>
        <v>(seleccione)</v>
      </c>
      <c r="I386" s="9" t="str">
        <f>Upload!AL376</f>
        <v>(seleccione)</v>
      </c>
      <c r="K386" s="15" t="str">
        <f t="shared" si="36"/>
        <v/>
      </c>
      <c r="L386" s="15" t="str">
        <f t="shared" si="37"/>
        <v/>
      </c>
      <c r="M386" s="15" t="str">
        <f t="shared" si="38"/>
        <v/>
      </c>
      <c r="N386" s="15" t="str">
        <f t="shared" si="39"/>
        <v/>
      </c>
      <c r="O386" s="15" t="str">
        <f t="shared" si="40"/>
        <v/>
      </c>
      <c r="P386" s="15" t="str">
        <f>IF(OR(C386="",NOT(OR(ISNUMBER(SEARCH("Antitarnish",Upload!R376&amp;Upload!S376&amp;Upload!T376&amp;Upload!U376&amp;Upload!V376)),ISNUMBER(SEARCH("Anti Tarnish",Upload!R376&amp;Upload!S376&amp;Upload!T376&amp;Upload!U376&amp;Upload!V376))))),"",0.0012*C386)</f>
        <v/>
      </c>
      <c r="Q386" s="15" t="str">
        <f>IF(OR(E386="",NOT(OR(ISNUMBER(SEARCH("Epóxico MT",Upload!R376&amp;Upload!S376&amp;Upload!T376&amp;Upload!U376&amp;Upload!V376))))),"",E386*0.000035)</f>
        <v/>
      </c>
      <c r="R386" s="15" t="str">
        <f>IF(OR(F386="",NOT(OR(ISNUMBER(SEARCH("Epóxico BT",Upload!S376&amp;Upload!T376&amp;Upload!U376&amp;Upload!V376&amp;Upload!W376))))),"",F386*0.000035)</f>
        <v/>
      </c>
      <c r="S386" s="15" t="str">
        <f>IF(OR(G386="",NOT(OR(ISNUMBER(SEARCH("Epóxico Rojo",Upload!T376&amp;Upload!U376&amp;Upload!V376&amp;Upload!W376&amp;Upload!X376))))),"",G386*0.000035)</f>
        <v/>
      </c>
    </row>
    <row r="387" spans="1:19" x14ac:dyDescent="0.2">
      <c r="A387" s="9" t="e">
        <f t="shared" ca="1" si="35"/>
        <v>#NAME?</v>
      </c>
      <c r="B387" s="9">
        <f>Upload!G377</f>
        <v>0</v>
      </c>
      <c r="C387" s="9">
        <f>Upload!AN377</f>
        <v>0</v>
      </c>
      <c r="D387" s="9">
        <f>Upload!AO377</f>
        <v>0</v>
      </c>
      <c r="E387" s="9">
        <f>Upload!AP377</f>
        <v>0</v>
      </c>
      <c r="F387" s="9" t="str">
        <f>Upload!AK377</f>
        <v/>
      </c>
      <c r="G387" s="9" t="str">
        <f>Upload!AM377</f>
        <v/>
      </c>
      <c r="H387" s="9" t="str">
        <f>Upload!AJ377</f>
        <v>(seleccione)</v>
      </c>
      <c r="I387" s="9" t="str">
        <f>Upload!AL377</f>
        <v>(seleccione)</v>
      </c>
      <c r="K387" s="15" t="str">
        <f t="shared" si="36"/>
        <v/>
      </c>
      <c r="L387" s="15" t="str">
        <f t="shared" si="37"/>
        <v/>
      </c>
      <c r="M387" s="15" t="str">
        <f t="shared" si="38"/>
        <v/>
      </c>
      <c r="N387" s="15" t="str">
        <f t="shared" si="39"/>
        <v/>
      </c>
      <c r="O387" s="15" t="str">
        <f t="shared" si="40"/>
        <v/>
      </c>
      <c r="P387" s="15" t="str">
        <f>IF(OR(C387="",NOT(OR(ISNUMBER(SEARCH("Antitarnish",Upload!R377&amp;Upload!S377&amp;Upload!T377&amp;Upload!U377&amp;Upload!V377)),ISNUMBER(SEARCH("Anti Tarnish",Upload!R377&amp;Upload!S377&amp;Upload!T377&amp;Upload!U377&amp;Upload!V377))))),"",0.0012*C387)</f>
        <v/>
      </c>
      <c r="Q387" s="15" t="str">
        <f>IF(OR(E387="",NOT(OR(ISNUMBER(SEARCH("Epóxico MT",Upload!R377&amp;Upload!S377&amp;Upload!T377&amp;Upload!U377&amp;Upload!V377))))),"",E387*0.000035)</f>
        <v/>
      </c>
      <c r="R387" s="15" t="str">
        <f>IF(OR(F387="",NOT(OR(ISNUMBER(SEARCH("Epóxico BT",Upload!S377&amp;Upload!T377&amp;Upload!U377&amp;Upload!V377&amp;Upload!W377))))),"",F387*0.000035)</f>
        <v/>
      </c>
      <c r="S387" s="15" t="str">
        <f>IF(OR(G387="",NOT(OR(ISNUMBER(SEARCH("Epóxico Rojo",Upload!T377&amp;Upload!U377&amp;Upload!V377&amp;Upload!W377&amp;Upload!X377))))),"",G387*0.000035)</f>
        <v/>
      </c>
    </row>
    <row r="388" spans="1:19" x14ac:dyDescent="0.2">
      <c r="A388" s="9" t="e">
        <f t="shared" ca="1" si="35"/>
        <v>#NAME?</v>
      </c>
      <c r="B388" s="9">
        <f>Upload!G378</f>
        <v>0</v>
      </c>
      <c r="C388" s="9">
        <f>Upload!AN378</f>
        <v>0</v>
      </c>
      <c r="D388" s="9">
        <f>Upload!AO378</f>
        <v>0</v>
      </c>
      <c r="E388" s="9">
        <f>Upload!AP378</f>
        <v>0</v>
      </c>
      <c r="F388" s="9" t="str">
        <f>Upload!AK378</f>
        <v/>
      </c>
      <c r="G388" s="9" t="str">
        <f>Upload!AM378</f>
        <v/>
      </c>
      <c r="H388" s="9" t="str">
        <f>Upload!AJ378</f>
        <v>(seleccione)</v>
      </c>
      <c r="I388" s="9" t="str">
        <f>Upload!AL378</f>
        <v>(seleccione)</v>
      </c>
      <c r="K388" s="15" t="str">
        <f t="shared" si="36"/>
        <v/>
      </c>
      <c r="L388" s="15" t="str">
        <f t="shared" si="37"/>
        <v/>
      </c>
      <c r="M388" s="15" t="str">
        <f t="shared" si="38"/>
        <v/>
      </c>
      <c r="N388" s="15" t="str">
        <f t="shared" si="39"/>
        <v/>
      </c>
      <c r="O388" s="15" t="str">
        <f t="shared" si="40"/>
        <v/>
      </c>
      <c r="P388" s="15" t="str">
        <f>IF(OR(C388="",NOT(OR(ISNUMBER(SEARCH("Antitarnish",Upload!R378&amp;Upload!S378&amp;Upload!T378&amp;Upload!U378&amp;Upload!V378)),ISNUMBER(SEARCH("Anti Tarnish",Upload!R378&amp;Upload!S378&amp;Upload!T378&amp;Upload!U378&amp;Upload!V378))))),"",0.0012*C388)</f>
        <v/>
      </c>
      <c r="Q388" s="15" t="str">
        <f>IF(OR(E388="",NOT(OR(ISNUMBER(SEARCH("Epóxico MT",Upload!R378&amp;Upload!S378&amp;Upload!T378&amp;Upload!U378&amp;Upload!V378))))),"",E388*0.000035)</f>
        <v/>
      </c>
      <c r="R388" s="15" t="str">
        <f>IF(OR(F388="",NOT(OR(ISNUMBER(SEARCH("Epóxico BT",Upload!S378&amp;Upload!T378&amp;Upload!U378&amp;Upload!V378&amp;Upload!W378))))),"",F388*0.000035)</f>
        <v/>
      </c>
      <c r="S388" s="15" t="str">
        <f>IF(OR(G388="",NOT(OR(ISNUMBER(SEARCH("Epóxico Rojo",Upload!T378&amp;Upload!U378&amp;Upload!V378&amp;Upload!W378&amp;Upload!X378))))),"",G388*0.000035)</f>
        <v/>
      </c>
    </row>
    <row r="389" spans="1:19" x14ac:dyDescent="0.2">
      <c r="A389" s="9" t="e">
        <f t="shared" ca="1" si="35"/>
        <v>#NAME?</v>
      </c>
      <c r="B389" s="9">
        <f>Upload!G379</f>
        <v>0</v>
      </c>
      <c r="C389" s="9">
        <f>Upload!AN379</f>
        <v>0</v>
      </c>
      <c r="D389" s="9">
        <f>Upload!AO379</f>
        <v>0</v>
      </c>
      <c r="E389" s="9">
        <f>Upload!AP379</f>
        <v>0</v>
      </c>
      <c r="F389" s="9" t="str">
        <f>Upload!AK379</f>
        <v/>
      </c>
      <c r="G389" s="9" t="str">
        <f>Upload!AM379</f>
        <v/>
      </c>
      <c r="H389" s="9" t="str">
        <f>Upload!AJ379</f>
        <v>(seleccione)</v>
      </c>
      <c r="I389" s="9" t="str">
        <f>Upload!AL379</f>
        <v>(seleccione)</v>
      </c>
      <c r="K389" s="15" t="str">
        <f t="shared" si="36"/>
        <v/>
      </c>
      <c r="L389" s="15" t="str">
        <f t="shared" si="37"/>
        <v/>
      </c>
      <c r="M389" s="15" t="str">
        <f t="shared" si="38"/>
        <v/>
      </c>
      <c r="N389" s="15" t="str">
        <f t="shared" si="39"/>
        <v/>
      </c>
      <c r="O389" s="15" t="str">
        <f t="shared" si="40"/>
        <v/>
      </c>
      <c r="P389" s="15" t="str">
        <f>IF(OR(C389="",NOT(OR(ISNUMBER(SEARCH("Antitarnish",Upload!R379&amp;Upload!S379&amp;Upload!T379&amp;Upload!U379&amp;Upload!V379)),ISNUMBER(SEARCH("Anti Tarnish",Upload!R379&amp;Upload!S379&amp;Upload!T379&amp;Upload!U379&amp;Upload!V379))))),"",0.0012*C389)</f>
        <v/>
      </c>
      <c r="Q389" s="15" t="str">
        <f>IF(OR(E389="",NOT(OR(ISNUMBER(SEARCH("Epóxico MT",Upload!R379&amp;Upload!S379&amp;Upload!T379&amp;Upload!U379&amp;Upload!V379))))),"",E389*0.000035)</f>
        <v/>
      </c>
      <c r="R389" s="15" t="str">
        <f>IF(OR(F389="",NOT(OR(ISNUMBER(SEARCH("Epóxico BT",Upload!S379&amp;Upload!T379&amp;Upload!U379&amp;Upload!V379&amp;Upload!W379))))),"",F389*0.000035)</f>
        <v/>
      </c>
      <c r="S389" s="15" t="str">
        <f>IF(OR(G389="",NOT(OR(ISNUMBER(SEARCH("Epóxico Rojo",Upload!T379&amp;Upload!U379&amp;Upload!V379&amp;Upload!W379&amp;Upload!X379))))),"",G389*0.000035)</f>
        <v/>
      </c>
    </row>
    <row r="390" spans="1:19" x14ac:dyDescent="0.2">
      <c r="A390" s="9" t="e">
        <f t="shared" ca="1" si="35"/>
        <v>#NAME?</v>
      </c>
      <c r="B390" s="9">
        <f>Upload!G380</f>
        <v>0</v>
      </c>
      <c r="C390" s="9">
        <f>Upload!AN380</f>
        <v>0</v>
      </c>
      <c r="D390" s="9">
        <f>Upload!AO380</f>
        <v>0</v>
      </c>
      <c r="E390" s="9">
        <f>Upload!AP380</f>
        <v>0</v>
      </c>
      <c r="F390" s="9" t="str">
        <f>Upload!AK380</f>
        <v/>
      </c>
      <c r="G390" s="9" t="str">
        <f>Upload!AM380</f>
        <v/>
      </c>
      <c r="H390" s="9" t="str">
        <f>Upload!AJ380</f>
        <v>(seleccione)</v>
      </c>
      <c r="I390" s="9" t="str">
        <f>Upload!AL380</f>
        <v>(seleccione)</v>
      </c>
      <c r="K390" s="15" t="str">
        <f t="shared" si="36"/>
        <v/>
      </c>
      <c r="L390" s="15" t="str">
        <f t="shared" si="37"/>
        <v/>
      </c>
      <c r="M390" s="15" t="str">
        <f t="shared" si="38"/>
        <v/>
      </c>
      <c r="N390" s="15" t="str">
        <f t="shared" si="39"/>
        <v/>
      </c>
      <c r="O390" s="15" t="str">
        <f t="shared" si="40"/>
        <v/>
      </c>
      <c r="P390" s="15" t="str">
        <f>IF(OR(C390="",NOT(OR(ISNUMBER(SEARCH("Antitarnish",Upload!R380&amp;Upload!S380&amp;Upload!T380&amp;Upload!U380&amp;Upload!V380)),ISNUMBER(SEARCH("Anti Tarnish",Upload!R380&amp;Upload!S380&amp;Upload!T380&amp;Upload!U380&amp;Upload!V380))))),"",0.0012*C390)</f>
        <v/>
      </c>
      <c r="Q390" s="15" t="str">
        <f>IF(OR(E390="",NOT(OR(ISNUMBER(SEARCH("Epóxico MT",Upload!R380&amp;Upload!S380&amp;Upload!T380&amp;Upload!U380&amp;Upload!V380))))),"",E390*0.000035)</f>
        <v/>
      </c>
      <c r="R390" s="15" t="str">
        <f>IF(OR(F390="",NOT(OR(ISNUMBER(SEARCH("Epóxico BT",Upload!S380&amp;Upload!T380&amp;Upload!U380&amp;Upload!V380&amp;Upload!W380))))),"",F390*0.000035)</f>
        <v/>
      </c>
      <c r="S390" s="15" t="str">
        <f>IF(OR(G390="",NOT(OR(ISNUMBER(SEARCH("Epóxico Rojo",Upload!T380&amp;Upload!U380&amp;Upload!V380&amp;Upload!W380&amp;Upload!X380))))),"",G390*0.000035)</f>
        <v/>
      </c>
    </row>
    <row r="391" spans="1:19" x14ac:dyDescent="0.2">
      <c r="A391" s="9" t="e">
        <f t="shared" ca="1" si="35"/>
        <v>#NAME?</v>
      </c>
      <c r="B391" s="9">
        <f>Upload!G381</f>
        <v>0</v>
      </c>
      <c r="C391" s="9">
        <f>Upload!AN381</f>
        <v>0</v>
      </c>
      <c r="D391" s="9">
        <f>Upload!AO381</f>
        <v>0</v>
      </c>
      <c r="E391" s="9">
        <f>Upload!AP381</f>
        <v>0</v>
      </c>
      <c r="F391" s="9" t="str">
        <f>Upload!AK381</f>
        <v/>
      </c>
      <c r="G391" s="9" t="str">
        <f>Upload!AM381</f>
        <v/>
      </c>
      <c r="H391" s="9" t="str">
        <f>Upload!AJ381</f>
        <v>(seleccione)</v>
      </c>
      <c r="I391" s="9" t="str">
        <f>Upload!AL381</f>
        <v>(seleccione)</v>
      </c>
      <c r="K391" s="15" t="str">
        <f t="shared" si="36"/>
        <v/>
      </c>
      <c r="L391" s="15" t="str">
        <f t="shared" si="37"/>
        <v/>
      </c>
      <c r="M391" s="15" t="str">
        <f t="shared" si="38"/>
        <v/>
      </c>
      <c r="N391" s="15" t="str">
        <f t="shared" si="39"/>
        <v/>
      </c>
      <c r="O391" s="15" t="str">
        <f t="shared" si="40"/>
        <v/>
      </c>
      <c r="P391" s="15" t="str">
        <f>IF(OR(C391="",NOT(OR(ISNUMBER(SEARCH("Antitarnish",Upload!R381&amp;Upload!S381&amp;Upload!T381&amp;Upload!U381&amp;Upload!V381)),ISNUMBER(SEARCH("Anti Tarnish",Upload!R381&amp;Upload!S381&amp;Upload!T381&amp;Upload!U381&amp;Upload!V381))))),"",0.0012*C391)</f>
        <v/>
      </c>
      <c r="Q391" s="15" t="str">
        <f>IF(OR(E391="",NOT(OR(ISNUMBER(SEARCH("Epóxico MT",Upload!R381&amp;Upload!S381&amp;Upload!T381&amp;Upload!U381&amp;Upload!V381))))),"",E391*0.000035)</f>
        <v/>
      </c>
      <c r="R391" s="15" t="str">
        <f>IF(OR(F391="",NOT(OR(ISNUMBER(SEARCH("Epóxico BT",Upload!S381&amp;Upload!T381&amp;Upload!U381&amp;Upload!V381&amp;Upload!W381))))),"",F391*0.000035)</f>
        <v/>
      </c>
      <c r="S391" s="15" t="str">
        <f>IF(OR(G391="",NOT(OR(ISNUMBER(SEARCH("Epóxico Rojo",Upload!T381&amp;Upload!U381&amp;Upload!V381&amp;Upload!W381&amp;Upload!X381))))),"",G391*0.000035)</f>
        <v/>
      </c>
    </row>
    <row r="392" spans="1:19" x14ac:dyDescent="0.2">
      <c r="A392" s="9" t="e">
        <f t="shared" ca="1" si="35"/>
        <v>#NAME?</v>
      </c>
      <c r="B392" s="9">
        <f>Upload!G382</f>
        <v>0</v>
      </c>
      <c r="C392" s="9">
        <f>Upload!AN382</f>
        <v>0</v>
      </c>
      <c r="D392" s="9">
        <f>Upload!AO382</f>
        <v>0</v>
      </c>
      <c r="E392" s="9">
        <f>Upload!AP382</f>
        <v>0</v>
      </c>
      <c r="F392" s="9" t="str">
        <f>Upload!AK382</f>
        <v/>
      </c>
      <c r="G392" s="9" t="str">
        <f>Upload!AM382</f>
        <v/>
      </c>
      <c r="H392" s="9" t="str">
        <f>Upload!AJ382</f>
        <v>(seleccione)</v>
      </c>
      <c r="I392" s="9" t="str">
        <f>Upload!AL382</f>
        <v>(seleccione)</v>
      </c>
      <c r="K392" s="15" t="str">
        <f t="shared" si="36"/>
        <v/>
      </c>
      <c r="L392" s="15" t="str">
        <f t="shared" si="37"/>
        <v/>
      </c>
      <c r="M392" s="15" t="str">
        <f t="shared" si="38"/>
        <v/>
      </c>
      <c r="N392" s="15" t="str">
        <f t="shared" si="39"/>
        <v/>
      </c>
      <c r="O392" s="15" t="str">
        <f t="shared" si="40"/>
        <v/>
      </c>
      <c r="P392" s="15" t="str">
        <f>IF(OR(C392="",NOT(OR(ISNUMBER(SEARCH("Antitarnish",Upload!R382&amp;Upload!S382&amp;Upload!T382&amp;Upload!U382&amp;Upload!V382)),ISNUMBER(SEARCH("Anti Tarnish",Upload!R382&amp;Upload!S382&amp;Upload!T382&amp;Upload!U382&amp;Upload!V382))))),"",0.0012*C392)</f>
        <v/>
      </c>
      <c r="Q392" s="15" t="str">
        <f>IF(OR(E392="",NOT(OR(ISNUMBER(SEARCH("Epóxico MT",Upload!R382&amp;Upload!S382&amp;Upload!T382&amp;Upload!U382&amp;Upload!V382))))),"",E392*0.000035)</f>
        <v/>
      </c>
      <c r="R392" s="15" t="str">
        <f>IF(OR(F392="",NOT(OR(ISNUMBER(SEARCH("Epóxico BT",Upload!S382&amp;Upload!T382&amp;Upload!U382&amp;Upload!V382&amp;Upload!W382))))),"",F392*0.000035)</f>
        <v/>
      </c>
      <c r="S392" s="15" t="str">
        <f>IF(OR(G392="",NOT(OR(ISNUMBER(SEARCH("Epóxico Rojo",Upload!T382&amp;Upload!U382&amp;Upload!V382&amp;Upload!W382&amp;Upload!X382))))),"",G392*0.000035)</f>
        <v/>
      </c>
    </row>
    <row r="393" spans="1:19" x14ac:dyDescent="0.2">
      <c r="A393" s="9" t="e">
        <f t="shared" ca="1" si="35"/>
        <v>#NAME?</v>
      </c>
      <c r="B393" s="9">
        <f>Upload!G383</f>
        <v>0</v>
      </c>
      <c r="C393" s="9">
        <f>Upload!AN383</f>
        <v>0</v>
      </c>
      <c r="D393" s="9">
        <f>Upload!AO383</f>
        <v>0</v>
      </c>
      <c r="E393" s="9">
        <f>Upload!AP383</f>
        <v>0</v>
      </c>
      <c r="F393" s="9" t="str">
        <f>Upload!AK383</f>
        <v/>
      </c>
      <c r="G393" s="9" t="str">
        <f>Upload!AM383</f>
        <v/>
      </c>
      <c r="H393" s="9" t="str">
        <f>Upload!AJ383</f>
        <v>(seleccione)</v>
      </c>
      <c r="I393" s="9" t="str">
        <f>Upload!AL383</f>
        <v>(seleccione)</v>
      </c>
      <c r="K393" s="15" t="str">
        <f t="shared" si="36"/>
        <v/>
      </c>
      <c r="L393" s="15" t="str">
        <f t="shared" si="37"/>
        <v/>
      </c>
      <c r="M393" s="15" t="str">
        <f t="shared" si="38"/>
        <v/>
      </c>
      <c r="N393" s="15" t="str">
        <f t="shared" si="39"/>
        <v/>
      </c>
      <c r="O393" s="15" t="str">
        <f t="shared" si="40"/>
        <v/>
      </c>
      <c r="P393" s="15" t="str">
        <f>IF(OR(C393="",NOT(OR(ISNUMBER(SEARCH("Antitarnish",Upload!R383&amp;Upload!S383&amp;Upload!T383&amp;Upload!U383&amp;Upload!V383)),ISNUMBER(SEARCH("Anti Tarnish",Upload!R383&amp;Upload!S383&amp;Upload!T383&amp;Upload!U383&amp;Upload!V383))))),"",0.0012*C393)</f>
        <v/>
      </c>
      <c r="Q393" s="15" t="str">
        <f>IF(OR(E393="",NOT(OR(ISNUMBER(SEARCH("Epóxico MT",Upload!R383&amp;Upload!S383&amp;Upload!T383&amp;Upload!U383&amp;Upload!V383))))),"",E393*0.000035)</f>
        <v/>
      </c>
      <c r="R393" s="15" t="str">
        <f>IF(OR(F393="",NOT(OR(ISNUMBER(SEARCH("Epóxico BT",Upload!S383&amp;Upload!T383&amp;Upload!U383&amp;Upload!V383&amp;Upload!W383))))),"",F393*0.000035)</f>
        <v/>
      </c>
      <c r="S393" s="15" t="str">
        <f>IF(OR(G393="",NOT(OR(ISNUMBER(SEARCH("Epóxico Rojo",Upload!T383&amp;Upload!U383&amp;Upload!V383&amp;Upload!W383&amp;Upload!X383))))),"",G393*0.000035)</f>
        <v/>
      </c>
    </row>
    <row r="394" spans="1:19" x14ac:dyDescent="0.2">
      <c r="A394" s="9" t="e">
        <f t="shared" ca="1" si="35"/>
        <v>#NAME?</v>
      </c>
      <c r="B394" s="9">
        <f>Upload!G384</f>
        <v>0</v>
      </c>
      <c r="C394" s="9">
        <f>Upload!AN384</f>
        <v>0</v>
      </c>
      <c r="D394" s="9">
        <f>Upload!AO384</f>
        <v>0</v>
      </c>
      <c r="E394" s="9">
        <f>Upload!AP384</f>
        <v>0</v>
      </c>
      <c r="F394" s="9" t="str">
        <f>Upload!AK384</f>
        <v/>
      </c>
      <c r="G394" s="9" t="str">
        <f>Upload!AM384</f>
        <v/>
      </c>
      <c r="H394" s="9" t="str">
        <f>Upload!AJ384</f>
        <v>(seleccione)</v>
      </c>
      <c r="I394" s="9" t="str">
        <f>Upload!AL384</f>
        <v>(seleccione)</v>
      </c>
      <c r="K394" s="15" t="str">
        <f t="shared" si="36"/>
        <v/>
      </c>
      <c r="L394" s="15" t="str">
        <f t="shared" si="37"/>
        <v/>
      </c>
      <c r="M394" s="15" t="str">
        <f t="shared" si="38"/>
        <v/>
      </c>
      <c r="N394" s="15" t="str">
        <f t="shared" si="39"/>
        <v/>
      </c>
      <c r="O394" s="15" t="str">
        <f t="shared" si="40"/>
        <v/>
      </c>
      <c r="P394" s="15" t="str">
        <f>IF(OR(C394="",NOT(OR(ISNUMBER(SEARCH("Antitarnish",Upload!R384&amp;Upload!S384&amp;Upload!T384&amp;Upload!U384&amp;Upload!V384)),ISNUMBER(SEARCH("Anti Tarnish",Upload!R384&amp;Upload!S384&amp;Upload!T384&amp;Upload!U384&amp;Upload!V384))))),"",0.0012*C394)</f>
        <v/>
      </c>
      <c r="Q394" s="15" t="str">
        <f>IF(OR(E394="",NOT(OR(ISNUMBER(SEARCH("Epóxico MT",Upload!R384&amp;Upload!S384&amp;Upload!T384&amp;Upload!U384&amp;Upload!V384))))),"",E394*0.000035)</f>
        <v/>
      </c>
      <c r="R394" s="15" t="str">
        <f>IF(OR(F394="",NOT(OR(ISNUMBER(SEARCH("Epóxico BT",Upload!S384&amp;Upload!T384&amp;Upload!U384&amp;Upload!V384&amp;Upload!W384))))),"",F394*0.000035)</f>
        <v/>
      </c>
      <c r="S394" s="15" t="str">
        <f>IF(OR(G394="",NOT(OR(ISNUMBER(SEARCH("Epóxico Rojo",Upload!T384&amp;Upload!U384&amp;Upload!V384&amp;Upload!W384&amp;Upload!X384))))),"",G394*0.000035)</f>
        <v/>
      </c>
    </row>
    <row r="395" spans="1:19" x14ac:dyDescent="0.2">
      <c r="A395" s="9" t="e">
        <f t="shared" ca="1" si="35"/>
        <v>#NAME?</v>
      </c>
      <c r="B395" s="9">
        <f>Upload!G385</f>
        <v>0</v>
      </c>
      <c r="C395" s="9">
        <f>Upload!AN385</f>
        <v>0</v>
      </c>
      <c r="D395" s="9">
        <f>Upload!AO385</f>
        <v>0</v>
      </c>
      <c r="E395" s="9">
        <f>Upload!AP385</f>
        <v>0</v>
      </c>
      <c r="F395" s="9" t="str">
        <f>Upload!AK385</f>
        <v/>
      </c>
      <c r="G395" s="9" t="str">
        <f>Upload!AM385</f>
        <v/>
      </c>
      <c r="H395" s="9" t="str">
        <f>Upload!AJ385</f>
        <v>(seleccione)</v>
      </c>
      <c r="I395" s="9" t="str">
        <f>Upload!AL385</f>
        <v>(seleccione)</v>
      </c>
      <c r="K395" s="15" t="str">
        <f t="shared" si="36"/>
        <v/>
      </c>
      <c r="L395" s="15" t="str">
        <f t="shared" si="37"/>
        <v/>
      </c>
      <c r="M395" s="15" t="str">
        <f t="shared" si="38"/>
        <v/>
      </c>
      <c r="N395" s="15" t="str">
        <f t="shared" si="39"/>
        <v/>
      </c>
      <c r="O395" s="15" t="str">
        <f t="shared" si="40"/>
        <v/>
      </c>
      <c r="P395" s="15" t="str">
        <f>IF(OR(C395="",NOT(OR(ISNUMBER(SEARCH("Antitarnish",Upload!R385&amp;Upload!S385&amp;Upload!T385&amp;Upload!U385&amp;Upload!V385)),ISNUMBER(SEARCH("Anti Tarnish",Upload!R385&amp;Upload!S385&amp;Upload!T385&amp;Upload!U385&amp;Upload!V385))))),"",0.0012*C395)</f>
        <v/>
      </c>
      <c r="Q395" s="15" t="str">
        <f>IF(OR(E395="",NOT(OR(ISNUMBER(SEARCH("Epóxico MT",Upload!R385&amp;Upload!S385&amp;Upload!T385&amp;Upload!U385&amp;Upload!V385))))),"",E395*0.000035)</f>
        <v/>
      </c>
      <c r="R395" s="15" t="str">
        <f>IF(OR(F395="",NOT(OR(ISNUMBER(SEARCH("Epóxico BT",Upload!S385&amp;Upload!T385&amp;Upload!U385&amp;Upload!V385&amp;Upload!W385))))),"",F395*0.000035)</f>
        <v/>
      </c>
      <c r="S395" s="15" t="str">
        <f>IF(OR(G395="",NOT(OR(ISNUMBER(SEARCH("Epóxico Rojo",Upload!T385&amp;Upload!U385&amp;Upload!V385&amp;Upload!W385&amp;Upload!X385))))),"",G395*0.000035)</f>
        <v/>
      </c>
    </row>
    <row r="396" spans="1:19" x14ac:dyDescent="0.2">
      <c r="A396" s="9" t="e">
        <f t="shared" ca="1" si="35"/>
        <v>#NAME?</v>
      </c>
      <c r="B396" s="9">
        <f>Upload!G386</f>
        <v>0</v>
      </c>
      <c r="C396" s="9">
        <f>Upload!AN386</f>
        <v>0</v>
      </c>
      <c r="D396" s="9">
        <f>Upload!AO386</f>
        <v>0</v>
      </c>
      <c r="E396" s="9">
        <f>Upload!AP386</f>
        <v>0</v>
      </c>
      <c r="F396" s="9" t="str">
        <f>Upload!AK386</f>
        <v/>
      </c>
      <c r="G396" s="9" t="str">
        <f>Upload!AM386</f>
        <v/>
      </c>
      <c r="H396" s="9" t="str">
        <f>Upload!AJ386</f>
        <v>(seleccione)</v>
      </c>
      <c r="I396" s="9" t="str">
        <f>Upload!AL386</f>
        <v>(seleccione)</v>
      </c>
      <c r="K396" s="15" t="str">
        <f t="shared" si="36"/>
        <v/>
      </c>
      <c r="L396" s="15" t="str">
        <f t="shared" si="37"/>
        <v/>
      </c>
      <c r="M396" s="15" t="str">
        <f t="shared" si="38"/>
        <v/>
      </c>
      <c r="N396" s="15" t="str">
        <f t="shared" si="39"/>
        <v/>
      </c>
      <c r="O396" s="15" t="str">
        <f t="shared" si="40"/>
        <v/>
      </c>
      <c r="P396" s="15" t="str">
        <f>IF(OR(C396="",NOT(OR(ISNUMBER(SEARCH("Antitarnish",Upload!R386&amp;Upload!S386&amp;Upload!T386&amp;Upload!U386&amp;Upload!V386)),ISNUMBER(SEARCH("Anti Tarnish",Upload!R386&amp;Upload!S386&amp;Upload!T386&amp;Upload!U386&amp;Upload!V386))))),"",0.0012*C396)</f>
        <v/>
      </c>
      <c r="Q396" s="15" t="str">
        <f>IF(OR(E396="",NOT(OR(ISNUMBER(SEARCH("Epóxico MT",Upload!R386&amp;Upload!S386&amp;Upload!T386&amp;Upload!U386&amp;Upload!V386))))),"",E396*0.000035)</f>
        <v/>
      </c>
      <c r="R396" s="15" t="str">
        <f>IF(OR(F396="",NOT(OR(ISNUMBER(SEARCH("Epóxico BT",Upload!S386&amp;Upload!T386&amp;Upload!U386&amp;Upload!V386&amp;Upload!W386))))),"",F396*0.000035)</f>
        <v/>
      </c>
      <c r="S396" s="15" t="str">
        <f>IF(OR(G396="",NOT(OR(ISNUMBER(SEARCH("Epóxico Rojo",Upload!T386&amp;Upload!U386&amp;Upload!V386&amp;Upload!W386&amp;Upload!X386))))),"",G396*0.000035)</f>
        <v/>
      </c>
    </row>
    <row r="397" spans="1:19" x14ac:dyDescent="0.2">
      <c r="A397" s="9" t="e">
        <f t="shared" ca="1" si="35"/>
        <v>#NAME?</v>
      </c>
      <c r="B397" s="9">
        <f>Upload!G387</f>
        <v>0</v>
      </c>
      <c r="C397" s="9">
        <f>Upload!AN387</f>
        <v>0</v>
      </c>
      <c r="D397" s="9">
        <f>Upload!AO387</f>
        <v>0</v>
      </c>
      <c r="E397" s="9">
        <f>Upload!AP387</f>
        <v>0</v>
      </c>
      <c r="F397" s="9" t="str">
        <f>Upload!AK387</f>
        <v/>
      </c>
      <c r="G397" s="9" t="str">
        <f>Upload!AM387</f>
        <v/>
      </c>
      <c r="H397" s="9" t="str">
        <f>Upload!AJ387</f>
        <v>(seleccione)</v>
      </c>
      <c r="I397" s="9" t="str">
        <f>Upload!AL387</f>
        <v>(seleccione)</v>
      </c>
      <c r="K397" s="15" t="str">
        <f t="shared" si="36"/>
        <v/>
      </c>
      <c r="L397" s="15" t="str">
        <f t="shared" si="37"/>
        <v/>
      </c>
      <c r="M397" s="15" t="str">
        <f t="shared" si="38"/>
        <v/>
      </c>
      <c r="N397" s="15" t="str">
        <f t="shared" si="39"/>
        <v/>
      </c>
      <c r="O397" s="15" t="str">
        <f t="shared" si="40"/>
        <v/>
      </c>
      <c r="P397" s="15" t="str">
        <f>IF(OR(C397="",NOT(OR(ISNUMBER(SEARCH("Antitarnish",Upload!R387&amp;Upload!S387&amp;Upload!T387&amp;Upload!U387&amp;Upload!V387)),ISNUMBER(SEARCH("Anti Tarnish",Upload!R387&amp;Upload!S387&amp;Upload!T387&amp;Upload!U387&amp;Upload!V387))))),"",0.0012*C397)</f>
        <v/>
      </c>
      <c r="Q397" s="15" t="str">
        <f>IF(OR(E397="",NOT(OR(ISNUMBER(SEARCH("Epóxico MT",Upload!R387&amp;Upload!S387&amp;Upload!T387&amp;Upload!U387&amp;Upload!V387))))),"",E397*0.000035)</f>
        <v/>
      </c>
      <c r="R397" s="15" t="str">
        <f>IF(OR(F397="",NOT(OR(ISNUMBER(SEARCH("Epóxico BT",Upload!S387&amp;Upload!T387&amp;Upload!U387&amp;Upload!V387&amp;Upload!W387))))),"",F397*0.000035)</f>
        <v/>
      </c>
      <c r="S397" s="15" t="str">
        <f>IF(OR(G397="",NOT(OR(ISNUMBER(SEARCH("Epóxico Rojo",Upload!T387&amp;Upload!U387&amp;Upload!V387&amp;Upload!W387&amp;Upload!X387))))),"",G397*0.000035)</f>
        <v/>
      </c>
    </row>
    <row r="398" spans="1:19" x14ac:dyDescent="0.2">
      <c r="A398" s="9" t="e">
        <f t="shared" ca="1" si="35"/>
        <v>#NAME?</v>
      </c>
      <c r="B398" s="9">
        <f>Upload!G388</f>
        <v>0</v>
      </c>
      <c r="C398" s="9">
        <f>Upload!AN388</f>
        <v>0</v>
      </c>
      <c r="D398" s="9">
        <f>Upload!AO388</f>
        <v>0</v>
      </c>
      <c r="E398" s="9">
        <f>Upload!AP388</f>
        <v>0</v>
      </c>
      <c r="F398" s="9" t="str">
        <f>Upload!AK388</f>
        <v/>
      </c>
      <c r="G398" s="9" t="str">
        <f>Upload!AM388</f>
        <v/>
      </c>
      <c r="H398" s="9" t="str">
        <f>Upload!AJ388</f>
        <v>(seleccione)</v>
      </c>
      <c r="I398" s="9" t="str">
        <f>Upload!AL388</f>
        <v>(seleccione)</v>
      </c>
      <c r="K398" s="15" t="str">
        <f t="shared" si="36"/>
        <v/>
      </c>
      <c r="L398" s="15" t="str">
        <f t="shared" si="37"/>
        <v/>
      </c>
      <c r="M398" s="15" t="str">
        <f t="shared" si="38"/>
        <v/>
      </c>
      <c r="N398" s="15" t="str">
        <f t="shared" si="39"/>
        <v/>
      </c>
      <c r="O398" s="15" t="str">
        <f t="shared" si="40"/>
        <v/>
      </c>
      <c r="P398" s="15" t="str">
        <f>IF(OR(C398="",NOT(OR(ISNUMBER(SEARCH("Antitarnish",Upload!R388&amp;Upload!S388&amp;Upload!T388&amp;Upload!U388&amp;Upload!V388)),ISNUMBER(SEARCH("Anti Tarnish",Upload!R388&amp;Upload!S388&amp;Upload!T388&amp;Upload!U388&amp;Upload!V388))))),"",0.0012*C398)</f>
        <v/>
      </c>
      <c r="Q398" s="15" t="str">
        <f>IF(OR(E398="",NOT(OR(ISNUMBER(SEARCH("Epóxico MT",Upload!R388&amp;Upload!S388&amp;Upload!T388&amp;Upload!U388&amp;Upload!V388))))),"",E398*0.000035)</f>
        <v/>
      </c>
      <c r="R398" s="15" t="str">
        <f>IF(OR(F398="",NOT(OR(ISNUMBER(SEARCH("Epóxico BT",Upload!S388&amp;Upload!T388&amp;Upload!U388&amp;Upload!V388&amp;Upload!W388))))),"",F398*0.000035)</f>
        <v/>
      </c>
      <c r="S398" s="15" t="str">
        <f>IF(OR(G398="",NOT(OR(ISNUMBER(SEARCH("Epóxico Rojo",Upload!T388&amp;Upload!U388&amp;Upload!V388&amp;Upload!W388&amp;Upload!X388))))),"",G398*0.000035)</f>
        <v/>
      </c>
    </row>
    <row r="399" spans="1:19" x14ac:dyDescent="0.2">
      <c r="A399" s="9" t="e">
        <f t="shared" ca="1" si="35"/>
        <v>#NAME?</v>
      </c>
      <c r="B399" s="9">
        <f>Upload!G389</f>
        <v>0</v>
      </c>
      <c r="C399" s="9">
        <f>Upload!AN389</f>
        <v>0</v>
      </c>
      <c r="D399" s="9">
        <f>Upload!AO389</f>
        <v>0</v>
      </c>
      <c r="E399" s="9">
        <f>Upload!AP389</f>
        <v>0</v>
      </c>
      <c r="F399" s="9" t="str">
        <f>Upload!AK389</f>
        <v/>
      </c>
      <c r="G399" s="9" t="str">
        <f>Upload!AM389</f>
        <v/>
      </c>
      <c r="H399" s="9" t="str">
        <f>Upload!AJ389</f>
        <v>(seleccione)</v>
      </c>
      <c r="I399" s="9" t="str">
        <f>Upload!AL389</f>
        <v>(seleccione)</v>
      </c>
      <c r="K399" s="15" t="str">
        <f t="shared" si="36"/>
        <v/>
      </c>
      <c r="L399" s="15" t="str">
        <f t="shared" si="37"/>
        <v/>
      </c>
      <c r="M399" s="15" t="str">
        <f t="shared" si="38"/>
        <v/>
      </c>
      <c r="N399" s="15" t="str">
        <f t="shared" si="39"/>
        <v/>
      </c>
      <c r="O399" s="15" t="str">
        <f t="shared" si="40"/>
        <v/>
      </c>
      <c r="P399" s="15" t="str">
        <f>IF(OR(C399="",NOT(OR(ISNUMBER(SEARCH("Antitarnish",Upload!R389&amp;Upload!S389&amp;Upload!T389&amp;Upload!U389&amp;Upload!V389)),ISNUMBER(SEARCH("Anti Tarnish",Upload!R389&amp;Upload!S389&amp;Upload!T389&amp;Upload!U389&amp;Upload!V389))))),"",0.0012*C399)</f>
        <v/>
      </c>
      <c r="Q399" s="15" t="str">
        <f>IF(OR(E399="",NOT(OR(ISNUMBER(SEARCH("Epóxico MT",Upload!R389&amp;Upload!S389&amp;Upload!T389&amp;Upload!U389&amp;Upload!V389))))),"",E399*0.000035)</f>
        <v/>
      </c>
      <c r="R399" s="15" t="str">
        <f>IF(OR(F399="",NOT(OR(ISNUMBER(SEARCH("Epóxico BT",Upload!S389&amp;Upload!T389&amp;Upload!U389&amp;Upload!V389&amp;Upload!W389))))),"",F399*0.000035)</f>
        <v/>
      </c>
      <c r="S399" s="15" t="str">
        <f>IF(OR(G399="",NOT(OR(ISNUMBER(SEARCH("Epóxico Rojo",Upload!T389&amp;Upload!U389&amp;Upload!V389&amp;Upload!W389&amp;Upload!X389))))),"",G399*0.000035)</f>
        <v/>
      </c>
    </row>
    <row r="400" spans="1:19" x14ac:dyDescent="0.2">
      <c r="A400" s="9" t="e">
        <f t="shared" ca="1" si="35"/>
        <v>#NAME?</v>
      </c>
      <c r="B400" s="9">
        <f>Upload!G390</f>
        <v>0</v>
      </c>
      <c r="C400" s="9">
        <f>Upload!AN390</f>
        <v>0</v>
      </c>
      <c r="D400" s="9">
        <f>Upload!AO390</f>
        <v>0</v>
      </c>
      <c r="E400" s="9">
        <f>Upload!AP390</f>
        <v>0</v>
      </c>
      <c r="F400" s="9" t="str">
        <f>Upload!AK390</f>
        <v/>
      </c>
      <c r="G400" s="9" t="str">
        <f>Upload!AM390</f>
        <v/>
      </c>
      <c r="H400" s="9" t="str">
        <f>Upload!AJ390</f>
        <v>(seleccione)</v>
      </c>
      <c r="I400" s="9" t="str">
        <f>Upload!AL390</f>
        <v>(seleccione)</v>
      </c>
      <c r="K400" s="15" t="str">
        <f t="shared" si="36"/>
        <v/>
      </c>
      <c r="L400" s="15" t="str">
        <f t="shared" si="37"/>
        <v/>
      </c>
      <c r="M400" s="15" t="str">
        <f t="shared" si="38"/>
        <v/>
      </c>
      <c r="N400" s="15" t="str">
        <f t="shared" si="39"/>
        <v/>
      </c>
      <c r="O400" s="15" t="str">
        <f t="shared" si="40"/>
        <v/>
      </c>
      <c r="P400" s="15" t="str">
        <f>IF(OR(C400="",NOT(OR(ISNUMBER(SEARCH("Antitarnish",Upload!R390&amp;Upload!S390&amp;Upload!T390&amp;Upload!U390&amp;Upload!V390)),ISNUMBER(SEARCH("Anti Tarnish",Upload!R390&amp;Upload!S390&amp;Upload!T390&amp;Upload!U390&amp;Upload!V390))))),"",0.0012*C400)</f>
        <v/>
      </c>
      <c r="Q400" s="15" t="str">
        <f>IF(OR(E400="",NOT(OR(ISNUMBER(SEARCH("Epóxico MT",Upload!R390&amp;Upload!S390&amp;Upload!T390&amp;Upload!U390&amp;Upload!V390))))),"",E400*0.000035)</f>
        <v/>
      </c>
      <c r="R400" s="15" t="str">
        <f>IF(OR(F400="",NOT(OR(ISNUMBER(SEARCH("Epóxico BT",Upload!S390&amp;Upload!T390&amp;Upload!U390&amp;Upload!V390&amp;Upload!W390))))),"",F400*0.000035)</f>
        <v/>
      </c>
      <c r="S400" s="15" t="str">
        <f>IF(OR(G400="",NOT(OR(ISNUMBER(SEARCH("Epóxico Rojo",Upload!T390&amp;Upload!U390&amp;Upload!V390&amp;Upload!W390&amp;Upload!X390))))),"",G400*0.000035)</f>
        <v/>
      </c>
    </row>
    <row r="401" spans="1:19" x14ac:dyDescent="0.2">
      <c r="A401" s="9" t="e">
        <f t="shared" ca="1" si="35"/>
        <v>#NAME?</v>
      </c>
      <c r="B401" s="9">
        <f>Upload!G391</f>
        <v>0</v>
      </c>
      <c r="C401" s="9">
        <f>Upload!AN391</f>
        <v>0</v>
      </c>
      <c r="D401" s="9">
        <f>Upload!AO391</f>
        <v>0</v>
      </c>
      <c r="E401" s="9">
        <f>Upload!AP391</f>
        <v>0</v>
      </c>
      <c r="F401" s="9" t="str">
        <f>Upload!AK391</f>
        <v/>
      </c>
      <c r="G401" s="9" t="str">
        <f>Upload!AM391</f>
        <v/>
      </c>
      <c r="H401" s="9" t="str">
        <f>Upload!AJ391</f>
        <v>(seleccione)</v>
      </c>
      <c r="I401" s="9" t="str">
        <f>Upload!AL391</f>
        <v>(seleccione)</v>
      </c>
      <c r="K401" s="15" t="str">
        <f t="shared" si="36"/>
        <v/>
      </c>
      <c r="L401" s="15" t="str">
        <f t="shared" si="37"/>
        <v/>
      </c>
      <c r="M401" s="15" t="str">
        <f t="shared" si="38"/>
        <v/>
      </c>
      <c r="N401" s="15" t="str">
        <f t="shared" si="39"/>
        <v/>
      </c>
      <c r="O401" s="15" t="str">
        <f t="shared" si="40"/>
        <v/>
      </c>
      <c r="P401" s="15" t="str">
        <f>IF(OR(C401="",NOT(OR(ISNUMBER(SEARCH("Antitarnish",Upload!R391&amp;Upload!S391&amp;Upload!T391&amp;Upload!U391&amp;Upload!V391)),ISNUMBER(SEARCH("Anti Tarnish",Upload!R391&amp;Upload!S391&amp;Upload!T391&amp;Upload!U391&amp;Upload!V391))))),"",0.0012*C401)</f>
        <v/>
      </c>
      <c r="Q401" s="15" t="str">
        <f>IF(OR(E401="",NOT(OR(ISNUMBER(SEARCH("Epóxico MT",Upload!R391&amp;Upload!S391&amp;Upload!T391&amp;Upload!U391&amp;Upload!V391))))),"",E401*0.000035)</f>
        <v/>
      </c>
      <c r="R401" s="15" t="str">
        <f>IF(OR(F401="",NOT(OR(ISNUMBER(SEARCH("Epóxico BT",Upload!S391&amp;Upload!T391&amp;Upload!U391&amp;Upload!V391&amp;Upload!W391))))),"",F401*0.000035)</f>
        <v/>
      </c>
      <c r="S401" s="15" t="str">
        <f>IF(OR(G401="",NOT(OR(ISNUMBER(SEARCH("Epóxico Rojo",Upload!T391&amp;Upload!U391&amp;Upload!V391&amp;Upload!W391&amp;Upload!X391))))),"",G401*0.000035)</f>
        <v/>
      </c>
    </row>
    <row r="402" spans="1:19" x14ac:dyDescent="0.2">
      <c r="A402" s="9" t="e">
        <f t="shared" ca="1" si="35"/>
        <v>#NAME?</v>
      </c>
      <c r="B402" s="9">
        <f>Upload!G392</f>
        <v>0</v>
      </c>
      <c r="C402" s="9">
        <f>Upload!AN392</f>
        <v>0</v>
      </c>
      <c r="D402" s="9">
        <f>Upload!AO392</f>
        <v>0</v>
      </c>
      <c r="E402" s="9">
        <f>Upload!AP392</f>
        <v>0</v>
      </c>
      <c r="F402" s="9" t="str">
        <f>Upload!AK392</f>
        <v/>
      </c>
      <c r="G402" s="9" t="str">
        <f>Upload!AM392</f>
        <v/>
      </c>
      <c r="H402" s="9" t="str">
        <f>Upload!AJ392</f>
        <v>(seleccione)</v>
      </c>
      <c r="I402" s="9" t="str">
        <f>Upload!AL392</f>
        <v>(seleccione)</v>
      </c>
      <c r="K402" s="15" t="str">
        <f t="shared" si="36"/>
        <v/>
      </c>
      <c r="L402" s="15" t="str">
        <f t="shared" si="37"/>
        <v/>
      </c>
      <c r="M402" s="15" t="str">
        <f t="shared" si="38"/>
        <v/>
      </c>
      <c r="N402" s="15" t="str">
        <f t="shared" si="39"/>
        <v/>
      </c>
      <c r="O402" s="15" t="str">
        <f t="shared" si="40"/>
        <v/>
      </c>
      <c r="P402" s="15" t="str">
        <f>IF(OR(C402="",NOT(OR(ISNUMBER(SEARCH("Antitarnish",Upload!R392&amp;Upload!S392&amp;Upload!T392&amp;Upload!U392&amp;Upload!V392)),ISNUMBER(SEARCH("Anti Tarnish",Upload!R392&amp;Upload!S392&amp;Upload!T392&amp;Upload!U392&amp;Upload!V392))))),"",0.0012*C402)</f>
        <v/>
      </c>
      <c r="Q402" s="15" t="str">
        <f>IF(OR(E402="",NOT(OR(ISNUMBER(SEARCH("Epóxico MT",Upload!R392&amp;Upload!S392&amp;Upload!T392&amp;Upload!U392&amp;Upload!V392))))),"",E402*0.000035)</f>
        <v/>
      </c>
      <c r="R402" s="15" t="str">
        <f>IF(OR(F402="",NOT(OR(ISNUMBER(SEARCH("Epóxico BT",Upload!S392&amp;Upload!T392&amp;Upload!U392&amp;Upload!V392&amp;Upload!W392))))),"",F402*0.000035)</f>
        <v/>
      </c>
      <c r="S402" s="15" t="str">
        <f>IF(OR(G402="",NOT(OR(ISNUMBER(SEARCH("Epóxico Rojo",Upload!T392&amp;Upload!U392&amp;Upload!V392&amp;Upload!W392&amp;Upload!X392))))),"",G402*0.000035)</f>
        <v/>
      </c>
    </row>
    <row r="403" spans="1:19" x14ac:dyDescent="0.2">
      <c r="A403" s="9" t="e">
        <f t="shared" ref="A403:A466" ca="1" si="41">_xludf.ROW()-18</f>
        <v>#NAME?</v>
      </c>
      <c r="B403" s="9">
        <f>Upload!G393</f>
        <v>0</v>
      </c>
      <c r="C403" s="9">
        <f>Upload!AN393</f>
        <v>0</v>
      </c>
      <c r="D403" s="9">
        <f>Upload!AO393</f>
        <v>0</v>
      </c>
      <c r="E403" s="9">
        <f>Upload!AP393</f>
        <v>0</v>
      </c>
      <c r="F403" s="9" t="str">
        <f>Upload!AK393</f>
        <v/>
      </c>
      <c r="G403" s="9" t="str">
        <f>Upload!AM393</f>
        <v/>
      </c>
      <c r="H403" s="9" t="str">
        <f>Upload!AJ393</f>
        <v>(seleccione)</v>
      </c>
      <c r="I403" s="9" t="str">
        <f>Upload!AL393</f>
        <v>(seleccione)</v>
      </c>
      <c r="K403" s="15" t="str">
        <f t="shared" si="36"/>
        <v/>
      </c>
      <c r="L403" s="15" t="str">
        <f t="shared" si="37"/>
        <v/>
      </c>
      <c r="M403" s="15" t="str">
        <f t="shared" si="38"/>
        <v/>
      </c>
      <c r="N403" s="15" t="str">
        <f t="shared" si="39"/>
        <v/>
      </c>
      <c r="O403" s="15" t="str">
        <f t="shared" si="40"/>
        <v/>
      </c>
      <c r="P403" s="15" t="str">
        <f>IF(OR(C403="",NOT(OR(ISNUMBER(SEARCH("Antitarnish",Upload!R393&amp;Upload!S393&amp;Upload!T393&amp;Upload!U393&amp;Upload!V393)),ISNUMBER(SEARCH("Anti Tarnish",Upload!R393&amp;Upload!S393&amp;Upload!T393&amp;Upload!U393&amp;Upload!V393))))),"",0.0012*C403)</f>
        <v/>
      </c>
      <c r="Q403" s="15" t="str">
        <f>IF(OR(E403="",NOT(OR(ISNUMBER(SEARCH("Epóxico MT",Upload!R393&amp;Upload!S393&amp;Upload!T393&amp;Upload!U393&amp;Upload!V393))))),"",E403*0.000035)</f>
        <v/>
      </c>
      <c r="R403" s="15" t="str">
        <f>IF(OR(F403="",NOT(OR(ISNUMBER(SEARCH("Epóxico BT",Upload!S393&amp;Upload!T393&amp;Upload!U393&amp;Upload!V393&amp;Upload!W393))))),"",F403*0.000035)</f>
        <v/>
      </c>
      <c r="S403" s="15" t="str">
        <f>IF(OR(G403="",NOT(OR(ISNUMBER(SEARCH("Epóxico Rojo",Upload!T393&amp;Upload!U393&amp;Upload!V393&amp;Upload!W393&amp;Upload!X393))))),"",G403*0.000035)</f>
        <v/>
      </c>
    </row>
    <row r="404" spans="1:19" x14ac:dyDescent="0.2">
      <c r="A404" s="9" t="e">
        <f t="shared" ca="1" si="41"/>
        <v>#NAME?</v>
      </c>
      <c r="B404" s="9">
        <f>Upload!G394</f>
        <v>0</v>
      </c>
      <c r="C404" s="9">
        <f>Upload!AN394</f>
        <v>0</v>
      </c>
      <c r="D404" s="9">
        <f>Upload!AO394</f>
        <v>0</v>
      </c>
      <c r="E404" s="9">
        <f>Upload!AP394</f>
        <v>0</v>
      </c>
      <c r="F404" s="9" t="str">
        <f>Upload!AK394</f>
        <v/>
      </c>
      <c r="G404" s="9" t="str">
        <f>Upload!AM394</f>
        <v/>
      </c>
      <c r="H404" s="9" t="str">
        <f>Upload!AJ394</f>
        <v>(seleccione)</v>
      </c>
      <c r="I404" s="9" t="str">
        <f>Upload!AL394</f>
        <v>(seleccione)</v>
      </c>
      <c r="K404" s="15" t="str">
        <f t="shared" si="36"/>
        <v/>
      </c>
      <c r="L404" s="15" t="str">
        <f t="shared" si="37"/>
        <v/>
      </c>
      <c r="M404" s="15" t="str">
        <f t="shared" si="38"/>
        <v/>
      </c>
      <c r="N404" s="15" t="str">
        <f t="shared" si="39"/>
        <v/>
      </c>
      <c r="O404" s="15" t="str">
        <f t="shared" si="40"/>
        <v/>
      </c>
      <c r="P404" s="15" t="str">
        <f>IF(OR(C404="",NOT(OR(ISNUMBER(SEARCH("Antitarnish",Upload!R394&amp;Upload!S394&amp;Upload!T394&amp;Upload!U394&amp;Upload!V394)),ISNUMBER(SEARCH("Anti Tarnish",Upload!R394&amp;Upload!S394&amp;Upload!T394&amp;Upload!U394&amp;Upload!V394))))),"",0.0012*C404)</f>
        <v/>
      </c>
      <c r="Q404" s="15" t="str">
        <f>IF(OR(E404="",NOT(OR(ISNUMBER(SEARCH("Epóxico MT",Upload!R394&amp;Upload!S394&amp;Upload!T394&amp;Upload!U394&amp;Upload!V394))))),"",E404*0.000035)</f>
        <v/>
      </c>
      <c r="R404" s="15" t="str">
        <f>IF(OR(F404="",NOT(OR(ISNUMBER(SEARCH("Epóxico BT",Upload!S394&amp;Upload!T394&amp;Upload!U394&amp;Upload!V394&amp;Upload!W394))))),"",F404*0.000035)</f>
        <v/>
      </c>
      <c r="S404" s="15" t="str">
        <f>IF(OR(G404="",NOT(OR(ISNUMBER(SEARCH("Epóxico Rojo",Upload!T394&amp;Upload!U394&amp;Upload!V394&amp;Upload!W394&amp;Upload!X394))))),"",G404*0.000035)</f>
        <v/>
      </c>
    </row>
    <row r="405" spans="1:19" x14ac:dyDescent="0.2">
      <c r="A405" s="9" t="e">
        <f t="shared" ca="1" si="41"/>
        <v>#NAME?</v>
      </c>
      <c r="B405" s="9">
        <f>Upload!G395</f>
        <v>0</v>
      </c>
      <c r="C405" s="9">
        <f>Upload!AN395</f>
        <v>0</v>
      </c>
      <c r="D405" s="9">
        <f>Upload!AO395</f>
        <v>0</v>
      </c>
      <c r="E405" s="9">
        <f>Upload!AP395</f>
        <v>0</v>
      </c>
      <c r="F405" s="9" t="str">
        <f>Upload!AK395</f>
        <v/>
      </c>
      <c r="G405" s="9" t="str">
        <f>Upload!AM395</f>
        <v/>
      </c>
      <c r="H405" s="9" t="str">
        <f>Upload!AJ395</f>
        <v>(seleccione)</v>
      </c>
      <c r="I405" s="9" t="str">
        <f>Upload!AL395</f>
        <v>(seleccione)</v>
      </c>
      <c r="K405" s="15" t="str">
        <f t="shared" si="36"/>
        <v/>
      </c>
      <c r="L405" s="15" t="str">
        <f t="shared" si="37"/>
        <v/>
      </c>
      <c r="M405" s="15" t="str">
        <f t="shared" si="38"/>
        <v/>
      </c>
      <c r="N405" s="15" t="str">
        <f t="shared" si="39"/>
        <v/>
      </c>
      <c r="O405" s="15" t="str">
        <f t="shared" si="40"/>
        <v/>
      </c>
      <c r="P405" s="15" t="str">
        <f>IF(OR(C405="",NOT(OR(ISNUMBER(SEARCH("Antitarnish",Upload!R395&amp;Upload!S395&amp;Upload!T395&amp;Upload!U395&amp;Upload!V395)),ISNUMBER(SEARCH("Anti Tarnish",Upload!R395&amp;Upload!S395&amp;Upload!T395&amp;Upload!U395&amp;Upload!V395))))),"",0.0012*C405)</f>
        <v/>
      </c>
      <c r="Q405" s="15" t="str">
        <f>IF(OR(E405="",NOT(OR(ISNUMBER(SEARCH("Epóxico MT",Upload!R395&amp;Upload!S395&amp;Upload!T395&amp;Upload!U395&amp;Upload!V395))))),"",E405*0.000035)</f>
        <v/>
      </c>
      <c r="R405" s="15" t="str">
        <f>IF(OR(F405="",NOT(OR(ISNUMBER(SEARCH("Epóxico BT",Upload!S395&amp;Upload!T395&amp;Upload!U395&amp;Upload!V395&amp;Upload!W395))))),"",F405*0.000035)</f>
        <v/>
      </c>
      <c r="S405" s="15" t="str">
        <f>IF(OR(G405="",NOT(OR(ISNUMBER(SEARCH("Epóxico Rojo",Upload!T395&amp;Upload!U395&amp;Upload!V395&amp;Upload!W395&amp;Upload!X395))))),"",G405*0.000035)</f>
        <v/>
      </c>
    </row>
    <row r="406" spans="1:19" x14ac:dyDescent="0.2">
      <c r="A406" s="9" t="e">
        <f t="shared" ca="1" si="41"/>
        <v>#NAME?</v>
      </c>
      <c r="B406" s="9">
        <f>Upload!G396</f>
        <v>0</v>
      </c>
      <c r="C406" s="9">
        <f>Upload!AN396</f>
        <v>0</v>
      </c>
      <c r="D406" s="9">
        <f>Upload!AO396</f>
        <v>0</v>
      </c>
      <c r="E406" s="9">
        <f>Upload!AP396</f>
        <v>0</v>
      </c>
      <c r="F406" s="9" t="str">
        <f>Upload!AK396</f>
        <v/>
      </c>
      <c r="G406" s="9" t="str">
        <f>Upload!AM396</f>
        <v/>
      </c>
      <c r="H406" s="9" t="str">
        <f>Upload!AJ396</f>
        <v>(seleccione)</v>
      </c>
      <c r="I406" s="9" t="str">
        <f>Upload!AL396</f>
        <v>(seleccione)</v>
      </c>
      <c r="K406" s="15" t="str">
        <f t="shared" si="36"/>
        <v/>
      </c>
      <c r="L406" s="15" t="str">
        <f t="shared" si="37"/>
        <v/>
      </c>
      <c r="M406" s="15" t="str">
        <f t="shared" si="38"/>
        <v/>
      </c>
      <c r="N406" s="15" t="str">
        <f t="shared" si="39"/>
        <v/>
      </c>
      <c r="O406" s="15" t="str">
        <f t="shared" si="40"/>
        <v/>
      </c>
      <c r="P406" s="15" t="str">
        <f>IF(OR(C406="",NOT(OR(ISNUMBER(SEARCH("Antitarnish",Upload!R396&amp;Upload!S396&amp;Upload!T396&amp;Upload!U396&amp;Upload!V396)),ISNUMBER(SEARCH("Anti Tarnish",Upload!R396&amp;Upload!S396&amp;Upload!T396&amp;Upload!U396&amp;Upload!V396))))),"",0.0012*C406)</f>
        <v/>
      </c>
      <c r="Q406" s="15" t="str">
        <f>IF(OR(E406="",NOT(OR(ISNUMBER(SEARCH("Epóxico MT",Upload!R396&amp;Upload!S396&amp;Upload!T396&amp;Upload!U396&amp;Upload!V396))))),"",E406*0.000035)</f>
        <v/>
      </c>
      <c r="R406" s="15" t="str">
        <f>IF(OR(F406="",NOT(OR(ISNUMBER(SEARCH("Epóxico BT",Upload!S396&amp;Upload!T396&amp;Upload!U396&amp;Upload!V396&amp;Upload!W396))))),"",F406*0.000035)</f>
        <v/>
      </c>
      <c r="S406" s="15" t="str">
        <f>IF(OR(G406="",NOT(OR(ISNUMBER(SEARCH("Epóxico Rojo",Upload!T396&amp;Upload!U396&amp;Upload!V396&amp;Upload!W396&amp;Upload!X396))))),"",G406*0.000035)</f>
        <v/>
      </c>
    </row>
    <row r="407" spans="1:19" x14ac:dyDescent="0.2">
      <c r="A407" s="9" t="e">
        <f t="shared" ca="1" si="41"/>
        <v>#NAME?</v>
      </c>
      <c r="B407" s="9">
        <f>Upload!G397</f>
        <v>0</v>
      </c>
      <c r="C407" s="9">
        <f>Upload!AN397</f>
        <v>0</v>
      </c>
      <c r="D407" s="9">
        <f>Upload!AO397</f>
        <v>0</v>
      </c>
      <c r="E407" s="9">
        <f>Upload!AP397</f>
        <v>0</v>
      </c>
      <c r="F407" s="9" t="str">
        <f>Upload!AK397</f>
        <v/>
      </c>
      <c r="G407" s="9" t="str">
        <f>Upload!AM397</f>
        <v/>
      </c>
      <c r="H407" s="9" t="str">
        <f>Upload!AJ397</f>
        <v>(seleccione)</v>
      </c>
      <c r="I407" s="9" t="str">
        <f>Upload!AL397</f>
        <v>(seleccione)</v>
      </c>
      <c r="K407" s="15" t="str">
        <f t="shared" si="36"/>
        <v/>
      </c>
      <c r="L407" s="15" t="str">
        <f t="shared" si="37"/>
        <v/>
      </c>
      <c r="M407" s="15" t="str">
        <f t="shared" si="38"/>
        <v/>
      </c>
      <c r="N407" s="15" t="str">
        <f t="shared" si="39"/>
        <v/>
      </c>
      <c r="O407" s="15" t="str">
        <f t="shared" si="40"/>
        <v/>
      </c>
      <c r="P407" s="15" t="str">
        <f>IF(OR(C407="",NOT(OR(ISNUMBER(SEARCH("Antitarnish",Upload!R397&amp;Upload!S397&amp;Upload!T397&amp;Upload!U397&amp;Upload!V397)),ISNUMBER(SEARCH("Anti Tarnish",Upload!R397&amp;Upload!S397&amp;Upload!T397&amp;Upload!U397&amp;Upload!V397))))),"",0.0012*C407)</f>
        <v/>
      </c>
      <c r="Q407" s="15" t="str">
        <f>IF(OR(E407="",NOT(OR(ISNUMBER(SEARCH("Epóxico MT",Upload!R397&amp;Upload!S397&amp;Upload!T397&amp;Upload!U397&amp;Upload!V397))))),"",E407*0.000035)</f>
        <v/>
      </c>
      <c r="R407" s="15" t="str">
        <f>IF(OR(F407="",NOT(OR(ISNUMBER(SEARCH("Epóxico BT",Upload!S397&amp;Upload!T397&amp;Upload!U397&amp;Upload!V397&amp;Upload!W397))))),"",F407*0.000035)</f>
        <v/>
      </c>
      <c r="S407" s="15" t="str">
        <f>IF(OR(G407="",NOT(OR(ISNUMBER(SEARCH("Epóxico Rojo",Upload!T397&amp;Upload!U397&amp;Upload!V397&amp;Upload!W397&amp;Upload!X397))))),"",G407*0.000035)</f>
        <v/>
      </c>
    </row>
    <row r="408" spans="1:19" x14ac:dyDescent="0.2">
      <c r="A408" s="9" t="e">
        <f t="shared" ca="1" si="41"/>
        <v>#NAME?</v>
      </c>
      <c r="B408" s="9">
        <f>Upload!G398</f>
        <v>0</v>
      </c>
      <c r="C408" s="9">
        <f>Upload!AN398</f>
        <v>0</v>
      </c>
      <c r="D408" s="9">
        <f>Upload!AO398</f>
        <v>0</v>
      </c>
      <c r="E408" s="9">
        <f>Upload!AP398</f>
        <v>0</v>
      </c>
      <c r="F408" s="9" t="str">
        <f>Upload!AK398</f>
        <v/>
      </c>
      <c r="G408" s="9" t="str">
        <f>Upload!AM398</f>
        <v/>
      </c>
      <c r="H408" s="9" t="str">
        <f>Upload!AJ398</f>
        <v>(seleccione)</v>
      </c>
      <c r="I408" s="9" t="str">
        <f>Upload!AL398</f>
        <v>(seleccione)</v>
      </c>
      <c r="K408" s="15" t="str">
        <f t="shared" si="36"/>
        <v/>
      </c>
      <c r="L408" s="15" t="str">
        <f t="shared" si="37"/>
        <v/>
      </c>
      <c r="M408" s="15" t="str">
        <f t="shared" si="38"/>
        <v/>
      </c>
      <c r="N408" s="15" t="str">
        <f t="shared" si="39"/>
        <v/>
      </c>
      <c r="O408" s="15" t="str">
        <f t="shared" si="40"/>
        <v/>
      </c>
      <c r="P408" s="15" t="str">
        <f>IF(OR(C408="",NOT(OR(ISNUMBER(SEARCH("Antitarnish",Upload!R398&amp;Upload!S398&amp;Upload!T398&amp;Upload!U398&amp;Upload!V398)),ISNUMBER(SEARCH("Anti Tarnish",Upload!R398&amp;Upload!S398&amp;Upload!T398&amp;Upload!U398&amp;Upload!V398))))),"",0.0012*C408)</f>
        <v/>
      </c>
      <c r="Q408" s="15" t="str">
        <f>IF(OR(E408="",NOT(OR(ISNUMBER(SEARCH("Epóxico MT",Upload!R398&amp;Upload!S398&amp;Upload!T398&amp;Upload!U398&amp;Upload!V398))))),"",E408*0.000035)</f>
        <v/>
      </c>
      <c r="R408" s="15" t="str">
        <f>IF(OR(F408="",NOT(OR(ISNUMBER(SEARCH("Epóxico BT",Upload!S398&amp;Upload!T398&amp;Upload!U398&amp;Upload!V398&amp;Upload!W398))))),"",F408*0.000035)</f>
        <v/>
      </c>
      <c r="S408" s="15" t="str">
        <f>IF(OR(G408="",NOT(OR(ISNUMBER(SEARCH("Epóxico Rojo",Upload!T398&amp;Upload!U398&amp;Upload!V398&amp;Upload!W398&amp;Upload!X398))))),"",G408*0.000035)</f>
        <v/>
      </c>
    </row>
    <row r="409" spans="1:19" x14ac:dyDescent="0.2">
      <c r="A409" s="9" t="e">
        <f t="shared" ca="1" si="41"/>
        <v>#NAME?</v>
      </c>
      <c r="B409" s="9">
        <f>Upload!G399</f>
        <v>0</v>
      </c>
      <c r="C409" s="9">
        <f>Upload!AN399</f>
        <v>0</v>
      </c>
      <c r="D409" s="9">
        <f>Upload!AO399</f>
        <v>0</v>
      </c>
      <c r="E409" s="9">
        <f>Upload!AP399</f>
        <v>0</v>
      </c>
      <c r="F409" s="9" t="str">
        <f>Upload!AK399</f>
        <v/>
      </c>
      <c r="G409" s="9" t="str">
        <f>Upload!AM399</f>
        <v/>
      </c>
      <c r="H409" s="9" t="str">
        <f>Upload!AJ399</f>
        <v>(seleccione)</v>
      </c>
      <c r="I409" s="9" t="str">
        <f>Upload!AL399</f>
        <v>(seleccione)</v>
      </c>
      <c r="K409" s="15" t="str">
        <f t="shared" si="36"/>
        <v/>
      </c>
      <c r="L409" s="15" t="str">
        <f t="shared" si="37"/>
        <v/>
      </c>
      <c r="M409" s="15" t="str">
        <f t="shared" si="38"/>
        <v/>
      </c>
      <c r="N409" s="15" t="str">
        <f t="shared" si="39"/>
        <v/>
      </c>
      <c r="O409" s="15" t="str">
        <f t="shared" si="40"/>
        <v/>
      </c>
      <c r="P409" s="15" t="str">
        <f>IF(OR(C409="",NOT(OR(ISNUMBER(SEARCH("Antitarnish",Upload!R399&amp;Upload!S399&amp;Upload!T399&amp;Upload!U399&amp;Upload!V399)),ISNUMBER(SEARCH("Anti Tarnish",Upload!R399&amp;Upload!S399&amp;Upload!T399&amp;Upload!U399&amp;Upload!V399))))),"",0.0012*C409)</f>
        <v/>
      </c>
      <c r="Q409" s="15" t="str">
        <f>IF(OR(E409="",NOT(OR(ISNUMBER(SEARCH("Epóxico MT",Upload!R399&amp;Upload!S399&amp;Upload!T399&amp;Upload!U399&amp;Upload!V399))))),"",E409*0.000035)</f>
        <v/>
      </c>
      <c r="R409" s="15" t="str">
        <f>IF(OR(F409="",NOT(OR(ISNUMBER(SEARCH("Epóxico BT",Upload!S399&amp;Upload!T399&amp;Upload!U399&amp;Upload!V399&amp;Upload!W399))))),"",F409*0.000035)</f>
        <v/>
      </c>
      <c r="S409" s="15" t="str">
        <f>IF(OR(G409="",NOT(OR(ISNUMBER(SEARCH("Epóxico Rojo",Upload!T399&amp;Upload!U399&amp;Upload!V399&amp;Upload!W399&amp;Upload!X399))))),"",G409*0.000035)</f>
        <v/>
      </c>
    </row>
    <row r="410" spans="1:19" x14ac:dyDescent="0.2">
      <c r="A410" s="9" t="e">
        <f t="shared" ca="1" si="41"/>
        <v>#NAME?</v>
      </c>
      <c r="B410" s="9">
        <f>Upload!G400</f>
        <v>0</v>
      </c>
      <c r="C410" s="9">
        <f>Upload!AN400</f>
        <v>0</v>
      </c>
      <c r="D410" s="9">
        <f>Upload!AO400</f>
        <v>0</v>
      </c>
      <c r="E410" s="9">
        <f>Upload!AP400</f>
        <v>0</v>
      </c>
      <c r="F410" s="9" t="str">
        <f>Upload!AK400</f>
        <v/>
      </c>
      <c r="G410" s="9" t="str">
        <f>Upload!AM400</f>
        <v/>
      </c>
      <c r="H410" s="9" t="str">
        <f>Upload!AJ400</f>
        <v>(seleccione)</v>
      </c>
      <c r="I410" s="9" t="str">
        <f>Upload!AL400</f>
        <v>(seleccione)</v>
      </c>
      <c r="K410" s="15" t="str">
        <f t="shared" si="36"/>
        <v/>
      </c>
      <c r="L410" s="15" t="str">
        <f t="shared" si="37"/>
        <v/>
      </c>
      <c r="M410" s="15" t="str">
        <f t="shared" si="38"/>
        <v/>
      </c>
      <c r="N410" s="15" t="str">
        <f t="shared" si="39"/>
        <v/>
      </c>
      <c r="O410" s="15" t="str">
        <f t="shared" si="40"/>
        <v/>
      </c>
      <c r="P410" s="15" t="str">
        <f>IF(OR(C410="",NOT(OR(ISNUMBER(SEARCH("Antitarnish",Upload!R400&amp;Upload!S400&amp;Upload!T400&amp;Upload!U400&amp;Upload!V400)),ISNUMBER(SEARCH("Anti Tarnish",Upload!R400&amp;Upload!S400&amp;Upload!T400&amp;Upload!U400&amp;Upload!V400))))),"",0.0012*C410)</f>
        <v/>
      </c>
      <c r="Q410" s="15" t="str">
        <f>IF(OR(E410="",NOT(OR(ISNUMBER(SEARCH("Epóxico MT",Upload!R400&amp;Upload!S400&amp;Upload!T400&amp;Upload!U400&amp;Upload!V400))))),"",E410*0.000035)</f>
        <v/>
      </c>
      <c r="R410" s="15" t="str">
        <f>IF(OR(F410="",NOT(OR(ISNUMBER(SEARCH("Epóxico BT",Upload!S400&amp;Upload!T400&amp;Upload!U400&amp;Upload!V400&amp;Upload!W400))))),"",F410*0.000035)</f>
        <v/>
      </c>
      <c r="S410" s="15" t="str">
        <f>IF(OR(G410="",NOT(OR(ISNUMBER(SEARCH("Epóxico Rojo",Upload!T400&amp;Upload!U400&amp;Upload!V400&amp;Upload!W400&amp;Upload!X400))))),"",G410*0.000035)</f>
        <v/>
      </c>
    </row>
    <row r="411" spans="1:19" x14ac:dyDescent="0.2">
      <c r="A411" s="9" t="e">
        <f t="shared" ca="1" si="41"/>
        <v>#NAME?</v>
      </c>
      <c r="B411" s="9">
        <f>Upload!G401</f>
        <v>0</v>
      </c>
      <c r="C411" s="9">
        <f>Upload!AN401</f>
        <v>0</v>
      </c>
      <c r="D411" s="9">
        <f>Upload!AO401</f>
        <v>0</v>
      </c>
      <c r="E411" s="9">
        <f>Upload!AP401</f>
        <v>0</v>
      </c>
      <c r="F411" s="9" t="str">
        <f>Upload!AK401</f>
        <v/>
      </c>
      <c r="G411" s="9" t="str">
        <f>Upload!AM401</f>
        <v/>
      </c>
      <c r="H411" s="9" t="str">
        <f>Upload!AJ401</f>
        <v>(seleccione)</v>
      </c>
      <c r="I411" s="9" t="str">
        <f>Upload!AL401</f>
        <v>(seleccione)</v>
      </c>
      <c r="K411" s="15" t="str">
        <f t="shared" si="36"/>
        <v/>
      </c>
      <c r="L411" s="15" t="str">
        <f t="shared" si="37"/>
        <v/>
      </c>
      <c r="M411" s="15" t="str">
        <f t="shared" si="38"/>
        <v/>
      </c>
      <c r="N411" s="15" t="str">
        <f t="shared" si="39"/>
        <v/>
      </c>
      <c r="O411" s="15" t="str">
        <f t="shared" si="40"/>
        <v/>
      </c>
      <c r="P411" s="15" t="str">
        <f>IF(OR(C411="",NOT(OR(ISNUMBER(SEARCH("Antitarnish",Upload!R401&amp;Upload!S401&amp;Upload!T401&amp;Upload!U401&amp;Upload!V401)),ISNUMBER(SEARCH("Anti Tarnish",Upload!R401&amp;Upload!S401&amp;Upload!T401&amp;Upload!U401&amp;Upload!V401))))),"",0.0012*C411)</f>
        <v/>
      </c>
      <c r="Q411" s="15" t="str">
        <f>IF(OR(E411="",NOT(OR(ISNUMBER(SEARCH("Epóxico MT",Upload!R401&amp;Upload!S401&amp;Upload!T401&amp;Upload!U401&amp;Upload!V401))))),"",E411*0.000035)</f>
        <v/>
      </c>
      <c r="R411" s="15" t="str">
        <f>IF(OR(F411="",NOT(OR(ISNUMBER(SEARCH("Epóxico BT",Upload!S401&amp;Upload!T401&amp;Upload!U401&amp;Upload!V401&amp;Upload!W401))))),"",F411*0.000035)</f>
        <v/>
      </c>
      <c r="S411" s="15" t="str">
        <f>IF(OR(G411="",NOT(OR(ISNUMBER(SEARCH("Epóxico Rojo",Upload!T401&amp;Upload!U401&amp;Upload!V401&amp;Upload!W401&amp;Upload!X401))))),"",G411*0.000035)</f>
        <v/>
      </c>
    </row>
    <row r="412" spans="1:19" x14ac:dyDescent="0.2">
      <c r="A412" s="9" t="e">
        <f t="shared" ca="1" si="41"/>
        <v>#NAME?</v>
      </c>
      <c r="B412" s="9">
        <f>Upload!G402</f>
        <v>0</v>
      </c>
      <c r="C412" s="9">
        <f>Upload!AN402</f>
        <v>0</v>
      </c>
      <c r="D412" s="9">
        <f>Upload!AO402</f>
        <v>0</v>
      </c>
      <c r="E412" s="9">
        <f>Upload!AP402</f>
        <v>0</v>
      </c>
      <c r="F412" s="9" t="str">
        <f>Upload!AK402</f>
        <v/>
      </c>
      <c r="G412" s="9" t="str">
        <f>Upload!AM402</f>
        <v/>
      </c>
      <c r="H412" s="9" t="str">
        <f>Upload!AJ402</f>
        <v>(seleccione)</v>
      </c>
      <c r="I412" s="9" t="str">
        <f>Upload!AL402</f>
        <v>(seleccione)</v>
      </c>
      <c r="K412" s="15" t="str">
        <f t="shared" si="36"/>
        <v/>
      </c>
      <c r="L412" s="15" t="str">
        <f t="shared" si="37"/>
        <v/>
      </c>
      <c r="M412" s="15" t="str">
        <f t="shared" si="38"/>
        <v/>
      </c>
      <c r="N412" s="15" t="str">
        <f t="shared" si="39"/>
        <v/>
      </c>
      <c r="O412" s="15" t="str">
        <f t="shared" si="40"/>
        <v/>
      </c>
      <c r="P412" s="15" t="str">
        <f>IF(OR(C412="",NOT(OR(ISNUMBER(SEARCH("Antitarnish",Upload!R402&amp;Upload!S402&amp;Upload!T402&amp;Upload!U402&amp;Upload!V402)),ISNUMBER(SEARCH("Anti Tarnish",Upload!R402&amp;Upload!S402&amp;Upload!T402&amp;Upload!U402&amp;Upload!V402))))),"",0.0012*C412)</f>
        <v/>
      </c>
      <c r="Q412" s="15" t="str">
        <f>IF(OR(E412="",NOT(OR(ISNUMBER(SEARCH("Epóxico MT",Upload!R402&amp;Upload!S402&amp;Upload!T402&amp;Upload!U402&amp;Upload!V402))))),"",E412*0.000035)</f>
        <v/>
      </c>
      <c r="R412" s="15" t="str">
        <f>IF(OR(F412="",NOT(OR(ISNUMBER(SEARCH("Epóxico BT",Upload!S402&amp;Upload!T402&amp;Upload!U402&amp;Upload!V402&amp;Upload!W402))))),"",F412*0.000035)</f>
        <v/>
      </c>
      <c r="S412" s="15" t="str">
        <f>IF(OR(G412="",NOT(OR(ISNUMBER(SEARCH("Epóxico Rojo",Upload!T402&amp;Upload!U402&amp;Upload!V402&amp;Upload!W402&amp;Upload!X402))))),"",G412*0.000035)</f>
        <v/>
      </c>
    </row>
    <row r="413" spans="1:19" x14ac:dyDescent="0.2">
      <c r="A413" s="9" t="e">
        <f t="shared" ca="1" si="41"/>
        <v>#NAME?</v>
      </c>
      <c r="B413" s="9">
        <f>Upload!G403</f>
        <v>0</v>
      </c>
      <c r="C413" s="9">
        <f>Upload!AN403</f>
        <v>0</v>
      </c>
      <c r="D413" s="9">
        <f>Upload!AO403</f>
        <v>0</v>
      </c>
      <c r="E413" s="9">
        <f>Upload!AP403</f>
        <v>0</v>
      </c>
      <c r="F413" s="9" t="str">
        <f>Upload!AK403</f>
        <v/>
      </c>
      <c r="G413" s="9" t="str">
        <f>Upload!AM403</f>
        <v/>
      </c>
      <c r="H413" s="9" t="str">
        <f>Upload!AJ403</f>
        <v>(seleccione)</v>
      </c>
      <c r="I413" s="9" t="str">
        <f>Upload!AL403</f>
        <v>(seleccione)</v>
      </c>
      <c r="K413" s="15" t="str">
        <f t="shared" si="36"/>
        <v/>
      </c>
      <c r="L413" s="15" t="str">
        <f t="shared" si="37"/>
        <v/>
      </c>
      <c r="M413" s="15" t="str">
        <f t="shared" si="38"/>
        <v/>
      </c>
      <c r="N413" s="15" t="str">
        <f t="shared" si="39"/>
        <v/>
      </c>
      <c r="O413" s="15" t="str">
        <f t="shared" si="40"/>
        <v/>
      </c>
      <c r="P413" s="15" t="str">
        <f>IF(OR(C413="",NOT(OR(ISNUMBER(SEARCH("Antitarnish",Upload!R403&amp;Upload!S403&amp;Upload!T403&amp;Upload!U403&amp;Upload!V403)),ISNUMBER(SEARCH("Anti Tarnish",Upload!R403&amp;Upload!S403&amp;Upload!T403&amp;Upload!U403&amp;Upload!V403))))),"",0.0012*C413)</f>
        <v/>
      </c>
      <c r="Q413" s="15" t="str">
        <f>IF(OR(E413="",NOT(OR(ISNUMBER(SEARCH("Epóxico MT",Upload!R403&amp;Upload!S403&amp;Upload!T403&amp;Upload!U403&amp;Upload!V403))))),"",E413*0.000035)</f>
        <v/>
      </c>
      <c r="R413" s="15" t="str">
        <f>IF(OR(F413="",NOT(OR(ISNUMBER(SEARCH("Epóxico BT",Upload!S403&amp;Upload!T403&amp;Upload!U403&amp;Upload!V403&amp;Upload!W403))))),"",F413*0.000035)</f>
        <v/>
      </c>
      <c r="S413" s="15" t="str">
        <f>IF(OR(G413="",NOT(OR(ISNUMBER(SEARCH("Epóxico Rojo",Upload!T403&amp;Upload!U403&amp;Upload!V403&amp;Upload!W403&amp;Upload!X403))))),"",G413*0.000035)</f>
        <v/>
      </c>
    </row>
    <row r="414" spans="1:19" x14ac:dyDescent="0.2">
      <c r="A414" s="9" t="e">
        <f t="shared" ca="1" si="41"/>
        <v>#NAME?</v>
      </c>
      <c r="B414" s="9">
        <f>Upload!G404</f>
        <v>0</v>
      </c>
      <c r="C414" s="9">
        <f>Upload!AN404</f>
        <v>0</v>
      </c>
      <c r="D414" s="9">
        <f>Upload!AO404</f>
        <v>0</v>
      </c>
      <c r="E414" s="9">
        <f>Upload!AP404</f>
        <v>0</v>
      </c>
      <c r="F414" s="9" t="str">
        <f>Upload!AK404</f>
        <v/>
      </c>
      <c r="G414" s="9" t="str">
        <f>Upload!AM404</f>
        <v/>
      </c>
      <c r="H414" s="9" t="str">
        <f>Upload!AJ404</f>
        <v>(seleccione)</v>
      </c>
      <c r="I414" s="9" t="str">
        <f>Upload!AL404</f>
        <v>(seleccione)</v>
      </c>
      <c r="K414" s="15" t="str">
        <f t="shared" si="36"/>
        <v/>
      </c>
      <c r="L414" s="15" t="str">
        <f t="shared" si="37"/>
        <v/>
      </c>
      <c r="M414" s="15" t="str">
        <f t="shared" si="38"/>
        <v/>
      </c>
      <c r="N414" s="15" t="str">
        <f t="shared" si="39"/>
        <v/>
      </c>
      <c r="O414" s="15" t="str">
        <f t="shared" si="40"/>
        <v/>
      </c>
      <c r="P414" s="15" t="str">
        <f>IF(OR(C414="",NOT(OR(ISNUMBER(SEARCH("Antitarnish",Upload!R404&amp;Upload!S404&amp;Upload!T404&amp;Upload!U404&amp;Upload!V404)),ISNUMBER(SEARCH("Anti Tarnish",Upload!R404&amp;Upload!S404&amp;Upload!T404&amp;Upload!U404&amp;Upload!V404))))),"",0.0012*C414)</f>
        <v/>
      </c>
      <c r="Q414" s="15" t="str">
        <f>IF(OR(E414="",NOT(OR(ISNUMBER(SEARCH("Epóxico MT",Upload!R404&amp;Upload!S404&amp;Upload!T404&amp;Upload!U404&amp;Upload!V404))))),"",E414*0.000035)</f>
        <v/>
      </c>
      <c r="R414" s="15" t="str">
        <f>IF(OR(F414="",NOT(OR(ISNUMBER(SEARCH("Epóxico BT",Upload!S404&amp;Upload!T404&amp;Upload!U404&amp;Upload!V404&amp;Upload!W404))))),"",F414*0.000035)</f>
        <v/>
      </c>
      <c r="S414" s="15" t="str">
        <f>IF(OR(G414="",NOT(OR(ISNUMBER(SEARCH("Epóxico Rojo",Upload!T404&amp;Upload!U404&amp;Upload!V404&amp;Upload!W404&amp;Upload!X404))))),"",G414*0.000035)</f>
        <v/>
      </c>
    </row>
    <row r="415" spans="1:19" x14ac:dyDescent="0.2">
      <c r="A415" s="9" t="e">
        <f t="shared" ca="1" si="41"/>
        <v>#NAME?</v>
      </c>
      <c r="B415" s="9">
        <f>Upload!G405</f>
        <v>0</v>
      </c>
      <c r="C415" s="9">
        <f>Upload!AN405</f>
        <v>0</v>
      </c>
      <c r="D415" s="9">
        <f>Upload!AO405</f>
        <v>0</v>
      </c>
      <c r="E415" s="9">
        <f>Upload!AP405</f>
        <v>0</v>
      </c>
      <c r="F415" s="9" t="str">
        <f>Upload!AK405</f>
        <v/>
      </c>
      <c r="G415" s="9" t="str">
        <f>Upload!AM405</f>
        <v/>
      </c>
      <c r="H415" s="9" t="str">
        <f>Upload!AJ405</f>
        <v>(seleccione)</v>
      </c>
      <c r="I415" s="9" t="str">
        <f>Upload!AL405</f>
        <v>(seleccione)</v>
      </c>
      <c r="K415" s="15" t="str">
        <f t="shared" si="36"/>
        <v/>
      </c>
      <c r="L415" s="15" t="str">
        <f t="shared" si="37"/>
        <v/>
      </c>
      <c r="M415" s="15" t="str">
        <f t="shared" si="38"/>
        <v/>
      </c>
      <c r="N415" s="15" t="str">
        <f t="shared" si="39"/>
        <v/>
      </c>
      <c r="O415" s="15" t="str">
        <f t="shared" si="40"/>
        <v/>
      </c>
      <c r="P415" s="15" t="str">
        <f>IF(OR(C415="",NOT(OR(ISNUMBER(SEARCH("Antitarnish",Upload!R405&amp;Upload!S405&amp;Upload!T405&amp;Upload!U405&amp;Upload!V405)),ISNUMBER(SEARCH("Anti Tarnish",Upload!R405&amp;Upload!S405&amp;Upload!T405&amp;Upload!U405&amp;Upload!V405))))),"",0.0012*C415)</f>
        <v/>
      </c>
      <c r="Q415" s="15" t="str">
        <f>IF(OR(E415="",NOT(OR(ISNUMBER(SEARCH("Epóxico MT",Upload!R405&amp;Upload!S405&amp;Upload!T405&amp;Upload!U405&amp;Upload!V405))))),"",E415*0.000035)</f>
        <v/>
      </c>
      <c r="R415" s="15" t="str">
        <f>IF(OR(F415="",NOT(OR(ISNUMBER(SEARCH("Epóxico BT",Upload!S405&amp;Upload!T405&amp;Upload!U405&amp;Upload!V405&amp;Upload!W405))))),"",F415*0.000035)</f>
        <v/>
      </c>
      <c r="S415" s="15" t="str">
        <f>IF(OR(G415="",NOT(OR(ISNUMBER(SEARCH("Epóxico Rojo",Upload!T405&amp;Upload!U405&amp;Upload!V405&amp;Upload!W405&amp;Upload!X405))))),"",G415*0.000035)</f>
        <v/>
      </c>
    </row>
    <row r="416" spans="1:19" x14ac:dyDescent="0.2">
      <c r="A416" s="9" t="e">
        <f t="shared" ca="1" si="41"/>
        <v>#NAME?</v>
      </c>
      <c r="B416" s="9">
        <f>Upload!G406</f>
        <v>0</v>
      </c>
      <c r="C416" s="9">
        <f>Upload!AN406</f>
        <v>0</v>
      </c>
      <c r="D416" s="9">
        <f>Upload!AO406</f>
        <v>0</v>
      </c>
      <c r="E416" s="9">
        <f>Upload!AP406</f>
        <v>0</v>
      </c>
      <c r="F416" s="9" t="str">
        <f>Upload!AK406</f>
        <v/>
      </c>
      <c r="G416" s="9" t="str">
        <f>Upload!AM406</f>
        <v/>
      </c>
      <c r="H416" s="9" t="str">
        <f>Upload!AJ406</f>
        <v>(seleccione)</v>
      </c>
      <c r="I416" s="9" t="str">
        <f>Upload!AL406</f>
        <v>(seleccione)</v>
      </c>
      <c r="K416" s="15" t="str">
        <f t="shared" si="36"/>
        <v/>
      </c>
      <c r="L416" s="15" t="str">
        <f t="shared" si="37"/>
        <v/>
      </c>
      <c r="M416" s="15" t="str">
        <f t="shared" si="38"/>
        <v/>
      </c>
      <c r="N416" s="15" t="str">
        <f t="shared" si="39"/>
        <v/>
      </c>
      <c r="O416" s="15" t="str">
        <f t="shared" si="40"/>
        <v/>
      </c>
      <c r="P416" s="15" t="str">
        <f>IF(OR(C416="",NOT(OR(ISNUMBER(SEARCH("Antitarnish",Upload!R406&amp;Upload!S406&amp;Upload!T406&amp;Upload!U406&amp;Upload!V406)),ISNUMBER(SEARCH("Anti Tarnish",Upload!R406&amp;Upload!S406&amp;Upload!T406&amp;Upload!U406&amp;Upload!V406))))),"",0.0012*C416)</f>
        <v/>
      </c>
      <c r="Q416" s="15" t="str">
        <f>IF(OR(E416="",NOT(OR(ISNUMBER(SEARCH("Epóxico MT",Upload!R406&amp;Upload!S406&amp;Upload!T406&amp;Upload!U406&amp;Upload!V406))))),"",E416*0.000035)</f>
        <v/>
      </c>
      <c r="R416" s="15" t="str">
        <f>IF(OR(F416="",NOT(OR(ISNUMBER(SEARCH("Epóxico BT",Upload!S406&amp;Upload!T406&amp;Upload!U406&amp;Upload!V406&amp;Upload!W406))))),"",F416*0.000035)</f>
        <v/>
      </c>
      <c r="S416" s="15" t="str">
        <f>IF(OR(G416="",NOT(OR(ISNUMBER(SEARCH("Epóxico Rojo",Upload!T406&amp;Upload!U406&amp;Upload!V406&amp;Upload!W406&amp;Upload!X406))))),"",G416*0.000035)</f>
        <v/>
      </c>
    </row>
    <row r="417" spans="1:19" x14ac:dyDescent="0.2">
      <c r="A417" s="9" t="e">
        <f t="shared" ca="1" si="41"/>
        <v>#NAME?</v>
      </c>
      <c r="B417" s="9">
        <f>Upload!G407</f>
        <v>0</v>
      </c>
      <c r="C417" s="9">
        <f>Upload!AN407</f>
        <v>0</v>
      </c>
      <c r="D417" s="9">
        <f>Upload!AO407</f>
        <v>0</v>
      </c>
      <c r="E417" s="9">
        <f>Upload!AP407</f>
        <v>0</v>
      </c>
      <c r="F417" s="9" t="str">
        <f>Upload!AK407</f>
        <v/>
      </c>
      <c r="G417" s="9" t="str">
        <f>Upload!AM407</f>
        <v/>
      </c>
      <c r="H417" s="9" t="str">
        <f>Upload!AJ407</f>
        <v>(seleccione)</v>
      </c>
      <c r="I417" s="9" t="str">
        <f>Upload!AL407</f>
        <v>(seleccione)</v>
      </c>
      <c r="K417" s="15" t="str">
        <f t="shared" si="36"/>
        <v/>
      </c>
      <c r="L417" s="15" t="str">
        <f t="shared" si="37"/>
        <v/>
      </c>
      <c r="M417" s="15" t="str">
        <f t="shared" si="38"/>
        <v/>
      </c>
      <c r="N417" s="15" t="str">
        <f t="shared" si="39"/>
        <v/>
      </c>
      <c r="O417" s="15" t="str">
        <f t="shared" si="40"/>
        <v/>
      </c>
      <c r="P417" s="15" t="str">
        <f>IF(OR(C417="",NOT(OR(ISNUMBER(SEARCH("Antitarnish",Upload!R407&amp;Upload!S407&amp;Upload!T407&amp;Upload!U407&amp;Upload!V407)),ISNUMBER(SEARCH("Anti Tarnish",Upload!R407&amp;Upload!S407&amp;Upload!T407&amp;Upload!U407&amp;Upload!V407))))),"",0.0012*C417)</f>
        <v/>
      </c>
      <c r="Q417" s="15" t="str">
        <f>IF(OR(E417="",NOT(OR(ISNUMBER(SEARCH("Epóxico MT",Upload!R407&amp;Upload!S407&amp;Upload!T407&amp;Upload!U407&amp;Upload!V407))))),"",E417*0.000035)</f>
        <v/>
      </c>
      <c r="R417" s="15" t="str">
        <f>IF(OR(F417="",NOT(OR(ISNUMBER(SEARCH("Epóxico BT",Upload!S407&amp;Upload!T407&amp;Upload!U407&amp;Upload!V407&amp;Upload!W407))))),"",F417*0.000035)</f>
        <v/>
      </c>
      <c r="S417" s="15" t="str">
        <f>IF(OR(G417="",NOT(OR(ISNUMBER(SEARCH("Epóxico Rojo",Upload!T407&amp;Upload!U407&amp;Upload!V407&amp;Upload!W407&amp;Upload!X407))))),"",G417*0.000035)</f>
        <v/>
      </c>
    </row>
    <row r="418" spans="1:19" x14ac:dyDescent="0.2">
      <c r="A418" s="9" t="e">
        <f t="shared" ca="1" si="41"/>
        <v>#NAME?</v>
      </c>
      <c r="B418" s="9">
        <f>Upload!G408</f>
        <v>0</v>
      </c>
      <c r="C418" s="9">
        <f>Upload!AN408</f>
        <v>0</v>
      </c>
      <c r="D418" s="9">
        <f>Upload!AO408</f>
        <v>0</v>
      </c>
      <c r="E418" s="9">
        <f>Upload!AP408</f>
        <v>0</v>
      </c>
      <c r="F418" s="9" t="str">
        <f>Upload!AK408</f>
        <v/>
      </c>
      <c r="G418" s="9" t="str">
        <f>Upload!AM408</f>
        <v/>
      </c>
      <c r="H418" s="9" t="str">
        <f>Upload!AJ408</f>
        <v>(seleccione)</v>
      </c>
      <c r="I418" s="9" t="str">
        <f>Upload!AL408</f>
        <v>(seleccione)</v>
      </c>
      <c r="K418" s="15" t="str">
        <f t="shared" si="36"/>
        <v/>
      </c>
      <c r="L418" s="15" t="str">
        <f t="shared" si="37"/>
        <v/>
      </c>
      <c r="M418" s="15" t="str">
        <f t="shared" si="38"/>
        <v/>
      </c>
      <c r="N418" s="15" t="str">
        <f t="shared" si="39"/>
        <v/>
      </c>
      <c r="O418" s="15" t="str">
        <f t="shared" si="40"/>
        <v/>
      </c>
      <c r="P418" s="15" t="str">
        <f>IF(OR(C418="",NOT(OR(ISNUMBER(SEARCH("Antitarnish",Upload!R408&amp;Upload!S408&amp;Upload!T408&amp;Upload!U408&amp;Upload!V408)),ISNUMBER(SEARCH("Anti Tarnish",Upload!R408&amp;Upload!S408&amp;Upload!T408&amp;Upload!U408&amp;Upload!V408))))),"",0.0012*C418)</f>
        <v/>
      </c>
      <c r="Q418" s="15" t="str">
        <f>IF(OR(E418="",NOT(OR(ISNUMBER(SEARCH("Epóxico MT",Upload!R408&amp;Upload!S408&amp;Upload!T408&amp;Upload!U408&amp;Upload!V408))))),"",E418*0.000035)</f>
        <v/>
      </c>
      <c r="R418" s="15" t="str">
        <f>IF(OR(F418="",NOT(OR(ISNUMBER(SEARCH("Epóxico BT",Upload!S408&amp;Upload!T408&amp;Upload!U408&amp;Upload!V408&amp;Upload!W408))))),"",F418*0.000035)</f>
        <v/>
      </c>
      <c r="S418" s="15" t="str">
        <f>IF(OR(G418="",NOT(OR(ISNUMBER(SEARCH("Epóxico Rojo",Upload!T408&amp;Upload!U408&amp;Upload!V408&amp;Upload!W408&amp;Upload!X408))))),"",G418*0.000035)</f>
        <v/>
      </c>
    </row>
    <row r="419" spans="1:19" x14ac:dyDescent="0.2">
      <c r="A419" s="9" t="e">
        <f t="shared" ca="1" si="41"/>
        <v>#NAME?</v>
      </c>
      <c r="B419" s="9">
        <f>Upload!G409</f>
        <v>0</v>
      </c>
      <c r="C419" s="9">
        <f>Upload!AN409</f>
        <v>0</v>
      </c>
      <c r="D419" s="9">
        <f>Upload!AO409</f>
        <v>0</v>
      </c>
      <c r="E419" s="9">
        <f>Upload!AP409</f>
        <v>0</v>
      </c>
      <c r="F419" s="9" t="str">
        <f>Upload!AK409</f>
        <v/>
      </c>
      <c r="G419" s="9" t="str">
        <f>Upload!AM409</f>
        <v/>
      </c>
      <c r="H419" s="9" t="str">
        <f>Upload!AJ409</f>
        <v>(seleccione)</v>
      </c>
      <c r="I419" s="9" t="str">
        <f>Upload!AL409</f>
        <v>(seleccione)</v>
      </c>
      <c r="K419" s="15" t="str">
        <f t="shared" si="36"/>
        <v/>
      </c>
      <c r="L419" s="15" t="str">
        <f t="shared" si="37"/>
        <v/>
      </c>
      <c r="M419" s="15" t="str">
        <f t="shared" si="38"/>
        <v/>
      </c>
      <c r="N419" s="15" t="str">
        <f t="shared" si="39"/>
        <v/>
      </c>
      <c r="O419" s="15" t="str">
        <f t="shared" si="40"/>
        <v/>
      </c>
      <c r="P419" s="15" t="str">
        <f>IF(OR(C419="",NOT(OR(ISNUMBER(SEARCH("Antitarnish",Upload!R409&amp;Upload!S409&amp;Upload!T409&amp;Upload!U409&amp;Upload!V409)),ISNUMBER(SEARCH("Anti Tarnish",Upload!R409&amp;Upload!S409&amp;Upload!T409&amp;Upload!U409&amp;Upload!V409))))),"",0.0012*C419)</f>
        <v/>
      </c>
      <c r="Q419" s="15" t="str">
        <f>IF(OR(E419="",NOT(OR(ISNUMBER(SEARCH("Epóxico MT",Upload!R409&amp;Upload!S409&amp;Upload!T409&amp;Upload!U409&amp;Upload!V409))))),"",E419*0.000035)</f>
        <v/>
      </c>
      <c r="R419" s="15" t="str">
        <f>IF(OR(F419="",NOT(OR(ISNUMBER(SEARCH("Epóxico BT",Upload!S409&amp;Upload!T409&amp;Upload!U409&amp;Upload!V409&amp;Upload!W409))))),"",F419*0.000035)</f>
        <v/>
      </c>
      <c r="S419" s="15" t="str">
        <f>IF(OR(G419="",NOT(OR(ISNUMBER(SEARCH("Epóxico Rojo",Upload!T409&amp;Upload!U409&amp;Upload!V409&amp;Upload!W409&amp;Upload!X409))))),"",G419*0.000035)</f>
        <v/>
      </c>
    </row>
    <row r="420" spans="1:19" x14ac:dyDescent="0.2">
      <c r="A420" s="9" t="e">
        <f t="shared" ca="1" si="41"/>
        <v>#NAME?</v>
      </c>
      <c r="B420" s="9">
        <f>Upload!G410</f>
        <v>0</v>
      </c>
      <c r="C420" s="9">
        <f>Upload!AN410</f>
        <v>0</v>
      </c>
      <c r="D420" s="9">
        <f>Upload!AO410</f>
        <v>0</v>
      </c>
      <c r="E420" s="9">
        <f>Upload!AP410</f>
        <v>0</v>
      </c>
      <c r="F420" s="9" t="str">
        <f>Upload!AK410</f>
        <v/>
      </c>
      <c r="G420" s="9" t="str">
        <f>Upload!AM410</f>
        <v/>
      </c>
      <c r="H420" s="9" t="str">
        <f>Upload!AJ410</f>
        <v>(seleccione)</v>
      </c>
      <c r="I420" s="9" t="str">
        <f>Upload!AL410</f>
        <v>(seleccione)</v>
      </c>
      <c r="K420" s="15" t="str">
        <f t="shared" si="36"/>
        <v/>
      </c>
      <c r="L420" s="15" t="str">
        <f t="shared" si="37"/>
        <v/>
      </c>
      <c r="M420" s="15" t="str">
        <f t="shared" si="38"/>
        <v/>
      </c>
      <c r="N420" s="15" t="str">
        <f t="shared" si="39"/>
        <v/>
      </c>
      <c r="O420" s="15" t="str">
        <f t="shared" si="40"/>
        <v/>
      </c>
      <c r="P420" s="15" t="str">
        <f>IF(OR(C420="",NOT(OR(ISNUMBER(SEARCH("Antitarnish",Upload!R410&amp;Upload!S410&amp;Upload!T410&amp;Upload!U410&amp;Upload!V410)),ISNUMBER(SEARCH("Anti Tarnish",Upload!R410&amp;Upload!S410&amp;Upload!T410&amp;Upload!U410&amp;Upload!V410))))),"",0.0012*C420)</f>
        <v/>
      </c>
      <c r="Q420" s="15" t="str">
        <f>IF(OR(E420="",NOT(OR(ISNUMBER(SEARCH("Epóxico MT",Upload!R410&amp;Upload!S410&amp;Upload!T410&amp;Upload!U410&amp;Upload!V410))))),"",E420*0.000035)</f>
        <v/>
      </c>
      <c r="R420" s="15" t="str">
        <f>IF(OR(F420="",NOT(OR(ISNUMBER(SEARCH("Epóxico BT",Upload!S410&amp;Upload!T410&amp;Upload!U410&amp;Upload!V410&amp;Upload!W410))))),"",F420*0.000035)</f>
        <v/>
      </c>
      <c r="S420" s="15" t="str">
        <f>IF(OR(G420="",NOT(OR(ISNUMBER(SEARCH("Epóxico Rojo",Upload!T410&amp;Upload!U410&amp;Upload!V410&amp;Upload!W410&amp;Upload!X410))))),"",G420*0.000035)</f>
        <v/>
      </c>
    </row>
    <row r="421" spans="1:19" x14ac:dyDescent="0.2">
      <c r="A421" s="9" t="e">
        <f t="shared" ca="1" si="41"/>
        <v>#NAME?</v>
      </c>
      <c r="B421" s="9">
        <f>Upload!G411</f>
        <v>0</v>
      </c>
      <c r="C421" s="9">
        <f>Upload!AN411</f>
        <v>0</v>
      </c>
      <c r="D421" s="9">
        <f>Upload!AO411</f>
        <v>0</v>
      </c>
      <c r="E421" s="9">
        <f>Upload!AP411</f>
        <v>0</v>
      </c>
      <c r="F421" s="9" t="str">
        <f>Upload!AK411</f>
        <v/>
      </c>
      <c r="G421" s="9" t="str">
        <f>Upload!AM411</f>
        <v/>
      </c>
      <c r="H421" s="9" t="str">
        <f>Upload!AJ411</f>
        <v>(seleccione)</v>
      </c>
      <c r="I421" s="9" t="str">
        <f>Upload!AL411</f>
        <v>(seleccione)</v>
      </c>
      <c r="K421" s="15" t="str">
        <f t="shared" si="36"/>
        <v/>
      </c>
      <c r="L421" s="15" t="str">
        <f t="shared" si="37"/>
        <v/>
      </c>
      <c r="M421" s="15" t="str">
        <f t="shared" si="38"/>
        <v/>
      </c>
      <c r="N421" s="15" t="str">
        <f t="shared" si="39"/>
        <v/>
      </c>
      <c r="O421" s="15" t="str">
        <f t="shared" si="40"/>
        <v/>
      </c>
      <c r="P421" s="15" t="str">
        <f>IF(OR(C421="",NOT(OR(ISNUMBER(SEARCH("Antitarnish",Upload!R411&amp;Upload!S411&amp;Upload!T411&amp;Upload!U411&amp;Upload!V411)),ISNUMBER(SEARCH("Anti Tarnish",Upload!R411&amp;Upload!S411&amp;Upload!T411&amp;Upload!U411&amp;Upload!V411))))),"",0.0012*C421)</f>
        <v/>
      </c>
      <c r="Q421" s="15" t="str">
        <f>IF(OR(E421="",NOT(OR(ISNUMBER(SEARCH("Epóxico MT",Upload!R411&amp;Upload!S411&amp;Upload!T411&amp;Upload!U411&amp;Upload!V411))))),"",E421*0.000035)</f>
        <v/>
      </c>
      <c r="R421" s="15" t="str">
        <f>IF(OR(F421="",NOT(OR(ISNUMBER(SEARCH("Epóxico BT",Upload!S411&amp;Upload!T411&amp;Upload!U411&amp;Upload!V411&amp;Upload!W411))))),"",F421*0.000035)</f>
        <v/>
      </c>
      <c r="S421" s="15" t="str">
        <f>IF(OR(G421="",NOT(OR(ISNUMBER(SEARCH("Epóxico Rojo",Upload!T411&amp;Upload!U411&amp;Upload!V411&amp;Upload!W411&amp;Upload!X411))))),"",G421*0.000035)</f>
        <v/>
      </c>
    </row>
    <row r="422" spans="1:19" x14ac:dyDescent="0.2">
      <c r="A422" s="9" t="e">
        <f t="shared" ca="1" si="41"/>
        <v>#NAME?</v>
      </c>
      <c r="B422" s="9">
        <f>Upload!G412</f>
        <v>0</v>
      </c>
      <c r="C422" s="9">
        <f>Upload!AN412</f>
        <v>0</v>
      </c>
      <c r="D422" s="9">
        <f>Upload!AO412</f>
        <v>0</v>
      </c>
      <c r="E422" s="9">
        <f>Upload!AP412</f>
        <v>0</v>
      </c>
      <c r="F422" s="9" t="str">
        <f>Upload!AK412</f>
        <v/>
      </c>
      <c r="G422" s="9" t="str">
        <f>Upload!AM412</f>
        <v/>
      </c>
      <c r="H422" s="9" t="str">
        <f>Upload!AJ412</f>
        <v>(seleccione)</v>
      </c>
      <c r="I422" s="9" t="str">
        <f>Upload!AL412</f>
        <v>(seleccione)</v>
      </c>
      <c r="K422" s="15" t="str">
        <f t="shared" si="36"/>
        <v/>
      </c>
      <c r="L422" s="15" t="str">
        <f t="shared" si="37"/>
        <v/>
      </c>
      <c r="M422" s="15" t="str">
        <f t="shared" si="38"/>
        <v/>
      </c>
      <c r="N422" s="15" t="str">
        <f t="shared" si="39"/>
        <v/>
      </c>
      <c r="O422" s="15" t="str">
        <f t="shared" si="40"/>
        <v/>
      </c>
      <c r="P422" s="15" t="str">
        <f>IF(OR(C422="",NOT(OR(ISNUMBER(SEARCH("Antitarnish",Upload!R412&amp;Upload!S412&amp;Upload!T412&amp;Upload!U412&amp;Upload!V412)),ISNUMBER(SEARCH("Anti Tarnish",Upload!R412&amp;Upload!S412&amp;Upload!T412&amp;Upload!U412&amp;Upload!V412))))),"",0.0012*C422)</f>
        <v/>
      </c>
      <c r="Q422" s="15" t="str">
        <f>IF(OR(E422="",NOT(OR(ISNUMBER(SEARCH("Epóxico MT",Upload!R412&amp;Upload!S412&amp;Upload!T412&amp;Upload!U412&amp;Upload!V412))))),"",E422*0.000035)</f>
        <v/>
      </c>
      <c r="R422" s="15" t="str">
        <f>IF(OR(F422="",NOT(OR(ISNUMBER(SEARCH("Epóxico BT",Upload!S412&amp;Upload!T412&amp;Upload!U412&amp;Upload!V412&amp;Upload!W412))))),"",F422*0.000035)</f>
        <v/>
      </c>
      <c r="S422" s="15" t="str">
        <f>IF(OR(G422="",NOT(OR(ISNUMBER(SEARCH("Epóxico Rojo",Upload!T412&amp;Upload!U412&amp;Upload!V412&amp;Upload!W412&amp;Upload!X412))))),"",G422*0.000035)</f>
        <v/>
      </c>
    </row>
    <row r="423" spans="1:19" x14ac:dyDescent="0.2">
      <c r="A423" s="9" t="e">
        <f t="shared" ca="1" si="41"/>
        <v>#NAME?</v>
      </c>
      <c r="B423" s="9">
        <f>Upload!G413</f>
        <v>0</v>
      </c>
      <c r="C423" s="9">
        <f>Upload!AN413</f>
        <v>0</v>
      </c>
      <c r="D423" s="9">
        <f>Upload!AO413</f>
        <v>0</v>
      </c>
      <c r="E423" s="9">
        <f>Upload!AP413</f>
        <v>0</v>
      </c>
      <c r="F423" s="9" t="str">
        <f>Upload!AK413</f>
        <v/>
      </c>
      <c r="G423" s="9" t="str">
        <f>Upload!AM413</f>
        <v/>
      </c>
      <c r="H423" s="9" t="str">
        <f>Upload!AJ413</f>
        <v>(seleccione)</v>
      </c>
      <c r="I423" s="9" t="str">
        <f>Upload!AL413</f>
        <v>(seleccione)</v>
      </c>
      <c r="K423" s="15" t="str">
        <f t="shared" si="36"/>
        <v/>
      </c>
      <c r="L423" s="15" t="str">
        <f t="shared" si="37"/>
        <v/>
      </c>
      <c r="M423" s="15" t="str">
        <f t="shared" si="38"/>
        <v/>
      </c>
      <c r="N423" s="15" t="str">
        <f t="shared" si="39"/>
        <v/>
      </c>
      <c r="O423" s="15" t="str">
        <f t="shared" si="40"/>
        <v/>
      </c>
      <c r="P423" s="15" t="str">
        <f>IF(OR(C423="",NOT(OR(ISNUMBER(SEARCH("Antitarnish",Upload!R413&amp;Upload!S413&amp;Upload!T413&amp;Upload!U413&amp;Upload!V413)),ISNUMBER(SEARCH("Anti Tarnish",Upload!R413&amp;Upload!S413&amp;Upload!T413&amp;Upload!U413&amp;Upload!V413))))),"",0.0012*C423)</f>
        <v/>
      </c>
      <c r="Q423" s="15" t="str">
        <f>IF(OR(E423="",NOT(OR(ISNUMBER(SEARCH("Epóxico MT",Upload!R413&amp;Upload!S413&amp;Upload!T413&amp;Upload!U413&amp;Upload!V413))))),"",E423*0.000035)</f>
        <v/>
      </c>
      <c r="R423" s="15" t="str">
        <f>IF(OR(F423="",NOT(OR(ISNUMBER(SEARCH("Epóxico BT",Upload!S413&amp;Upload!T413&amp;Upload!U413&amp;Upload!V413&amp;Upload!W413))))),"",F423*0.000035)</f>
        <v/>
      </c>
      <c r="S423" s="15" t="str">
        <f>IF(OR(G423="",NOT(OR(ISNUMBER(SEARCH("Epóxico Rojo",Upload!T413&amp;Upload!U413&amp;Upload!V413&amp;Upload!W413&amp;Upload!X413))))),"",G423*0.000035)</f>
        <v/>
      </c>
    </row>
    <row r="424" spans="1:19" x14ac:dyDescent="0.2">
      <c r="A424" s="9" t="e">
        <f t="shared" ca="1" si="41"/>
        <v>#NAME?</v>
      </c>
      <c r="B424" s="9">
        <f>Upload!G414</f>
        <v>0</v>
      </c>
      <c r="C424" s="9">
        <f>Upload!AN414</f>
        <v>0</v>
      </c>
      <c r="D424" s="9">
        <f>Upload!AO414</f>
        <v>0</v>
      </c>
      <c r="E424" s="9">
        <f>Upload!AP414</f>
        <v>0</v>
      </c>
      <c r="F424" s="9" t="str">
        <f>Upload!AK414</f>
        <v/>
      </c>
      <c r="G424" s="9" t="str">
        <f>Upload!AM414</f>
        <v/>
      </c>
      <c r="H424" s="9" t="str">
        <f>Upload!AJ414</f>
        <v>(seleccione)</v>
      </c>
      <c r="I424" s="9" t="str">
        <f>Upload!AL414</f>
        <v>(seleccione)</v>
      </c>
      <c r="K424" s="15" t="str">
        <f t="shared" si="36"/>
        <v/>
      </c>
      <c r="L424" s="15" t="str">
        <f t="shared" si="37"/>
        <v/>
      </c>
      <c r="M424" s="15" t="str">
        <f t="shared" si="38"/>
        <v/>
      </c>
      <c r="N424" s="15" t="str">
        <f t="shared" si="39"/>
        <v/>
      </c>
      <c r="O424" s="15" t="str">
        <f t="shared" si="40"/>
        <v/>
      </c>
      <c r="P424" s="15" t="str">
        <f>IF(OR(C424="",NOT(OR(ISNUMBER(SEARCH("Antitarnish",Upload!R414&amp;Upload!S414&amp;Upload!T414&amp;Upload!U414&amp;Upload!V414)),ISNUMBER(SEARCH("Anti Tarnish",Upload!R414&amp;Upload!S414&amp;Upload!T414&amp;Upload!U414&amp;Upload!V414))))),"",0.0012*C424)</f>
        <v/>
      </c>
      <c r="Q424" s="15" t="str">
        <f>IF(OR(E424="",NOT(OR(ISNUMBER(SEARCH("Epóxico MT",Upload!R414&amp;Upload!S414&amp;Upload!T414&amp;Upload!U414&amp;Upload!V414))))),"",E424*0.000035)</f>
        <v/>
      </c>
      <c r="R424" s="15" t="str">
        <f>IF(OR(F424="",NOT(OR(ISNUMBER(SEARCH("Epóxico BT",Upload!S414&amp;Upload!T414&amp;Upload!U414&amp;Upload!V414&amp;Upload!W414))))),"",F424*0.000035)</f>
        <v/>
      </c>
      <c r="S424" s="15" t="str">
        <f>IF(OR(G424="",NOT(OR(ISNUMBER(SEARCH("Epóxico Rojo",Upload!T414&amp;Upload!U414&amp;Upload!V414&amp;Upload!W414&amp;Upload!X414))))),"",G424*0.000035)</f>
        <v/>
      </c>
    </row>
    <row r="425" spans="1:19" x14ac:dyDescent="0.2">
      <c r="A425" s="9" t="e">
        <f t="shared" ca="1" si="41"/>
        <v>#NAME?</v>
      </c>
      <c r="B425" s="9">
        <f>Upload!G415</f>
        <v>0</v>
      </c>
      <c r="C425" s="9">
        <f>Upload!AN415</f>
        <v>0</v>
      </c>
      <c r="D425" s="9">
        <f>Upload!AO415</f>
        <v>0</v>
      </c>
      <c r="E425" s="9">
        <f>Upload!AP415</f>
        <v>0</v>
      </c>
      <c r="F425" s="9" t="str">
        <f>Upload!AK415</f>
        <v/>
      </c>
      <c r="G425" s="9" t="str">
        <f>Upload!AM415</f>
        <v/>
      </c>
      <c r="H425" s="9" t="str">
        <f>Upload!AJ415</f>
        <v>(seleccione)</v>
      </c>
      <c r="I425" s="9" t="str">
        <f>Upload!AL415</f>
        <v>(seleccione)</v>
      </c>
      <c r="K425" s="15" t="str">
        <f t="shared" si="36"/>
        <v/>
      </c>
      <c r="L425" s="15" t="str">
        <f t="shared" si="37"/>
        <v/>
      </c>
      <c r="M425" s="15" t="str">
        <f t="shared" si="38"/>
        <v/>
      </c>
      <c r="N425" s="15" t="str">
        <f t="shared" si="39"/>
        <v/>
      </c>
      <c r="O425" s="15" t="str">
        <f t="shared" si="40"/>
        <v/>
      </c>
      <c r="P425" s="15" t="str">
        <f>IF(OR(C425="",NOT(OR(ISNUMBER(SEARCH("Antitarnish",Upload!R415&amp;Upload!S415&amp;Upload!T415&amp;Upload!U415&amp;Upload!V415)),ISNUMBER(SEARCH("Anti Tarnish",Upload!R415&amp;Upload!S415&amp;Upload!T415&amp;Upload!U415&amp;Upload!V415))))),"",0.0012*C425)</f>
        <v/>
      </c>
      <c r="Q425" s="15" t="str">
        <f>IF(OR(E425="",NOT(OR(ISNUMBER(SEARCH("Epóxico MT",Upload!R415&amp;Upload!S415&amp;Upload!T415&amp;Upload!U415&amp;Upload!V415))))),"",E425*0.000035)</f>
        <v/>
      </c>
      <c r="R425" s="15" t="str">
        <f>IF(OR(F425="",NOT(OR(ISNUMBER(SEARCH("Epóxico BT",Upload!S415&amp;Upload!T415&amp;Upload!U415&amp;Upload!V415&amp;Upload!W415))))),"",F425*0.000035)</f>
        <v/>
      </c>
      <c r="S425" s="15" t="str">
        <f>IF(OR(G425="",NOT(OR(ISNUMBER(SEARCH("Epóxico Rojo",Upload!T415&amp;Upload!U415&amp;Upload!V415&amp;Upload!W415&amp;Upload!X415))))),"",G425*0.000035)</f>
        <v/>
      </c>
    </row>
    <row r="426" spans="1:19" x14ac:dyDescent="0.2">
      <c r="A426" s="9" t="e">
        <f t="shared" ca="1" si="41"/>
        <v>#NAME?</v>
      </c>
      <c r="B426" s="9">
        <f>Upload!G416</f>
        <v>0</v>
      </c>
      <c r="C426" s="9">
        <f>Upload!AN416</f>
        <v>0</v>
      </c>
      <c r="D426" s="9">
        <f>Upload!AO416</f>
        <v>0</v>
      </c>
      <c r="E426" s="9">
        <f>Upload!AP416</f>
        <v>0</v>
      </c>
      <c r="F426" s="9" t="str">
        <f>Upload!AK416</f>
        <v/>
      </c>
      <c r="G426" s="9" t="str">
        <f>Upload!AM416</f>
        <v/>
      </c>
      <c r="H426" s="9" t="str">
        <f>Upload!AJ416</f>
        <v>(seleccione)</v>
      </c>
      <c r="I426" s="9" t="str">
        <f>Upload!AL416</f>
        <v>(seleccione)</v>
      </c>
      <c r="K426" s="15" t="str">
        <f t="shared" si="36"/>
        <v/>
      </c>
      <c r="L426" s="15" t="str">
        <f t="shared" si="37"/>
        <v/>
      </c>
      <c r="M426" s="15" t="str">
        <f t="shared" si="38"/>
        <v/>
      </c>
      <c r="N426" s="15" t="str">
        <f t="shared" si="39"/>
        <v/>
      </c>
      <c r="O426" s="15" t="str">
        <f t="shared" si="40"/>
        <v/>
      </c>
      <c r="P426" s="15" t="str">
        <f>IF(OR(C426="",NOT(OR(ISNUMBER(SEARCH("Antitarnish",Upload!R416&amp;Upload!S416&amp;Upload!T416&amp;Upload!U416&amp;Upload!V416)),ISNUMBER(SEARCH("Anti Tarnish",Upload!R416&amp;Upload!S416&amp;Upload!T416&amp;Upload!U416&amp;Upload!V416))))),"",0.0012*C426)</f>
        <v/>
      </c>
      <c r="Q426" s="15" t="str">
        <f>IF(OR(E426="",NOT(OR(ISNUMBER(SEARCH("Epóxico MT",Upload!R416&amp;Upload!S416&amp;Upload!T416&amp;Upload!U416&amp;Upload!V416))))),"",E426*0.000035)</f>
        <v/>
      </c>
      <c r="R426" s="15" t="str">
        <f>IF(OR(F426="",NOT(OR(ISNUMBER(SEARCH("Epóxico BT",Upload!S416&amp;Upload!T416&amp;Upload!U416&amp;Upload!V416&amp;Upload!W416))))),"",F426*0.000035)</f>
        <v/>
      </c>
      <c r="S426" s="15" t="str">
        <f>IF(OR(G426="",NOT(OR(ISNUMBER(SEARCH("Epóxico Rojo",Upload!T416&amp;Upload!U416&amp;Upload!V416&amp;Upload!W416&amp;Upload!X416))))),"",G426*0.000035)</f>
        <v/>
      </c>
    </row>
    <row r="427" spans="1:19" x14ac:dyDescent="0.2">
      <c r="A427" s="9" t="e">
        <f t="shared" ca="1" si="41"/>
        <v>#NAME?</v>
      </c>
      <c r="B427" s="9">
        <f>Upload!G417</f>
        <v>0</v>
      </c>
      <c r="C427" s="9">
        <f>Upload!AN417</f>
        <v>0</v>
      </c>
      <c r="D427" s="9">
        <f>Upload!AO417</f>
        <v>0</v>
      </c>
      <c r="E427" s="9">
        <f>Upload!AP417</f>
        <v>0</v>
      </c>
      <c r="F427" s="9" t="str">
        <f>Upload!AK417</f>
        <v/>
      </c>
      <c r="G427" s="9" t="str">
        <f>Upload!AM417</f>
        <v/>
      </c>
      <c r="H427" s="9" t="str">
        <f>Upload!AJ417</f>
        <v>(seleccione)</v>
      </c>
      <c r="I427" s="9" t="str">
        <f>Upload!AL417</f>
        <v>(seleccione)</v>
      </c>
      <c r="K427" s="15" t="str">
        <f t="shared" si="36"/>
        <v/>
      </c>
      <c r="L427" s="15" t="str">
        <f t="shared" si="37"/>
        <v/>
      </c>
      <c r="M427" s="15" t="str">
        <f t="shared" si="38"/>
        <v/>
      </c>
      <c r="N427" s="15" t="str">
        <f t="shared" si="39"/>
        <v/>
      </c>
      <c r="O427" s="15" t="str">
        <f t="shared" si="40"/>
        <v/>
      </c>
      <c r="P427" s="15" t="str">
        <f>IF(OR(C427="",NOT(OR(ISNUMBER(SEARCH("Antitarnish",Upload!R417&amp;Upload!S417&amp;Upload!T417&amp;Upload!U417&amp;Upload!V417)),ISNUMBER(SEARCH("Anti Tarnish",Upload!R417&amp;Upload!S417&amp;Upload!T417&amp;Upload!U417&amp;Upload!V417))))),"",0.0012*C427)</f>
        <v/>
      </c>
      <c r="Q427" s="15" t="str">
        <f>IF(OR(E427="",NOT(OR(ISNUMBER(SEARCH("Epóxico MT",Upload!R417&amp;Upload!S417&amp;Upload!T417&amp;Upload!U417&amp;Upload!V417))))),"",E427*0.000035)</f>
        <v/>
      </c>
      <c r="R427" s="15" t="str">
        <f>IF(OR(F427="",NOT(OR(ISNUMBER(SEARCH("Epóxico BT",Upload!S417&amp;Upload!T417&amp;Upload!U417&amp;Upload!V417&amp;Upload!W417))))),"",F427*0.000035)</f>
        <v/>
      </c>
      <c r="S427" s="15" t="str">
        <f>IF(OR(G427="",NOT(OR(ISNUMBER(SEARCH("Epóxico Rojo",Upload!T417&amp;Upload!U417&amp;Upload!V417&amp;Upload!W417&amp;Upload!X417))))),"",G427*0.000035)</f>
        <v/>
      </c>
    </row>
    <row r="428" spans="1:19" x14ac:dyDescent="0.2">
      <c r="A428" s="9" t="e">
        <f t="shared" ca="1" si="41"/>
        <v>#NAME?</v>
      </c>
      <c r="B428" s="9">
        <f>Upload!G418</f>
        <v>0</v>
      </c>
      <c r="C428" s="9">
        <f>Upload!AN418</f>
        <v>0</v>
      </c>
      <c r="D428" s="9">
        <f>Upload!AO418</f>
        <v>0</v>
      </c>
      <c r="E428" s="9">
        <f>Upload!AP418</f>
        <v>0</v>
      </c>
      <c r="F428" s="9" t="str">
        <f>Upload!AK418</f>
        <v/>
      </c>
      <c r="G428" s="9" t="str">
        <f>Upload!AM418</f>
        <v/>
      </c>
      <c r="H428" s="9" t="str">
        <f>Upload!AJ418</f>
        <v>(seleccione)</v>
      </c>
      <c r="I428" s="9" t="str">
        <f>Upload!AL418</f>
        <v>(seleccione)</v>
      </c>
      <c r="K428" s="15" t="str">
        <f t="shared" si="36"/>
        <v/>
      </c>
      <c r="L428" s="15" t="str">
        <f t="shared" si="37"/>
        <v/>
      </c>
      <c r="M428" s="15" t="str">
        <f t="shared" si="38"/>
        <v/>
      </c>
      <c r="N428" s="15" t="str">
        <f t="shared" si="39"/>
        <v/>
      </c>
      <c r="O428" s="15" t="str">
        <f t="shared" si="40"/>
        <v/>
      </c>
      <c r="P428" s="15" t="str">
        <f>IF(OR(C428="",NOT(OR(ISNUMBER(SEARCH("Antitarnish",Upload!R418&amp;Upload!S418&amp;Upload!T418&amp;Upload!U418&amp;Upload!V418)),ISNUMBER(SEARCH("Anti Tarnish",Upload!R418&amp;Upload!S418&amp;Upload!T418&amp;Upload!U418&amp;Upload!V418))))),"",0.0012*C428)</f>
        <v/>
      </c>
      <c r="Q428" s="15" t="str">
        <f>IF(OR(E428="",NOT(OR(ISNUMBER(SEARCH("Epóxico MT",Upload!R418&amp;Upload!S418&amp;Upload!T418&amp;Upload!U418&amp;Upload!V418))))),"",E428*0.000035)</f>
        <v/>
      </c>
      <c r="R428" s="15" t="str">
        <f>IF(OR(F428="",NOT(OR(ISNUMBER(SEARCH("Epóxico BT",Upload!S418&amp;Upload!T418&amp;Upload!U418&amp;Upload!V418&amp;Upload!W418))))),"",F428*0.000035)</f>
        <v/>
      </c>
      <c r="S428" s="15" t="str">
        <f>IF(OR(G428="",NOT(OR(ISNUMBER(SEARCH("Epóxico Rojo",Upload!T418&amp;Upload!U418&amp;Upload!V418&amp;Upload!W418&amp;Upload!X418))))),"",G428*0.000035)</f>
        <v/>
      </c>
    </row>
    <row r="429" spans="1:19" x14ac:dyDescent="0.2">
      <c r="A429" s="9" t="e">
        <f t="shared" ca="1" si="41"/>
        <v>#NAME?</v>
      </c>
      <c r="B429" s="9">
        <f>Upload!G419</f>
        <v>0</v>
      </c>
      <c r="C429" s="9">
        <f>Upload!AN419</f>
        <v>0</v>
      </c>
      <c r="D429" s="9">
        <f>Upload!AO419</f>
        <v>0</v>
      </c>
      <c r="E429" s="9">
        <f>Upload!AP419</f>
        <v>0</v>
      </c>
      <c r="F429" s="9" t="str">
        <f>Upload!AK419</f>
        <v/>
      </c>
      <c r="G429" s="9" t="str">
        <f>Upload!AM419</f>
        <v/>
      </c>
      <c r="H429" s="9" t="str">
        <f>Upload!AJ419</f>
        <v>(seleccione)</v>
      </c>
      <c r="I429" s="9" t="str">
        <f>Upload!AL419</f>
        <v>(seleccione)</v>
      </c>
      <c r="K429" s="15" t="str">
        <f t="shared" si="36"/>
        <v/>
      </c>
      <c r="L429" s="15" t="str">
        <f t="shared" si="37"/>
        <v/>
      </c>
      <c r="M429" s="15" t="str">
        <f t="shared" si="38"/>
        <v/>
      </c>
      <c r="N429" s="15" t="str">
        <f t="shared" si="39"/>
        <v/>
      </c>
      <c r="O429" s="15" t="str">
        <f t="shared" si="40"/>
        <v/>
      </c>
      <c r="P429" s="15" t="str">
        <f>IF(OR(C429="",NOT(OR(ISNUMBER(SEARCH("Antitarnish",Upload!R419&amp;Upload!S419&amp;Upload!T419&amp;Upload!U419&amp;Upload!V419)),ISNUMBER(SEARCH("Anti Tarnish",Upload!R419&amp;Upload!S419&amp;Upload!T419&amp;Upload!U419&amp;Upload!V419))))),"",0.0012*C429)</f>
        <v/>
      </c>
      <c r="Q429" s="15" t="str">
        <f>IF(OR(E429="",NOT(OR(ISNUMBER(SEARCH("Epóxico MT",Upload!R419&amp;Upload!S419&amp;Upload!T419&amp;Upload!U419&amp;Upload!V419))))),"",E429*0.000035)</f>
        <v/>
      </c>
      <c r="R429" s="15" t="str">
        <f>IF(OR(F429="",NOT(OR(ISNUMBER(SEARCH("Epóxico BT",Upload!S419&amp;Upload!T419&amp;Upload!U419&amp;Upload!V419&amp;Upload!W419))))),"",F429*0.000035)</f>
        <v/>
      </c>
      <c r="S429" s="15" t="str">
        <f>IF(OR(G429="",NOT(OR(ISNUMBER(SEARCH("Epóxico Rojo",Upload!T419&amp;Upload!U419&amp;Upload!V419&amp;Upload!W419&amp;Upload!X419))))),"",G429*0.000035)</f>
        <v/>
      </c>
    </row>
    <row r="430" spans="1:19" x14ac:dyDescent="0.2">
      <c r="A430" s="9" t="e">
        <f t="shared" ca="1" si="41"/>
        <v>#NAME?</v>
      </c>
      <c r="B430" s="9">
        <f>Upload!G420</f>
        <v>0</v>
      </c>
      <c r="C430" s="9">
        <f>Upload!AN420</f>
        <v>0</v>
      </c>
      <c r="D430" s="9">
        <f>Upload!AO420</f>
        <v>0</v>
      </c>
      <c r="E430" s="9">
        <f>Upload!AP420</f>
        <v>0</v>
      </c>
      <c r="F430" s="9" t="str">
        <f>Upload!AK420</f>
        <v/>
      </c>
      <c r="G430" s="9" t="str">
        <f>Upload!AM420</f>
        <v/>
      </c>
      <c r="H430" s="9" t="str">
        <f>Upload!AJ420</f>
        <v>(seleccione)</v>
      </c>
      <c r="I430" s="9" t="str">
        <f>Upload!AL420</f>
        <v>(seleccione)</v>
      </c>
      <c r="K430" s="15" t="str">
        <f t="shared" si="36"/>
        <v/>
      </c>
      <c r="L430" s="15" t="str">
        <f t="shared" si="37"/>
        <v/>
      </c>
      <c r="M430" s="15" t="str">
        <f t="shared" si="38"/>
        <v/>
      </c>
      <c r="N430" s="15" t="str">
        <f t="shared" si="39"/>
        <v/>
      </c>
      <c r="O430" s="15" t="str">
        <f t="shared" si="40"/>
        <v/>
      </c>
      <c r="P430" s="15" t="str">
        <f>IF(OR(C430="",NOT(OR(ISNUMBER(SEARCH("Antitarnish",Upload!R420&amp;Upload!S420&amp;Upload!T420&amp;Upload!U420&amp;Upload!V420)),ISNUMBER(SEARCH("Anti Tarnish",Upload!R420&amp;Upload!S420&amp;Upload!T420&amp;Upload!U420&amp;Upload!V420))))),"",0.0012*C430)</f>
        <v/>
      </c>
      <c r="Q430" s="15" t="str">
        <f>IF(OR(E430="",NOT(OR(ISNUMBER(SEARCH("Epóxico MT",Upload!R420&amp;Upload!S420&amp;Upload!T420&amp;Upload!U420&amp;Upload!V420))))),"",E430*0.000035)</f>
        <v/>
      </c>
      <c r="R430" s="15" t="str">
        <f>IF(OR(F430="",NOT(OR(ISNUMBER(SEARCH("Epóxico BT",Upload!S420&amp;Upload!T420&amp;Upload!U420&amp;Upload!V420&amp;Upload!W420))))),"",F430*0.000035)</f>
        <v/>
      </c>
      <c r="S430" s="15" t="str">
        <f>IF(OR(G430="",NOT(OR(ISNUMBER(SEARCH("Epóxico Rojo",Upload!T420&amp;Upload!U420&amp;Upload!V420&amp;Upload!W420&amp;Upload!X420))))),"",G430*0.000035)</f>
        <v/>
      </c>
    </row>
    <row r="431" spans="1:19" x14ac:dyDescent="0.2">
      <c r="A431" s="9" t="e">
        <f t="shared" ca="1" si="41"/>
        <v>#NAME?</v>
      </c>
      <c r="B431" s="9">
        <f>Upload!G421</f>
        <v>0</v>
      </c>
      <c r="C431" s="9">
        <f>Upload!AN421</f>
        <v>0</v>
      </c>
      <c r="D431" s="9">
        <f>Upload!AO421</f>
        <v>0</v>
      </c>
      <c r="E431" s="9">
        <f>Upload!AP421</f>
        <v>0</v>
      </c>
      <c r="F431" s="9" t="str">
        <f>Upload!AK421</f>
        <v/>
      </c>
      <c r="G431" s="9" t="str">
        <f>Upload!AM421</f>
        <v/>
      </c>
      <c r="H431" s="9" t="str">
        <f>Upload!AJ421</f>
        <v>(seleccione)</v>
      </c>
      <c r="I431" s="9" t="str">
        <f>Upload!AL421</f>
        <v>(seleccione)</v>
      </c>
      <c r="K431" s="15" t="str">
        <f t="shared" si="36"/>
        <v/>
      </c>
      <c r="L431" s="15" t="str">
        <f t="shared" si="37"/>
        <v/>
      </c>
      <c r="M431" s="15" t="str">
        <f t="shared" si="38"/>
        <v/>
      </c>
      <c r="N431" s="15" t="str">
        <f t="shared" si="39"/>
        <v/>
      </c>
      <c r="O431" s="15" t="str">
        <f t="shared" si="40"/>
        <v/>
      </c>
      <c r="P431" s="15" t="str">
        <f>IF(OR(C431="",NOT(OR(ISNUMBER(SEARCH("Antitarnish",Upload!R421&amp;Upload!S421&amp;Upload!T421&amp;Upload!U421&amp;Upload!V421)),ISNUMBER(SEARCH("Anti Tarnish",Upload!R421&amp;Upload!S421&amp;Upload!T421&amp;Upload!U421&amp;Upload!V421))))),"",0.0012*C431)</f>
        <v/>
      </c>
      <c r="Q431" s="15" t="str">
        <f>IF(OR(E431="",NOT(OR(ISNUMBER(SEARCH("Epóxico MT",Upload!R421&amp;Upload!S421&amp;Upload!T421&amp;Upload!U421&amp;Upload!V421))))),"",E431*0.000035)</f>
        <v/>
      </c>
      <c r="R431" s="15" t="str">
        <f>IF(OR(F431="",NOT(OR(ISNUMBER(SEARCH("Epóxico BT",Upload!S421&amp;Upload!T421&amp;Upload!U421&amp;Upload!V421&amp;Upload!W421))))),"",F431*0.000035)</f>
        <v/>
      </c>
      <c r="S431" s="15" t="str">
        <f>IF(OR(G431="",NOT(OR(ISNUMBER(SEARCH("Epóxico Rojo",Upload!T421&amp;Upload!U421&amp;Upload!V421&amp;Upload!W421&amp;Upload!X421))))),"",G431*0.000035)</f>
        <v/>
      </c>
    </row>
    <row r="432" spans="1:19" x14ac:dyDescent="0.2">
      <c r="A432" s="9" t="e">
        <f t="shared" ca="1" si="41"/>
        <v>#NAME?</v>
      </c>
      <c r="B432" s="9">
        <f>Upload!G422</f>
        <v>0</v>
      </c>
      <c r="C432" s="9">
        <f>Upload!AN422</f>
        <v>0</v>
      </c>
      <c r="D432" s="9">
        <f>Upload!AO422</f>
        <v>0</v>
      </c>
      <c r="E432" s="9">
        <f>Upload!AP422</f>
        <v>0</v>
      </c>
      <c r="F432" s="9" t="str">
        <f>Upload!AK422</f>
        <v/>
      </c>
      <c r="G432" s="9" t="str">
        <f>Upload!AM422</f>
        <v/>
      </c>
      <c r="H432" s="9" t="str">
        <f>Upload!AJ422</f>
        <v>(seleccione)</v>
      </c>
      <c r="I432" s="9" t="str">
        <f>Upload!AL422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IF(OR(C432="",NOT(OR(ISNUMBER(SEARCH("Antitarnish",Upload!R422&amp;Upload!S422&amp;Upload!T422&amp;Upload!U422&amp;Upload!V422)),ISNUMBER(SEARCH("Anti Tarnish",Upload!R422&amp;Upload!S422&amp;Upload!T422&amp;Upload!U422&amp;Upload!V422))))),"",0.0012*C432)</f>
        <v/>
      </c>
      <c r="Q432" s="15" t="str">
        <f>IF(OR(E432="",NOT(OR(ISNUMBER(SEARCH("Epóxico MT",Upload!R422&amp;Upload!S422&amp;Upload!T422&amp;Upload!U422&amp;Upload!V422))))),"",E432*0.000035)</f>
        <v/>
      </c>
      <c r="R432" s="15" t="str">
        <f>IF(OR(F432="",NOT(OR(ISNUMBER(SEARCH("Epóxico BT",Upload!S422&amp;Upload!T422&amp;Upload!U422&amp;Upload!V422&amp;Upload!W422))))),"",F432*0.000035)</f>
        <v/>
      </c>
      <c r="S432" s="15" t="str">
        <f>IF(OR(G432="",NOT(OR(ISNUMBER(SEARCH("Epóxico Rojo",Upload!T422&amp;Upload!U422&amp;Upload!V422&amp;Upload!W422&amp;Upload!X422))))),"",G432*0.000035)</f>
        <v/>
      </c>
    </row>
    <row r="433" spans="1:19" x14ac:dyDescent="0.2">
      <c r="A433" s="9" t="e">
        <f t="shared" ca="1" si="41"/>
        <v>#NAME?</v>
      </c>
      <c r="B433" s="9">
        <f>Upload!G423</f>
        <v>0</v>
      </c>
      <c r="C433" s="9">
        <f>Upload!AN423</f>
        <v>0</v>
      </c>
      <c r="D433" s="9">
        <f>Upload!AO423</f>
        <v>0</v>
      </c>
      <c r="E433" s="9">
        <f>Upload!AP423</f>
        <v>0</v>
      </c>
      <c r="F433" s="9" t="str">
        <f>Upload!AK423</f>
        <v/>
      </c>
      <c r="G433" s="9" t="str">
        <f>Upload!AM423</f>
        <v/>
      </c>
      <c r="H433" s="9" t="str">
        <f>Upload!AJ423</f>
        <v>(seleccione)</v>
      </c>
      <c r="I433" s="9" t="str">
        <f>Upload!AL423</f>
        <v>(seleccione)</v>
      </c>
      <c r="K433" s="15" t="str">
        <f t="shared" si="42"/>
        <v/>
      </c>
      <c r="L433" s="15" t="str">
        <f t="shared" si="43"/>
        <v/>
      </c>
      <c r="M433" s="15" t="str">
        <f t="shared" si="44"/>
        <v/>
      </c>
      <c r="N433" s="15" t="str">
        <f t="shared" si="45"/>
        <v/>
      </c>
      <c r="O433" s="15" t="str">
        <f t="shared" si="46"/>
        <v/>
      </c>
      <c r="P433" s="15" t="str">
        <f>IF(OR(C433="",NOT(OR(ISNUMBER(SEARCH("Antitarnish",Upload!R423&amp;Upload!S423&amp;Upload!T423&amp;Upload!U423&amp;Upload!V423)),ISNUMBER(SEARCH("Anti Tarnish",Upload!R423&amp;Upload!S423&amp;Upload!T423&amp;Upload!U423&amp;Upload!V423))))),"",0.0012*C433)</f>
        <v/>
      </c>
      <c r="Q433" s="15" t="str">
        <f>IF(OR(E433="",NOT(OR(ISNUMBER(SEARCH("Epóxico MT",Upload!R423&amp;Upload!S423&amp;Upload!T423&amp;Upload!U423&amp;Upload!V423))))),"",E433*0.000035)</f>
        <v/>
      </c>
      <c r="R433" s="15" t="str">
        <f>IF(OR(F433="",NOT(OR(ISNUMBER(SEARCH("Epóxico BT",Upload!S423&amp;Upload!T423&amp;Upload!U423&amp;Upload!V423&amp;Upload!W423))))),"",F433*0.000035)</f>
        <v/>
      </c>
      <c r="S433" s="15" t="str">
        <f>IF(OR(G433="",NOT(OR(ISNUMBER(SEARCH("Epóxico Rojo",Upload!T423&amp;Upload!U423&amp;Upload!V423&amp;Upload!W423&amp;Upload!X423))))),"",G433*0.000035)</f>
        <v/>
      </c>
    </row>
    <row r="434" spans="1:19" x14ac:dyDescent="0.2">
      <c r="A434" s="9" t="e">
        <f t="shared" ca="1" si="41"/>
        <v>#NAME?</v>
      </c>
      <c r="B434" s="9">
        <f>Upload!G424</f>
        <v>0</v>
      </c>
      <c r="C434" s="9">
        <f>Upload!AN424</f>
        <v>0</v>
      </c>
      <c r="D434" s="9">
        <f>Upload!AO424</f>
        <v>0</v>
      </c>
      <c r="E434" s="9">
        <f>Upload!AP424</f>
        <v>0</v>
      </c>
      <c r="F434" s="9" t="str">
        <f>Upload!AK424</f>
        <v/>
      </c>
      <c r="G434" s="9" t="str">
        <f>Upload!AM424</f>
        <v/>
      </c>
      <c r="H434" s="9" t="str">
        <f>Upload!AJ424</f>
        <v>(seleccione)</v>
      </c>
      <c r="I434" s="9" t="str">
        <f>Upload!AL424</f>
        <v>(seleccione)</v>
      </c>
      <c r="K434" s="15" t="str">
        <f t="shared" si="42"/>
        <v/>
      </c>
      <c r="L434" s="15" t="str">
        <f t="shared" si="43"/>
        <v/>
      </c>
      <c r="M434" s="15" t="str">
        <f t="shared" si="44"/>
        <v/>
      </c>
      <c r="N434" s="15" t="str">
        <f t="shared" si="45"/>
        <v/>
      </c>
      <c r="O434" s="15" t="str">
        <f t="shared" si="46"/>
        <v/>
      </c>
      <c r="P434" s="15" t="str">
        <f>IF(OR(C434="",NOT(OR(ISNUMBER(SEARCH("Antitarnish",Upload!R424&amp;Upload!S424&amp;Upload!T424&amp;Upload!U424&amp;Upload!V424)),ISNUMBER(SEARCH("Anti Tarnish",Upload!R424&amp;Upload!S424&amp;Upload!T424&amp;Upload!U424&amp;Upload!V424))))),"",0.0012*C434)</f>
        <v/>
      </c>
      <c r="Q434" s="15" t="str">
        <f>IF(OR(E434="",NOT(OR(ISNUMBER(SEARCH("Epóxico MT",Upload!R424&amp;Upload!S424&amp;Upload!T424&amp;Upload!U424&amp;Upload!V424))))),"",E434*0.000035)</f>
        <v/>
      </c>
      <c r="R434" s="15" t="str">
        <f>IF(OR(F434="",NOT(OR(ISNUMBER(SEARCH("Epóxico BT",Upload!S424&amp;Upload!T424&amp;Upload!U424&amp;Upload!V424&amp;Upload!W424))))),"",F434*0.000035)</f>
        <v/>
      </c>
      <c r="S434" s="15" t="str">
        <f>IF(OR(G434="",NOT(OR(ISNUMBER(SEARCH("Epóxico Rojo",Upload!T424&amp;Upload!U424&amp;Upload!V424&amp;Upload!W424&amp;Upload!X424))))),"",G434*0.000035)</f>
        <v/>
      </c>
    </row>
    <row r="435" spans="1:19" x14ac:dyDescent="0.2">
      <c r="A435" s="9" t="e">
        <f t="shared" ca="1" si="41"/>
        <v>#NAME?</v>
      </c>
      <c r="B435" s="9">
        <f>Upload!G425</f>
        <v>0</v>
      </c>
      <c r="C435" s="9">
        <f>Upload!AN425</f>
        <v>0</v>
      </c>
      <c r="D435" s="9">
        <f>Upload!AO425</f>
        <v>0</v>
      </c>
      <c r="E435" s="9">
        <f>Upload!AP425</f>
        <v>0</v>
      </c>
      <c r="F435" s="9" t="str">
        <f>Upload!AK425</f>
        <v/>
      </c>
      <c r="G435" s="9" t="str">
        <f>Upload!AM425</f>
        <v/>
      </c>
      <c r="H435" s="9" t="str">
        <f>Upload!AJ425</f>
        <v>(seleccione)</v>
      </c>
      <c r="I435" s="9" t="str">
        <f>Upload!AL425</f>
        <v>(seleccione)</v>
      </c>
      <c r="K435" s="15" t="str">
        <f t="shared" si="42"/>
        <v/>
      </c>
      <c r="L435" s="15" t="str">
        <f t="shared" si="43"/>
        <v/>
      </c>
      <c r="M435" s="15" t="str">
        <f t="shared" si="44"/>
        <v/>
      </c>
      <c r="N435" s="15" t="str">
        <f t="shared" si="45"/>
        <v/>
      </c>
      <c r="O435" s="15" t="str">
        <f t="shared" si="46"/>
        <v/>
      </c>
      <c r="P435" s="15" t="str">
        <f>IF(OR(C435="",NOT(OR(ISNUMBER(SEARCH("Antitarnish",Upload!R425&amp;Upload!S425&amp;Upload!T425&amp;Upload!U425&amp;Upload!V425)),ISNUMBER(SEARCH("Anti Tarnish",Upload!R425&amp;Upload!S425&amp;Upload!T425&amp;Upload!U425&amp;Upload!V425))))),"",0.0012*C435)</f>
        <v/>
      </c>
      <c r="Q435" s="15" t="str">
        <f>IF(OR(E435="",NOT(OR(ISNUMBER(SEARCH("Epóxico MT",Upload!R425&amp;Upload!S425&amp;Upload!T425&amp;Upload!U425&amp;Upload!V425))))),"",E435*0.000035)</f>
        <v/>
      </c>
      <c r="R435" s="15" t="str">
        <f>IF(OR(F435="",NOT(OR(ISNUMBER(SEARCH("Epóxico BT",Upload!S425&amp;Upload!T425&amp;Upload!U425&amp;Upload!V425&amp;Upload!W425))))),"",F435*0.000035)</f>
        <v/>
      </c>
      <c r="S435" s="15" t="str">
        <f>IF(OR(G435="",NOT(OR(ISNUMBER(SEARCH("Epóxico Rojo",Upload!T425&amp;Upload!U425&amp;Upload!V425&amp;Upload!W425&amp;Upload!X425))))),"",G435*0.000035)</f>
        <v/>
      </c>
    </row>
    <row r="436" spans="1:19" x14ac:dyDescent="0.2">
      <c r="A436" s="9" t="e">
        <f t="shared" ca="1" si="41"/>
        <v>#NAME?</v>
      </c>
      <c r="B436" s="9">
        <f>Upload!G426</f>
        <v>0</v>
      </c>
      <c r="C436" s="9">
        <f>Upload!AN426</f>
        <v>0</v>
      </c>
      <c r="D436" s="9">
        <f>Upload!AO426</f>
        <v>0</v>
      </c>
      <c r="E436" s="9">
        <f>Upload!AP426</f>
        <v>0</v>
      </c>
      <c r="F436" s="9" t="str">
        <f>Upload!AK426</f>
        <v/>
      </c>
      <c r="G436" s="9" t="str">
        <f>Upload!AM426</f>
        <v/>
      </c>
      <c r="H436" s="9" t="str">
        <f>Upload!AJ426</f>
        <v>(seleccione)</v>
      </c>
      <c r="I436" s="9" t="str">
        <f>Upload!AL426</f>
        <v>(seleccione)</v>
      </c>
      <c r="K436" s="15" t="str">
        <f t="shared" si="42"/>
        <v/>
      </c>
      <c r="L436" s="15" t="str">
        <f t="shared" si="43"/>
        <v/>
      </c>
      <c r="M436" s="15" t="str">
        <f t="shared" si="44"/>
        <v/>
      </c>
      <c r="N436" s="15" t="str">
        <f t="shared" si="45"/>
        <v/>
      </c>
      <c r="O436" s="15" t="str">
        <f t="shared" si="46"/>
        <v/>
      </c>
      <c r="P436" s="15" t="str">
        <f>IF(OR(C436="",NOT(OR(ISNUMBER(SEARCH("Antitarnish",Upload!R426&amp;Upload!S426&amp;Upload!T426&amp;Upload!U426&amp;Upload!V426)),ISNUMBER(SEARCH("Anti Tarnish",Upload!R426&amp;Upload!S426&amp;Upload!T426&amp;Upload!U426&amp;Upload!V426))))),"",0.0012*C436)</f>
        <v/>
      </c>
      <c r="Q436" s="15" t="str">
        <f>IF(OR(E436="",NOT(OR(ISNUMBER(SEARCH("Epóxico MT",Upload!R426&amp;Upload!S426&amp;Upload!T426&amp;Upload!U426&amp;Upload!V426))))),"",E436*0.000035)</f>
        <v/>
      </c>
      <c r="R436" s="15" t="str">
        <f>IF(OR(F436="",NOT(OR(ISNUMBER(SEARCH("Epóxico BT",Upload!S426&amp;Upload!T426&amp;Upload!U426&amp;Upload!V426&amp;Upload!W426))))),"",F436*0.000035)</f>
        <v/>
      </c>
      <c r="S436" s="15" t="str">
        <f>IF(OR(G436="",NOT(OR(ISNUMBER(SEARCH("Epóxico Rojo",Upload!T426&amp;Upload!U426&amp;Upload!V426&amp;Upload!W426&amp;Upload!X426))))),"",G436*0.000035)</f>
        <v/>
      </c>
    </row>
    <row r="437" spans="1:19" x14ac:dyDescent="0.2">
      <c r="A437" s="9" t="e">
        <f t="shared" ca="1" si="41"/>
        <v>#NAME?</v>
      </c>
      <c r="B437" s="9">
        <f>Upload!G427</f>
        <v>0</v>
      </c>
      <c r="C437" s="9">
        <f>Upload!AN427</f>
        <v>0</v>
      </c>
      <c r="D437" s="9">
        <f>Upload!AO427</f>
        <v>0</v>
      </c>
      <c r="E437" s="9">
        <f>Upload!AP427</f>
        <v>0</v>
      </c>
      <c r="F437" s="9" t="str">
        <f>Upload!AK427</f>
        <v/>
      </c>
      <c r="G437" s="9" t="str">
        <f>Upload!AM427</f>
        <v/>
      </c>
      <c r="H437" s="9" t="str">
        <f>Upload!AJ427</f>
        <v>(seleccione)</v>
      </c>
      <c r="I437" s="9" t="str">
        <f>Upload!AL427</f>
        <v>(seleccione)</v>
      </c>
      <c r="K437" s="15" t="str">
        <f t="shared" si="42"/>
        <v/>
      </c>
      <c r="L437" s="15" t="str">
        <f t="shared" si="43"/>
        <v/>
      </c>
      <c r="M437" s="15" t="str">
        <f t="shared" si="44"/>
        <v/>
      </c>
      <c r="N437" s="15" t="str">
        <f t="shared" si="45"/>
        <v/>
      </c>
      <c r="O437" s="15" t="str">
        <f t="shared" si="46"/>
        <v/>
      </c>
      <c r="P437" s="15" t="str">
        <f>IF(OR(C437="",NOT(OR(ISNUMBER(SEARCH("Antitarnish",Upload!R427&amp;Upload!S427&amp;Upload!T427&amp;Upload!U427&amp;Upload!V427)),ISNUMBER(SEARCH("Anti Tarnish",Upload!R427&amp;Upload!S427&amp;Upload!T427&amp;Upload!U427&amp;Upload!V427))))),"",0.0012*C437)</f>
        <v/>
      </c>
      <c r="Q437" s="15" t="str">
        <f>IF(OR(E437="",NOT(OR(ISNUMBER(SEARCH("Epóxico MT",Upload!R427&amp;Upload!S427&amp;Upload!T427&amp;Upload!U427&amp;Upload!V427))))),"",E437*0.000035)</f>
        <v/>
      </c>
      <c r="R437" s="15" t="str">
        <f>IF(OR(F437="",NOT(OR(ISNUMBER(SEARCH("Epóxico BT",Upload!S427&amp;Upload!T427&amp;Upload!U427&amp;Upload!V427&amp;Upload!W427))))),"",F437*0.000035)</f>
        <v/>
      </c>
      <c r="S437" s="15" t="str">
        <f>IF(OR(G437="",NOT(OR(ISNUMBER(SEARCH("Epóxico Rojo",Upload!T427&amp;Upload!U427&amp;Upload!V427&amp;Upload!W427&amp;Upload!X427))))),"",G437*0.000035)</f>
        <v/>
      </c>
    </row>
    <row r="438" spans="1:19" x14ac:dyDescent="0.2">
      <c r="A438" s="9" t="e">
        <f t="shared" ca="1" si="41"/>
        <v>#NAME?</v>
      </c>
      <c r="B438" s="9">
        <f>Upload!G428</f>
        <v>0</v>
      </c>
      <c r="C438" s="9">
        <f>Upload!AN428</f>
        <v>0</v>
      </c>
      <c r="D438" s="9">
        <f>Upload!AO428</f>
        <v>0</v>
      </c>
      <c r="E438" s="9">
        <f>Upload!AP428</f>
        <v>0</v>
      </c>
      <c r="F438" s="9" t="str">
        <f>Upload!AK428</f>
        <v/>
      </c>
      <c r="G438" s="9" t="str">
        <f>Upload!AM428</f>
        <v/>
      </c>
      <c r="H438" s="9" t="str">
        <f>Upload!AJ428</f>
        <v>(seleccione)</v>
      </c>
      <c r="I438" s="9" t="str">
        <f>Upload!AL428</f>
        <v>(seleccione)</v>
      </c>
      <c r="K438" s="15" t="str">
        <f t="shared" si="42"/>
        <v/>
      </c>
      <c r="L438" s="15" t="str">
        <f t="shared" si="43"/>
        <v/>
      </c>
      <c r="M438" s="15" t="str">
        <f t="shared" si="44"/>
        <v/>
      </c>
      <c r="N438" s="15" t="str">
        <f t="shared" si="45"/>
        <v/>
      </c>
      <c r="O438" s="15" t="str">
        <f t="shared" si="46"/>
        <v/>
      </c>
      <c r="P438" s="15" t="str">
        <f>IF(OR(C438="",NOT(OR(ISNUMBER(SEARCH("Antitarnish",Upload!R428&amp;Upload!S428&amp;Upload!T428&amp;Upload!U428&amp;Upload!V428)),ISNUMBER(SEARCH("Anti Tarnish",Upload!R428&amp;Upload!S428&amp;Upload!T428&amp;Upload!U428&amp;Upload!V428))))),"",0.0012*C438)</f>
        <v/>
      </c>
      <c r="Q438" s="15" t="str">
        <f>IF(OR(E438="",NOT(OR(ISNUMBER(SEARCH("Epóxico MT",Upload!R428&amp;Upload!S428&amp;Upload!T428&amp;Upload!U428&amp;Upload!V428))))),"",E438*0.000035)</f>
        <v/>
      </c>
      <c r="R438" s="15" t="str">
        <f>IF(OR(F438="",NOT(OR(ISNUMBER(SEARCH("Epóxico BT",Upload!S428&amp;Upload!T428&amp;Upload!U428&amp;Upload!V428&amp;Upload!W428))))),"",F438*0.000035)</f>
        <v/>
      </c>
      <c r="S438" s="15" t="str">
        <f>IF(OR(G438="",NOT(OR(ISNUMBER(SEARCH("Epóxico Rojo",Upload!T428&amp;Upload!U428&amp;Upload!V428&amp;Upload!W428&amp;Upload!X428))))),"",G438*0.000035)</f>
        <v/>
      </c>
    </row>
    <row r="439" spans="1:19" x14ac:dyDescent="0.2">
      <c r="A439" s="9" t="e">
        <f t="shared" ca="1" si="41"/>
        <v>#NAME?</v>
      </c>
      <c r="B439" s="9">
        <f>Upload!G429</f>
        <v>0</v>
      </c>
      <c r="C439" s="9">
        <f>Upload!AN429</f>
        <v>0</v>
      </c>
      <c r="D439" s="9">
        <f>Upload!AO429</f>
        <v>0</v>
      </c>
      <c r="E439" s="9">
        <f>Upload!AP429</f>
        <v>0</v>
      </c>
      <c r="F439" s="9" t="str">
        <f>Upload!AK429</f>
        <v/>
      </c>
      <c r="G439" s="9" t="str">
        <f>Upload!AM429</f>
        <v/>
      </c>
      <c r="H439" s="9" t="str">
        <f>Upload!AJ429</f>
        <v>(seleccione)</v>
      </c>
      <c r="I439" s="9" t="str">
        <f>Upload!AL429</f>
        <v>(seleccione)</v>
      </c>
      <c r="K439" s="15" t="str">
        <f t="shared" si="42"/>
        <v/>
      </c>
      <c r="L439" s="15" t="str">
        <f t="shared" si="43"/>
        <v/>
      </c>
      <c r="M439" s="15" t="str">
        <f t="shared" si="44"/>
        <v/>
      </c>
      <c r="N439" s="15" t="str">
        <f t="shared" si="45"/>
        <v/>
      </c>
      <c r="O439" s="15" t="str">
        <f t="shared" si="46"/>
        <v/>
      </c>
      <c r="P439" s="15" t="str">
        <f>IF(OR(C439="",NOT(OR(ISNUMBER(SEARCH("Antitarnish",Upload!R429&amp;Upload!S429&amp;Upload!T429&amp;Upload!U429&amp;Upload!V429)),ISNUMBER(SEARCH("Anti Tarnish",Upload!R429&amp;Upload!S429&amp;Upload!T429&amp;Upload!U429&amp;Upload!V429))))),"",0.0012*C439)</f>
        <v/>
      </c>
      <c r="Q439" s="15" t="str">
        <f>IF(OR(E439="",NOT(OR(ISNUMBER(SEARCH("Epóxico MT",Upload!R429&amp;Upload!S429&amp;Upload!T429&amp;Upload!U429&amp;Upload!V429))))),"",E439*0.000035)</f>
        <v/>
      </c>
      <c r="R439" s="15" t="str">
        <f>IF(OR(F439="",NOT(OR(ISNUMBER(SEARCH("Epóxico BT",Upload!S429&amp;Upload!T429&amp;Upload!U429&amp;Upload!V429&amp;Upload!W429))))),"",F439*0.000035)</f>
        <v/>
      </c>
      <c r="S439" s="15" t="str">
        <f>IF(OR(G439="",NOT(OR(ISNUMBER(SEARCH("Epóxico Rojo",Upload!T429&amp;Upload!U429&amp;Upload!V429&amp;Upload!W429&amp;Upload!X429))))),"",G439*0.000035)</f>
        <v/>
      </c>
    </row>
    <row r="440" spans="1:19" x14ac:dyDescent="0.2">
      <c r="A440" s="9" t="e">
        <f t="shared" ca="1" si="41"/>
        <v>#NAME?</v>
      </c>
      <c r="B440" s="9">
        <f>Upload!G430</f>
        <v>0</v>
      </c>
      <c r="C440" s="9">
        <f>Upload!AN430</f>
        <v>0</v>
      </c>
      <c r="D440" s="9">
        <f>Upload!AO430</f>
        <v>0</v>
      </c>
      <c r="E440" s="9">
        <f>Upload!AP430</f>
        <v>0</v>
      </c>
      <c r="F440" s="9" t="str">
        <f>Upload!AK430</f>
        <v/>
      </c>
      <c r="G440" s="9" t="str">
        <f>Upload!AM430</f>
        <v/>
      </c>
      <c r="H440" s="9" t="str">
        <f>Upload!AJ430</f>
        <v>(seleccione)</v>
      </c>
      <c r="I440" s="9" t="str">
        <f>Upload!AL430</f>
        <v>(seleccione)</v>
      </c>
      <c r="K440" s="15" t="str">
        <f t="shared" si="42"/>
        <v/>
      </c>
      <c r="L440" s="15" t="str">
        <f t="shared" si="43"/>
        <v/>
      </c>
      <c r="M440" s="15" t="str">
        <f t="shared" si="44"/>
        <v/>
      </c>
      <c r="N440" s="15" t="str">
        <f t="shared" si="45"/>
        <v/>
      </c>
      <c r="O440" s="15" t="str">
        <f t="shared" si="46"/>
        <v/>
      </c>
      <c r="P440" s="15" t="str">
        <f>IF(OR(C440="",NOT(OR(ISNUMBER(SEARCH("Antitarnish",Upload!R430&amp;Upload!S430&amp;Upload!T430&amp;Upload!U430&amp;Upload!V430)),ISNUMBER(SEARCH("Anti Tarnish",Upload!R430&amp;Upload!S430&amp;Upload!T430&amp;Upload!U430&amp;Upload!V430))))),"",0.0012*C440)</f>
        <v/>
      </c>
      <c r="Q440" s="15" t="str">
        <f>IF(OR(E440="",NOT(OR(ISNUMBER(SEARCH("Epóxico MT",Upload!R430&amp;Upload!S430&amp;Upload!T430&amp;Upload!U430&amp;Upload!V430))))),"",E440*0.000035)</f>
        <v/>
      </c>
      <c r="R440" s="15" t="str">
        <f>IF(OR(F440="",NOT(OR(ISNUMBER(SEARCH("Epóxico BT",Upload!S430&amp;Upload!T430&amp;Upload!U430&amp;Upload!V430&amp;Upload!W430))))),"",F440*0.000035)</f>
        <v/>
      </c>
      <c r="S440" s="15" t="str">
        <f>IF(OR(G440="",NOT(OR(ISNUMBER(SEARCH("Epóxico Rojo",Upload!T430&amp;Upload!U430&amp;Upload!V430&amp;Upload!W430&amp;Upload!X430))))),"",G440*0.000035)</f>
        <v/>
      </c>
    </row>
    <row r="441" spans="1:19" x14ac:dyDescent="0.2">
      <c r="A441" s="9" t="e">
        <f t="shared" ca="1" si="41"/>
        <v>#NAME?</v>
      </c>
      <c r="B441" s="9">
        <f>Upload!G431</f>
        <v>0</v>
      </c>
      <c r="C441" s="9">
        <f>Upload!AN431</f>
        <v>0</v>
      </c>
      <c r="D441" s="9">
        <f>Upload!AO431</f>
        <v>0</v>
      </c>
      <c r="E441" s="9">
        <f>Upload!AP431</f>
        <v>0</v>
      </c>
      <c r="F441" s="9" t="str">
        <f>Upload!AK431</f>
        <v/>
      </c>
      <c r="G441" s="9" t="str">
        <f>Upload!AM431</f>
        <v/>
      </c>
      <c r="H441" s="9" t="str">
        <f>Upload!AJ431</f>
        <v>(seleccione)</v>
      </c>
      <c r="I441" s="9" t="str">
        <f>Upload!AL431</f>
        <v>(seleccione)</v>
      </c>
      <c r="K441" s="15" t="str">
        <f t="shared" si="42"/>
        <v/>
      </c>
      <c r="L441" s="15" t="str">
        <f t="shared" si="43"/>
        <v/>
      </c>
      <c r="M441" s="15" t="str">
        <f t="shared" si="44"/>
        <v/>
      </c>
      <c r="N441" s="15" t="str">
        <f t="shared" si="45"/>
        <v/>
      </c>
      <c r="O441" s="15" t="str">
        <f t="shared" si="46"/>
        <v/>
      </c>
      <c r="P441" s="15" t="str">
        <f>IF(OR(C441="",NOT(OR(ISNUMBER(SEARCH("Antitarnish",Upload!R431&amp;Upload!S431&amp;Upload!T431&amp;Upload!U431&amp;Upload!V431)),ISNUMBER(SEARCH("Anti Tarnish",Upload!R431&amp;Upload!S431&amp;Upload!T431&amp;Upload!U431&amp;Upload!V431))))),"",0.0012*C441)</f>
        <v/>
      </c>
      <c r="Q441" s="15" t="str">
        <f>IF(OR(E441="",NOT(OR(ISNUMBER(SEARCH("Epóxico MT",Upload!R431&amp;Upload!S431&amp;Upload!T431&amp;Upload!U431&amp;Upload!V431))))),"",E441*0.000035)</f>
        <v/>
      </c>
      <c r="R441" s="15" t="str">
        <f>IF(OR(F441="",NOT(OR(ISNUMBER(SEARCH("Epóxico BT",Upload!S431&amp;Upload!T431&amp;Upload!U431&amp;Upload!V431&amp;Upload!W431))))),"",F441*0.000035)</f>
        <v/>
      </c>
      <c r="S441" s="15" t="str">
        <f>IF(OR(G441="",NOT(OR(ISNUMBER(SEARCH("Epóxico Rojo",Upload!T431&amp;Upload!U431&amp;Upload!V431&amp;Upload!W431&amp;Upload!X431))))),"",G441*0.000035)</f>
        <v/>
      </c>
    </row>
    <row r="442" spans="1:19" x14ac:dyDescent="0.2">
      <c r="A442" s="9" t="e">
        <f t="shared" ca="1" si="41"/>
        <v>#NAME?</v>
      </c>
      <c r="B442" s="9">
        <f>Upload!G432</f>
        <v>0</v>
      </c>
      <c r="C442" s="9">
        <f>Upload!AN432</f>
        <v>0</v>
      </c>
      <c r="D442" s="9">
        <f>Upload!AO432</f>
        <v>0</v>
      </c>
      <c r="E442" s="9">
        <f>Upload!AP432</f>
        <v>0</v>
      </c>
      <c r="F442" s="9" t="str">
        <f>Upload!AK432</f>
        <v/>
      </c>
      <c r="G442" s="9" t="str">
        <f>Upload!AM432</f>
        <v/>
      </c>
      <c r="H442" s="9" t="str">
        <f>Upload!AJ432</f>
        <v>(seleccione)</v>
      </c>
      <c r="I442" s="9" t="str">
        <f>Upload!AL432</f>
        <v>(seleccione)</v>
      </c>
      <c r="K442" s="15" t="str">
        <f t="shared" si="42"/>
        <v/>
      </c>
      <c r="L442" s="15" t="str">
        <f t="shared" si="43"/>
        <v/>
      </c>
      <c r="M442" s="15" t="str">
        <f t="shared" si="44"/>
        <v/>
      </c>
      <c r="N442" s="15" t="str">
        <f t="shared" si="45"/>
        <v/>
      </c>
      <c r="O442" s="15" t="str">
        <f t="shared" si="46"/>
        <v/>
      </c>
      <c r="P442" s="15" t="str">
        <f>IF(OR(C442="",NOT(OR(ISNUMBER(SEARCH("Antitarnish",Upload!R432&amp;Upload!S432&amp;Upload!T432&amp;Upload!U432&amp;Upload!V432)),ISNUMBER(SEARCH("Anti Tarnish",Upload!R432&amp;Upload!S432&amp;Upload!T432&amp;Upload!U432&amp;Upload!V432))))),"",0.0012*C442)</f>
        <v/>
      </c>
      <c r="Q442" s="15" t="str">
        <f>IF(OR(E442="",NOT(OR(ISNUMBER(SEARCH("Epóxico MT",Upload!R432&amp;Upload!S432&amp;Upload!T432&amp;Upload!U432&amp;Upload!V432))))),"",E442*0.000035)</f>
        <v/>
      </c>
      <c r="R442" s="15" t="str">
        <f>IF(OR(F442="",NOT(OR(ISNUMBER(SEARCH("Epóxico BT",Upload!S432&amp;Upload!T432&amp;Upload!U432&amp;Upload!V432&amp;Upload!W432))))),"",F442*0.000035)</f>
        <v/>
      </c>
      <c r="S442" s="15" t="str">
        <f>IF(OR(G442="",NOT(OR(ISNUMBER(SEARCH("Epóxico Rojo",Upload!T432&amp;Upload!U432&amp;Upload!V432&amp;Upload!W432&amp;Upload!X432))))),"",G442*0.000035)</f>
        <v/>
      </c>
    </row>
    <row r="443" spans="1:19" x14ac:dyDescent="0.2">
      <c r="A443" s="9" t="e">
        <f t="shared" ca="1" si="41"/>
        <v>#NAME?</v>
      </c>
      <c r="B443" s="9">
        <f>Upload!G433</f>
        <v>0</v>
      </c>
      <c r="C443" s="9">
        <f>Upload!AN433</f>
        <v>0</v>
      </c>
      <c r="D443" s="9">
        <f>Upload!AO433</f>
        <v>0</v>
      </c>
      <c r="E443" s="9">
        <f>Upload!AP433</f>
        <v>0</v>
      </c>
      <c r="F443" s="9" t="str">
        <f>Upload!AK433</f>
        <v/>
      </c>
      <c r="G443" s="9" t="str">
        <f>Upload!AM433</f>
        <v/>
      </c>
      <c r="H443" s="9" t="str">
        <f>Upload!AJ433</f>
        <v>(seleccione)</v>
      </c>
      <c r="I443" s="9" t="str">
        <f>Upload!AL433</f>
        <v>(seleccione)</v>
      </c>
      <c r="K443" s="15" t="str">
        <f t="shared" si="42"/>
        <v/>
      </c>
      <c r="L443" s="15" t="str">
        <f t="shared" si="43"/>
        <v/>
      </c>
      <c r="M443" s="15" t="str">
        <f t="shared" si="44"/>
        <v/>
      </c>
      <c r="N443" s="15" t="str">
        <f t="shared" si="45"/>
        <v/>
      </c>
      <c r="O443" s="15" t="str">
        <f t="shared" si="46"/>
        <v/>
      </c>
      <c r="P443" s="15" t="str">
        <f>IF(OR(C443="",NOT(OR(ISNUMBER(SEARCH("Antitarnish",Upload!R433&amp;Upload!S433&amp;Upload!T433&amp;Upload!U433&amp;Upload!V433)),ISNUMBER(SEARCH("Anti Tarnish",Upload!R433&amp;Upload!S433&amp;Upload!T433&amp;Upload!U433&amp;Upload!V433))))),"",0.0012*C443)</f>
        <v/>
      </c>
      <c r="Q443" s="15" t="str">
        <f>IF(OR(E443="",NOT(OR(ISNUMBER(SEARCH("Epóxico MT",Upload!R433&amp;Upload!S433&amp;Upload!T433&amp;Upload!U433&amp;Upload!V433))))),"",E443*0.000035)</f>
        <v/>
      </c>
      <c r="R443" s="15" t="str">
        <f>IF(OR(F443="",NOT(OR(ISNUMBER(SEARCH("Epóxico BT",Upload!S433&amp;Upload!T433&amp;Upload!U433&amp;Upload!V433&amp;Upload!W433))))),"",F443*0.000035)</f>
        <v/>
      </c>
      <c r="S443" s="15" t="str">
        <f>IF(OR(G443="",NOT(OR(ISNUMBER(SEARCH("Epóxico Rojo",Upload!T433&amp;Upload!U433&amp;Upload!V433&amp;Upload!W433&amp;Upload!X433))))),"",G443*0.000035)</f>
        <v/>
      </c>
    </row>
    <row r="444" spans="1:19" x14ac:dyDescent="0.2">
      <c r="A444" s="9" t="e">
        <f t="shared" ca="1" si="41"/>
        <v>#NAME?</v>
      </c>
      <c r="B444" s="9">
        <f>Upload!G434</f>
        <v>0</v>
      </c>
      <c r="C444" s="9">
        <f>Upload!AN434</f>
        <v>0</v>
      </c>
      <c r="D444" s="9">
        <f>Upload!AO434</f>
        <v>0</v>
      </c>
      <c r="E444" s="9">
        <f>Upload!AP434</f>
        <v>0</v>
      </c>
      <c r="F444" s="9" t="str">
        <f>Upload!AK434</f>
        <v/>
      </c>
      <c r="G444" s="9" t="str">
        <f>Upload!AM434</f>
        <v/>
      </c>
      <c r="H444" s="9" t="str">
        <f>Upload!AJ434</f>
        <v>(seleccione)</v>
      </c>
      <c r="I444" s="9" t="str">
        <f>Upload!AL434</f>
        <v>(seleccione)</v>
      </c>
      <c r="K444" s="15" t="str">
        <f t="shared" si="42"/>
        <v/>
      </c>
      <c r="L444" s="15" t="str">
        <f t="shared" si="43"/>
        <v/>
      </c>
      <c r="M444" s="15" t="str">
        <f t="shared" si="44"/>
        <v/>
      </c>
      <c r="N444" s="15" t="str">
        <f t="shared" si="45"/>
        <v/>
      </c>
      <c r="O444" s="15" t="str">
        <f t="shared" si="46"/>
        <v/>
      </c>
      <c r="P444" s="15" t="str">
        <f>IF(OR(C444="",NOT(OR(ISNUMBER(SEARCH("Antitarnish",Upload!R434&amp;Upload!S434&amp;Upload!T434&amp;Upload!U434&amp;Upload!V434)),ISNUMBER(SEARCH("Anti Tarnish",Upload!R434&amp;Upload!S434&amp;Upload!T434&amp;Upload!U434&amp;Upload!V434))))),"",0.0012*C444)</f>
        <v/>
      </c>
      <c r="Q444" s="15" t="str">
        <f>IF(OR(E444="",NOT(OR(ISNUMBER(SEARCH("Epóxico MT",Upload!R434&amp;Upload!S434&amp;Upload!T434&amp;Upload!U434&amp;Upload!V434))))),"",E444*0.000035)</f>
        <v/>
      </c>
      <c r="R444" s="15" t="str">
        <f>IF(OR(F444="",NOT(OR(ISNUMBER(SEARCH("Epóxico BT",Upload!S434&amp;Upload!T434&amp;Upload!U434&amp;Upload!V434&amp;Upload!W434))))),"",F444*0.000035)</f>
        <v/>
      </c>
      <c r="S444" s="15" t="str">
        <f>IF(OR(G444="",NOT(OR(ISNUMBER(SEARCH("Epóxico Rojo",Upload!T434&amp;Upload!U434&amp;Upload!V434&amp;Upload!W434&amp;Upload!X434))))),"",G444*0.000035)</f>
        <v/>
      </c>
    </row>
    <row r="445" spans="1:19" x14ac:dyDescent="0.2">
      <c r="A445" s="9" t="e">
        <f t="shared" ca="1" si="41"/>
        <v>#NAME?</v>
      </c>
      <c r="B445" s="9">
        <f>Upload!G435</f>
        <v>0</v>
      </c>
      <c r="C445" s="9">
        <f>Upload!AN435</f>
        <v>0</v>
      </c>
      <c r="D445" s="9">
        <f>Upload!AO435</f>
        <v>0</v>
      </c>
      <c r="E445" s="9">
        <f>Upload!AP435</f>
        <v>0</v>
      </c>
      <c r="F445" s="9" t="str">
        <f>Upload!AK435</f>
        <v/>
      </c>
      <c r="G445" s="9" t="str">
        <f>Upload!AM435</f>
        <v/>
      </c>
      <c r="H445" s="9" t="str">
        <f>Upload!AJ435</f>
        <v>(seleccione)</v>
      </c>
      <c r="I445" s="9" t="str">
        <f>Upload!AL435</f>
        <v>(seleccione)</v>
      </c>
      <c r="K445" s="15" t="str">
        <f t="shared" si="42"/>
        <v/>
      </c>
      <c r="L445" s="15" t="str">
        <f t="shared" si="43"/>
        <v/>
      </c>
      <c r="M445" s="15" t="str">
        <f t="shared" si="44"/>
        <v/>
      </c>
      <c r="N445" s="15" t="str">
        <f t="shared" si="45"/>
        <v/>
      </c>
      <c r="O445" s="15" t="str">
        <f t="shared" si="46"/>
        <v/>
      </c>
      <c r="P445" s="15" t="str">
        <f>IF(OR(C445="",NOT(OR(ISNUMBER(SEARCH("Antitarnish",Upload!R435&amp;Upload!S435&amp;Upload!T435&amp;Upload!U435&amp;Upload!V435)),ISNUMBER(SEARCH("Anti Tarnish",Upload!R435&amp;Upload!S435&amp;Upload!T435&amp;Upload!U435&amp;Upload!V435))))),"",0.0012*C445)</f>
        <v/>
      </c>
      <c r="Q445" s="15" t="str">
        <f>IF(OR(E445="",NOT(OR(ISNUMBER(SEARCH("Epóxico MT",Upload!R435&amp;Upload!S435&amp;Upload!T435&amp;Upload!U435&amp;Upload!V435))))),"",E445*0.000035)</f>
        <v/>
      </c>
      <c r="R445" s="15" t="str">
        <f>IF(OR(F445="",NOT(OR(ISNUMBER(SEARCH("Epóxico BT",Upload!S435&amp;Upload!T435&amp;Upload!U435&amp;Upload!V435&amp;Upload!W435))))),"",F445*0.000035)</f>
        <v/>
      </c>
      <c r="S445" s="15" t="str">
        <f>IF(OR(G445="",NOT(OR(ISNUMBER(SEARCH("Epóxico Rojo",Upload!T435&amp;Upload!U435&amp;Upload!V435&amp;Upload!W435&amp;Upload!X435))))),"",G445*0.000035)</f>
        <v/>
      </c>
    </row>
    <row r="446" spans="1:19" x14ac:dyDescent="0.2">
      <c r="A446" s="9" t="e">
        <f t="shared" ca="1" si="41"/>
        <v>#NAME?</v>
      </c>
      <c r="B446" s="9">
        <f>Upload!G436</f>
        <v>0</v>
      </c>
      <c r="C446" s="9">
        <f>Upload!AN436</f>
        <v>0</v>
      </c>
      <c r="D446" s="9">
        <f>Upload!AO436</f>
        <v>0</v>
      </c>
      <c r="E446" s="9">
        <f>Upload!AP436</f>
        <v>0</v>
      </c>
      <c r="F446" s="9" t="str">
        <f>Upload!AK436</f>
        <v/>
      </c>
      <c r="G446" s="9" t="str">
        <f>Upload!AM436</f>
        <v/>
      </c>
      <c r="H446" s="9" t="str">
        <f>Upload!AJ436</f>
        <v>(seleccione)</v>
      </c>
      <c r="I446" s="9" t="str">
        <f>Upload!AL436</f>
        <v>(seleccione)</v>
      </c>
      <c r="K446" s="15" t="str">
        <f t="shared" si="42"/>
        <v/>
      </c>
      <c r="L446" s="15" t="str">
        <f t="shared" si="43"/>
        <v/>
      </c>
      <c r="M446" s="15" t="str">
        <f t="shared" si="44"/>
        <v/>
      </c>
      <c r="N446" s="15" t="str">
        <f t="shared" si="45"/>
        <v/>
      </c>
      <c r="O446" s="15" t="str">
        <f t="shared" si="46"/>
        <v/>
      </c>
      <c r="P446" s="15" t="str">
        <f>IF(OR(C446="",NOT(OR(ISNUMBER(SEARCH("Antitarnish",Upload!R436&amp;Upload!S436&amp;Upload!T436&amp;Upload!U436&amp;Upload!V436)),ISNUMBER(SEARCH("Anti Tarnish",Upload!R436&amp;Upload!S436&amp;Upload!T436&amp;Upload!U436&amp;Upload!V436))))),"",0.0012*C446)</f>
        <v/>
      </c>
      <c r="Q446" s="15" t="str">
        <f>IF(OR(E446="",NOT(OR(ISNUMBER(SEARCH("Epóxico MT",Upload!R436&amp;Upload!S436&amp;Upload!T436&amp;Upload!U436&amp;Upload!V436))))),"",E446*0.000035)</f>
        <v/>
      </c>
      <c r="R446" s="15" t="str">
        <f>IF(OR(F446="",NOT(OR(ISNUMBER(SEARCH("Epóxico BT",Upload!S436&amp;Upload!T436&amp;Upload!U436&amp;Upload!V436&amp;Upload!W436))))),"",F446*0.000035)</f>
        <v/>
      </c>
      <c r="S446" s="15" t="str">
        <f>IF(OR(G446="",NOT(OR(ISNUMBER(SEARCH("Epóxico Rojo",Upload!T436&amp;Upload!U436&amp;Upload!V436&amp;Upload!W436&amp;Upload!X436))))),"",G446*0.000035)</f>
        <v/>
      </c>
    </row>
    <row r="447" spans="1:19" x14ac:dyDescent="0.2">
      <c r="A447" s="9" t="e">
        <f t="shared" ca="1" si="41"/>
        <v>#NAME?</v>
      </c>
      <c r="B447" s="9">
        <f>Upload!G437</f>
        <v>0</v>
      </c>
      <c r="C447" s="9">
        <f>Upload!AN437</f>
        <v>0</v>
      </c>
      <c r="D447" s="9">
        <f>Upload!AO437</f>
        <v>0</v>
      </c>
      <c r="E447" s="9">
        <f>Upload!AP437</f>
        <v>0</v>
      </c>
      <c r="F447" s="9" t="str">
        <f>Upload!AK437</f>
        <v/>
      </c>
      <c r="G447" s="9" t="str">
        <f>Upload!AM437</f>
        <v/>
      </c>
      <c r="H447" s="9" t="str">
        <f>Upload!AJ437</f>
        <v>(seleccione)</v>
      </c>
      <c r="I447" s="9" t="str">
        <f>Upload!AL437</f>
        <v>(seleccione)</v>
      </c>
      <c r="K447" s="15" t="str">
        <f t="shared" si="42"/>
        <v/>
      </c>
      <c r="L447" s="15" t="str">
        <f t="shared" si="43"/>
        <v/>
      </c>
      <c r="M447" s="15" t="str">
        <f t="shared" si="44"/>
        <v/>
      </c>
      <c r="N447" s="15" t="str">
        <f t="shared" si="45"/>
        <v/>
      </c>
      <c r="O447" s="15" t="str">
        <f t="shared" si="46"/>
        <v/>
      </c>
      <c r="P447" s="15" t="str">
        <f>IF(OR(C447="",NOT(OR(ISNUMBER(SEARCH("Antitarnish",Upload!R437&amp;Upload!S437&amp;Upload!T437&amp;Upload!U437&amp;Upload!V437)),ISNUMBER(SEARCH("Anti Tarnish",Upload!R437&amp;Upload!S437&amp;Upload!T437&amp;Upload!U437&amp;Upload!V437))))),"",0.0012*C447)</f>
        <v/>
      </c>
      <c r="Q447" s="15" t="str">
        <f>IF(OR(E447="",NOT(OR(ISNUMBER(SEARCH("Epóxico MT",Upload!R437&amp;Upload!S437&amp;Upload!T437&amp;Upload!U437&amp;Upload!V437))))),"",E447*0.000035)</f>
        <v/>
      </c>
      <c r="R447" s="15" t="str">
        <f>IF(OR(F447="",NOT(OR(ISNUMBER(SEARCH("Epóxico BT",Upload!S437&amp;Upload!T437&amp;Upload!U437&amp;Upload!V437&amp;Upload!W437))))),"",F447*0.000035)</f>
        <v/>
      </c>
      <c r="S447" s="15" t="str">
        <f>IF(OR(G447="",NOT(OR(ISNUMBER(SEARCH("Epóxico Rojo",Upload!T437&amp;Upload!U437&amp;Upload!V437&amp;Upload!W437&amp;Upload!X437))))),"",G447*0.000035)</f>
        <v/>
      </c>
    </row>
    <row r="448" spans="1:19" x14ac:dyDescent="0.2">
      <c r="A448" s="9" t="e">
        <f t="shared" ca="1" si="41"/>
        <v>#NAME?</v>
      </c>
      <c r="B448" s="9">
        <f>Upload!G438</f>
        <v>0</v>
      </c>
      <c r="C448" s="9">
        <f>Upload!AN438</f>
        <v>0</v>
      </c>
      <c r="D448" s="9">
        <f>Upload!AO438</f>
        <v>0</v>
      </c>
      <c r="E448" s="9">
        <f>Upload!AP438</f>
        <v>0</v>
      </c>
      <c r="F448" s="9" t="str">
        <f>Upload!AK438</f>
        <v/>
      </c>
      <c r="G448" s="9" t="str">
        <f>Upload!AM438</f>
        <v/>
      </c>
      <c r="H448" s="9" t="str">
        <f>Upload!AJ438</f>
        <v>(seleccione)</v>
      </c>
      <c r="I448" s="9" t="str">
        <f>Upload!AL438</f>
        <v>(seleccione)</v>
      </c>
      <c r="K448" s="15" t="str">
        <f t="shared" si="42"/>
        <v/>
      </c>
      <c r="L448" s="15" t="str">
        <f t="shared" si="43"/>
        <v/>
      </c>
      <c r="M448" s="15" t="str">
        <f t="shared" si="44"/>
        <v/>
      </c>
      <c r="N448" s="15" t="str">
        <f t="shared" si="45"/>
        <v/>
      </c>
      <c r="O448" s="15" t="str">
        <f t="shared" si="46"/>
        <v/>
      </c>
      <c r="P448" s="15" t="str">
        <f>IF(OR(C448="",NOT(OR(ISNUMBER(SEARCH("Antitarnish",Upload!R438&amp;Upload!S438&amp;Upload!T438&amp;Upload!U438&amp;Upload!V438)),ISNUMBER(SEARCH("Anti Tarnish",Upload!R438&amp;Upload!S438&amp;Upload!T438&amp;Upload!U438&amp;Upload!V438))))),"",0.0012*C448)</f>
        <v/>
      </c>
      <c r="Q448" s="15" t="str">
        <f>IF(OR(E448="",NOT(OR(ISNUMBER(SEARCH("Epóxico MT",Upload!R438&amp;Upload!S438&amp;Upload!T438&amp;Upload!U438&amp;Upload!V438))))),"",E448*0.000035)</f>
        <v/>
      </c>
      <c r="R448" s="15" t="str">
        <f>IF(OR(F448="",NOT(OR(ISNUMBER(SEARCH("Epóxico BT",Upload!S438&amp;Upload!T438&amp;Upload!U438&amp;Upload!V438&amp;Upload!W438))))),"",F448*0.000035)</f>
        <v/>
      </c>
      <c r="S448" s="15" t="str">
        <f>IF(OR(G448="",NOT(OR(ISNUMBER(SEARCH("Epóxico Rojo",Upload!T438&amp;Upload!U438&amp;Upload!V438&amp;Upload!W438&amp;Upload!X438))))),"",G448*0.000035)</f>
        <v/>
      </c>
    </row>
    <row r="449" spans="1:19" x14ac:dyDescent="0.2">
      <c r="A449" s="9" t="e">
        <f t="shared" ca="1" si="41"/>
        <v>#NAME?</v>
      </c>
      <c r="B449" s="9">
        <f>Upload!G439</f>
        <v>0</v>
      </c>
      <c r="C449" s="9">
        <f>Upload!AN439</f>
        <v>0</v>
      </c>
      <c r="D449" s="9">
        <f>Upload!AO439</f>
        <v>0</v>
      </c>
      <c r="E449" s="9">
        <f>Upload!AP439</f>
        <v>0</v>
      </c>
      <c r="F449" s="9" t="str">
        <f>Upload!AK439</f>
        <v/>
      </c>
      <c r="G449" s="9" t="str">
        <f>Upload!AM439</f>
        <v/>
      </c>
      <c r="H449" s="9" t="str">
        <f>Upload!AJ439</f>
        <v>(seleccione)</v>
      </c>
      <c r="I449" s="9" t="str">
        <f>Upload!AL439</f>
        <v>(seleccione)</v>
      </c>
      <c r="K449" s="15" t="str">
        <f t="shared" si="42"/>
        <v/>
      </c>
      <c r="L449" s="15" t="str">
        <f t="shared" si="43"/>
        <v/>
      </c>
      <c r="M449" s="15" t="str">
        <f t="shared" si="44"/>
        <v/>
      </c>
      <c r="N449" s="15" t="str">
        <f t="shared" si="45"/>
        <v/>
      </c>
      <c r="O449" s="15" t="str">
        <f t="shared" si="46"/>
        <v/>
      </c>
      <c r="P449" s="15" t="str">
        <f>IF(OR(C449="",NOT(OR(ISNUMBER(SEARCH("Antitarnish",Upload!R439&amp;Upload!S439&amp;Upload!T439&amp;Upload!U439&amp;Upload!V439)),ISNUMBER(SEARCH("Anti Tarnish",Upload!R439&amp;Upload!S439&amp;Upload!T439&amp;Upload!U439&amp;Upload!V439))))),"",0.0012*C449)</f>
        <v/>
      </c>
      <c r="Q449" s="15" t="str">
        <f>IF(OR(E449="",NOT(OR(ISNUMBER(SEARCH("Epóxico MT",Upload!R439&amp;Upload!S439&amp;Upload!T439&amp;Upload!U439&amp;Upload!V439))))),"",E449*0.000035)</f>
        <v/>
      </c>
      <c r="R449" s="15" t="str">
        <f>IF(OR(F449="",NOT(OR(ISNUMBER(SEARCH("Epóxico BT",Upload!S439&amp;Upload!T439&amp;Upload!U439&amp;Upload!V439&amp;Upload!W439))))),"",F449*0.000035)</f>
        <v/>
      </c>
      <c r="S449" s="15" t="str">
        <f>IF(OR(G449="",NOT(OR(ISNUMBER(SEARCH("Epóxico Rojo",Upload!T439&amp;Upload!U439&amp;Upload!V439&amp;Upload!W439&amp;Upload!X439))))),"",G449*0.000035)</f>
        <v/>
      </c>
    </row>
    <row r="450" spans="1:19" x14ac:dyDescent="0.2">
      <c r="A450" s="9" t="e">
        <f t="shared" ca="1" si="41"/>
        <v>#NAME?</v>
      </c>
      <c r="B450" s="9">
        <f>Upload!G440</f>
        <v>0</v>
      </c>
      <c r="C450" s="9">
        <f>Upload!AN440</f>
        <v>0</v>
      </c>
      <c r="D450" s="9">
        <f>Upload!AO440</f>
        <v>0</v>
      </c>
      <c r="E450" s="9">
        <f>Upload!AP440</f>
        <v>0</v>
      </c>
      <c r="F450" s="9" t="str">
        <f>Upload!AK440</f>
        <v/>
      </c>
      <c r="G450" s="9" t="str">
        <f>Upload!AM440</f>
        <v/>
      </c>
      <c r="H450" s="9" t="str">
        <f>Upload!AJ440</f>
        <v>(seleccione)</v>
      </c>
      <c r="I450" s="9" t="str">
        <f>Upload!AL440</f>
        <v>(seleccione)</v>
      </c>
      <c r="K450" s="15" t="str">
        <f t="shared" si="42"/>
        <v/>
      </c>
      <c r="L450" s="15" t="str">
        <f t="shared" si="43"/>
        <v/>
      </c>
      <c r="M450" s="15" t="str">
        <f t="shared" si="44"/>
        <v/>
      </c>
      <c r="N450" s="15" t="str">
        <f t="shared" si="45"/>
        <v/>
      </c>
      <c r="O450" s="15" t="str">
        <f t="shared" si="46"/>
        <v/>
      </c>
      <c r="P450" s="15" t="str">
        <f>IF(OR(C450="",NOT(OR(ISNUMBER(SEARCH("Antitarnish",Upload!R440&amp;Upload!S440&amp;Upload!T440&amp;Upload!U440&amp;Upload!V440)),ISNUMBER(SEARCH("Anti Tarnish",Upload!R440&amp;Upload!S440&amp;Upload!T440&amp;Upload!U440&amp;Upload!V440))))),"",0.0012*C450)</f>
        <v/>
      </c>
      <c r="Q450" s="15" t="str">
        <f>IF(OR(E450="",NOT(OR(ISNUMBER(SEARCH("Epóxico MT",Upload!R440&amp;Upload!S440&amp;Upload!T440&amp;Upload!U440&amp;Upload!V440))))),"",E450*0.000035)</f>
        <v/>
      </c>
      <c r="R450" s="15" t="str">
        <f>IF(OR(F450="",NOT(OR(ISNUMBER(SEARCH("Epóxico BT",Upload!S440&amp;Upload!T440&amp;Upload!U440&amp;Upload!V440&amp;Upload!W440))))),"",F450*0.000035)</f>
        <v/>
      </c>
      <c r="S450" s="15" t="str">
        <f>IF(OR(G450="",NOT(OR(ISNUMBER(SEARCH("Epóxico Rojo",Upload!T440&amp;Upload!U440&amp;Upload!V440&amp;Upload!W440&amp;Upload!X440))))),"",G450*0.000035)</f>
        <v/>
      </c>
    </row>
    <row r="451" spans="1:19" x14ac:dyDescent="0.2">
      <c r="A451" s="9" t="e">
        <f t="shared" ca="1" si="41"/>
        <v>#NAME?</v>
      </c>
      <c r="B451" s="9">
        <f>Upload!G441</f>
        <v>0</v>
      </c>
      <c r="C451" s="9">
        <f>Upload!AN441</f>
        <v>0</v>
      </c>
      <c r="D451" s="9">
        <f>Upload!AO441</f>
        <v>0</v>
      </c>
      <c r="E451" s="9">
        <f>Upload!AP441</f>
        <v>0</v>
      </c>
      <c r="F451" s="9" t="str">
        <f>Upload!AK441</f>
        <v/>
      </c>
      <c r="G451" s="9" t="str">
        <f>Upload!AM441</f>
        <v/>
      </c>
      <c r="H451" s="9" t="str">
        <f>Upload!AJ441</f>
        <v>(seleccione)</v>
      </c>
      <c r="I451" s="9" t="str">
        <f>Upload!AL441</f>
        <v>(seleccione)</v>
      </c>
      <c r="K451" s="15" t="str">
        <f t="shared" si="42"/>
        <v/>
      </c>
      <c r="L451" s="15" t="str">
        <f t="shared" si="43"/>
        <v/>
      </c>
      <c r="M451" s="15" t="str">
        <f t="shared" si="44"/>
        <v/>
      </c>
      <c r="N451" s="15" t="str">
        <f t="shared" si="45"/>
        <v/>
      </c>
      <c r="O451" s="15" t="str">
        <f t="shared" si="46"/>
        <v/>
      </c>
      <c r="P451" s="15" t="str">
        <f>IF(OR(C451="",NOT(OR(ISNUMBER(SEARCH("Antitarnish",Upload!R441&amp;Upload!S441&amp;Upload!T441&amp;Upload!U441&amp;Upload!V441)),ISNUMBER(SEARCH("Anti Tarnish",Upload!R441&amp;Upload!S441&amp;Upload!T441&amp;Upload!U441&amp;Upload!V441))))),"",0.0012*C451)</f>
        <v/>
      </c>
      <c r="Q451" s="15" t="str">
        <f>IF(OR(E451="",NOT(OR(ISNUMBER(SEARCH("Epóxico MT",Upload!R441&amp;Upload!S441&amp;Upload!T441&amp;Upload!U441&amp;Upload!V441))))),"",E451*0.000035)</f>
        <v/>
      </c>
      <c r="R451" s="15" t="str">
        <f>IF(OR(F451="",NOT(OR(ISNUMBER(SEARCH("Epóxico BT",Upload!S441&amp;Upload!T441&amp;Upload!U441&amp;Upload!V441&amp;Upload!W441))))),"",F451*0.000035)</f>
        <v/>
      </c>
      <c r="S451" s="15" t="str">
        <f>IF(OR(G451="",NOT(OR(ISNUMBER(SEARCH("Epóxico Rojo",Upload!T441&amp;Upload!U441&amp;Upload!V441&amp;Upload!W441&amp;Upload!X441))))),"",G451*0.000035)</f>
        <v/>
      </c>
    </row>
    <row r="452" spans="1:19" x14ac:dyDescent="0.2">
      <c r="A452" s="9" t="e">
        <f t="shared" ca="1" si="41"/>
        <v>#NAME?</v>
      </c>
      <c r="B452" s="9">
        <f>Upload!G442</f>
        <v>0</v>
      </c>
      <c r="C452" s="9">
        <f>Upload!AN442</f>
        <v>0</v>
      </c>
      <c r="D452" s="9">
        <f>Upload!AO442</f>
        <v>0</v>
      </c>
      <c r="E452" s="9">
        <f>Upload!AP442</f>
        <v>0</v>
      </c>
      <c r="F452" s="9" t="str">
        <f>Upload!AK442</f>
        <v/>
      </c>
      <c r="G452" s="9" t="str">
        <f>Upload!AM442</f>
        <v/>
      </c>
      <c r="H452" s="9" t="str">
        <f>Upload!AJ442</f>
        <v>(seleccione)</v>
      </c>
      <c r="I452" s="9" t="str">
        <f>Upload!AL442</f>
        <v>(seleccione)</v>
      </c>
      <c r="K452" s="15" t="str">
        <f t="shared" si="42"/>
        <v/>
      </c>
      <c r="L452" s="15" t="str">
        <f t="shared" si="43"/>
        <v/>
      </c>
      <c r="M452" s="15" t="str">
        <f t="shared" si="44"/>
        <v/>
      </c>
      <c r="N452" s="15" t="str">
        <f t="shared" si="45"/>
        <v/>
      </c>
      <c r="O452" s="15" t="str">
        <f t="shared" si="46"/>
        <v/>
      </c>
      <c r="P452" s="15" t="str">
        <f>IF(OR(C452="",NOT(OR(ISNUMBER(SEARCH("Antitarnish",Upload!R442&amp;Upload!S442&amp;Upload!T442&amp;Upload!U442&amp;Upload!V442)),ISNUMBER(SEARCH("Anti Tarnish",Upload!R442&amp;Upload!S442&amp;Upload!T442&amp;Upload!U442&amp;Upload!V442))))),"",0.0012*C452)</f>
        <v/>
      </c>
      <c r="Q452" s="15" t="str">
        <f>IF(OR(E452="",NOT(OR(ISNUMBER(SEARCH("Epóxico MT",Upload!R442&amp;Upload!S442&amp;Upload!T442&amp;Upload!U442&amp;Upload!V442))))),"",E452*0.000035)</f>
        <v/>
      </c>
      <c r="R452" s="15" t="str">
        <f>IF(OR(F452="",NOT(OR(ISNUMBER(SEARCH("Epóxico BT",Upload!S442&amp;Upload!T442&amp;Upload!U442&amp;Upload!V442&amp;Upload!W442))))),"",F452*0.000035)</f>
        <v/>
      </c>
      <c r="S452" s="15" t="str">
        <f>IF(OR(G452="",NOT(OR(ISNUMBER(SEARCH("Epóxico Rojo",Upload!T442&amp;Upload!U442&amp;Upload!V442&amp;Upload!W442&amp;Upload!X442))))),"",G452*0.000035)</f>
        <v/>
      </c>
    </row>
    <row r="453" spans="1:19" x14ac:dyDescent="0.2">
      <c r="A453" s="9" t="e">
        <f t="shared" ca="1" si="41"/>
        <v>#NAME?</v>
      </c>
      <c r="B453" s="9">
        <f>Upload!G443</f>
        <v>0</v>
      </c>
      <c r="C453" s="9">
        <f>Upload!AN443</f>
        <v>0</v>
      </c>
      <c r="D453" s="9">
        <f>Upload!AO443</f>
        <v>0</v>
      </c>
      <c r="E453" s="9">
        <f>Upload!AP443</f>
        <v>0</v>
      </c>
      <c r="F453" s="9" t="str">
        <f>Upload!AK443</f>
        <v/>
      </c>
      <c r="G453" s="9" t="str">
        <f>Upload!AM443</f>
        <v/>
      </c>
      <c r="H453" s="9" t="str">
        <f>Upload!AJ443</f>
        <v>(seleccione)</v>
      </c>
      <c r="I453" s="9" t="str">
        <f>Upload!AL443</f>
        <v>(seleccione)</v>
      </c>
      <c r="K453" s="15" t="str">
        <f t="shared" si="42"/>
        <v/>
      </c>
      <c r="L453" s="15" t="str">
        <f t="shared" si="43"/>
        <v/>
      </c>
      <c r="M453" s="15" t="str">
        <f t="shared" si="44"/>
        <v/>
      </c>
      <c r="N453" s="15" t="str">
        <f t="shared" si="45"/>
        <v/>
      </c>
      <c r="O453" s="15" t="str">
        <f t="shared" si="46"/>
        <v/>
      </c>
      <c r="P453" s="15" t="str">
        <f>IF(OR(C453="",NOT(OR(ISNUMBER(SEARCH("Antitarnish",Upload!R443&amp;Upload!S443&amp;Upload!T443&amp;Upload!U443&amp;Upload!V443)),ISNUMBER(SEARCH("Anti Tarnish",Upload!R443&amp;Upload!S443&amp;Upload!T443&amp;Upload!U443&amp;Upload!V443))))),"",0.0012*C453)</f>
        <v/>
      </c>
      <c r="Q453" s="15" t="str">
        <f>IF(OR(E453="",NOT(OR(ISNUMBER(SEARCH("Epóxico MT",Upload!R443&amp;Upload!S443&amp;Upload!T443&amp;Upload!U443&amp;Upload!V443))))),"",E453*0.000035)</f>
        <v/>
      </c>
      <c r="R453" s="15" t="str">
        <f>IF(OR(F453="",NOT(OR(ISNUMBER(SEARCH("Epóxico BT",Upload!S443&amp;Upload!T443&amp;Upload!U443&amp;Upload!V443&amp;Upload!W443))))),"",F453*0.000035)</f>
        <v/>
      </c>
      <c r="S453" s="15" t="str">
        <f>IF(OR(G453="",NOT(OR(ISNUMBER(SEARCH("Epóxico Rojo",Upload!T443&amp;Upload!U443&amp;Upload!V443&amp;Upload!W443&amp;Upload!X443))))),"",G453*0.000035)</f>
        <v/>
      </c>
    </row>
    <row r="454" spans="1:19" x14ac:dyDescent="0.2">
      <c r="A454" s="9" t="e">
        <f t="shared" ca="1" si="41"/>
        <v>#NAME?</v>
      </c>
      <c r="B454" s="9">
        <f>Upload!G444</f>
        <v>0</v>
      </c>
      <c r="C454" s="9">
        <f>Upload!AN444</f>
        <v>0</v>
      </c>
      <c r="D454" s="9">
        <f>Upload!AO444</f>
        <v>0</v>
      </c>
      <c r="E454" s="9">
        <f>Upload!AP444</f>
        <v>0</v>
      </c>
      <c r="F454" s="9" t="str">
        <f>Upload!AK444</f>
        <v/>
      </c>
      <c r="G454" s="9" t="str">
        <f>Upload!AM444</f>
        <v/>
      </c>
      <c r="H454" s="9" t="str">
        <f>Upload!AJ444</f>
        <v>(seleccione)</v>
      </c>
      <c r="I454" s="9" t="str">
        <f>Upload!AL444</f>
        <v>(seleccione)</v>
      </c>
      <c r="K454" s="15" t="str">
        <f t="shared" si="42"/>
        <v/>
      </c>
      <c r="L454" s="15" t="str">
        <f t="shared" si="43"/>
        <v/>
      </c>
      <c r="M454" s="15" t="str">
        <f t="shared" si="44"/>
        <v/>
      </c>
      <c r="N454" s="15" t="str">
        <f t="shared" si="45"/>
        <v/>
      </c>
      <c r="O454" s="15" t="str">
        <f t="shared" si="46"/>
        <v/>
      </c>
      <c r="P454" s="15" t="str">
        <f>IF(OR(C454="",NOT(OR(ISNUMBER(SEARCH("Antitarnish",Upload!R444&amp;Upload!S444&amp;Upload!T444&amp;Upload!U444&amp;Upload!V444)),ISNUMBER(SEARCH("Anti Tarnish",Upload!R444&amp;Upload!S444&amp;Upload!T444&amp;Upload!U444&amp;Upload!V444))))),"",0.0012*C454)</f>
        <v/>
      </c>
      <c r="Q454" s="15" t="str">
        <f>IF(OR(E454="",NOT(OR(ISNUMBER(SEARCH("Epóxico MT",Upload!R444&amp;Upload!S444&amp;Upload!T444&amp;Upload!U444&amp;Upload!V444))))),"",E454*0.000035)</f>
        <v/>
      </c>
      <c r="R454" s="15" t="str">
        <f>IF(OR(F454="",NOT(OR(ISNUMBER(SEARCH("Epóxico BT",Upload!S444&amp;Upload!T444&amp;Upload!U444&amp;Upload!V444&amp;Upload!W444))))),"",F454*0.000035)</f>
        <v/>
      </c>
      <c r="S454" s="15" t="str">
        <f>IF(OR(G454="",NOT(OR(ISNUMBER(SEARCH("Epóxico Rojo",Upload!T444&amp;Upload!U444&amp;Upload!V444&amp;Upload!W444&amp;Upload!X444))))),"",G454*0.000035)</f>
        <v/>
      </c>
    </row>
    <row r="455" spans="1:19" x14ac:dyDescent="0.2">
      <c r="A455" s="9" t="e">
        <f t="shared" ca="1" si="41"/>
        <v>#NAME?</v>
      </c>
      <c r="B455" s="9">
        <f>Upload!G445</f>
        <v>0</v>
      </c>
      <c r="C455" s="9">
        <f>Upload!AN445</f>
        <v>0</v>
      </c>
      <c r="D455" s="9">
        <f>Upload!AO445</f>
        <v>0</v>
      </c>
      <c r="E455" s="9">
        <f>Upload!AP445</f>
        <v>0</v>
      </c>
      <c r="F455" s="9" t="str">
        <f>Upload!AK445</f>
        <v/>
      </c>
      <c r="G455" s="9" t="str">
        <f>Upload!AM445</f>
        <v/>
      </c>
      <c r="H455" s="9" t="str">
        <f>Upload!AJ445</f>
        <v>(seleccione)</v>
      </c>
      <c r="I455" s="9" t="str">
        <f>Upload!AL445</f>
        <v>(seleccione)</v>
      </c>
      <c r="K455" s="15" t="str">
        <f t="shared" si="42"/>
        <v/>
      </c>
      <c r="L455" s="15" t="str">
        <f t="shared" si="43"/>
        <v/>
      </c>
      <c r="M455" s="15" t="str">
        <f t="shared" si="44"/>
        <v/>
      </c>
      <c r="N455" s="15" t="str">
        <f t="shared" si="45"/>
        <v/>
      </c>
      <c r="O455" s="15" t="str">
        <f t="shared" si="46"/>
        <v/>
      </c>
      <c r="P455" s="15" t="str">
        <f>IF(OR(C455="",NOT(OR(ISNUMBER(SEARCH("Antitarnish",Upload!R445&amp;Upload!S445&amp;Upload!T445&amp;Upload!U445&amp;Upload!V445)),ISNUMBER(SEARCH("Anti Tarnish",Upload!R445&amp;Upload!S445&amp;Upload!T445&amp;Upload!U445&amp;Upload!V445))))),"",0.0012*C455)</f>
        <v/>
      </c>
      <c r="Q455" s="15" t="str">
        <f>IF(OR(E455="",NOT(OR(ISNUMBER(SEARCH("Epóxico MT",Upload!R445&amp;Upload!S445&amp;Upload!T445&amp;Upload!U445&amp;Upload!V445))))),"",E455*0.000035)</f>
        <v/>
      </c>
      <c r="R455" s="15" t="str">
        <f>IF(OR(F455="",NOT(OR(ISNUMBER(SEARCH("Epóxico BT",Upload!S445&amp;Upload!T445&amp;Upload!U445&amp;Upload!V445&amp;Upload!W445))))),"",F455*0.000035)</f>
        <v/>
      </c>
      <c r="S455" s="15" t="str">
        <f>IF(OR(G455="",NOT(OR(ISNUMBER(SEARCH("Epóxico Rojo",Upload!T445&amp;Upload!U445&amp;Upload!V445&amp;Upload!W445&amp;Upload!X445))))),"",G455*0.000035)</f>
        <v/>
      </c>
    </row>
    <row r="456" spans="1:19" x14ac:dyDescent="0.2">
      <c r="A456" s="9" t="e">
        <f t="shared" ca="1" si="41"/>
        <v>#NAME?</v>
      </c>
      <c r="B456" s="9">
        <f>Upload!G446</f>
        <v>0</v>
      </c>
      <c r="C456" s="9">
        <f>Upload!AN446</f>
        <v>0</v>
      </c>
      <c r="D456" s="9">
        <f>Upload!AO446</f>
        <v>0</v>
      </c>
      <c r="E456" s="9">
        <f>Upload!AP446</f>
        <v>0</v>
      </c>
      <c r="F456" s="9" t="str">
        <f>Upload!AK446</f>
        <v/>
      </c>
      <c r="G456" s="9" t="str">
        <f>Upload!AM446</f>
        <v/>
      </c>
      <c r="H456" s="9" t="str">
        <f>Upload!AJ446</f>
        <v>(seleccione)</v>
      </c>
      <c r="I456" s="9" t="str">
        <f>Upload!AL446</f>
        <v>(seleccione)</v>
      </c>
      <c r="K456" s="15" t="str">
        <f t="shared" si="42"/>
        <v/>
      </c>
      <c r="L456" s="15" t="str">
        <f t="shared" si="43"/>
        <v/>
      </c>
      <c r="M456" s="15" t="str">
        <f t="shared" si="44"/>
        <v/>
      </c>
      <c r="N456" s="15" t="str">
        <f t="shared" si="45"/>
        <v/>
      </c>
      <c r="O456" s="15" t="str">
        <f t="shared" si="46"/>
        <v/>
      </c>
      <c r="P456" s="15" t="str">
        <f>IF(OR(C456="",NOT(OR(ISNUMBER(SEARCH("Antitarnish",Upload!R446&amp;Upload!S446&amp;Upload!T446&amp;Upload!U446&amp;Upload!V446)),ISNUMBER(SEARCH("Anti Tarnish",Upload!R446&amp;Upload!S446&amp;Upload!T446&amp;Upload!U446&amp;Upload!V446))))),"",0.0012*C456)</f>
        <v/>
      </c>
      <c r="Q456" s="15" t="str">
        <f>IF(OR(E456="",NOT(OR(ISNUMBER(SEARCH("Epóxico MT",Upload!R446&amp;Upload!S446&amp;Upload!T446&amp;Upload!U446&amp;Upload!V446))))),"",E456*0.000035)</f>
        <v/>
      </c>
      <c r="R456" s="15" t="str">
        <f>IF(OR(F456="",NOT(OR(ISNUMBER(SEARCH("Epóxico BT",Upload!S446&amp;Upload!T446&amp;Upload!U446&amp;Upload!V446&amp;Upload!W446))))),"",F456*0.000035)</f>
        <v/>
      </c>
      <c r="S456" s="15" t="str">
        <f>IF(OR(G456="",NOT(OR(ISNUMBER(SEARCH("Epóxico Rojo",Upload!T446&amp;Upload!U446&amp;Upload!V446&amp;Upload!W446&amp;Upload!X446))))),"",G456*0.000035)</f>
        <v/>
      </c>
    </row>
    <row r="457" spans="1:19" x14ac:dyDescent="0.2">
      <c r="A457" s="9" t="e">
        <f t="shared" ca="1" si="41"/>
        <v>#NAME?</v>
      </c>
      <c r="B457" s="9">
        <f>Upload!G447</f>
        <v>0</v>
      </c>
      <c r="C457" s="9">
        <f>Upload!AN447</f>
        <v>0</v>
      </c>
      <c r="D457" s="9">
        <f>Upload!AO447</f>
        <v>0</v>
      </c>
      <c r="E457" s="9">
        <f>Upload!AP447</f>
        <v>0</v>
      </c>
      <c r="F457" s="9" t="str">
        <f>Upload!AK447</f>
        <v/>
      </c>
      <c r="G457" s="9" t="str">
        <f>Upload!AM447</f>
        <v/>
      </c>
      <c r="H457" s="9" t="str">
        <f>Upload!AJ447</f>
        <v>(seleccione)</v>
      </c>
      <c r="I457" s="9" t="str">
        <f>Upload!AL447</f>
        <v>(seleccione)</v>
      </c>
      <c r="K457" s="15" t="str">
        <f t="shared" si="42"/>
        <v/>
      </c>
      <c r="L457" s="15" t="str">
        <f t="shared" si="43"/>
        <v/>
      </c>
      <c r="M457" s="15" t="str">
        <f t="shared" si="44"/>
        <v/>
      </c>
      <c r="N457" s="15" t="str">
        <f t="shared" si="45"/>
        <v/>
      </c>
      <c r="O457" s="15" t="str">
        <f t="shared" si="46"/>
        <v/>
      </c>
      <c r="P457" s="15" t="str">
        <f>IF(OR(C457="",NOT(OR(ISNUMBER(SEARCH("Antitarnish",Upload!R447&amp;Upload!S447&amp;Upload!T447&amp;Upload!U447&amp;Upload!V447)),ISNUMBER(SEARCH("Anti Tarnish",Upload!R447&amp;Upload!S447&amp;Upload!T447&amp;Upload!U447&amp;Upload!V447))))),"",0.0012*C457)</f>
        <v/>
      </c>
      <c r="Q457" s="15" t="str">
        <f>IF(OR(E457="",NOT(OR(ISNUMBER(SEARCH("Epóxico MT",Upload!R447&amp;Upload!S447&amp;Upload!T447&amp;Upload!U447&amp;Upload!V447))))),"",E457*0.000035)</f>
        <v/>
      </c>
      <c r="R457" s="15" t="str">
        <f>IF(OR(F457="",NOT(OR(ISNUMBER(SEARCH("Epóxico BT",Upload!S447&amp;Upload!T447&amp;Upload!U447&amp;Upload!V447&amp;Upload!W447))))),"",F457*0.000035)</f>
        <v/>
      </c>
      <c r="S457" s="15" t="str">
        <f>IF(OR(G457="",NOT(OR(ISNUMBER(SEARCH("Epóxico Rojo",Upload!T447&amp;Upload!U447&amp;Upload!V447&amp;Upload!W447&amp;Upload!X447))))),"",G457*0.000035)</f>
        <v/>
      </c>
    </row>
    <row r="458" spans="1:19" x14ac:dyDescent="0.2">
      <c r="A458" s="9" t="e">
        <f t="shared" ca="1" si="41"/>
        <v>#NAME?</v>
      </c>
      <c r="B458" s="9">
        <f>Upload!G448</f>
        <v>0</v>
      </c>
      <c r="C458" s="9">
        <f>Upload!AN448</f>
        <v>0</v>
      </c>
      <c r="D458" s="9">
        <f>Upload!AO448</f>
        <v>0</v>
      </c>
      <c r="E458" s="9">
        <f>Upload!AP448</f>
        <v>0</v>
      </c>
      <c r="F458" s="9" t="str">
        <f>Upload!AK448</f>
        <v/>
      </c>
      <c r="G458" s="9" t="str">
        <f>Upload!AM448</f>
        <v/>
      </c>
      <c r="H458" s="9" t="str">
        <f>Upload!AJ448</f>
        <v>(seleccione)</v>
      </c>
      <c r="I458" s="9" t="str">
        <f>Upload!AL448</f>
        <v>(seleccione)</v>
      </c>
      <c r="K458" s="15" t="str">
        <f t="shared" si="42"/>
        <v/>
      </c>
      <c r="L458" s="15" t="str">
        <f t="shared" si="43"/>
        <v/>
      </c>
      <c r="M458" s="15" t="str">
        <f t="shared" si="44"/>
        <v/>
      </c>
      <c r="N458" s="15" t="str">
        <f t="shared" si="45"/>
        <v/>
      </c>
      <c r="O458" s="15" t="str">
        <f t="shared" si="46"/>
        <v/>
      </c>
      <c r="P458" s="15" t="str">
        <f>IF(OR(C458="",NOT(OR(ISNUMBER(SEARCH("Antitarnish",Upload!R448&amp;Upload!S448&amp;Upload!T448&amp;Upload!U448&amp;Upload!V448)),ISNUMBER(SEARCH("Anti Tarnish",Upload!R448&amp;Upload!S448&amp;Upload!T448&amp;Upload!U448&amp;Upload!V448))))),"",0.0012*C458)</f>
        <v/>
      </c>
      <c r="Q458" s="15" t="str">
        <f>IF(OR(E458="",NOT(OR(ISNUMBER(SEARCH("Epóxico MT",Upload!R448&amp;Upload!S448&amp;Upload!T448&amp;Upload!U448&amp;Upload!V448))))),"",E458*0.000035)</f>
        <v/>
      </c>
      <c r="R458" s="15" t="str">
        <f>IF(OR(F458="",NOT(OR(ISNUMBER(SEARCH("Epóxico BT",Upload!S448&amp;Upload!T448&amp;Upload!U448&amp;Upload!V448&amp;Upload!W448))))),"",F458*0.000035)</f>
        <v/>
      </c>
      <c r="S458" s="15" t="str">
        <f>IF(OR(G458="",NOT(OR(ISNUMBER(SEARCH("Epóxico Rojo",Upload!T448&amp;Upload!U448&amp;Upload!V448&amp;Upload!W448&amp;Upload!X448))))),"",G458*0.000035)</f>
        <v/>
      </c>
    </row>
    <row r="459" spans="1:19" x14ac:dyDescent="0.2">
      <c r="A459" s="9" t="e">
        <f t="shared" ca="1" si="41"/>
        <v>#NAME?</v>
      </c>
      <c r="B459" s="9">
        <f>Upload!G449</f>
        <v>0</v>
      </c>
      <c r="C459" s="9">
        <f>Upload!AN449</f>
        <v>0</v>
      </c>
      <c r="D459" s="9">
        <f>Upload!AO449</f>
        <v>0</v>
      </c>
      <c r="E459" s="9">
        <f>Upload!AP449</f>
        <v>0</v>
      </c>
      <c r="F459" s="9" t="str">
        <f>Upload!AK449</f>
        <v/>
      </c>
      <c r="G459" s="9" t="str">
        <f>Upload!AM449</f>
        <v/>
      </c>
      <c r="H459" s="9" t="str">
        <f>Upload!AJ449</f>
        <v>(seleccione)</v>
      </c>
      <c r="I459" s="9" t="str">
        <f>Upload!AL449</f>
        <v>(seleccione)</v>
      </c>
      <c r="K459" s="15" t="str">
        <f t="shared" si="42"/>
        <v/>
      </c>
      <c r="L459" s="15" t="str">
        <f t="shared" si="43"/>
        <v/>
      </c>
      <c r="M459" s="15" t="str">
        <f t="shared" si="44"/>
        <v/>
      </c>
      <c r="N459" s="15" t="str">
        <f t="shared" si="45"/>
        <v/>
      </c>
      <c r="O459" s="15" t="str">
        <f t="shared" si="46"/>
        <v/>
      </c>
      <c r="P459" s="15" t="str">
        <f>IF(OR(C459="",NOT(OR(ISNUMBER(SEARCH("Antitarnish",Upload!R449&amp;Upload!S449&amp;Upload!T449&amp;Upload!U449&amp;Upload!V449)),ISNUMBER(SEARCH("Anti Tarnish",Upload!R449&amp;Upload!S449&amp;Upload!T449&amp;Upload!U449&amp;Upload!V449))))),"",0.0012*C459)</f>
        <v/>
      </c>
      <c r="Q459" s="15" t="str">
        <f>IF(OR(E459="",NOT(OR(ISNUMBER(SEARCH("Epóxico MT",Upload!R449&amp;Upload!S449&amp;Upload!T449&amp;Upload!U449&amp;Upload!V449))))),"",E459*0.000035)</f>
        <v/>
      </c>
      <c r="R459" s="15" t="str">
        <f>IF(OR(F459="",NOT(OR(ISNUMBER(SEARCH("Epóxico BT",Upload!S449&amp;Upload!T449&amp;Upload!U449&amp;Upload!V449&amp;Upload!W449))))),"",F459*0.000035)</f>
        <v/>
      </c>
      <c r="S459" s="15" t="str">
        <f>IF(OR(G459="",NOT(OR(ISNUMBER(SEARCH("Epóxico Rojo",Upload!T449&amp;Upload!U449&amp;Upload!V449&amp;Upload!W449&amp;Upload!X449))))),"",G459*0.000035)</f>
        <v/>
      </c>
    </row>
    <row r="460" spans="1:19" x14ac:dyDescent="0.2">
      <c r="A460" s="9" t="e">
        <f t="shared" ca="1" si="41"/>
        <v>#NAME?</v>
      </c>
      <c r="B460" s="9">
        <f>Upload!G450</f>
        <v>0</v>
      </c>
      <c r="C460" s="9">
        <f>Upload!AN450</f>
        <v>0</v>
      </c>
      <c r="D460" s="9">
        <f>Upload!AO450</f>
        <v>0</v>
      </c>
      <c r="E460" s="9">
        <f>Upload!AP450</f>
        <v>0</v>
      </c>
      <c r="F460" s="9" t="str">
        <f>Upload!AK450</f>
        <v/>
      </c>
      <c r="G460" s="9" t="str">
        <f>Upload!AM450</f>
        <v/>
      </c>
      <c r="H460" s="9" t="str">
        <f>Upload!AJ450</f>
        <v>(seleccione)</v>
      </c>
      <c r="I460" s="9" t="str">
        <f>Upload!AL450</f>
        <v>(seleccione)</v>
      </c>
      <c r="K460" s="15" t="str">
        <f t="shared" si="42"/>
        <v/>
      </c>
      <c r="L460" s="15" t="str">
        <f t="shared" si="43"/>
        <v/>
      </c>
      <c r="M460" s="15" t="str">
        <f t="shared" si="44"/>
        <v/>
      </c>
      <c r="N460" s="15" t="str">
        <f t="shared" si="45"/>
        <v/>
      </c>
      <c r="O460" s="15" t="str">
        <f t="shared" si="46"/>
        <v/>
      </c>
      <c r="P460" s="15" t="str">
        <f>IF(OR(C460="",NOT(OR(ISNUMBER(SEARCH("Antitarnish",Upload!R450&amp;Upload!S450&amp;Upload!T450&amp;Upload!U450&amp;Upload!V450)),ISNUMBER(SEARCH("Anti Tarnish",Upload!R450&amp;Upload!S450&amp;Upload!T450&amp;Upload!U450&amp;Upload!V450))))),"",0.0012*C460)</f>
        <v/>
      </c>
      <c r="Q460" s="15" t="str">
        <f>IF(OR(E460="",NOT(OR(ISNUMBER(SEARCH("Epóxico MT",Upload!R450&amp;Upload!S450&amp;Upload!T450&amp;Upload!U450&amp;Upload!V450))))),"",E460*0.000035)</f>
        <v/>
      </c>
      <c r="R460" s="15" t="str">
        <f>IF(OR(F460="",NOT(OR(ISNUMBER(SEARCH("Epóxico BT",Upload!S450&amp;Upload!T450&amp;Upload!U450&amp;Upload!V450&amp;Upload!W450))))),"",F460*0.000035)</f>
        <v/>
      </c>
      <c r="S460" s="15" t="str">
        <f>IF(OR(G460="",NOT(OR(ISNUMBER(SEARCH("Epóxico Rojo",Upload!T450&amp;Upload!U450&amp;Upload!V450&amp;Upload!W450&amp;Upload!X450))))),"",G460*0.000035)</f>
        <v/>
      </c>
    </row>
    <row r="461" spans="1:19" x14ac:dyDescent="0.2">
      <c r="A461" s="9" t="e">
        <f t="shared" ca="1" si="41"/>
        <v>#NAME?</v>
      </c>
      <c r="B461" s="9">
        <f>Upload!G451</f>
        <v>0</v>
      </c>
      <c r="C461" s="9">
        <f>Upload!AN451</f>
        <v>0</v>
      </c>
      <c r="D461" s="9">
        <f>Upload!AO451</f>
        <v>0</v>
      </c>
      <c r="E461" s="9">
        <f>Upload!AP451</f>
        <v>0</v>
      </c>
      <c r="F461" s="9" t="str">
        <f>Upload!AK451</f>
        <v/>
      </c>
      <c r="G461" s="9" t="str">
        <f>Upload!AM451</f>
        <v/>
      </c>
      <c r="H461" s="9" t="str">
        <f>Upload!AJ451</f>
        <v>(seleccione)</v>
      </c>
      <c r="I461" s="9" t="str">
        <f>Upload!AL451</f>
        <v>(seleccione)</v>
      </c>
      <c r="K461" s="15" t="str">
        <f t="shared" si="42"/>
        <v/>
      </c>
      <c r="L461" s="15" t="str">
        <f t="shared" si="43"/>
        <v/>
      </c>
      <c r="M461" s="15" t="str">
        <f t="shared" si="44"/>
        <v/>
      </c>
      <c r="N461" s="15" t="str">
        <f t="shared" si="45"/>
        <v/>
      </c>
      <c r="O461" s="15" t="str">
        <f t="shared" si="46"/>
        <v/>
      </c>
      <c r="P461" s="15" t="str">
        <f>IF(OR(C461="",NOT(OR(ISNUMBER(SEARCH("Antitarnish",Upload!R451&amp;Upload!S451&amp;Upload!T451&amp;Upload!U451&amp;Upload!V451)),ISNUMBER(SEARCH("Anti Tarnish",Upload!R451&amp;Upload!S451&amp;Upload!T451&amp;Upload!U451&amp;Upload!V451))))),"",0.0012*C461)</f>
        <v/>
      </c>
      <c r="Q461" s="15" t="str">
        <f>IF(OR(E461="",NOT(OR(ISNUMBER(SEARCH("Epóxico MT",Upload!R451&amp;Upload!S451&amp;Upload!T451&amp;Upload!U451&amp;Upload!V451))))),"",E461*0.000035)</f>
        <v/>
      </c>
      <c r="R461" s="15" t="str">
        <f>IF(OR(F461="",NOT(OR(ISNUMBER(SEARCH("Epóxico BT",Upload!S451&amp;Upload!T451&amp;Upload!U451&amp;Upload!V451&amp;Upload!W451))))),"",F461*0.000035)</f>
        <v/>
      </c>
      <c r="S461" s="15" t="str">
        <f>IF(OR(G461="",NOT(OR(ISNUMBER(SEARCH("Epóxico Rojo",Upload!T451&amp;Upload!U451&amp;Upload!V451&amp;Upload!W451&amp;Upload!X451))))),"",G461*0.000035)</f>
        <v/>
      </c>
    </row>
    <row r="462" spans="1:19" x14ac:dyDescent="0.2">
      <c r="A462" s="9" t="e">
        <f t="shared" ca="1" si="41"/>
        <v>#NAME?</v>
      </c>
      <c r="B462" s="9">
        <f>Upload!G452</f>
        <v>0</v>
      </c>
      <c r="C462" s="9">
        <f>Upload!AN452</f>
        <v>0</v>
      </c>
      <c r="D462" s="9">
        <f>Upload!AO452</f>
        <v>0</v>
      </c>
      <c r="E462" s="9">
        <f>Upload!AP452</f>
        <v>0</v>
      </c>
      <c r="F462" s="9" t="str">
        <f>Upload!AK452</f>
        <v/>
      </c>
      <c r="G462" s="9" t="str">
        <f>Upload!AM452</f>
        <v/>
      </c>
      <c r="H462" s="9" t="str">
        <f>Upload!AJ452</f>
        <v>(seleccione)</v>
      </c>
      <c r="I462" s="9" t="str">
        <f>Upload!AL452</f>
        <v>(seleccione)</v>
      </c>
      <c r="K462" s="15" t="str">
        <f t="shared" si="42"/>
        <v/>
      </c>
      <c r="L462" s="15" t="str">
        <f t="shared" si="43"/>
        <v/>
      </c>
      <c r="M462" s="15" t="str">
        <f t="shared" si="44"/>
        <v/>
      </c>
      <c r="N462" s="15" t="str">
        <f t="shared" si="45"/>
        <v/>
      </c>
      <c r="O462" s="15" t="str">
        <f t="shared" si="46"/>
        <v/>
      </c>
      <c r="P462" s="15" t="str">
        <f>IF(OR(C462="",NOT(OR(ISNUMBER(SEARCH("Antitarnish",Upload!R452&amp;Upload!S452&amp;Upload!T452&amp;Upload!U452&amp;Upload!V452)),ISNUMBER(SEARCH("Anti Tarnish",Upload!R452&amp;Upload!S452&amp;Upload!T452&amp;Upload!U452&amp;Upload!V452))))),"",0.0012*C462)</f>
        <v/>
      </c>
      <c r="Q462" s="15" t="str">
        <f>IF(OR(E462="",NOT(OR(ISNUMBER(SEARCH("Epóxico MT",Upload!R452&amp;Upload!S452&amp;Upload!T452&amp;Upload!U452&amp;Upload!V452))))),"",E462*0.000035)</f>
        <v/>
      </c>
      <c r="R462" s="15" t="str">
        <f>IF(OR(F462="",NOT(OR(ISNUMBER(SEARCH("Epóxico BT",Upload!S452&amp;Upload!T452&amp;Upload!U452&amp;Upload!V452&amp;Upload!W452))))),"",F462*0.000035)</f>
        <v/>
      </c>
      <c r="S462" s="15" t="str">
        <f>IF(OR(G462="",NOT(OR(ISNUMBER(SEARCH("Epóxico Rojo",Upload!T452&amp;Upload!U452&amp;Upload!V452&amp;Upload!W452&amp;Upload!X452))))),"",G462*0.000035)</f>
        <v/>
      </c>
    </row>
    <row r="463" spans="1:19" x14ac:dyDescent="0.2">
      <c r="A463" s="9" t="e">
        <f t="shared" ca="1" si="41"/>
        <v>#NAME?</v>
      </c>
      <c r="B463" s="9">
        <f>Upload!G453</f>
        <v>0</v>
      </c>
      <c r="C463" s="9">
        <f>Upload!AN453</f>
        <v>0</v>
      </c>
      <c r="D463" s="9">
        <f>Upload!AO453</f>
        <v>0</v>
      </c>
      <c r="E463" s="9">
        <f>Upload!AP453</f>
        <v>0</v>
      </c>
      <c r="F463" s="9" t="str">
        <f>Upload!AK453</f>
        <v/>
      </c>
      <c r="G463" s="9" t="str">
        <f>Upload!AM453</f>
        <v/>
      </c>
      <c r="H463" s="9" t="str">
        <f>Upload!AJ453</f>
        <v>(seleccione)</v>
      </c>
      <c r="I463" s="9" t="str">
        <f>Upload!AL453</f>
        <v>(seleccione)</v>
      </c>
      <c r="K463" s="15" t="str">
        <f t="shared" si="42"/>
        <v/>
      </c>
      <c r="L463" s="15" t="str">
        <f t="shared" si="43"/>
        <v/>
      </c>
      <c r="M463" s="15" t="str">
        <f t="shared" si="44"/>
        <v/>
      </c>
      <c r="N463" s="15" t="str">
        <f t="shared" si="45"/>
        <v/>
      </c>
      <c r="O463" s="15" t="str">
        <f t="shared" si="46"/>
        <v/>
      </c>
      <c r="P463" s="15" t="str">
        <f>IF(OR(C463="",NOT(OR(ISNUMBER(SEARCH("Antitarnish",Upload!R453&amp;Upload!S453&amp;Upload!T453&amp;Upload!U453&amp;Upload!V453)),ISNUMBER(SEARCH("Anti Tarnish",Upload!R453&amp;Upload!S453&amp;Upload!T453&amp;Upload!U453&amp;Upload!V453))))),"",0.0012*C463)</f>
        <v/>
      </c>
      <c r="Q463" s="15" t="str">
        <f>IF(OR(E463="",NOT(OR(ISNUMBER(SEARCH("Epóxico MT",Upload!R453&amp;Upload!S453&amp;Upload!T453&amp;Upload!U453&amp;Upload!V453))))),"",E463*0.000035)</f>
        <v/>
      </c>
      <c r="R463" s="15" t="str">
        <f>IF(OR(F463="",NOT(OR(ISNUMBER(SEARCH("Epóxico BT",Upload!S453&amp;Upload!T453&amp;Upload!U453&amp;Upload!V453&amp;Upload!W453))))),"",F463*0.000035)</f>
        <v/>
      </c>
      <c r="S463" s="15" t="str">
        <f>IF(OR(G463="",NOT(OR(ISNUMBER(SEARCH("Epóxico Rojo",Upload!T453&amp;Upload!U453&amp;Upload!V453&amp;Upload!W453&amp;Upload!X453))))),"",G463*0.000035)</f>
        <v/>
      </c>
    </row>
    <row r="464" spans="1:19" x14ac:dyDescent="0.2">
      <c r="A464" s="9" t="e">
        <f t="shared" ca="1" si="41"/>
        <v>#NAME?</v>
      </c>
      <c r="B464" s="9">
        <f>Upload!G454</f>
        <v>0</v>
      </c>
      <c r="C464" s="9">
        <f>Upload!AN454</f>
        <v>0</v>
      </c>
      <c r="D464" s="9">
        <f>Upload!AO454</f>
        <v>0</v>
      </c>
      <c r="E464" s="9">
        <f>Upload!AP454</f>
        <v>0</v>
      </c>
      <c r="F464" s="9" t="str">
        <f>Upload!AK454</f>
        <v/>
      </c>
      <c r="G464" s="9" t="str">
        <f>Upload!AM454</f>
        <v/>
      </c>
      <c r="H464" s="9" t="str">
        <f>Upload!AJ454</f>
        <v>(seleccione)</v>
      </c>
      <c r="I464" s="9" t="str">
        <f>Upload!AL454</f>
        <v>(seleccione)</v>
      </c>
      <c r="K464" s="15" t="str">
        <f t="shared" si="42"/>
        <v/>
      </c>
      <c r="L464" s="15" t="str">
        <f t="shared" si="43"/>
        <v/>
      </c>
      <c r="M464" s="15" t="str">
        <f t="shared" si="44"/>
        <v/>
      </c>
      <c r="N464" s="15" t="str">
        <f t="shared" si="45"/>
        <v/>
      </c>
      <c r="O464" s="15" t="str">
        <f t="shared" si="46"/>
        <v/>
      </c>
      <c r="P464" s="15" t="str">
        <f>IF(OR(C464="",NOT(OR(ISNUMBER(SEARCH("Antitarnish",Upload!R454&amp;Upload!S454&amp;Upload!T454&amp;Upload!U454&amp;Upload!V454)),ISNUMBER(SEARCH("Anti Tarnish",Upload!R454&amp;Upload!S454&amp;Upload!T454&amp;Upload!U454&amp;Upload!V454))))),"",0.0012*C464)</f>
        <v/>
      </c>
      <c r="Q464" s="15" t="str">
        <f>IF(OR(E464="",NOT(OR(ISNUMBER(SEARCH("Epóxico MT",Upload!R454&amp;Upload!S454&amp;Upload!T454&amp;Upload!U454&amp;Upload!V454))))),"",E464*0.000035)</f>
        <v/>
      </c>
      <c r="R464" s="15" t="str">
        <f>IF(OR(F464="",NOT(OR(ISNUMBER(SEARCH("Epóxico BT",Upload!S454&amp;Upload!T454&amp;Upload!U454&amp;Upload!V454&amp;Upload!W454))))),"",F464*0.000035)</f>
        <v/>
      </c>
      <c r="S464" s="15" t="str">
        <f>IF(OR(G464="",NOT(OR(ISNUMBER(SEARCH("Epóxico Rojo",Upload!T454&amp;Upload!U454&amp;Upload!V454&amp;Upload!W454&amp;Upload!X454))))),"",G464*0.000035)</f>
        <v/>
      </c>
    </row>
    <row r="465" spans="1:19" x14ac:dyDescent="0.2">
      <c r="A465" s="9" t="e">
        <f t="shared" ca="1" si="41"/>
        <v>#NAME?</v>
      </c>
      <c r="B465" s="9">
        <f>Upload!G455</f>
        <v>0</v>
      </c>
      <c r="C465" s="9">
        <f>Upload!AN455</f>
        <v>0</v>
      </c>
      <c r="D465" s="9">
        <f>Upload!AO455</f>
        <v>0</v>
      </c>
      <c r="E465" s="9">
        <f>Upload!AP455</f>
        <v>0</v>
      </c>
      <c r="F465" s="9" t="str">
        <f>Upload!AK455</f>
        <v/>
      </c>
      <c r="G465" s="9" t="str">
        <f>Upload!AM455</f>
        <v/>
      </c>
      <c r="H465" s="9" t="str">
        <f>Upload!AJ455</f>
        <v>(seleccione)</v>
      </c>
      <c r="I465" s="9" t="str">
        <f>Upload!AL455</f>
        <v>(seleccione)</v>
      </c>
      <c r="K465" s="15" t="str">
        <f t="shared" si="42"/>
        <v/>
      </c>
      <c r="L465" s="15" t="str">
        <f t="shared" si="43"/>
        <v/>
      </c>
      <c r="M465" s="15" t="str">
        <f t="shared" si="44"/>
        <v/>
      </c>
      <c r="N465" s="15" t="str">
        <f t="shared" si="45"/>
        <v/>
      </c>
      <c r="O465" s="15" t="str">
        <f t="shared" si="46"/>
        <v/>
      </c>
      <c r="P465" s="15" t="str">
        <f>IF(OR(C465="",NOT(OR(ISNUMBER(SEARCH("Antitarnish",Upload!R455&amp;Upload!S455&amp;Upload!T455&amp;Upload!U455&amp;Upload!V455)),ISNUMBER(SEARCH("Anti Tarnish",Upload!R455&amp;Upload!S455&amp;Upload!T455&amp;Upload!U455&amp;Upload!V455))))),"",0.0012*C465)</f>
        <v/>
      </c>
      <c r="Q465" s="15" t="str">
        <f>IF(OR(E465="",NOT(OR(ISNUMBER(SEARCH("Epóxico MT",Upload!R455&amp;Upload!S455&amp;Upload!T455&amp;Upload!U455&amp;Upload!V455))))),"",E465*0.000035)</f>
        <v/>
      </c>
      <c r="R465" s="15" t="str">
        <f>IF(OR(F465="",NOT(OR(ISNUMBER(SEARCH("Epóxico BT",Upload!S455&amp;Upload!T455&amp;Upload!U455&amp;Upload!V455&amp;Upload!W455))))),"",F465*0.000035)</f>
        <v/>
      </c>
      <c r="S465" s="15" t="str">
        <f>IF(OR(G465="",NOT(OR(ISNUMBER(SEARCH("Epóxico Rojo",Upload!T455&amp;Upload!U455&amp;Upload!V455&amp;Upload!W455&amp;Upload!X455))))),"",G465*0.000035)</f>
        <v/>
      </c>
    </row>
    <row r="466" spans="1:19" x14ac:dyDescent="0.2">
      <c r="A466" s="9" t="e">
        <f t="shared" ca="1" si="41"/>
        <v>#NAME?</v>
      </c>
      <c r="B466" s="9">
        <f>Upload!G456</f>
        <v>0</v>
      </c>
      <c r="C466" s="9">
        <f>Upload!AN456</f>
        <v>0</v>
      </c>
      <c r="D466" s="9">
        <f>Upload!AO456</f>
        <v>0</v>
      </c>
      <c r="E466" s="9">
        <f>Upload!AP456</f>
        <v>0</v>
      </c>
      <c r="F466" s="9" t="str">
        <f>Upload!AK456</f>
        <v/>
      </c>
      <c r="G466" s="9" t="str">
        <f>Upload!AM456</f>
        <v/>
      </c>
      <c r="H466" s="9" t="str">
        <f>Upload!AJ456</f>
        <v>(seleccione)</v>
      </c>
      <c r="I466" s="9" t="str">
        <f>Upload!AL456</f>
        <v>(seleccione)</v>
      </c>
      <c r="K466" s="15" t="str">
        <f t="shared" si="42"/>
        <v/>
      </c>
      <c r="L466" s="15" t="str">
        <f t="shared" si="43"/>
        <v/>
      </c>
      <c r="M466" s="15" t="str">
        <f t="shared" si="44"/>
        <v/>
      </c>
      <c r="N466" s="15" t="str">
        <f t="shared" si="45"/>
        <v/>
      </c>
      <c r="O466" s="15" t="str">
        <f t="shared" si="46"/>
        <v/>
      </c>
      <c r="P466" s="15" t="str">
        <f>IF(OR(C466="",NOT(OR(ISNUMBER(SEARCH("Antitarnish",Upload!R456&amp;Upload!S456&amp;Upload!T456&amp;Upload!U456&amp;Upload!V456)),ISNUMBER(SEARCH("Anti Tarnish",Upload!R456&amp;Upload!S456&amp;Upload!T456&amp;Upload!U456&amp;Upload!V456))))),"",0.0012*C466)</f>
        <v/>
      </c>
      <c r="Q466" s="15" t="str">
        <f>IF(OR(E466="",NOT(OR(ISNUMBER(SEARCH("Epóxico MT",Upload!R456&amp;Upload!S456&amp;Upload!T456&amp;Upload!U456&amp;Upload!V456))))),"",E466*0.000035)</f>
        <v/>
      </c>
      <c r="R466" s="15" t="str">
        <f>IF(OR(F466="",NOT(OR(ISNUMBER(SEARCH("Epóxico BT",Upload!S456&amp;Upload!T456&amp;Upload!U456&amp;Upload!V456&amp;Upload!W456))))),"",F466*0.000035)</f>
        <v/>
      </c>
      <c r="S466" s="15" t="str">
        <f>IF(OR(G466="",NOT(OR(ISNUMBER(SEARCH("Epóxico Rojo",Upload!T456&amp;Upload!U456&amp;Upload!V456&amp;Upload!W456&amp;Upload!X456))))),"",G466*0.000035)</f>
        <v/>
      </c>
    </row>
    <row r="467" spans="1:19" x14ac:dyDescent="0.2">
      <c r="A467" s="9" t="e">
        <f t="shared" ref="A467:A518" ca="1" si="47">_xludf.ROW()-18</f>
        <v>#NAME?</v>
      </c>
      <c r="B467" s="9">
        <f>Upload!G457</f>
        <v>0</v>
      </c>
      <c r="C467" s="9">
        <f>Upload!AN457</f>
        <v>0</v>
      </c>
      <c r="D467" s="9">
        <f>Upload!AO457</f>
        <v>0</v>
      </c>
      <c r="E467" s="9">
        <f>Upload!AP457</f>
        <v>0</v>
      </c>
      <c r="F467" s="9" t="str">
        <f>Upload!AK457</f>
        <v/>
      </c>
      <c r="G467" s="9" t="str">
        <f>Upload!AM457</f>
        <v/>
      </c>
      <c r="H467" s="9" t="str">
        <f>Upload!AJ457</f>
        <v>(seleccione)</v>
      </c>
      <c r="I467" s="9" t="str">
        <f>Upload!AL457</f>
        <v>(seleccione)</v>
      </c>
      <c r="K467" s="15" t="str">
        <f t="shared" si="42"/>
        <v/>
      </c>
      <c r="L467" s="15" t="str">
        <f t="shared" si="43"/>
        <v/>
      </c>
      <c r="M467" s="15" t="str">
        <f t="shared" si="44"/>
        <v/>
      </c>
      <c r="N467" s="15" t="str">
        <f t="shared" si="45"/>
        <v/>
      </c>
      <c r="O467" s="15" t="str">
        <f t="shared" si="46"/>
        <v/>
      </c>
      <c r="P467" s="15" t="str">
        <f>IF(OR(C467="",NOT(OR(ISNUMBER(SEARCH("Antitarnish",Upload!R457&amp;Upload!S457&amp;Upload!T457&amp;Upload!U457&amp;Upload!V457)),ISNUMBER(SEARCH("Anti Tarnish",Upload!R457&amp;Upload!S457&amp;Upload!T457&amp;Upload!U457&amp;Upload!V457))))),"",0.0012*C467)</f>
        <v/>
      </c>
      <c r="Q467" s="15" t="str">
        <f>IF(OR(E467="",NOT(OR(ISNUMBER(SEARCH("Epóxico MT",Upload!R457&amp;Upload!S457&amp;Upload!T457&amp;Upload!U457&amp;Upload!V457))))),"",E467*0.000035)</f>
        <v/>
      </c>
      <c r="R467" s="15" t="str">
        <f>IF(OR(F467="",NOT(OR(ISNUMBER(SEARCH("Epóxico BT",Upload!S457&amp;Upload!T457&amp;Upload!U457&amp;Upload!V457&amp;Upload!W457))))),"",F467*0.000035)</f>
        <v/>
      </c>
      <c r="S467" s="15" t="str">
        <f>IF(OR(G467="",NOT(OR(ISNUMBER(SEARCH("Epóxico Rojo",Upload!T457&amp;Upload!U457&amp;Upload!V457&amp;Upload!W457&amp;Upload!X457))))),"",G467*0.000035)</f>
        <v/>
      </c>
    </row>
    <row r="468" spans="1:19" x14ac:dyDescent="0.2">
      <c r="A468" s="9" t="e">
        <f t="shared" ca="1" si="47"/>
        <v>#NAME?</v>
      </c>
      <c r="B468" s="9">
        <f>Upload!G458</f>
        <v>0</v>
      </c>
      <c r="C468" s="9">
        <f>Upload!AN458</f>
        <v>0</v>
      </c>
      <c r="D468" s="9">
        <f>Upload!AO458</f>
        <v>0</v>
      </c>
      <c r="E468" s="9">
        <f>Upload!AP458</f>
        <v>0</v>
      </c>
      <c r="F468" s="9" t="str">
        <f>Upload!AK458</f>
        <v/>
      </c>
      <c r="G468" s="9" t="str">
        <f>Upload!AM458</f>
        <v/>
      </c>
      <c r="H468" s="9" t="str">
        <f>Upload!AJ458</f>
        <v>(seleccione)</v>
      </c>
      <c r="I468" s="9" t="str">
        <f>Upload!AL458</f>
        <v>(seleccione)</v>
      </c>
      <c r="K468" s="15" t="str">
        <f t="shared" si="42"/>
        <v/>
      </c>
      <c r="L468" s="15" t="str">
        <f t="shared" si="43"/>
        <v/>
      </c>
      <c r="M468" s="15" t="str">
        <f t="shared" si="44"/>
        <v/>
      </c>
      <c r="N468" s="15" t="str">
        <f t="shared" si="45"/>
        <v/>
      </c>
      <c r="O468" s="15" t="str">
        <f t="shared" si="46"/>
        <v/>
      </c>
      <c r="P468" s="15" t="str">
        <f>IF(OR(C468="",NOT(OR(ISNUMBER(SEARCH("Antitarnish",Upload!R458&amp;Upload!S458&amp;Upload!T458&amp;Upload!U458&amp;Upload!V458)),ISNUMBER(SEARCH("Anti Tarnish",Upload!R458&amp;Upload!S458&amp;Upload!T458&amp;Upload!U458&amp;Upload!V458))))),"",0.0012*C468)</f>
        <v/>
      </c>
      <c r="Q468" s="15" t="str">
        <f>IF(OR(E468="",NOT(OR(ISNUMBER(SEARCH("Epóxico MT",Upload!R458&amp;Upload!S458&amp;Upload!T458&amp;Upload!U458&amp;Upload!V458))))),"",E468*0.000035)</f>
        <v/>
      </c>
      <c r="R468" s="15" t="str">
        <f>IF(OR(F468="",NOT(OR(ISNUMBER(SEARCH("Epóxico BT",Upload!S458&amp;Upload!T458&amp;Upload!U458&amp;Upload!V458&amp;Upload!W458))))),"",F468*0.000035)</f>
        <v/>
      </c>
      <c r="S468" s="15" t="str">
        <f>IF(OR(G468="",NOT(OR(ISNUMBER(SEARCH("Epóxico Rojo",Upload!T458&amp;Upload!U458&amp;Upload!V458&amp;Upload!W458&amp;Upload!X458))))),"",G468*0.000035)</f>
        <v/>
      </c>
    </row>
    <row r="469" spans="1:19" x14ac:dyDescent="0.2">
      <c r="A469" s="9" t="e">
        <f t="shared" ca="1" si="47"/>
        <v>#NAME?</v>
      </c>
      <c r="B469" s="9">
        <f>Upload!G459</f>
        <v>0</v>
      </c>
      <c r="C469" s="9">
        <f>Upload!AN459</f>
        <v>0</v>
      </c>
      <c r="D469" s="9">
        <f>Upload!AO459</f>
        <v>0</v>
      </c>
      <c r="E469" s="9">
        <f>Upload!AP459</f>
        <v>0</v>
      </c>
      <c r="F469" s="9" t="str">
        <f>Upload!AK459</f>
        <v/>
      </c>
      <c r="G469" s="9" t="str">
        <f>Upload!AM459</f>
        <v/>
      </c>
      <c r="H469" s="9" t="str">
        <f>Upload!AJ459</f>
        <v>(seleccione)</v>
      </c>
      <c r="I469" s="9" t="str">
        <f>Upload!AL459</f>
        <v>(seleccione)</v>
      </c>
      <c r="K469" s="15" t="str">
        <f t="shared" si="42"/>
        <v/>
      </c>
      <c r="L469" s="15" t="str">
        <f t="shared" si="43"/>
        <v/>
      </c>
      <c r="M469" s="15" t="str">
        <f t="shared" si="44"/>
        <v/>
      </c>
      <c r="N469" s="15" t="str">
        <f t="shared" si="45"/>
        <v/>
      </c>
      <c r="O469" s="15" t="str">
        <f t="shared" si="46"/>
        <v/>
      </c>
      <c r="P469" s="15" t="str">
        <f>IF(OR(C469="",NOT(OR(ISNUMBER(SEARCH("Antitarnish",Upload!R459&amp;Upload!S459&amp;Upload!T459&amp;Upload!U459&amp;Upload!V459)),ISNUMBER(SEARCH("Anti Tarnish",Upload!R459&amp;Upload!S459&amp;Upload!T459&amp;Upload!U459&amp;Upload!V459))))),"",0.0012*C469)</f>
        <v/>
      </c>
      <c r="Q469" s="15" t="str">
        <f>IF(OR(E469="",NOT(OR(ISNUMBER(SEARCH("Epóxico MT",Upload!R459&amp;Upload!S459&amp;Upload!T459&amp;Upload!U459&amp;Upload!V459))))),"",E469*0.000035)</f>
        <v/>
      </c>
      <c r="R469" s="15" t="str">
        <f>IF(OR(F469="",NOT(OR(ISNUMBER(SEARCH("Epóxico BT",Upload!S459&amp;Upload!T459&amp;Upload!U459&amp;Upload!V459&amp;Upload!W459))))),"",F469*0.000035)</f>
        <v/>
      </c>
      <c r="S469" s="15" t="str">
        <f>IF(OR(G469="",NOT(OR(ISNUMBER(SEARCH("Epóxico Rojo",Upload!T459&amp;Upload!U459&amp;Upload!V459&amp;Upload!W459&amp;Upload!X459))))),"",G469*0.000035)</f>
        <v/>
      </c>
    </row>
    <row r="470" spans="1:19" x14ac:dyDescent="0.2">
      <c r="A470" s="9" t="e">
        <f t="shared" ca="1" si="47"/>
        <v>#NAME?</v>
      </c>
      <c r="B470" s="9">
        <f>Upload!G460</f>
        <v>0</v>
      </c>
      <c r="C470" s="9">
        <f>Upload!AN460</f>
        <v>0</v>
      </c>
      <c r="D470" s="9">
        <f>Upload!AO460</f>
        <v>0</v>
      </c>
      <c r="E470" s="9">
        <f>Upload!AP460</f>
        <v>0</v>
      </c>
      <c r="F470" s="9" t="str">
        <f>Upload!AK460</f>
        <v/>
      </c>
      <c r="G470" s="9" t="str">
        <f>Upload!AM460</f>
        <v/>
      </c>
      <c r="H470" s="9" t="str">
        <f>Upload!AJ460</f>
        <v>(seleccione)</v>
      </c>
      <c r="I470" s="9" t="str">
        <f>Upload!AL460</f>
        <v>(seleccione)</v>
      </c>
      <c r="K470" s="15" t="str">
        <f t="shared" si="42"/>
        <v/>
      </c>
      <c r="L470" s="15" t="str">
        <f t="shared" si="43"/>
        <v/>
      </c>
      <c r="M470" s="15" t="str">
        <f t="shared" si="44"/>
        <v/>
      </c>
      <c r="N470" s="15" t="str">
        <f t="shared" si="45"/>
        <v/>
      </c>
      <c r="O470" s="15" t="str">
        <f t="shared" si="46"/>
        <v/>
      </c>
      <c r="P470" s="15" t="str">
        <f>IF(OR(C470="",NOT(OR(ISNUMBER(SEARCH("Antitarnish",Upload!R460&amp;Upload!S460&amp;Upload!T460&amp;Upload!U460&amp;Upload!V460)),ISNUMBER(SEARCH("Anti Tarnish",Upload!R460&amp;Upload!S460&amp;Upload!T460&amp;Upload!U460&amp;Upload!V460))))),"",0.0012*C470)</f>
        <v/>
      </c>
      <c r="Q470" s="15" t="str">
        <f>IF(OR(E470="",NOT(OR(ISNUMBER(SEARCH("Epóxico MT",Upload!R460&amp;Upload!S460&amp;Upload!T460&amp;Upload!U460&amp;Upload!V460))))),"",E470*0.000035)</f>
        <v/>
      </c>
      <c r="R470" s="15" t="str">
        <f>IF(OR(F470="",NOT(OR(ISNUMBER(SEARCH("Epóxico BT",Upload!S460&amp;Upload!T460&amp;Upload!U460&amp;Upload!V460&amp;Upload!W460))))),"",F470*0.000035)</f>
        <v/>
      </c>
      <c r="S470" s="15" t="str">
        <f>IF(OR(G470="",NOT(OR(ISNUMBER(SEARCH("Epóxico Rojo",Upload!T460&amp;Upload!U460&amp;Upload!V460&amp;Upload!W460&amp;Upload!X460))))),"",G470*0.000035)</f>
        <v/>
      </c>
    </row>
    <row r="471" spans="1:19" x14ac:dyDescent="0.2">
      <c r="A471" s="9" t="e">
        <f t="shared" ca="1" si="47"/>
        <v>#NAME?</v>
      </c>
      <c r="B471" s="9">
        <f>Upload!G461</f>
        <v>0</v>
      </c>
      <c r="C471" s="9">
        <f>Upload!AN461</f>
        <v>0</v>
      </c>
      <c r="D471" s="9">
        <f>Upload!AO461</f>
        <v>0</v>
      </c>
      <c r="E471" s="9">
        <f>Upload!AP461</f>
        <v>0</v>
      </c>
      <c r="F471" s="9" t="str">
        <f>Upload!AK461</f>
        <v/>
      </c>
      <c r="G471" s="9" t="str">
        <f>Upload!AM461</f>
        <v/>
      </c>
      <c r="H471" s="9" t="str">
        <f>Upload!AJ461</f>
        <v>(seleccione)</v>
      </c>
      <c r="I471" s="9" t="str">
        <f>Upload!AL461</f>
        <v>(seleccione)</v>
      </c>
      <c r="K471" s="15" t="str">
        <f t="shared" si="42"/>
        <v/>
      </c>
      <c r="L471" s="15" t="str">
        <f t="shared" si="43"/>
        <v/>
      </c>
      <c r="M471" s="15" t="str">
        <f t="shared" si="44"/>
        <v/>
      </c>
      <c r="N471" s="15" t="str">
        <f t="shared" si="45"/>
        <v/>
      </c>
      <c r="O471" s="15" t="str">
        <f t="shared" si="46"/>
        <v/>
      </c>
      <c r="P471" s="15" t="str">
        <f>IF(OR(C471="",NOT(OR(ISNUMBER(SEARCH("Antitarnish",Upload!R461&amp;Upload!S461&amp;Upload!T461&amp;Upload!U461&amp;Upload!V461)),ISNUMBER(SEARCH("Anti Tarnish",Upload!R461&amp;Upload!S461&amp;Upload!T461&amp;Upload!U461&amp;Upload!V461))))),"",0.0012*C471)</f>
        <v/>
      </c>
      <c r="Q471" s="15" t="str">
        <f>IF(OR(E471="",NOT(OR(ISNUMBER(SEARCH("Epóxico MT",Upload!R461&amp;Upload!S461&amp;Upload!T461&amp;Upload!U461&amp;Upload!V461))))),"",E471*0.000035)</f>
        <v/>
      </c>
      <c r="R471" s="15" t="str">
        <f>IF(OR(F471="",NOT(OR(ISNUMBER(SEARCH("Epóxico BT",Upload!S461&amp;Upload!T461&amp;Upload!U461&amp;Upload!V461&amp;Upload!W461))))),"",F471*0.000035)</f>
        <v/>
      </c>
      <c r="S471" s="15" t="str">
        <f>IF(OR(G471="",NOT(OR(ISNUMBER(SEARCH("Epóxico Rojo",Upload!T461&amp;Upload!U461&amp;Upload!V461&amp;Upload!W461&amp;Upload!X461))))),"",G471*0.000035)</f>
        <v/>
      </c>
    </row>
    <row r="472" spans="1:19" x14ac:dyDescent="0.2">
      <c r="A472" s="9" t="e">
        <f t="shared" ca="1" si="47"/>
        <v>#NAME?</v>
      </c>
      <c r="B472" s="9">
        <f>Upload!G462</f>
        <v>0</v>
      </c>
      <c r="C472" s="9">
        <f>Upload!AN462</f>
        <v>0</v>
      </c>
      <c r="D472" s="9">
        <f>Upload!AO462</f>
        <v>0</v>
      </c>
      <c r="E472" s="9">
        <f>Upload!AP462</f>
        <v>0</v>
      </c>
      <c r="F472" s="9" t="str">
        <f>Upload!AK462</f>
        <v/>
      </c>
      <c r="G472" s="9" t="str">
        <f>Upload!AM462</f>
        <v/>
      </c>
      <c r="H472" s="9" t="str">
        <f>Upload!AJ462</f>
        <v>(seleccione)</v>
      </c>
      <c r="I472" s="9" t="str">
        <f>Upload!AL462</f>
        <v>(seleccione)</v>
      </c>
      <c r="K472" s="15" t="str">
        <f t="shared" si="42"/>
        <v/>
      </c>
      <c r="L472" s="15" t="str">
        <f t="shared" si="43"/>
        <v/>
      </c>
      <c r="M472" s="15" t="str">
        <f t="shared" si="44"/>
        <v/>
      </c>
      <c r="N472" s="15" t="str">
        <f t="shared" si="45"/>
        <v/>
      </c>
      <c r="O472" s="15" t="str">
        <f t="shared" si="46"/>
        <v/>
      </c>
      <c r="P472" s="15" t="str">
        <f>IF(OR(C472="",NOT(OR(ISNUMBER(SEARCH("Antitarnish",Upload!R462&amp;Upload!S462&amp;Upload!T462&amp;Upload!U462&amp;Upload!V462)),ISNUMBER(SEARCH("Anti Tarnish",Upload!R462&amp;Upload!S462&amp;Upload!T462&amp;Upload!U462&amp;Upload!V462))))),"",0.0012*C472)</f>
        <v/>
      </c>
      <c r="Q472" s="15" t="str">
        <f>IF(OR(E472="",NOT(OR(ISNUMBER(SEARCH("Epóxico MT",Upload!R462&amp;Upload!S462&amp;Upload!T462&amp;Upload!U462&amp;Upload!V462))))),"",E472*0.000035)</f>
        <v/>
      </c>
      <c r="R472" s="15" t="str">
        <f>IF(OR(F472="",NOT(OR(ISNUMBER(SEARCH("Epóxico BT",Upload!S462&amp;Upload!T462&amp;Upload!U462&amp;Upload!V462&amp;Upload!W462))))),"",F472*0.000035)</f>
        <v/>
      </c>
      <c r="S472" s="15" t="str">
        <f>IF(OR(G472="",NOT(OR(ISNUMBER(SEARCH("Epóxico Rojo",Upload!T462&amp;Upload!U462&amp;Upload!V462&amp;Upload!W462&amp;Upload!X462))))),"",G472*0.000035)</f>
        <v/>
      </c>
    </row>
    <row r="473" spans="1:19" x14ac:dyDescent="0.2">
      <c r="A473" s="9" t="e">
        <f t="shared" ca="1" si="47"/>
        <v>#NAME?</v>
      </c>
      <c r="B473" s="9">
        <f>Upload!G463</f>
        <v>0</v>
      </c>
      <c r="C473" s="9">
        <f>Upload!AN463</f>
        <v>0</v>
      </c>
      <c r="D473" s="9">
        <f>Upload!AO463</f>
        <v>0</v>
      </c>
      <c r="E473" s="9">
        <f>Upload!AP463</f>
        <v>0</v>
      </c>
      <c r="F473" s="9" t="str">
        <f>Upload!AK463</f>
        <v/>
      </c>
      <c r="G473" s="9" t="str">
        <f>Upload!AM463</f>
        <v/>
      </c>
      <c r="H473" s="9" t="str">
        <f>Upload!AJ463</f>
        <v>(seleccione)</v>
      </c>
      <c r="I473" s="9" t="str">
        <f>Upload!AL463</f>
        <v>(seleccione)</v>
      </c>
      <c r="K473" s="15" t="str">
        <f t="shared" si="42"/>
        <v/>
      </c>
      <c r="L473" s="15" t="str">
        <f t="shared" si="43"/>
        <v/>
      </c>
      <c r="M473" s="15" t="str">
        <f t="shared" si="44"/>
        <v/>
      </c>
      <c r="N473" s="15" t="str">
        <f t="shared" si="45"/>
        <v/>
      </c>
      <c r="O473" s="15" t="str">
        <f t="shared" si="46"/>
        <v/>
      </c>
      <c r="P473" s="15" t="str">
        <f>IF(OR(C473="",NOT(OR(ISNUMBER(SEARCH("Antitarnish",Upload!R463&amp;Upload!S463&amp;Upload!T463&amp;Upload!U463&amp;Upload!V463)),ISNUMBER(SEARCH("Anti Tarnish",Upload!R463&amp;Upload!S463&amp;Upload!T463&amp;Upload!U463&amp;Upload!V463))))),"",0.0012*C473)</f>
        <v/>
      </c>
      <c r="Q473" s="15" t="str">
        <f>IF(OR(E473="",NOT(OR(ISNUMBER(SEARCH("Epóxico MT",Upload!R463&amp;Upload!S463&amp;Upload!T463&amp;Upload!U463&amp;Upload!V463))))),"",E473*0.000035)</f>
        <v/>
      </c>
      <c r="R473" s="15" t="str">
        <f>IF(OR(F473="",NOT(OR(ISNUMBER(SEARCH("Epóxico BT",Upload!S463&amp;Upload!T463&amp;Upload!U463&amp;Upload!V463&amp;Upload!W463))))),"",F473*0.000035)</f>
        <v/>
      </c>
      <c r="S473" s="15" t="str">
        <f>IF(OR(G473="",NOT(OR(ISNUMBER(SEARCH("Epóxico Rojo",Upload!T463&amp;Upload!U463&amp;Upload!V463&amp;Upload!W463&amp;Upload!X463))))),"",G473*0.000035)</f>
        <v/>
      </c>
    </row>
    <row r="474" spans="1:19" x14ac:dyDescent="0.2">
      <c r="A474" s="9" t="e">
        <f t="shared" ca="1" si="47"/>
        <v>#NAME?</v>
      </c>
      <c r="B474" s="9">
        <f>Upload!G464</f>
        <v>0</v>
      </c>
      <c r="C474" s="9">
        <f>Upload!AN464</f>
        <v>0</v>
      </c>
      <c r="D474" s="9">
        <f>Upload!AO464</f>
        <v>0</v>
      </c>
      <c r="E474" s="9">
        <f>Upload!AP464</f>
        <v>0</v>
      </c>
      <c r="F474" s="9" t="str">
        <f>Upload!AK464</f>
        <v/>
      </c>
      <c r="G474" s="9" t="str">
        <f>Upload!AM464</f>
        <v/>
      </c>
      <c r="H474" s="9" t="str">
        <f>Upload!AJ464</f>
        <v>(seleccione)</v>
      </c>
      <c r="I474" s="9" t="str">
        <f>Upload!AL464</f>
        <v>(seleccione)</v>
      </c>
      <c r="K474" s="15" t="str">
        <f t="shared" si="42"/>
        <v/>
      </c>
      <c r="L474" s="15" t="str">
        <f t="shared" si="43"/>
        <v/>
      </c>
      <c r="M474" s="15" t="str">
        <f t="shared" si="44"/>
        <v/>
      </c>
      <c r="N474" s="15" t="str">
        <f t="shared" si="45"/>
        <v/>
      </c>
      <c r="O474" s="15" t="str">
        <f t="shared" si="46"/>
        <v/>
      </c>
      <c r="P474" s="15" t="str">
        <f>IF(OR(C474="",NOT(OR(ISNUMBER(SEARCH("Antitarnish",Upload!R464&amp;Upload!S464&amp;Upload!T464&amp;Upload!U464&amp;Upload!V464)),ISNUMBER(SEARCH("Anti Tarnish",Upload!R464&amp;Upload!S464&amp;Upload!T464&amp;Upload!U464&amp;Upload!V464))))),"",0.0012*C474)</f>
        <v/>
      </c>
      <c r="Q474" s="15" t="str">
        <f>IF(OR(E474="",NOT(OR(ISNUMBER(SEARCH("Epóxico MT",Upload!R464&amp;Upload!S464&amp;Upload!T464&amp;Upload!U464&amp;Upload!V464))))),"",E474*0.000035)</f>
        <v/>
      </c>
      <c r="R474" s="15" t="str">
        <f>IF(OR(F474="",NOT(OR(ISNUMBER(SEARCH("Epóxico BT",Upload!S464&amp;Upload!T464&amp;Upload!U464&amp;Upload!V464&amp;Upload!W464))))),"",F474*0.000035)</f>
        <v/>
      </c>
      <c r="S474" s="15" t="str">
        <f>IF(OR(G474="",NOT(OR(ISNUMBER(SEARCH("Epóxico Rojo",Upload!T464&amp;Upload!U464&amp;Upload!V464&amp;Upload!W464&amp;Upload!X464))))),"",G474*0.000035)</f>
        <v/>
      </c>
    </row>
    <row r="475" spans="1:19" x14ac:dyDescent="0.2">
      <c r="A475" s="9" t="e">
        <f t="shared" ca="1" si="47"/>
        <v>#NAME?</v>
      </c>
      <c r="B475" s="9">
        <f>Upload!G465</f>
        <v>0</v>
      </c>
      <c r="C475" s="9">
        <f>Upload!AN465</f>
        <v>0</v>
      </c>
      <c r="D475" s="9">
        <f>Upload!AO465</f>
        <v>0</v>
      </c>
      <c r="E475" s="9">
        <f>Upload!AP465</f>
        <v>0</v>
      </c>
      <c r="F475" s="9" t="str">
        <f>Upload!AK465</f>
        <v/>
      </c>
      <c r="G475" s="9" t="str">
        <f>Upload!AM465</f>
        <v/>
      </c>
      <c r="H475" s="9" t="str">
        <f>Upload!AJ465</f>
        <v>(seleccione)</v>
      </c>
      <c r="I475" s="9" t="str">
        <f>Upload!AL465</f>
        <v>(seleccione)</v>
      </c>
      <c r="K475" s="15" t="str">
        <f t="shared" si="42"/>
        <v/>
      </c>
      <c r="L475" s="15" t="str">
        <f t="shared" si="43"/>
        <v/>
      </c>
      <c r="M475" s="15" t="str">
        <f t="shared" si="44"/>
        <v/>
      </c>
      <c r="N475" s="15" t="str">
        <f t="shared" si="45"/>
        <v/>
      </c>
      <c r="O475" s="15" t="str">
        <f t="shared" si="46"/>
        <v/>
      </c>
      <c r="P475" s="15" t="str">
        <f>IF(OR(C475="",NOT(OR(ISNUMBER(SEARCH("Antitarnish",Upload!R465&amp;Upload!S465&amp;Upload!T465&amp;Upload!U465&amp;Upload!V465)),ISNUMBER(SEARCH("Anti Tarnish",Upload!R465&amp;Upload!S465&amp;Upload!T465&amp;Upload!U465&amp;Upload!V465))))),"",0.0012*C475)</f>
        <v/>
      </c>
      <c r="Q475" s="15" t="str">
        <f>IF(OR(E475="",NOT(OR(ISNUMBER(SEARCH("Epóxico MT",Upload!R465&amp;Upload!S465&amp;Upload!T465&amp;Upload!U465&amp;Upload!V465))))),"",E475*0.000035)</f>
        <v/>
      </c>
      <c r="R475" s="15" t="str">
        <f>IF(OR(F475="",NOT(OR(ISNUMBER(SEARCH("Epóxico BT",Upload!S465&amp;Upload!T465&amp;Upload!U465&amp;Upload!V465&amp;Upload!W465))))),"",F475*0.000035)</f>
        <v/>
      </c>
      <c r="S475" s="15" t="str">
        <f>IF(OR(G475="",NOT(OR(ISNUMBER(SEARCH("Epóxico Rojo",Upload!T465&amp;Upload!U465&amp;Upload!V465&amp;Upload!W465&amp;Upload!X465))))),"",G475*0.000035)</f>
        <v/>
      </c>
    </row>
    <row r="476" spans="1:19" x14ac:dyDescent="0.2">
      <c r="A476" s="9" t="e">
        <f t="shared" ca="1" si="47"/>
        <v>#NAME?</v>
      </c>
      <c r="B476" s="9">
        <f>Upload!G466</f>
        <v>0</v>
      </c>
      <c r="C476" s="9">
        <f>Upload!AN466</f>
        <v>0</v>
      </c>
      <c r="D476" s="9">
        <f>Upload!AO466</f>
        <v>0</v>
      </c>
      <c r="E476" s="9">
        <f>Upload!AP466</f>
        <v>0</v>
      </c>
      <c r="F476" s="9" t="str">
        <f>Upload!AK466</f>
        <v/>
      </c>
      <c r="G476" s="9" t="str">
        <f>Upload!AM466</f>
        <v/>
      </c>
      <c r="H476" s="9" t="str">
        <f>Upload!AJ466</f>
        <v>(seleccione)</v>
      </c>
      <c r="I476" s="9" t="str">
        <f>Upload!AL466</f>
        <v>(seleccione)</v>
      </c>
      <c r="K476" s="15" t="str">
        <f t="shared" si="42"/>
        <v/>
      </c>
      <c r="L476" s="15" t="str">
        <f t="shared" si="43"/>
        <v/>
      </c>
      <c r="M476" s="15" t="str">
        <f t="shared" si="44"/>
        <v/>
      </c>
      <c r="N476" s="15" t="str">
        <f t="shared" si="45"/>
        <v/>
      </c>
      <c r="O476" s="15" t="str">
        <f t="shared" si="46"/>
        <v/>
      </c>
      <c r="P476" s="15" t="str">
        <f>IF(OR(C476="",NOT(OR(ISNUMBER(SEARCH("Antitarnish",Upload!R466&amp;Upload!S466&amp;Upload!T466&amp;Upload!U466&amp;Upload!V466)),ISNUMBER(SEARCH("Anti Tarnish",Upload!R466&amp;Upload!S466&amp;Upload!T466&amp;Upload!U466&amp;Upload!V466))))),"",0.0012*C476)</f>
        <v/>
      </c>
      <c r="Q476" s="15" t="str">
        <f>IF(OR(E476="",NOT(OR(ISNUMBER(SEARCH("Epóxico MT",Upload!R466&amp;Upload!S466&amp;Upload!T466&amp;Upload!U466&amp;Upload!V466))))),"",E476*0.000035)</f>
        <v/>
      </c>
      <c r="R476" s="15" t="str">
        <f>IF(OR(F476="",NOT(OR(ISNUMBER(SEARCH("Epóxico BT",Upload!S466&amp;Upload!T466&amp;Upload!U466&amp;Upload!V466&amp;Upload!W466))))),"",F476*0.000035)</f>
        <v/>
      </c>
      <c r="S476" s="15" t="str">
        <f>IF(OR(G476="",NOT(OR(ISNUMBER(SEARCH("Epóxico Rojo",Upload!T466&amp;Upload!U466&amp;Upload!V466&amp;Upload!W466&amp;Upload!X466))))),"",G476*0.000035)</f>
        <v/>
      </c>
    </row>
    <row r="477" spans="1:19" x14ac:dyDescent="0.2">
      <c r="A477" s="9" t="e">
        <f t="shared" ca="1" si="47"/>
        <v>#NAME?</v>
      </c>
      <c r="B477" s="9">
        <f>Upload!G467</f>
        <v>0</v>
      </c>
      <c r="C477" s="9">
        <f>Upload!AN467</f>
        <v>0</v>
      </c>
      <c r="D477" s="9">
        <f>Upload!AO467</f>
        <v>0</v>
      </c>
      <c r="E477" s="9">
        <f>Upload!AP467</f>
        <v>0</v>
      </c>
      <c r="F477" s="9" t="str">
        <f>Upload!AK467</f>
        <v/>
      </c>
      <c r="G477" s="9" t="str">
        <f>Upload!AM467</f>
        <v/>
      </c>
      <c r="H477" s="9" t="str">
        <f>Upload!AJ467</f>
        <v>(seleccione)</v>
      </c>
      <c r="I477" s="9" t="str">
        <f>Upload!AL467</f>
        <v>(seleccione)</v>
      </c>
      <c r="K477" s="15" t="str">
        <f t="shared" si="42"/>
        <v/>
      </c>
      <c r="L477" s="15" t="str">
        <f t="shared" si="43"/>
        <v/>
      </c>
      <c r="M477" s="15" t="str">
        <f t="shared" si="44"/>
        <v/>
      </c>
      <c r="N477" s="15" t="str">
        <f t="shared" si="45"/>
        <v/>
      </c>
      <c r="O477" s="15" t="str">
        <f t="shared" si="46"/>
        <v/>
      </c>
      <c r="P477" s="15" t="str">
        <f>IF(OR(C477="",NOT(OR(ISNUMBER(SEARCH("Antitarnish",Upload!R467&amp;Upload!S467&amp;Upload!T467&amp;Upload!U467&amp;Upload!V467)),ISNUMBER(SEARCH("Anti Tarnish",Upload!R467&amp;Upload!S467&amp;Upload!T467&amp;Upload!U467&amp;Upload!V467))))),"",0.0012*C477)</f>
        <v/>
      </c>
      <c r="Q477" s="15" t="str">
        <f>IF(OR(E477="",NOT(OR(ISNUMBER(SEARCH("Epóxico MT",Upload!R467&amp;Upload!S467&amp;Upload!T467&amp;Upload!U467&amp;Upload!V467))))),"",E477*0.000035)</f>
        <v/>
      </c>
      <c r="R477" s="15" t="str">
        <f>IF(OR(F477="",NOT(OR(ISNUMBER(SEARCH("Epóxico BT",Upload!S467&amp;Upload!T467&amp;Upload!U467&amp;Upload!V467&amp;Upload!W467))))),"",F477*0.000035)</f>
        <v/>
      </c>
      <c r="S477" s="15" t="str">
        <f>IF(OR(G477="",NOT(OR(ISNUMBER(SEARCH("Epóxico Rojo",Upload!T467&amp;Upload!U467&amp;Upload!V467&amp;Upload!W467&amp;Upload!X467))))),"",G477*0.000035)</f>
        <v/>
      </c>
    </row>
    <row r="478" spans="1:19" x14ac:dyDescent="0.2">
      <c r="A478" s="9" t="e">
        <f t="shared" ca="1" si="47"/>
        <v>#NAME?</v>
      </c>
      <c r="B478" s="9">
        <f>Upload!G468</f>
        <v>0</v>
      </c>
      <c r="C478" s="9">
        <f>Upload!AN468</f>
        <v>0</v>
      </c>
      <c r="D478" s="9">
        <f>Upload!AO468</f>
        <v>0</v>
      </c>
      <c r="E478" s="9">
        <f>Upload!AP468</f>
        <v>0</v>
      </c>
      <c r="F478" s="9" t="str">
        <f>Upload!AK468</f>
        <v/>
      </c>
      <c r="G478" s="9" t="str">
        <f>Upload!AM468</f>
        <v/>
      </c>
      <c r="H478" s="9" t="str">
        <f>Upload!AJ468</f>
        <v>(seleccione)</v>
      </c>
      <c r="I478" s="9" t="str">
        <f>Upload!AL468</f>
        <v>(seleccione)</v>
      </c>
      <c r="K478" s="15" t="str">
        <f t="shared" si="42"/>
        <v/>
      </c>
      <c r="L478" s="15" t="str">
        <f t="shared" si="43"/>
        <v/>
      </c>
      <c r="M478" s="15" t="str">
        <f t="shared" si="44"/>
        <v/>
      </c>
      <c r="N478" s="15" t="str">
        <f t="shared" si="45"/>
        <v/>
      </c>
      <c r="O478" s="15" t="str">
        <f t="shared" si="46"/>
        <v/>
      </c>
      <c r="P478" s="15" t="str">
        <f>IF(OR(C478="",NOT(OR(ISNUMBER(SEARCH("Antitarnish",Upload!R468&amp;Upload!S468&amp;Upload!T468&amp;Upload!U468&amp;Upload!V468)),ISNUMBER(SEARCH("Anti Tarnish",Upload!R468&amp;Upload!S468&amp;Upload!T468&amp;Upload!U468&amp;Upload!V468))))),"",0.0012*C478)</f>
        <v/>
      </c>
      <c r="Q478" s="15" t="str">
        <f>IF(OR(E478="",NOT(OR(ISNUMBER(SEARCH("Epóxico MT",Upload!R468&amp;Upload!S468&amp;Upload!T468&amp;Upload!U468&amp;Upload!V468))))),"",E478*0.000035)</f>
        <v/>
      </c>
      <c r="R478" s="15" t="str">
        <f>IF(OR(F478="",NOT(OR(ISNUMBER(SEARCH("Epóxico BT",Upload!S468&amp;Upload!T468&amp;Upload!U468&amp;Upload!V468&amp;Upload!W468))))),"",F478*0.000035)</f>
        <v/>
      </c>
      <c r="S478" s="15" t="str">
        <f>IF(OR(G478="",NOT(OR(ISNUMBER(SEARCH("Epóxico Rojo",Upload!T468&amp;Upload!U468&amp;Upload!V468&amp;Upload!W468&amp;Upload!X468))))),"",G478*0.000035)</f>
        <v/>
      </c>
    </row>
    <row r="479" spans="1:19" x14ac:dyDescent="0.2">
      <c r="A479" s="9" t="e">
        <f t="shared" ca="1" si="47"/>
        <v>#NAME?</v>
      </c>
      <c r="B479" s="9">
        <f>Upload!G469</f>
        <v>0</v>
      </c>
      <c r="C479" s="9">
        <f>Upload!AN469</f>
        <v>0</v>
      </c>
      <c r="D479" s="9">
        <f>Upload!AO469</f>
        <v>0</v>
      </c>
      <c r="E479" s="9">
        <f>Upload!AP469</f>
        <v>0</v>
      </c>
      <c r="F479" s="9" t="str">
        <f>Upload!AK469</f>
        <v/>
      </c>
      <c r="G479" s="9" t="str">
        <f>Upload!AM469</f>
        <v/>
      </c>
      <c r="H479" s="9" t="str">
        <f>Upload!AJ469</f>
        <v>(seleccione)</v>
      </c>
      <c r="I479" s="9" t="str">
        <f>Upload!AL469</f>
        <v>(seleccione)</v>
      </c>
      <c r="K479" s="15" t="str">
        <f t="shared" si="42"/>
        <v/>
      </c>
      <c r="L479" s="15" t="str">
        <f t="shared" si="43"/>
        <v/>
      </c>
      <c r="M479" s="15" t="str">
        <f t="shared" si="44"/>
        <v/>
      </c>
      <c r="N479" s="15" t="str">
        <f t="shared" si="45"/>
        <v/>
      </c>
      <c r="O479" s="15" t="str">
        <f t="shared" si="46"/>
        <v/>
      </c>
      <c r="P479" s="15" t="str">
        <f>IF(OR(C479="",NOT(OR(ISNUMBER(SEARCH("Antitarnish",Upload!R469&amp;Upload!S469&amp;Upload!T469&amp;Upload!U469&amp;Upload!V469)),ISNUMBER(SEARCH("Anti Tarnish",Upload!R469&amp;Upload!S469&amp;Upload!T469&amp;Upload!U469&amp;Upload!V469))))),"",0.0012*C479)</f>
        <v/>
      </c>
      <c r="Q479" s="15" t="str">
        <f>IF(OR(E479="",NOT(OR(ISNUMBER(SEARCH("Epóxico MT",Upload!R469&amp;Upload!S469&amp;Upload!T469&amp;Upload!U469&amp;Upload!V469))))),"",E479*0.000035)</f>
        <v/>
      </c>
      <c r="R479" s="15" t="str">
        <f>IF(OR(F479="",NOT(OR(ISNUMBER(SEARCH("Epóxico BT",Upload!S469&amp;Upload!T469&amp;Upload!U469&amp;Upload!V469&amp;Upload!W469))))),"",F479*0.000035)</f>
        <v/>
      </c>
      <c r="S479" s="15" t="str">
        <f>IF(OR(G479="",NOT(OR(ISNUMBER(SEARCH("Epóxico Rojo",Upload!T469&amp;Upload!U469&amp;Upload!V469&amp;Upload!W469&amp;Upload!X469))))),"",G479*0.000035)</f>
        <v/>
      </c>
    </row>
    <row r="480" spans="1:19" x14ac:dyDescent="0.2">
      <c r="A480" s="9" t="e">
        <f t="shared" ca="1" si="47"/>
        <v>#NAME?</v>
      </c>
      <c r="B480" s="9">
        <f>Upload!G470</f>
        <v>0</v>
      </c>
      <c r="C480" s="9">
        <f>Upload!AN470</f>
        <v>0</v>
      </c>
      <c r="D480" s="9">
        <f>Upload!AO470</f>
        <v>0</v>
      </c>
      <c r="E480" s="9">
        <f>Upload!AP470</f>
        <v>0</v>
      </c>
      <c r="F480" s="9" t="str">
        <f>Upload!AK470</f>
        <v/>
      </c>
      <c r="G480" s="9" t="str">
        <f>Upload!AM470</f>
        <v/>
      </c>
      <c r="H480" s="9" t="str">
        <f>Upload!AJ470</f>
        <v>(seleccione)</v>
      </c>
      <c r="I480" s="9" t="str">
        <f>Upload!AL470</f>
        <v>(seleccione)</v>
      </c>
      <c r="K480" s="15" t="str">
        <f t="shared" si="42"/>
        <v/>
      </c>
      <c r="L480" s="15" t="str">
        <f t="shared" si="43"/>
        <v/>
      </c>
      <c r="M480" s="15" t="str">
        <f t="shared" si="44"/>
        <v/>
      </c>
      <c r="N480" s="15" t="str">
        <f t="shared" si="45"/>
        <v/>
      </c>
      <c r="O480" s="15" t="str">
        <f t="shared" si="46"/>
        <v/>
      </c>
      <c r="P480" s="15" t="str">
        <f>IF(OR(C480="",NOT(OR(ISNUMBER(SEARCH("Antitarnish",Upload!R470&amp;Upload!S470&amp;Upload!T470&amp;Upload!U470&amp;Upload!V470)),ISNUMBER(SEARCH("Anti Tarnish",Upload!R470&amp;Upload!S470&amp;Upload!T470&amp;Upload!U470&amp;Upload!V470))))),"",0.0012*C480)</f>
        <v/>
      </c>
      <c r="Q480" s="15" t="str">
        <f>IF(OR(E480="",NOT(OR(ISNUMBER(SEARCH("Epóxico MT",Upload!R470&amp;Upload!S470&amp;Upload!T470&amp;Upload!U470&amp;Upload!V470))))),"",E480*0.000035)</f>
        <v/>
      </c>
      <c r="R480" s="15" t="str">
        <f>IF(OR(F480="",NOT(OR(ISNUMBER(SEARCH("Epóxico BT",Upload!S470&amp;Upload!T470&amp;Upload!U470&amp;Upload!V470&amp;Upload!W470))))),"",F480*0.000035)</f>
        <v/>
      </c>
      <c r="S480" s="15" t="str">
        <f>IF(OR(G480="",NOT(OR(ISNUMBER(SEARCH("Epóxico Rojo",Upload!T470&amp;Upload!U470&amp;Upload!V470&amp;Upload!W470&amp;Upload!X470))))),"",G480*0.000035)</f>
        <v/>
      </c>
    </row>
    <row r="481" spans="1:19" x14ac:dyDescent="0.2">
      <c r="A481" s="9" t="e">
        <f t="shared" ca="1" si="47"/>
        <v>#NAME?</v>
      </c>
      <c r="B481" s="9">
        <f>Upload!G471</f>
        <v>0</v>
      </c>
      <c r="C481" s="9">
        <f>Upload!AN471</f>
        <v>0</v>
      </c>
      <c r="D481" s="9">
        <f>Upload!AO471</f>
        <v>0</v>
      </c>
      <c r="E481" s="9">
        <f>Upload!AP471</f>
        <v>0</v>
      </c>
      <c r="F481" s="9" t="str">
        <f>Upload!AK471</f>
        <v/>
      </c>
      <c r="G481" s="9" t="str">
        <f>Upload!AM471</f>
        <v/>
      </c>
      <c r="H481" s="9" t="str">
        <f>Upload!AJ471</f>
        <v>(seleccione)</v>
      </c>
      <c r="I481" s="9" t="str">
        <f>Upload!AL471</f>
        <v>(seleccione)</v>
      </c>
      <c r="K481" s="15" t="str">
        <f t="shared" si="42"/>
        <v/>
      </c>
      <c r="L481" s="15" t="str">
        <f t="shared" si="43"/>
        <v/>
      </c>
      <c r="M481" s="15" t="str">
        <f t="shared" si="44"/>
        <v/>
      </c>
      <c r="N481" s="15" t="str">
        <f t="shared" si="45"/>
        <v/>
      </c>
      <c r="O481" s="15" t="str">
        <f t="shared" si="46"/>
        <v/>
      </c>
      <c r="P481" s="15" t="str">
        <f>IF(OR(C481="",NOT(OR(ISNUMBER(SEARCH("Antitarnish",Upload!R471&amp;Upload!S471&amp;Upload!T471&amp;Upload!U471&amp;Upload!V471)),ISNUMBER(SEARCH("Anti Tarnish",Upload!R471&amp;Upload!S471&amp;Upload!T471&amp;Upload!U471&amp;Upload!V471))))),"",0.0012*C481)</f>
        <v/>
      </c>
      <c r="Q481" s="15" t="str">
        <f>IF(OR(E481="",NOT(OR(ISNUMBER(SEARCH("Epóxico MT",Upload!R471&amp;Upload!S471&amp;Upload!T471&amp;Upload!U471&amp;Upload!V471))))),"",E481*0.000035)</f>
        <v/>
      </c>
      <c r="R481" s="15" t="str">
        <f>IF(OR(F481="",NOT(OR(ISNUMBER(SEARCH("Epóxico BT",Upload!S471&amp;Upload!T471&amp;Upload!U471&amp;Upload!V471&amp;Upload!W471))))),"",F481*0.000035)</f>
        <v/>
      </c>
      <c r="S481" s="15" t="str">
        <f>IF(OR(G481="",NOT(OR(ISNUMBER(SEARCH("Epóxico Rojo",Upload!T471&amp;Upload!U471&amp;Upload!V471&amp;Upload!W471&amp;Upload!X471))))),"",G481*0.000035)</f>
        <v/>
      </c>
    </row>
    <row r="482" spans="1:19" x14ac:dyDescent="0.2">
      <c r="A482" s="9" t="e">
        <f t="shared" ca="1" si="47"/>
        <v>#NAME?</v>
      </c>
      <c r="B482" s="9">
        <f>Upload!G472</f>
        <v>0</v>
      </c>
      <c r="C482" s="9">
        <f>Upload!AN472</f>
        <v>0</v>
      </c>
      <c r="D482" s="9">
        <f>Upload!AO472</f>
        <v>0</v>
      </c>
      <c r="E482" s="9">
        <f>Upload!AP472</f>
        <v>0</v>
      </c>
      <c r="F482" s="9" t="str">
        <f>Upload!AK472</f>
        <v/>
      </c>
      <c r="G482" s="9" t="str">
        <f>Upload!AM472</f>
        <v/>
      </c>
      <c r="H482" s="9" t="str">
        <f>Upload!AJ472</f>
        <v>(seleccione)</v>
      </c>
      <c r="I482" s="9" t="str">
        <f>Upload!AL472</f>
        <v>(seleccione)</v>
      </c>
      <c r="K482" s="15" t="str">
        <f t="shared" si="42"/>
        <v/>
      </c>
      <c r="L482" s="15" t="str">
        <f t="shared" si="43"/>
        <v/>
      </c>
      <c r="M482" s="15" t="str">
        <f t="shared" si="44"/>
        <v/>
      </c>
      <c r="N482" s="15" t="str">
        <f t="shared" si="45"/>
        <v/>
      </c>
      <c r="O482" s="15" t="str">
        <f t="shared" si="46"/>
        <v/>
      </c>
      <c r="P482" s="15" t="str">
        <f>IF(OR(C482="",NOT(OR(ISNUMBER(SEARCH("Antitarnish",Upload!R472&amp;Upload!S472&amp;Upload!T472&amp;Upload!U472&amp;Upload!V472)),ISNUMBER(SEARCH("Anti Tarnish",Upload!R472&amp;Upload!S472&amp;Upload!T472&amp;Upload!U472&amp;Upload!V472))))),"",0.0012*C482)</f>
        <v/>
      </c>
      <c r="Q482" s="15" t="str">
        <f>IF(OR(E482="",NOT(OR(ISNUMBER(SEARCH("Epóxico MT",Upload!R472&amp;Upload!S472&amp;Upload!T472&amp;Upload!U472&amp;Upload!V472))))),"",E482*0.000035)</f>
        <v/>
      </c>
      <c r="R482" s="15" t="str">
        <f>IF(OR(F482="",NOT(OR(ISNUMBER(SEARCH("Epóxico BT",Upload!S472&amp;Upload!T472&amp;Upload!U472&amp;Upload!V472&amp;Upload!W472))))),"",F482*0.000035)</f>
        <v/>
      </c>
      <c r="S482" s="15" t="str">
        <f>IF(OR(G482="",NOT(OR(ISNUMBER(SEARCH("Epóxico Rojo",Upload!T472&amp;Upload!U472&amp;Upload!V472&amp;Upload!W472&amp;Upload!X472))))),"",G482*0.000035)</f>
        <v/>
      </c>
    </row>
    <row r="483" spans="1:19" x14ac:dyDescent="0.2">
      <c r="A483" s="9" t="e">
        <f t="shared" ca="1" si="47"/>
        <v>#NAME?</v>
      </c>
      <c r="B483" s="9">
        <f>Upload!G473</f>
        <v>0</v>
      </c>
      <c r="C483" s="9">
        <f>Upload!AN473</f>
        <v>0</v>
      </c>
      <c r="D483" s="9">
        <f>Upload!AO473</f>
        <v>0</v>
      </c>
      <c r="E483" s="9">
        <f>Upload!AP473</f>
        <v>0</v>
      </c>
      <c r="F483" s="9" t="str">
        <f>Upload!AK473</f>
        <v/>
      </c>
      <c r="G483" s="9" t="str">
        <f>Upload!AM473</f>
        <v/>
      </c>
      <c r="H483" s="9" t="str">
        <f>Upload!AJ473</f>
        <v>(seleccione)</v>
      </c>
      <c r="I483" s="9" t="str">
        <f>Upload!AL473</f>
        <v>(seleccione)</v>
      </c>
      <c r="K483" s="15" t="str">
        <f t="shared" si="42"/>
        <v/>
      </c>
      <c r="L483" s="15" t="str">
        <f t="shared" si="43"/>
        <v/>
      </c>
      <c r="M483" s="15" t="str">
        <f t="shared" si="44"/>
        <v/>
      </c>
      <c r="N483" s="15" t="str">
        <f t="shared" si="45"/>
        <v/>
      </c>
      <c r="O483" s="15" t="str">
        <f t="shared" si="46"/>
        <v/>
      </c>
      <c r="P483" s="15" t="str">
        <f>IF(OR(C483="",NOT(OR(ISNUMBER(SEARCH("Antitarnish",Upload!R473&amp;Upload!S473&amp;Upload!T473&amp;Upload!U473&amp;Upload!V473)),ISNUMBER(SEARCH("Anti Tarnish",Upload!R473&amp;Upload!S473&amp;Upload!T473&amp;Upload!U473&amp;Upload!V473))))),"",0.0012*C483)</f>
        <v/>
      </c>
      <c r="Q483" s="15" t="str">
        <f>IF(OR(E483="",NOT(OR(ISNUMBER(SEARCH("Epóxico MT",Upload!R473&amp;Upload!S473&amp;Upload!T473&amp;Upload!U473&amp;Upload!V473))))),"",E483*0.000035)</f>
        <v/>
      </c>
      <c r="R483" s="15" t="str">
        <f>IF(OR(F483="",NOT(OR(ISNUMBER(SEARCH("Epóxico BT",Upload!S473&amp;Upload!T473&amp;Upload!U473&amp;Upload!V473&amp;Upload!W473))))),"",F483*0.000035)</f>
        <v/>
      </c>
      <c r="S483" s="15" t="str">
        <f>IF(OR(G483="",NOT(OR(ISNUMBER(SEARCH("Epóxico Rojo",Upload!T473&amp;Upload!U473&amp;Upload!V473&amp;Upload!W473&amp;Upload!X473))))),"",G483*0.000035)</f>
        <v/>
      </c>
    </row>
    <row r="484" spans="1:19" x14ac:dyDescent="0.2">
      <c r="A484" s="9" t="e">
        <f t="shared" ca="1" si="47"/>
        <v>#NAME?</v>
      </c>
      <c r="B484" s="9">
        <f>Upload!G474</f>
        <v>0</v>
      </c>
      <c r="C484" s="9">
        <f>Upload!AN474</f>
        <v>0</v>
      </c>
      <c r="D484" s="9">
        <f>Upload!AO474</f>
        <v>0</v>
      </c>
      <c r="E484" s="9">
        <f>Upload!AP474</f>
        <v>0</v>
      </c>
      <c r="F484" s="9" t="str">
        <f>Upload!AK474</f>
        <v/>
      </c>
      <c r="G484" s="9" t="str">
        <f>Upload!AM474</f>
        <v/>
      </c>
      <c r="H484" s="9" t="str">
        <f>Upload!AJ474</f>
        <v>(seleccione)</v>
      </c>
      <c r="I484" s="9" t="str">
        <f>Upload!AL474</f>
        <v>(seleccione)</v>
      </c>
      <c r="K484" s="15" t="str">
        <f t="shared" si="42"/>
        <v/>
      </c>
      <c r="L484" s="15" t="str">
        <f t="shared" si="43"/>
        <v/>
      </c>
      <c r="M484" s="15" t="str">
        <f t="shared" si="44"/>
        <v/>
      </c>
      <c r="N484" s="15" t="str">
        <f t="shared" si="45"/>
        <v/>
      </c>
      <c r="O484" s="15" t="str">
        <f t="shared" si="46"/>
        <v/>
      </c>
      <c r="P484" s="15" t="str">
        <f>IF(OR(C484="",NOT(OR(ISNUMBER(SEARCH("Antitarnish",Upload!R474&amp;Upload!S474&amp;Upload!T474&amp;Upload!U474&amp;Upload!V474)),ISNUMBER(SEARCH("Anti Tarnish",Upload!R474&amp;Upload!S474&amp;Upload!T474&amp;Upload!U474&amp;Upload!V474))))),"",0.0012*C484)</f>
        <v/>
      </c>
      <c r="Q484" s="15" t="str">
        <f>IF(OR(E484="",NOT(OR(ISNUMBER(SEARCH("Epóxico MT",Upload!R474&amp;Upload!S474&amp;Upload!T474&amp;Upload!U474&amp;Upload!V474))))),"",E484*0.000035)</f>
        <v/>
      </c>
      <c r="R484" s="15" t="str">
        <f>IF(OR(F484="",NOT(OR(ISNUMBER(SEARCH("Epóxico BT",Upload!S474&amp;Upload!T474&amp;Upload!U474&amp;Upload!V474&amp;Upload!W474))))),"",F484*0.000035)</f>
        <v/>
      </c>
      <c r="S484" s="15" t="str">
        <f>IF(OR(G484="",NOT(OR(ISNUMBER(SEARCH("Epóxico Rojo",Upload!T474&amp;Upload!U474&amp;Upload!V474&amp;Upload!W474&amp;Upload!X474))))),"",G484*0.000035)</f>
        <v/>
      </c>
    </row>
    <row r="485" spans="1:19" x14ac:dyDescent="0.2">
      <c r="A485" s="9" t="e">
        <f t="shared" ca="1" si="47"/>
        <v>#NAME?</v>
      </c>
      <c r="B485" s="9">
        <f>Upload!G475</f>
        <v>0</v>
      </c>
      <c r="C485" s="9">
        <f>Upload!AN475</f>
        <v>0</v>
      </c>
      <c r="D485" s="9">
        <f>Upload!AO475</f>
        <v>0</v>
      </c>
      <c r="E485" s="9">
        <f>Upload!AP475</f>
        <v>0</v>
      </c>
      <c r="F485" s="9" t="str">
        <f>Upload!AK475</f>
        <v/>
      </c>
      <c r="G485" s="9" t="str">
        <f>Upload!AM475</f>
        <v/>
      </c>
      <c r="H485" s="9" t="str">
        <f>Upload!AJ475</f>
        <v>(seleccione)</v>
      </c>
      <c r="I485" s="9" t="str">
        <f>Upload!AL475</f>
        <v>(seleccione)</v>
      </c>
      <c r="K485" s="15" t="str">
        <f t="shared" si="42"/>
        <v/>
      </c>
      <c r="L485" s="15" t="str">
        <f t="shared" si="43"/>
        <v/>
      </c>
      <c r="M485" s="15" t="str">
        <f t="shared" si="44"/>
        <v/>
      </c>
      <c r="N485" s="15" t="str">
        <f t="shared" si="45"/>
        <v/>
      </c>
      <c r="O485" s="15" t="str">
        <f t="shared" si="46"/>
        <v/>
      </c>
      <c r="P485" s="15" t="str">
        <f>IF(OR(C485="",NOT(OR(ISNUMBER(SEARCH("Antitarnish",Upload!R475&amp;Upload!S475&amp;Upload!T475&amp;Upload!U475&amp;Upload!V475)),ISNUMBER(SEARCH("Anti Tarnish",Upload!R475&amp;Upload!S475&amp;Upload!T475&amp;Upload!U475&amp;Upload!V475))))),"",0.0012*C485)</f>
        <v/>
      </c>
      <c r="Q485" s="15" t="str">
        <f>IF(OR(E485="",NOT(OR(ISNUMBER(SEARCH("Epóxico MT",Upload!R475&amp;Upload!S475&amp;Upload!T475&amp;Upload!U475&amp;Upload!V475))))),"",E485*0.000035)</f>
        <v/>
      </c>
      <c r="R485" s="15" t="str">
        <f>IF(OR(F485="",NOT(OR(ISNUMBER(SEARCH("Epóxico BT",Upload!S475&amp;Upload!T475&amp;Upload!U475&amp;Upload!V475&amp;Upload!W475))))),"",F485*0.000035)</f>
        <v/>
      </c>
      <c r="S485" s="15" t="str">
        <f>IF(OR(G485="",NOT(OR(ISNUMBER(SEARCH("Epóxico Rojo",Upload!T475&amp;Upload!U475&amp;Upload!V475&amp;Upload!W475&amp;Upload!X475))))),"",G485*0.000035)</f>
        <v/>
      </c>
    </row>
    <row r="486" spans="1:19" x14ac:dyDescent="0.2">
      <c r="A486" s="9" t="e">
        <f t="shared" ca="1" si="47"/>
        <v>#NAME?</v>
      </c>
      <c r="B486" s="9">
        <f>Upload!G476</f>
        <v>0</v>
      </c>
      <c r="C486" s="9">
        <f>Upload!AN476</f>
        <v>0</v>
      </c>
      <c r="D486" s="9">
        <f>Upload!AO476</f>
        <v>0</v>
      </c>
      <c r="E486" s="9">
        <f>Upload!AP476</f>
        <v>0</v>
      </c>
      <c r="F486" s="9" t="str">
        <f>Upload!AK476</f>
        <v/>
      </c>
      <c r="G486" s="9" t="str">
        <f>Upload!AM476</f>
        <v/>
      </c>
      <c r="H486" s="9" t="str">
        <f>Upload!AJ476</f>
        <v>(seleccione)</v>
      </c>
      <c r="I486" s="9" t="str">
        <f>Upload!AL476</f>
        <v>(seleccione)</v>
      </c>
      <c r="K486" s="15" t="str">
        <f t="shared" si="42"/>
        <v/>
      </c>
      <c r="L486" s="15" t="str">
        <f t="shared" si="43"/>
        <v/>
      </c>
      <c r="M486" s="15" t="str">
        <f t="shared" si="44"/>
        <v/>
      </c>
      <c r="N486" s="15" t="str">
        <f t="shared" si="45"/>
        <v/>
      </c>
      <c r="O486" s="15" t="str">
        <f t="shared" si="46"/>
        <v/>
      </c>
      <c r="P486" s="15" t="str">
        <f>IF(OR(C486="",NOT(OR(ISNUMBER(SEARCH("Antitarnish",Upload!R476&amp;Upload!S476&amp;Upload!T476&amp;Upload!U476&amp;Upload!V476)),ISNUMBER(SEARCH("Anti Tarnish",Upload!R476&amp;Upload!S476&amp;Upload!T476&amp;Upload!U476&amp;Upload!V476))))),"",0.0012*C486)</f>
        <v/>
      </c>
      <c r="Q486" s="15" t="str">
        <f>IF(OR(E486="",NOT(OR(ISNUMBER(SEARCH("Epóxico MT",Upload!R476&amp;Upload!S476&amp;Upload!T476&amp;Upload!U476&amp;Upload!V476))))),"",E486*0.000035)</f>
        <v/>
      </c>
      <c r="R486" s="15" t="str">
        <f>IF(OR(F486="",NOT(OR(ISNUMBER(SEARCH("Epóxico BT",Upload!S476&amp;Upload!T476&amp;Upload!U476&amp;Upload!V476&amp;Upload!W476))))),"",F486*0.000035)</f>
        <v/>
      </c>
      <c r="S486" s="15" t="str">
        <f>IF(OR(G486="",NOT(OR(ISNUMBER(SEARCH("Epóxico Rojo",Upload!T476&amp;Upload!U476&amp;Upload!V476&amp;Upload!W476&amp;Upload!X476))))),"",G486*0.000035)</f>
        <v/>
      </c>
    </row>
    <row r="487" spans="1:19" x14ac:dyDescent="0.2">
      <c r="A487" s="9" t="e">
        <f t="shared" ca="1" si="47"/>
        <v>#NAME?</v>
      </c>
      <c r="B487" s="9">
        <f>Upload!G477</f>
        <v>0</v>
      </c>
      <c r="C487" s="9">
        <f>Upload!AN477</f>
        <v>0</v>
      </c>
      <c r="D487" s="9">
        <f>Upload!AO477</f>
        <v>0</v>
      </c>
      <c r="E487" s="9">
        <f>Upload!AP477</f>
        <v>0</v>
      </c>
      <c r="F487" s="9" t="str">
        <f>Upload!AK477</f>
        <v/>
      </c>
      <c r="G487" s="9" t="str">
        <f>Upload!AM477</f>
        <v/>
      </c>
      <c r="H487" s="9" t="str">
        <f>Upload!AJ477</f>
        <v>(seleccione)</v>
      </c>
      <c r="I487" s="9" t="str">
        <f>Upload!AL477</f>
        <v>(seleccione)</v>
      </c>
      <c r="K487" s="15" t="str">
        <f t="shared" si="42"/>
        <v/>
      </c>
      <c r="L487" s="15" t="str">
        <f t="shared" si="43"/>
        <v/>
      </c>
      <c r="M487" s="15" t="str">
        <f t="shared" si="44"/>
        <v/>
      </c>
      <c r="N487" s="15" t="str">
        <f t="shared" si="45"/>
        <v/>
      </c>
      <c r="O487" s="15" t="str">
        <f t="shared" si="46"/>
        <v/>
      </c>
      <c r="P487" s="15" t="str">
        <f>IF(OR(C487="",NOT(OR(ISNUMBER(SEARCH("Antitarnish",Upload!R477&amp;Upload!S477&amp;Upload!T477&amp;Upload!U477&amp;Upload!V477)),ISNUMBER(SEARCH("Anti Tarnish",Upload!R477&amp;Upload!S477&amp;Upload!T477&amp;Upload!U477&amp;Upload!V477))))),"",0.0012*C487)</f>
        <v/>
      </c>
      <c r="Q487" s="15" t="str">
        <f>IF(OR(E487="",NOT(OR(ISNUMBER(SEARCH("Epóxico MT",Upload!R477&amp;Upload!S477&amp;Upload!T477&amp;Upload!U477&amp;Upload!V477))))),"",E487*0.000035)</f>
        <v/>
      </c>
      <c r="R487" s="15" t="str">
        <f>IF(OR(F487="",NOT(OR(ISNUMBER(SEARCH("Epóxico BT",Upload!S477&amp;Upload!T477&amp;Upload!U477&amp;Upload!V477&amp;Upload!W477))))),"",F487*0.000035)</f>
        <v/>
      </c>
      <c r="S487" s="15" t="str">
        <f>IF(OR(G487="",NOT(OR(ISNUMBER(SEARCH("Epóxico Rojo",Upload!T477&amp;Upload!U477&amp;Upload!V477&amp;Upload!W477&amp;Upload!X477))))),"",G487*0.000035)</f>
        <v/>
      </c>
    </row>
    <row r="488" spans="1:19" x14ac:dyDescent="0.2">
      <c r="A488" s="9" t="e">
        <f t="shared" ca="1" si="47"/>
        <v>#NAME?</v>
      </c>
      <c r="B488" s="9">
        <f>Upload!G478</f>
        <v>0</v>
      </c>
      <c r="C488" s="9">
        <f>Upload!AN478</f>
        <v>0</v>
      </c>
      <c r="D488" s="9">
        <f>Upload!AO478</f>
        <v>0</v>
      </c>
      <c r="E488" s="9">
        <f>Upload!AP478</f>
        <v>0</v>
      </c>
      <c r="F488" s="9" t="str">
        <f>Upload!AK478</f>
        <v/>
      </c>
      <c r="G488" s="9" t="str">
        <f>Upload!AM478</f>
        <v/>
      </c>
      <c r="H488" s="9" t="str">
        <f>Upload!AJ478</f>
        <v>(seleccione)</v>
      </c>
      <c r="I488" s="9" t="str">
        <f>Upload!AL478</f>
        <v>(seleccione)</v>
      </c>
      <c r="K488" s="15" t="str">
        <f t="shared" si="42"/>
        <v/>
      </c>
      <c r="L488" s="15" t="str">
        <f t="shared" si="43"/>
        <v/>
      </c>
      <c r="M488" s="15" t="str">
        <f t="shared" si="44"/>
        <v/>
      </c>
      <c r="N488" s="15" t="str">
        <f t="shared" si="45"/>
        <v/>
      </c>
      <c r="O488" s="15" t="str">
        <f t="shared" si="46"/>
        <v/>
      </c>
      <c r="P488" s="15" t="str">
        <f>IF(OR(C488="",NOT(OR(ISNUMBER(SEARCH("Antitarnish",Upload!R478&amp;Upload!S478&amp;Upload!T478&amp;Upload!U478&amp;Upload!V478)),ISNUMBER(SEARCH("Anti Tarnish",Upload!R478&amp;Upload!S478&amp;Upload!T478&amp;Upload!U478&amp;Upload!V478))))),"",0.0012*C488)</f>
        <v/>
      </c>
      <c r="Q488" s="15" t="str">
        <f>IF(OR(E488="",NOT(OR(ISNUMBER(SEARCH("Epóxico MT",Upload!R478&amp;Upload!S478&amp;Upload!T478&amp;Upload!U478&amp;Upload!V478))))),"",E488*0.000035)</f>
        <v/>
      </c>
      <c r="R488" s="15" t="str">
        <f>IF(OR(F488="",NOT(OR(ISNUMBER(SEARCH("Epóxico BT",Upload!S478&amp;Upload!T478&amp;Upload!U478&amp;Upload!V478&amp;Upload!W478))))),"",F488*0.000035)</f>
        <v/>
      </c>
      <c r="S488" s="15" t="str">
        <f>IF(OR(G488="",NOT(OR(ISNUMBER(SEARCH("Epóxico Rojo",Upload!T478&amp;Upload!U478&amp;Upload!V478&amp;Upload!W478&amp;Upload!X478))))),"",G488*0.000035)</f>
        <v/>
      </c>
    </row>
    <row r="489" spans="1:19" x14ac:dyDescent="0.2">
      <c r="A489" s="9" t="e">
        <f t="shared" ca="1" si="47"/>
        <v>#NAME?</v>
      </c>
      <c r="B489" s="9">
        <f>Upload!G479</f>
        <v>0</v>
      </c>
      <c r="C489" s="9">
        <f>Upload!AN479</f>
        <v>0</v>
      </c>
      <c r="D489" s="9">
        <f>Upload!AO479</f>
        <v>0</v>
      </c>
      <c r="E489" s="9">
        <f>Upload!AP479</f>
        <v>0</v>
      </c>
      <c r="F489" s="9" t="str">
        <f>Upload!AK479</f>
        <v/>
      </c>
      <c r="G489" s="9" t="str">
        <f>Upload!AM479</f>
        <v/>
      </c>
      <c r="H489" s="9" t="str">
        <f>Upload!AJ479</f>
        <v>(seleccione)</v>
      </c>
      <c r="I489" s="9" t="str">
        <f>Upload!AL479</f>
        <v>(seleccione)</v>
      </c>
      <c r="K489" s="15" t="str">
        <f t="shared" si="42"/>
        <v/>
      </c>
      <c r="L489" s="15" t="str">
        <f t="shared" si="43"/>
        <v/>
      </c>
      <c r="M489" s="15" t="str">
        <f t="shared" si="44"/>
        <v/>
      </c>
      <c r="N489" s="15" t="str">
        <f t="shared" si="45"/>
        <v/>
      </c>
      <c r="O489" s="15" t="str">
        <f t="shared" si="46"/>
        <v/>
      </c>
      <c r="P489" s="15" t="str">
        <f>IF(OR(C489="",NOT(OR(ISNUMBER(SEARCH("Antitarnish",Upload!R479&amp;Upload!S479&amp;Upload!T479&amp;Upload!U479&amp;Upload!V479)),ISNUMBER(SEARCH("Anti Tarnish",Upload!R479&amp;Upload!S479&amp;Upload!T479&amp;Upload!U479&amp;Upload!V479))))),"",0.0012*C489)</f>
        <v/>
      </c>
      <c r="Q489" s="15" t="str">
        <f>IF(OR(E489="",NOT(OR(ISNUMBER(SEARCH("Epóxico MT",Upload!R479&amp;Upload!S479&amp;Upload!T479&amp;Upload!U479&amp;Upload!V479))))),"",E489*0.000035)</f>
        <v/>
      </c>
      <c r="R489" s="15" t="str">
        <f>IF(OR(F489="",NOT(OR(ISNUMBER(SEARCH("Epóxico BT",Upload!S479&amp;Upload!T479&amp;Upload!U479&amp;Upload!V479&amp;Upload!W479))))),"",F489*0.000035)</f>
        <v/>
      </c>
      <c r="S489" s="15" t="str">
        <f>IF(OR(G489="",NOT(OR(ISNUMBER(SEARCH("Epóxico Rojo",Upload!T479&amp;Upload!U479&amp;Upload!V479&amp;Upload!W479&amp;Upload!X479))))),"",G489*0.000035)</f>
        <v/>
      </c>
    </row>
    <row r="490" spans="1:19" x14ac:dyDescent="0.2">
      <c r="A490" s="9" t="e">
        <f t="shared" ca="1" si="47"/>
        <v>#NAME?</v>
      </c>
      <c r="B490" s="9">
        <f>Upload!G480</f>
        <v>0</v>
      </c>
      <c r="C490" s="9">
        <f>Upload!AN480</f>
        <v>0</v>
      </c>
      <c r="D490" s="9">
        <f>Upload!AO480</f>
        <v>0</v>
      </c>
      <c r="E490" s="9">
        <f>Upload!AP480</f>
        <v>0</v>
      </c>
      <c r="F490" s="9" t="str">
        <f>Upload!AK480</f>
        <v/>
      </c>
      <c r="G490" s="9" t="str">
        <f>Upload!AM480</f>
        <v/>
      </c>
      <c r="H490" s="9" t="str">
        <f>Upload!AJ480</f>
        <v>(seleccione)</v>
      </c>
      <c r="I490" s="9" t="str">
        <f>Upload!AL480</f>
        <v>(seleccione)</v>
      </c>
      <c r="K490" s="15" t="str">
        <f t="shared" si="42"/>
        <v/>
      </c>
      <c r="L490" s="15" t="str">
        <f t="shared" si="43"/>
        <v/>
      </c>
      <c r="M490" s="15" t="str">
        <f t="shared" si="44"/>
        <v/>
      </c>
      <c r="N490" s="15" t="str">
        <f t="shared" si="45"/>
        <v/>
      </c>
      <c r="O490" s="15" t="str">
        <f t="shared" si="46"/>
        <v/>
      </c>
      <c r="P490" s="15" t="str">
        <f>IF(OR(C490="",NOT(OR(ISNUMBER(SEARCH("Antitarnish",Upload!R480&amp;Upload!S480&amp;Upload!T480&amp;Upload!U480&amp;Upload!V480)),ISNUMBER(SEARCH("Anti Tarnish",Upload!R480&amp;Upload!S480&amp;Upload!T480&amp;Upload!U480&amp;Upload!V480))))),"",0.0012*C490)</f>
        <v/>
      </c>
      <c r="Q490" s="15" t="str">
        <f>IF(OR(E490="",NOT(OR(ISNUMBER(SEARCH("Epóxico MT",Upload!R480&amp;Upload!S480&amp;Upload!T480&amp;Upload!U480&amp;Upload!V480))))),"",E490*0.000035)</f>
        <v/>
      </c>
      <c r="R490" s="15" t="str">
        <f>IF(OR(F490="",NOT(OR(ISNUMBER(SEARCH("Epóxico BT",Upload!S480&amp;Upload!T480&amp;Upload!U480&amp;Upload!V480&amp;Upload!W480))))),"",F490*0.000035)</f>
        <v/>
      </c>
      <c r="S490" s="15" t="str">
        <f>IF(OR(G490="",NOT(OR(ISNUMBER(SEARCH("Epóxico Rojo",Upload!T480&amp;Upload!U480&amp;Upload!V480&amp;Upload!W480&amp;Upload!X480))))),"",G490*0.000035)</f>
        <v/>
      </c>
    </row>
    <row r="491" spans="1:19" x14ac:dyDescent="0.2">
      <c r="A491" s="9" t="e">
        <f t="shared" ca="1" si="47"/>
        <v>#NAME?</v>
      </c>
      <c r="B491" s="9">
        <f>Upload!G481</f>
        <v>0</v>
      </c>
      <c r="C491" s="9">
        <f>Upload!AN481</f>
        <v>0</v>
      </c>
      <c r="D491" s="9">
        <f>Upload!AO481</f>
        <v>0</v>
      </c>
      <c r="E491" s="9">
        <f>Upload!AP481</f>
        <v>0</v>
      </c>
      <c r="F491" s="9" t="str">
        <f>Upload!AK481</f>
        <v/>
      </c>
      <c r="G491" s="9" t="str">
        <f>Upload!AM481</f>
        <v/>
      </c>
      <c r="H491" s="9" t="str">
        <f>Upload!AJ481</f>
        <v>(seleccione)</v>
      </c>
      <c r="I491" s="9" t="str">
        <f>Upload!AL481</f>
        <v>(seleccione)</v>
      </c>
      <c r="K491" s="15" t="str">
        <f t="shared" si="42"/>
        <v/>
      </c>
      <c r="L491" s="15" t="str">
        <f t="shared" si="43"/>
        <v/>
      </c>
      <c r="M491" s="15" t="str">
        <f t="shared" si="44"/>
        <v/>
      </c>
      <c r="N491" s="15" t="str">
        <f t="shared" si="45"/>
        <v/>
      </c>
      <c r="O491" s="15" t="str">
        <f t="shared" si="46"/>
        <v/>
      </c>
      <c r="P491" s="15" t="str">
        <f>IF(OR(C491="",NOT(OR(ISNUMBER(SEARCH("Antitarnish",Upload!R481&amp;Upload!S481&amp;Upload!T481&amp;Upload!U481&amp;Upload!V481)),ISNUMBER(SEARCH("Anti Tarnish",Upload!R481&amp;Upload!S481&amp;Upload!T481&amp;Upload!U481&amp;Upload!V481))))),"",0.0012*C491)</f>
        <v/>
      </c>
      <c r="Q491" s="15" t="str">
        <f>IF(OR(E491="",NOT(OR(ISNUMBER(SEARCH("Epóxico MT",Upload!R481&amp;Upload!S481&amp;Upload!T481&amp;Upload!U481&amp;Upload!V481))))),"",E491*0.000035)</f>
        <v/>
      </c>
      <c r="R491" s="15" t="str">
        <f>IF(OR(F491="",NOT(OR(ISNUMBER(SEARCH("Epóxico BT",Upload!S481&amp;Upload!T481&amp;Upload!U481&amp;Upload!V481&amp;Upload!W481))))),"",F491*0.000035)</f>
        <v/>
      </c>
      <c r="S491" s="15" t="str">
        <f>IF(OR(G491="",NOT(OR(ISNUMBER(SEARCH("Epóxico Rojo",Upload!T481&amp;Upload!U481&amp;Upload!V481&amp;Upload!W481&amp;Upload!X481))))),"",G491*0.000035)</f>
        <v/>
      </c>
    </row>
    <row r="492" spans="1:19" x14ac:dyDescent="0.2">
      <c r="A492" s="9" t="e">
        <f t="shared" ca="1" si="47"/>
        <v>#NAME?</v>
      </c>
      <c r="B492" s="9">
        <f>Upload!G482</f>
        <v>0</v>
      </c>
      <c r="C492" s="9">
        <f>Upload!AN482</f>
        <v>0</v>
      </c>
      <c r="D492" s="9">
        <f>Upload!AO482</f>
        <v>0</v>
      </c>
      <c r="E492" s="9">
        <f>Upload!AP482</f>
        <v>0</v>
      </c>
      <c r="F492" s="9" t="str">
        <f>Upload!AK482</f>
        <v/>
      </c>
      <c r="G492" s="9" t="str">
        <f>Upload!AM482</f>
        <v/>
      </c>
      <c r="H492" s="9" t="str">
        <f>Upload!AJ482</f>
        <v>(seleccione)</v>
      </c>
      <c r="I492" s="9" t="str">
        <f>Upload!AL482</f>
        <v>(seleccione)</v>
      </c>
      <c r="K492" s="15" t="str">
        <f t="shared" si="42"/>
        <v/>
      </c>
      <c r="L492" s="15" t="str">
        <f t="shared" si="43"/>
        <v/>
      </c>
      <c r="M492" s="15" t="str">
        <f t="shared" si="44"/>
        <v/>
      </c>
      <c r="N492" s="15" t="str">
        <f t="shared" si="45"/>
        <v/>
      </c>
      <c r="O492" s="15" t="str">
        <f t="shared" si="46"/>
        <v/>
      </c>
      <c r="P492" s="15" t="str">
        <f>IF(OR(C492="",NOT(OR(ISNUMBER(SEARCH("Antitarnish",Upload!R482&amp;Upload!S482&amp;Upload!T482&amp;Upload!U482&amp;Upload!V482)),ISNUMBER(SEARCH("Anti Tarnish",Upload!R482&amp;Upload!S482&amp;Upload!T482&amp;Upload!U482&amp;Upload!V482))))),"",0.0012*C492)</f>
        <v/>
      </c>
      <c r="Q492" s="15" t="str">
        <f>IF(OR(E492="",NOT(OR(ISNUMBER(SEARCH("Epóxico MT",Upload!R482&amp;Upload!S482&amp;Upload!T482&amp;Upload!U482&amp;Upload!V482))))),"",E492*0.000035)</f>
        <v/>
      </c>
      <c r="R492" s="15" t="str">
        <f>IF(OR(F492="",NOT(OR(ISNUMBER(SEARCH("Epóxico BT",Upload!S482&amp;Upload!T482&amp;Upload!U482&amp;Upload!V482&amp;Upload!W482))))),"",F492*0.000035)</f>
        <v/>
      </c>
      <c r="S492" s="15" t="str">
        <f>IF(OR(G492="",NOT(OR(ISNUMBER(SEARCH("Epóxico Rojo",Upload!T482&amp;Upload!U482&amp;Upload!V482&amp;Upload!W482&amp;Upload!X482))))),"",G492*0.000035)</f>
        <v/>
      </c>
    </row>
    <row r="493" spans="1:19" x14ac:dyDescent="0.2">
      <c r="A493" s="9" t="e">
        <f t="shared" ca="1" si="47"/>
        <v>#NAME?</v>
      </c>
      <c r="B493" s="9">
        <f>Upload!G483</f>
        <v>0</v>
      </c>
      <c r="C493" s="9">
        <f>Upload!AN483</f>
        <v>0</v>
      </c>
      <c r="D493" s="9">
        <f>Upload!AO483</f>
        <v>0</v>
      </c>
      <c r="E493" s="9">
        <f>Upload!AP483</f>
        <v>0</v>
      </c>
      <c r="F493" s="9" t="str">
        <f>Upload!AK483</f>
        <v/>
      </c>
      <c r="G493" s="9" t="str">
        <f>Upload!AM483</f>
        <v/>
      </c>
      <c r="H493" s="9" t="str">
        <f>Upload!AJ483</f>
        <v>(seleccione)</v>
      </c>
      <c r="I493" s="9" t="str">
        <f>Upload!AL483</f>
        <v>(seleccione)</v>
      </c>
      <c r="K493" s="15" t="str">
        <f t="shared" si="42"/>
        <v/>
      </c>
      <c r="L493" s="15" t="str">
        <f t="shared" si="43"/>
        <v/>
      </c>
      <c r="M493" s="15" t="str">
        <f t="shared" si="44"/>
        <v/>
      </c>
      <c r="N493" s="15" t="str">
        <f t="shared" si="45"/>
        <v/>
      </c>
      <c r="O493" s="15" t="str">
        <f t="shared" si="46"/>
        <v/>
      </c>
      <c r="P493" s="15" t="str">
        <f>IF(OR(C493="",NOT(OR(ISNUMBER(SEARCH("Antitarnish",Upload!R483&amp;Upload!S483&amp;Upload!T483&amp;Upload!U483&amp;Upload!V483)),ISNUMBER(SEARCH("Anti Tarnish",Upload!R483&amp;Upload!S483&amp;Upload!T483&amp;Upload!U483&amp;Upload!V483))))),"",0.0012*C493)</f>
        <v/>
      </c>
      <c r="Q493" s="15" t="str">
        <f>IF(OR(E493="",NOT(OR(ISNUMBER(SEARCH("Epóxico MT",Upload!R483&amp;Upload!S483&amp;Upload!T483&amp;Upload!U483&amp;Upload!V483))))),"",E493*0.000035)</f>
        <v/>
      </c>
      <c r="R493" s="15" t="str">
        <f>IF(OR(F493="",NOT(OR(ISNUMBER(SEARCH("Epóxico BT",Upload!S483&amp;Upload!T483&amp;Upload!U483&amp;Upload!V483&amp;Upload!W483))))),"",F493*0.000035)</f>
        <v/>
      </c>
      <c r="S493" s="15" t="str">
        <f>IF(OR(G493="",NOT(OR(ISNUMBER(SEARCH("Epóxico Rojo",Upload!T483&amp;Upload!U483&amp;Upload!V483&amp;Upload!W483&amp;Upload!X483))))),"",G493*0.000035)</f>
        <v/>
      </c>
    </row>
    <row r="494" spans="1:19" x14ac:dyDescent="0.2">
      <c r="A494" s="9" t="e">
        <f t="shared" ca="1" si="47"/>
        <v>#NAME?</v>
      </c>
      <c r="B494" s="9">
        <f>Upload!G484</f>
        <v>0</v>
      </c>
      <c r="C494" s="9">
        <f>Upload!AN484</f>
        <v>0</v>
      </c>
      <c r="D494" s="9">
        <f>Upload!AO484</f>
        <v>0</v>
      </c>
      <c r="E494" s="9">
        <f>Upload!AP484</f>
        <v>0</v>
      </c>
      <c r="F494" s="9" t="str">
        <f>Upload!AK484</f>
        <v/>
      </c>
      <c r="G494" s="9" t="str">
        <f>Upload!AM484</f>
        <v/>
      </c>
      <c r="H494" s="9" t="str">
        <f>Upload!AJ484</f>
        <v>(seleccione)</v>
      </c>
      <c r="I494" s="9" t="str">
        <f>Upload!AL484</f>
        <v>(seleccione)</v>
      </c>
      <c r="K494" s="15" t="str">
        <f t="shared" si="42"/>
        <v/>
      </c>
      <c r="L494" s="15" t="str">
        <f t="shared" si="43"/>
        <v/>
      </c>
      <c r="M494" s="15" t="str">
        <f t="shared" si="44"/>
        <v/>
      </c>
      <c r="N494" s="15" t="str">
        <f t="shared" si="45"/>
        <v/>
      </c>
      <c r="O494" s="15" t="str">
        <f t="shared" si="46"/>
        <v/>
      </c>
      <c r="P494" s="15" t="str">
        <f>IF(OR(C494="",NOT(OR(ISNUMBER(SEARCH("Antitarnish",Upload!R484&amp;Upload!S484&amp;Upload!T484&amp;Upload!U484&amp;Upload!V484)),ISNUMBER(SEARCH("Anti Tarnish",Upload!R484&amp;Upload!S484&amp;Upload!T484&amp;Upload!U484&amp;Upload!V484))))),"",0.0012*C494)</f>
        <v/>
      </c>
      <c r="Q494" s="15" t="str">
        <f>IF(OR(E494="",NOT(OR(ISNUMBER(SEARCH("Epóxico MT",Upload!R484&amp;Upload!S484&amp;Upload!T484&amp;Upload!U484&amp;Upload!V484))))),"",E494*0.000035)</f>
        <v/>
      </c>
      <c r="R494" s="15" t="str">
        <f>IF(OR(F494="",NOT(OR(ISNUMBER(SEARCH("Epóxico BT",Upload!S484&amp;Upload!T484&amp;Upload!U484&amp;Upload!V484&amp;Upload!W484))))),"",F494*0.000035)</f>
        <v/>
      </c>
      <c r="S494" s="15" t="str">
        <f>IF(OR(G494="",NOT(OR(ISNUMBER(SEARCH("Epóxico Rojo",Upload!T484&amp;Upload!U484&amp;Upload!V484&amp;Upload!W484&amp;Upload!X484))))),"",G494*0.000035)</f>
        <v/>
      </c>
    </row>
    <row r="495" spans="1:19" x14ac:dyDescent="0.2">
      <c r="A495" s="9" t="e">
        <f t="shared" ca="1" si="47"/>
        <v>#NAME?</v>
      </c>
      <c r="B495" s="9">
        <f>Upload!G485</f>
        <v>0</v>
      </c>
      <c r="C495" s="9">
        <f>Upload!AN485</f>
        <v>0</v>
      </c>
      <c r="D495" s="9">
        <f>Upload!AO485</f>
        <v>0</v>
      </c>
      <c r="E495" s="9">
        <f>Upload!AP485</f>
        <v>0</v>
      </c>
      <c r="F495" s="9" t="str">
        <f>Upload!AK485</f>
        <v/>
      </c>
      <c r="G495" s="9" t="str">
        <f>Upload!AM485</f>
        <v/>
      </c>
      <c r="H495" s="9" t="str">
        <f>Upload!AJ485</f>
        <v>(seleccione)</v>
      </c>
      <c r="I495" s="9" t="str">
        <f>Upload!AL485</f>
        <v>(seleccione)</v>
      </c>
      <c r="K495" s="15" t="str">
        <f t="shared" si="42"/>
        <v/>
      </c>
      <c r="L495" s="15" t="str">
        <f t="shared" si="43"/>
        <v/>
      </c>
      <c r="M495" s="15" t="str">
        <f t="shared" si="44"/>
        <v/>
      </c>
      <c r="N495" s="15" t="str">
        <f t="shared" si="45"/>
        <v/>
      </c>
      <c r="O495" s="15" t="str">
        <f t="shared" si="46"/>
        <v/>
      </c>
      <c r="P495" s="15" t="str">
        <f>IF(OR(C495="",NOT(OR(ISNUMBER(SEARCH("Antitarnish",Upload!R485&amp;Upload!S485&amp;Upload!T485&amp;Upload!U485&amp;Upload!V485)),ISNUMBER(SEARCH("Anti Tarnish",Upload!R485&amp;Upload!S485&amp;Upload!T485&amp;Upload!U485&amp;Upload!V485))))),"",0.0012*C495)</f>
        <v/>
      </c>
      <c r="Q495" s="15" t="str">
        <f>IF(OR(E495="",NOT(OR(ISNUMBER(SEARCH("Epóxico MT",Upload!R485&amp;Upload!S485&amp;Upload!T485&amp;Upload!U485&amp;Upload!V485))))),"",E495*0.000035)</f>
        <v/>
      </c>
      <c r="R495" s="15" t="str">
        <f>IF(OR(F495="",NOT(OR(ISNUMBER(SEARCH("Epóxico BT",Upload!S485&amp;Upload!T485&amp;Upload!U485&amp;Upload!V485&amp;Upload!W485))))),"",F495*0.000035)</f>
        <v/>
      </c>
      <c r="S495" s="15" t="str">
        <f>IF(OR(G495="",NOT(OR(ISNUMBER(SEARCH("Epóxico Rojo",Upload!T485&amp;Upload!U485&amp;Upload!V485&amp;Upload!W485&amp;Upload!X485))))),"",G495*0.000035)</f>
        <v/>
      </c>
    </row>
    <row r="496" spans="1:19" x14ac:dyDescent="0.2">
      <c r="A496" s="9" t="e">
        <f t="shared" ca="1" si="47"/>
        <v>#NAME?</v>
      </c>
      <c r="B496" s="9">
        <f>Upload!G486</f>
        <v>0</v>
      </c>
      <c r="C496" s="9">
        <f>Upload!AN486</f>
        <v>0</v>
      </c>
      <c r="D496" s="9">
        <f>Upload!AO486</f>
        <v>0</v>
      </c>
      <c r="E496" s="9">
        <f>Upload!AP486</f>
        <v>0</v>
      </c>
      <c r="F496" s="9" t="str">
        <f>Upload!AK486</f>
        <v/>
      </c>
      <c r="G496" s="9" t="str">
        <f>Upload!AM486</f>
        <v/>
      </c>
      <c r="H496" s="9" t="str">
        <f>Upload!AJ486</f>
        <v>(seleccione)</v>
      </c>
      <c r="I496" s="9" t="str">
        <f>Upload!AL486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IF(OR(C496="",NOT(OR(ISNUMBER(SEARCH("Antitarnish",Upload!R486&amp;Upload!S486&amp;Upload!T486&amp;Upload!U486&amp;Upload!V486)),ISNUMBER(SEARCH("Anti Tarnish",Upload!R486&amp;Upload!S486&amp;Upload!T486&amp;Upload!U486&amp;Upload!V486))))),"",0.0012*C496)</f>
        <v/>
      </c>
      <c r="Q496" s="15" t="str">
        <f>IF(OR(E496="",NOT(OR(ISNUMBER(SEARCH("Epóxico MT",Upload!R486&amp;Upload!S486&amp;Upload!T486&amp;Upload!U486&amp;Upload!V486))))),"",E496*0.000035)</f>
        <v/>
      </c>
      <c r="R496" s="15" t="str">
        <f>IF(OR(F496="",NOT(OR(ISNUMBER(SEARCH("Epóxico BT",Upload!S486&amp;Upload!T486&amp;Upload!U486&amp;Upload!V486&amp;Upload!W486))))),"",F496*0.000035)</f>
        <v/>
      </c>
      <c r="S496" s="15" t="str">
        <f>IF(OR(G496="",NOT(OR(ISNUMBER(SEARCH("Epóxico Rojo",Upload!T486&amp;Upload!U486&amp;Upload!V486&amp;Upload!W486&amp;Upload!X486))))),"",G496*0.000035)</f>
        <v/>
      </c>
    </row>
    <row r="497" spans="1:19" x14ac:dyDescent="0.2">
      <c r="A497" s="9" t="e">
        <f t="shared" ca="1" si="47"/>
        <v>#NAME?</v>
      </c>
      <c r="B497" s="9">
        <f>Upload!G487</f>
        <v>0</v>
      </c>
      <c r="C497" s="9">
        <f>Upload!AN487</f>
        <v>0</v>
      </c>
      <c r="D497" s="9">
        <f>Upload!AO487</f>
        <v>0</v>
      </c>
      <c r="E497" s="9">
        <f>Upload!AP487</f>
        <v>0</v>
      </c>
      <c r="F497" s="9" t="str">
        <f>Upload!AK487</f>
        <v/>
      </c>
      <c r="G497" s="9" t="str">
        <f>Upload!AM487</f>
        <v/>
      </c>
      <c r="H497" s="9" t="str">
        <f>Upload!AJ487</f>
        <v>(seleccione)</v>
      </c>
      <c r="I497" s="9" t="str">
        <f>Upload!AL487</f>
        <v>(seleccione)</v>
      </c>
      <c r="K497" s="15" t="str">
        <f t="shared" si="48"/>
        <v/>
      </c>
      <c r="L497" s="15" t="str">
        <f t="shared" si="49"/>
        <v/>
      </c>
      <c r="M497" s="15" t="str">
        <f t="shared" si="50"/>
        <v/>
      </c>
      <c r="N497" s="15" t="str">
        <f t="shared" si="51"/>
        <v/>
      </c>
      <c r="O497" s="15" t="str">
        <f t="shared" si="52"/>
        <v/>
      </c>
      <c r="P497" s="15" t="str">
        <f>IF(OR(C497="",NOT(OR(ISNUMBER(SEARCH("Antitarnish",Upload!R487&amp;Upload!S487&amp;Upload!T487&amp;Upload!U487&amp;Upload!V487)),ISNUMBER(SEARCH("Anti Tarnish",Upload!R487&amp;Upload!S487&amp;Upload!T487&amp;Upload!U487&amp;Upload!V487))))),"",0.0012*C497)</f>
        <v/>
      </c>
      <c r="Q497" s="15" t="str">
        <f>IF(OR(E497="",NOT(OR(ISNUMBER(SEARCH("Epóxico MT",Upload!R487&amp;Upload!S487&amp;Upload!T487&amp;Upload!U487&amp;Upload!V487))))),"",E497*0.000035)</f>
        <v/>
      </c>
      <c r="R497" s="15" t="str">
        <f>IF(OR(F497="",NOT(OR(ISNUMBER(SEARCH("Epóxico BT",Upload!S487&amp;Upload!T487&amp;Upload!U487&amp;Upload!V487&amp;Upload!W487))))),"",F497*0.000035)</f>
        <v/>
      </c>
      <c r="S497" s="15" t="str">
        <f>IF(OR(G497="",NOT(OR(ISNUMBER(SEARCH("Epóxico Rojo",Upload!T487&amp;Upload!U487&amp;Upload!V487&amp;Upload!W487&amp;Upload!X487))))),"",G497*0.000035)</f>
        <v/>
      </c>
    </row>
    <row r="498" spans="1:19" x14ac:dyDescent="0.2">
      <c r="A498" s="9" t="e">
        <f t="shared" ca="1" si="47"/>
        <v>#NAME?</v>
      </c>
      <c r="B498" s="9">
        <f>Upload!G488</f>
        <v>0</v>
      </c>
      <c r="C498" s="9">
        <f>Upload!AN488</f>
        <v>0</v>
      </c>
      <c r="D498" s="9">
        <f>Upload!AO488</f>
        <v>0</v>
      </c>
      <c r="E498" s="9">
        <f>Upload!AP488</f>
        <v>0</v>
      </c>
      <c r="F498" s="9" t="str">
        <f>Upload!AK488</f>
        <v/>
      </c>
      <c r="G498" s="9" t="str">
        <f>Upload!AM488</f>
        <v/>
      </c>
      <c r="H498" s="9" t="str">
        <f>Upload!AJ488</f>
        <v>(seleccione)</v>
      </c>
      <c r="I498" s="9" t="str">
        <f>Upload!AL488</f>
        <v>(seleccione)</v>
      </c>
      <c r="K498" s="15" t="str">
        <f t="shared" si="48"/>
        <v/>
      </c>
      <c r="L498" s="15" t="str">
        <f t="shared" si="49"/>
        <v/>
      </c>
      <c r="M498" s="15" t="str">
        <f t="shared" si="50"/>
        <v/>
      </c>
      <c r="N498" s="15" t="str">
        <f t="shared" si="51"/>
        <v/>
      </c>
      <c r="O498" s="15" t="str">
        <f t="shared" si="52"/>
        <v/>
      </c>
      <c r="P498" s="15" t="str">
        <f>IF(OR(C498="",NOT(OR(ISNUMBER(SEARCH("Antitarnish",Upload!R488&amp;Upload!S488&amp;Upload!T488&amp;Upload!U488&amp;Upload!V488)),ISNUMBER(SEARCH("Anti Tarnish",Upload!R488&amp;Upload!S488&amp;Upload!T488&amp;Upload!U488&amp;Upload!V488))))),"",0.0012*C498)</f>
        <v/>
      </c>
      <c r="Q498" s="15" t="str">
        <f>IF(OR(E498="",NOT(OR(ISNUMBER(SEARCH("Epóxico MT",Upload!R488&amp;Upload!S488&amp;Upload!T488&amp;Upload!U488&amp;Upload!V488))))),"",E498*0.000035)</f>
        <v/>
      </c>
      <c r="R498" s="15" t="str">
        <f>IF(OR(F498="",NOT(OR(ISNUMBER(SEARCH("Epóxico BT",Upload!S488&amp;Upload!T488&amp;Upload!U488&amp;Upload!V488&amp;Upload!W488))))),"",F498*0.000035)</f>
        <v/>
      </c>
      <c r="S498" s="15" t="str">
        <f>IF(OR(G498="",NOT(OR(ISNUMBER(SEARCH("Epóxico Rojo",Upload!T488&amp;Upload!U488&amp;Upload!V488&amp;Upload!W488&amp;Upload!X488))))),"",G498*0.000035)</f>
        <v/>
      </c>
    </row>
    <row r="499" spans="1:19" x14ac:dyDescent="0.2">
      <c r="A499" s="9" t="e">
        <f t="shared" ca="1" si="47"/>
        <v>#NAME?</v>
      </c>
      <c r="B499" s="9">
        <f>Upload!G489</f>
        <v>0</v>
      </c>
      <c r="C499" s="9">
        <f>Upload!AN489</f>
        <v>0</v>
      </c>
      <c r="D499" s="9">
        <f>Upload!AO489</f>
        <v>0</v>
      </c>
      <c r="E499" s="9">
        <f>Upload!AP489</f>
        <v>0</v>
      </c>
      <c r="F499" s="9" t="str">
        <f>Upload!AK489</f>
        <v/>
      </c>
      <c r="G499" s="9" t="str">
        <f>Upload!AM489</f>
        <v/>
      </c>
      <c r="H499" s="9" t="str">
        <f>Upload!AJ489</f>
        <v>(seleccione)</v>
      </c>
      <c r="I499" s="9" t="str">
        <f>Upload!AL489</f>
        <v>(seleccione)</v>
      </c>
      <c r="K499" s="15" t="str">
        <f t="shared" si="48"/>
        <v/>
      </c>
      <c r="L499" s="15" t="str">
        <f t="shared" si="49"/>
        <v/>
      </c>
      <c r="M499" s="15" t="str">
        <f t="shared" si="50"/>
        <v/>
      </c>
      <c r="N499" s="15" t="str">
        <f t="shared" si="51"/>
        <v/>
      </c>
      <c r="O499" s="15" t="str">
        <f t="shared" si="52"/>
        <v/>
      </c>
      <c r="P499" s="15" t="str">
        <f>IF(OR(C499="",NOT(OR(ISNUMBER(SEARCH("Antitarnish",Upload!R489&amp;Upload!S489&amp;Upload!T489&amp;Upload!U489&amp;Upload!V489)),ISNUMBER(SEARCH("Anti Tarnish",Upload!R489&amp;Upload!S489&amp;Upload!T489&amp;Upload!U489&amp;Upload!V489))))),"",0.0012*C499)</f>
        <v/>
      </c>
      <c r="Q499" s="15" t="str">
        <f>IF(OR(E499="",NOT(OR(ISNUMBER(SEARCH("Epóxico MT",Upload!R489&amp;Upload!S489&amp;Upload!T489&amp;Upload!U489&amp;Upload!V489))))),"",E499*0.000035)</f>
        <v/>
      </c>
      <c r="R499" s="15" t="str">
        <f>IF(OR(F499="",NOT(OR(ISNUMBER(SEARCH("Epóxico BT",Upload!S489&amp;Upload!T489&amp;Upload!U489&amp;Upload!V489&amp;Upload!W489))))),"",F499*0.000035)</f>
        <v/>
      </c>
      <c r="S499" s="15" t="str">
        <f>IF(OR(G499="",NOT(OR(ISNUMBER(SEARCH("Epóxico Rojo",Upload!T489&amp;Upload!U489&amp;Upload!V489&amp;Upload!W489&amp;Upload!X489))))),"",G499*0.000035)</f>
        <v/>
      </c>
    </row>
    <row r="500" spans="1:19" x14ac:dyDescent="0.2">
      <c r="A500" s="9" t="e">
        <f t="shared" ca="1" si="47"/>
        <v>#NAME?</v>
      </c>
      <c r="B500" s="9">
        <f>Upload!G490</f>
        <v>0</v>
      </c>
      <c r="C500" s="9">
        <f>Upload!AN490</f>
        <v>0</v>
      </c>
      <c r="D500" s="9">
        <f>Upload!AO490</f>
        <v>0</v>
      </c>
      <c r="E500" s="9">
        <f>Upload!AP490</f>
        <v>0</v>
      </c>
      <c r="F500" s="9" t="str">
        <f>Upload!AK490</f>
        <v/>
      </c>
      <c r="G500" s="9" t="str">
        <f>Upload!AM490</f>
        <v/>
      </c>
      <c r="H500" s="9" t="str">
        <f>Upload!AJ490</f>
        <v>(seleccione)</v>
      </c>
      <c r="I500" s="9" t="str">
        <f>Upload!AL490</f>
        <v>(seleccione)</v>
      </c>
      <c r="K500" s="15" t="str">
        <f t="shared" si="48"/>
        <v/>
      </c>
      <c r="L500" s="15" t="str">
        <f t="shared" si="49"/>
        <v/>
      </c>
      <c r="M500" s="15" t="str">
        <f t="shared" si="50"/>
        <v/>
      </c>
      <c r="N500" s="15" t="str">
        <f t="shared" si="51"/>
        <v/>
      </c>
      <c r="O500" s="15" t="str">
        <f t="shared" si="52"/>
        <v/>
      </c>
      <c r="P500" s="15" t="str">
        <f>IF(OR(C500="",NOT(OR(ISNUMBER(SEARCH("Antitarnish",Upload!R490&amp;Upload!S490&amp;Upload!T490&amp;Upload!U490&amp;Upload!V490)),ISNUMBER(SEARCH("Anti Tarnish",Upload!R490&amp;Upload!S490&amp;Upload!T490&amp;Upload!U490&amp;Upload!V490))))),"",0.0012*C500)</f>
        <v/>
      </c>
      <c r="Q500" s="15" t="str">
        <f>IF(OR(E500="",NOT(OR(ISNUMBER(SEARCH("Epóxico MT",Upload!R490&amp;Upload!S490&amp;Upload!T490&amp;Upload!U490&amp;Upload!V490))))),"",E500*0.000035)</f>
        <v/>
      </c>
      <c r="R500" s="15" t="str">
        <f>IF(OR(F500="",NOT(OR(ISNUMBER(SEARCH("Epóxico BT",Upload!S490&amp;Upload!T490&amp;Upload!U490&amp;Upload!V490&amp;Upload!W490))))),"",F500*0.000035)</f>
        <v/>
      </c>
      <c r="S500" s="15" t="str">
        <f>IF(OR(G500="",NOT(OR(ISNUMBER(SEARCH("Epóxico Rojo",Upload!T490&amp;Upload!U490&amp;Upload!V490&amp;Upload!W490&amp;Upload!X490))))),"",G500*0.000035)</f>
        <v/>
      </c>
    </row>
    <row r="501" spans="1:19" x14ac:dyDescent="0.2">
      <c r="A501" s="9" t="e">
        <f t="shared" ca="1" si="47"/>
        <v>#NAME?</v>
      </c>
      <c r="B501" s="9">
        <f>Upload!G491</f>
        <v>0</v>
      </c>
      <c r="C501" s="9">
        <f>Upload!AN491</f>
        <v>0</v>
      </c>
      <c r="D501" s="9">
        <f>Upload!AO491</f>
        <v>0</v>
      </c>
      <c r="E501" s="9">
        <f>Upload!AP491</f>
        <v>0</v>
      </c>
      <c r="F501" s="9" t="str">
        <f>Upload!AK491</f>
        <v/>
      </c>
      <c r="G501" s="9" t="str">
        <f>Upload!AM491</f>
        <v/>
      </c>
      <c r="H501" s="9" t="str">
        <f>Upload!AJ491</f>
        <v>(seleccione)</v>
      </c>
      <c r="I501" s="9" t="str">
        <f>Upload!AL491</f>
        <v>(seleccione)</v>
      </c>
      <c r="K501" s="15" t="str">
        <f t="shared" si="48"/>
        <v/>
      </c>
      <c r="L501" s="15" t="str">
        <f t="shared" si="49"/>
        <v/>
      </c>
      <c r="M501" s="15" t="str">
        <f t="shared" si="50"/>
        <v/>
      </c>
      <c r="N501" s="15" t="str">
        <f t="shared" si="51"/>
        <v/>
      </c>
      <c r="O501" s="15" t="str">
        <f t="shared" si="52"/>
        <v/>
      </c>
      <c r="P501" s="15" t="str">
        <f>IF(OR(C501="",NOT(OR(ISNUMBER(SEARCH("Antitarnish",Upload!R491&amp;Upload!S491&amp;Upload!T491&amp;Upload!U491&amp;Upload!V491)),ISNUMBER(SEARCH("Anti Tarnish",Upload!R491&amp;Upload!S491&amp;Upload!T491&amp;Upload!U491&amp;Upload!V491))))),"",0.0012*C501)</f>
        <v/>
      </c>
      <c r="Q501" s="15" t="str">
        <f>IF(OR(E501="",NOT(OR(ISNUMBER(SEARCH("Epóxico MT",Upload!R491&amp;Upload!S491&amp;Upload!T491&amp;Upload!U491&amp;Upload!V491))))),"",E501*0.000035)</f>
        <v/>
      </c>
      <c r="R501" s="15" t="str">
        <f>IF(OR(F501="",NOT(OR(ISNUMBER(SEARCH("Epóxico BT",Upload!S491&amp;Upload!T491&amp;Upload!U491&amp;Upload!V491&amp;Upload!W491))))),"",F501*0.000035)</f>
        <v/>
      </c>
      <c r="S501" s="15" t="str">
        <f>IF(OR(G501="",NOT(OR(ISNUMBER(SEARCH("Epóxico Rojo",Upload!T491&amp;Upload!U491&amp;Upload!V491&amp;Upload!W491&amp;Upload!X491))))),"",G501*0.000035)</f>
        <v/>
      </c>
    </row>
    <row r="502" spans="1:19" x14ac:dyDescent="0.2">
      <c r="A502" s="9" t="e">
        <f t="shared" ca="1" si="47"/>
        <v>#NAME?</v>
      </c>
      <c r="B502" s="9">
        <f>Upload!G492</f>
        <v>0</v>
      </c>
      <c r="C502" s="9">
        <f>Upload!AN492</f>
        <v>0</v>
      </c>
      <c r="D502" s="9">
        <f>Upload!AO492</f>
        <v>0</v>
      </c>
      <c r="E502" s="9">
        <f>Upload!AP492</f>
        <v>0</v>
      </c>
      <c r="F502" s="9" t="str">
        <f>Upload!AK492</f>
        <v/>
      </c>
      <c r="G502" s="9" t="str">
        <f>Upload!AM492</f>
        <v/>
      </c>
      <c r="H502" s="9" t="str">
        <f>Upload!AJ492</f>
        <v>(seleccione)</v>
      </c>
      <c r="I502" s="9" t="str">
        <f>Upload!AL492</f>
        <v>(seleccione)</v>
      </c>
      <c r="K502" s="15" t="str">
        <f t="shared" si="48"/>
        <v/>
      </c>
      <c r="L502" s="15" t="str">
        <f t="shared" si="49"/>
        <v/>
      </c>
      <c r="M502" s="15" t="str">
        <f t="shared" si="50"/>
        <v/>
      </c>
      <c r="N502" s="15" t="str">
        <f t="shared" si="51"/>
        <v/>
      </c>
      <c r="O502" s="15" t="str">
        <f t="shared" si="52"/>
        <v/>
      </c>
      <c r="P502" s="15" t="str">
        <f>IF(OR(C502="",NOT(OR(ISNUMBER(SEARCH("Antitarnish",Upload!R492&amp;Upload!S492&amp;Upload!T492&amp;Upload!U492&amp;Upload!V492)),ISNUMBER(SEARCH("Anti Tarnish",Upload!R492&amp;Upload!S492&amp;Upload!T492&amp;Upload!U492&amp;Upload!V492))))),"",0.0012*C502)</f>
        <v/>
      </c>
      <c r="Q502" s="15" t="str">
        <f>IF(OR(E502="",NOT(OR(ISNUMBER(SEARCH("Epóxico MT",Upload!R492&amp;Upload!S492&amp;Upload!T492&amp;Upload!U492&amp;Upload!V492))))),"",E502*0.000035)</f>
        <v/>
      </c>
      <c r="R502" s="15" t="str">
        <f>IF(OR(F502="",NOT(OR(ISNUMBER(SEARCH("Epóxico BT",Upload!S492&amp;Upload!T492&amp;Upload!U492&amp;Upload!V492&amp;Upload!W492))))),"",F502*0.000035)</f>
        <v/>
      </c>
      <c r="S502" s="15" t="str">
        <f>IF(OR(G502="",NOT(OR(ISNUMBER(SEARCH("Epóxico Rojo",Upload!T492&amp;Upload!U492&amp;Upload!V492&amp;Upload!W492&amp;Upload!X492))))),"",G502*0.000035)</f>
        <v/>
      </c>
    </row>
    <row r="503" spans="1:19" x14ac:dyDescent="0.2">
      <c r="A503" s="9" t="e">
        <f t="shared" ca="1" si="47"/>
        <v>#NAME?</v>
      </c>
      <c r="B503" s="9">
        <f>Upload!G493</f>
        <v>0</v>
      </c>
      <c r="C503" s="9">
        <f>Upload!AN493</f>
        <v>0</v>
      </c>
      <c r="D503" s="9">
        <f>Upload!AO493</f>
        <v>0</v>
      </c>
      <c r="E503" s="9">
        <f>Upload!AP493</f>
        <v>0</v>
      </c>
      <c r="F503" s="9" t="str">
        <f>Upload!AK493</f>
        <v/>
      </c>
      <c r="G503" s="9" t="str">
        <f>Upload!AM493</f>
        <v/>
      </c>
      <c r="H503" s="9" t="str">
        <f>Upload!AJ493</f>
        <v>(seleccione)</v>
      </c>
      <c r="I503" s="9" t="str">
        <f>Upload!AL493</f>
        <v>(seleccione)</v>
      </c>
      <c r="K503" s="15" t="str">
        <f t="shared" si="48"/>
        <v/>
      </c>
      <c r="L503" s="15" t="str">
        <f t="shared" si="49"/>
        <v/>
      </c>
      <c r="M503" s="15" t="str">
        <f t="shared" si="50"/>
        <v/>
      </c>
      <c r="N503" s="15" t="str">
        <f t="shared" si="51"/>
        <v/>
      </c>
      <c r="O503" s="15" t="str">
        <f t="shared" si="52"/>
        <v/>
      </c>
      <c r="P503" s="15" t="str">
        <f>IF(OR(C503="",NOT(OR(ISNUMBER(SEARCH("Antitarnish",Upload!R493&amp;Upload!S493&amp;Upload!T493&amp;Upload!U493&amp;Upload!V493)),ISNUMBER(SEARCH("Anti Tarnish",Upload!R493&amp;Upload!S493&amp;Upload!T493&amp;Upload!U493&amp;Upload!V493))))),"",0.0012*C503)</f>
        <v/>
      </c>
      <c r="Q503" s="15" t="str">
        <f>IF(OR(E503="",NOT(OR(ISNUMBER(SEARCH("Epóxico MT",Upload!R493&amp;Upload!S493&amp;Upload!T493&amp;Upload!U493&amp;Upload!V493))))),"",E503*0.000035)</f>
        <v/>
      </c>
      <c r="R503" s="15" t="str">
        <f>IF(OR(F503="",NOT(OR(ISNUMBER(SEARCH("Epóxico BT",Upload!S493&amp;Upload!T493&amp;Upload!U493&amp;Upload!V493&amp;Upload!W493))))),"",F503*0.000035)</f>
        <v/>
      </c>
      <c r="S503" s="15" t="str">
        <f>IF(OR(G503="",NOT(OR(ISNUMBER(SEARCH("Epóxico Rojo",Upload!T493&amp;Upload!U493&amp;Upload!V493&amp;Upload!W493&amp;Upload!X493))))),"",G503*0.000035)</f>
        <v/>
      </c>
    </row>
    <row r="504" spans="1:19" x14ac:dyDescent="0.2">
      <c r="A504" s="9" t="e">
        <f t="shared" ca="1" si="47"/>
        <v>#NAME?</v>
      </c>
      <c r="B504" s="9">
        <f>Upload!G494</f>
        <v>0</v>
      </c>
      <c r="C504" s="9">
        <f>Upload!AN494</f>
        <v>0</v>
      </c>
      <c r="D504" s="9">
        <f>Upload!AO494</f>
        <v>0</v>
      </c>
      <c r="E504" s="9">
        <f>Upload!AP494</f>
        <v>0</v>
      </c>
      <c r="F504" s="9" t="str">
        <f>Upload!AK494</f>
        <v/>
      </c>
      <c r="G504" s="9" t="str">
        <f>Upload!AM494</f>
        <v/>
      </c>
      <c r="H504" s="9" t="str">
        <f>Upload!AJ494</f>
        <v>(seleccione)</v>
      </c>
      <c r="I504" s="9" t="str">
        <f>Upload!AL494</f>
        <v>(seleccione)</v>
      </c>
      <c r="K504" s="15" t="str">
        <f t="shared" si="48"/>
        <v/>
      </c>
      <c r="L504" s="15" t="str">
        <f t="shared" si="49"/>
        <v/>
      </c>
      <c r="M504" s="15" t="str">
        <f t="shared" si="50"/>
        <v/>
      </c>
      <c r="N504" s="15" t="str">
        <f t="shared" si="51"/>
        <v/>
      </c>
      <c r="O504" s="15" t="str">
        <f t="shared" si="52"/>
        <v/>
      </c>
      <c r="P504" s="15" t="str">
        <f>IF(OR(C504="",NOT(OR(ISNUMBER(SEARCH("Antitarnish",Upload!R494&amp;Upload!S494&amp;Upload!T494&amp;Upload!U494&amp;Upload!V494)),ISNUMBER(SEARCH("Anti Tarnish",Upload!R494&amp;Upload!S494&amp;Upload!T494&amp;Upload!U494&amp;Upload!V494))))),"",0.0012*C504)</f>
        <v/>
      </c>
      <c r="Q504" s="15" t="str">
        <f>IF(OR(E504="",NOT(OR(ISNUMBER(SEARCH("Epóxico MT",Upload!R494&amp;Upload!S494&amp;Upload!T494&amp;Upload!U494&amp;Upload!V494))))),"",E504*0.000035)</f>
        <v/>
      </c>
      <c r="R504" s="15" t="str">
        <f>IF(OR(F504="",NOT(OR(ISNUMBER(SEARCH("Epóxico BT",Upload!S494&amp;Upload!T494&amp;Upload!U494&amp;Upload!V494&amp;Upload!W494))))),"",F504*0.000035)</f>
        <v/>
      </c>
      <c r="S504" s="15" t="str">
        <f>IF(OR(G504="",NOT(OR(ISNUMBER(SEARCH("Epóxico Rojo",Upload!T494&amp;Upload!U494&amp;Upload!V494&amp;Upload!W494&amp;Upload!X494))))),"",G504*0.000035)</f>
        <v/>
      </c>
    </row>
    <row r="505" spans="1:19" x14ac:dyDescent="0.2">
      <c r="A505" s="9" t="e">
        <f t="shared" ca="1" si="47"/>
        <v>#NAME?</v>
      </c>
      <c r="B505" s="9">
        <f>Upload!G495</f>
        <v>0</v>
      </c>
      <c r="C505" s="9">
        <f>Upload!AN495</f>
        <v>0</v>
      </c>
      <c r="D505" s="9">
        <f>Upload!AO495</f>
        <v>0</v>
      </c>
      <c r="E505" s="9">
        <f>Upload!AP495</f>
        <v>0</v>
      </c>
      <c r="F505" s="9" t="str">
        <f>Upload!AK495</f>
        <v/>
      </c>
      <c r="G505" s="9" t="str">
        <f>Upload!AM495</f>
        <v/>
      </c>
      <c r="H505" s="9" t="str">
        <f>Upload!AJ495</f>
        <v>(seleccione)</v>
      </c>
      <c r="I505" s="9" t="str">
        <f>Upload!AL495</f>
        <v>(seleccione)</v>
      </c>
      <c r="K505" s="15" t="str">
        <f t="shared" si="48"/>
        <v/>
      </c>
      <c r="L505" s="15" t="str">
        <f t="shared" si="49"/>
        <v/>
      </c>
      <c r="M505" s="15" t="str">
        <f t="shared" si="50"/>
        <v/>
      </c>
      <c r="N505" s="15" t="str">
        <f t="shared" si="51"/>
        <v/>
      </c>
      <c r="O505" s="15" t="str">
        <f t="shared" si="52"/>
        <v/>
      </c>
      <c r="P505" s="15" t="str">
        <f>IF(OR(C505="",NOT(OR(ISNUMBER(SEARCH("Antitarnish",Upload!R495&amp;Upload!S495&amp;Upload!T495&amp;Upload!U495&amp;Upload!V495)),ISNUMBER(SEARCH("Anti Tarnish",Upload!R495&amp;Upload!S495&amp;Upload!T495&amp;Upload!U495&amp;Upload!V495))))),"",0.0012*C505)</f>
        <v/>
      </c>
      <c r="Q505" s="15" t="str">
        <f>IF(OR(E505="",NOT(OR(ISNUMBER(SEARCH("Epóxico MT",Upload!R495&amp;Upload!S495&amp;Upload!T495&amp;Upload!U495&amp;Upload!V495))))),"",E505*0.000035)</f>
        <v/>
      </c>
      <c r="R505" s="15" t="str">
        <f>IF(OR(F505="",NOT(OR(ISNUMBER(SEARCH("Epóxico BT",Upload!S495&amp;Upload!T495&amp;Upload!U495&amp;Upload!V495&amp;Upload!W495))))),"",F505*0.000035)</f>
        <v/>
      </c>
      <c r="S505" s="15" t="str">
        <f>IF(OR(G505="",NOT(OR(ISNUMBER(SEARCH("Epóxico Rojo",Upload!T495&amp;Upload!U495&amp;Upload!V495&amp;Upload!W495&amp;Upload!X495))))),"",G505*0.000035)</f>
        <v/>
      </c>
    </row>
    <row r="506" spans="1:19" x14ac:dyDescent="0.2">
      <c r="A506" s="9" t="e">
        <f t="shared" ca="1" si="47"/>
        <v>#NAME?</v>
      </c>
      <c r="B506" s="9">
        <f>Upload!G496</f>
        <v>0</v>
      </c>
      <c r="C506" s="9">
        <f>Upload!AN496</f>
        <v>0</v>
      </c>
      <c r="D506" s="9">
        <f>Upload!AO496</f>
        <v>0</v>
      </c>
      <c r="E506" s="9">
        <f>Upload!AP496</f>
        <v>0</v>
      </c>
      <c r="F506" s="9" t="str">
        <f>Upload!AK496</f>
        <v/>
      </c>
      <c r="G506" s="9" t="str">
        <f>Upload!AM496</f>
        <v/>
      </c>
      <c r="H506" s="9" t="str">
        <f>Upload!AJ496</f>
        <v>(seleccione)</v>
      </c>
      <c r="I506" s="9" t="str">
        <f>Upload!AL496</f>
        <v>(seleccione)</v>
      </c>
      <c r="K506" s="15" t="str">
        <f t="shared" si="48"/>
        <v/>
      </c>
      <c r="L506" s="15" t="str">
        <f t="shared" si="49"/>
        <v/>
      </c>
      <c r="M506" s="15" t="str">
        <f t="shared" si="50"/>
        <v/>
      </c>
      <c r="N506" s="15" t="str">
        <f t="shared" si="51"/>
        <v/>
      </c>
      <c r="O506" s="15" t="str">
        <f t="shared" si="52"/>
        <v/>
      </c>
      <c r="P506" s="15" t="str">
        <f>IF(OR(C506="",NOT(OR(ISNUMBER(SEARCH("Antitarnish",Upload!R496&amp;Upload!S496&amp;Upload!T496&amp;Upload!U496&amp;Upload!V496)),ISNUMBER(SEARCH("Anti Tarnish",Upload!R496&amp;Upload!S496&amp;Upload!T496&amp;Upload!U496&amp;Upload!V496))))),"",0.0012*C506)</f>
        <v/>
      </c>
      <c r="Q506" s="15" t="str">
        <f>IF(OR(E506="",NOT(OR(ISNUMBER(SEARCH("Epóxico MT",Upload!R496&amp;Upload!S496&amp;Upload!T496&amp;Upload!U496&amp;Upload!V496))))),"",E506*0.000035)</f>
        <v/>
      </c>
      <c r="R506" s="15" t="str">
        <f>IF(OR(F506="",NOT(OR(ISNUMBER(SEARCH("Epóxico BT",Upload!S496&amp;Upload!T496&amp;Upload!U496&amp;Upload!V496&amp;Upload!W496))))),"",F506*0.000035)</f>
        <v/>
      </c>
      <c r="S506" s="15" t="str">
        <f>IF(OR(G506="",NOT(OR(ISNUMBER(SEARCH("Epóxico Rojo",Upload!T496&amp;Upload!U496&amp;Upload!V496&amp;Upload!W496&amp;Upload!X496))))),"",G506*0.000035)</f>
        <v/>
      </c>
    </row>
    <row r="507" spans="1:19" x14ac:dyDescent="0.2">
      <c r="A507" s="9" t="e">
        <f t="shared" ca="1" si="47"/>
        <v>#NAME?</v>
      </c>
      <c r="B507" s="9">
        <f>Upload!G497</f>
        <v>0</v>
      </c>
      <c r="C507" s="9">
        <f>Upload!AN497</f>
        <v>0</v>
      </c>
      <c r="D507" s="9">
        <f>Upload!AO497</f>
        <v>0</v>
      </c>
      <c r="E507" s="9">
        <f>Upload!AP497</f>
        <v>0</v>
      </c>
      <c r="F507" s="9" t="str">
        <f>Upload!AK497</f>
        <v/>
      </c>
      <c r="G507" s="9" t="str">
        <f>Upload!AM497</f>
        <v/>
      </c>
      <c r="H507" s="9" t="str">
        <f>Upload!AJ497</f>
        <v>(seleccione)</v>
      </c>
      <c r="I507" s="9" t="str">
        <f>Upload!AL497</f>
        <v>(seleccione)</v>
      </c>
      <c r="K507" s="15" t="str">
        <f t="shared" si="48"/>
        <v/>
      </c>
      <c r="L507" s="15" t="str">
        <f t="shared" si="49"/>
        <v/>
      </c>
      <c r="M507" s="15" t="str">
        <f t="shared" si="50"/>
        <v/>
      </c>
      <c r="N507" s="15" t="str">
        <f t="shared" si="51"/>
        <v/>
      </c>
      <c r="O507" s="15" t="str">
        <f t="shared" si="52"/>
        <v/>
      </c>
      <c r="P507" s="15" t="str">
        <f>IF(OR(C507="",NOT(OR(ISNUMBER(SEARCH("Antitarnish",Upload!R497&amp;Upload!S497&amp;Upload!T497&amp;Upload!U497&amp;Upload!V497)),ISNUMBER(SEARCH("Anti Tarnish",Upload!R497&amp;Upload!S497&amp;Upload!T497&amp;Upload!U497&amp;Upload!V497))))),"",0.0012*C507)</f>
        <v/>
      </c>
      <c r="Q507" s="15" t="str">
        <f>IF(OR(E507="",NOT(OR(ISNUMBER(SEARCH("Epóxico MT",Upload!R497&amp;Upload!S497&amp;Upload!T497&amp;Upload!U497&amp;Upload!V497))))),"",E507*0.000035)</f>
        <v/>
      </c>
      <c r="R507" s="15" t="str">
        <f>IF(OR(F507="",NOT(OR(ISNUMBER(SEARCH("Epóxico BT",Upload!S497&amp;Upload!T497&amp;Upload!U497&amp;Upload!V497&amp;Upload!W497))))),"",F507*0.000035)</f>
        <v/>
      </c>
      <c r="S507" s="15" t="str">
        <f>IF(OR(G507="",NOT(OR(ISNUMBER(SEARCH("Epóxico Rojo",Upload!T497&amp;Upload!U497&amp;Upload!V497&amp;Upload!W497&amp;Upload!X497))))),"",G507*0.000035)</f>
        <v/>
      </c>
    </row>
    <row r="508" spans="1:19" x14ac:dyDescent="0.2">
      <c r="A508" s="9" t="e">
        <f t="shared" ca="1" si="47"/>
        <v>#NAME?</v>
      </c>
      <c r="B508" s="9">
        <f>Upload!G498</f>
        <v>0</v>
      </c>
      <c r="C508" s="9">
        <f>Upload!AN498</f>
        <v>0</v>
      </c>
      <c r="D508" s="9">
        <f>Upload!AO498</f>
        <v>0</v>
      </c>
      <c r="E508" s="9">
        <f>Upload!AP498</f>
        <v>0</v>
      </c>
      <c r="F508" s="9" t="str">
        <f>Upload!AK498</f>
        <v/>
      </c>
      <c r="G508" s="9" t="str">
        <f>Upload!AM498</f>
        <v/>
      </c>
      <c r="H508" s="9" t="str">
        <f>Upload!AJ498</f>
        <v>(seleccione)</v>
      </c>
      <c r="I508" s="9" t="str">
        <f>Upload!AL498</f>
        <v>(seleccione)</v>
      </c>
      <c r="K508" s="15" t="str">
        <f t="shared" si="48"/>
        <v/>
      </c>
      <c r="L508" s="15" t="str">
        <f t="shared" si="49"/>
        <v/>
      </c>
      <c r="M508" s="15" t="str">
        <f t="shared" si="50"/>
        <v/>
      </c>
      <c r="N508" s="15" t="str">
        <f t="shared" si="51"/>
        <v/>
      </c>
      <c r="O508" s="15" t="str">
        <f t="shared" si="52"/>
        <v/>
      </c>
      <c r="P508" s="15" t="str">
        <f>IF(OR(C508="",NOT(OR(ISNUMBER(SEARCH("Antitarnish",Upload!R498&amp;Upload!S498&amp;Upload!T498&amp;Upload!U498&amp;Upload!V498)),ISNUMBER(SEARCH("Anti Tarnish",Upload!R498&amp;Upload!S498&amp;Upload!T498&amp;Upload!U498&amp;Upload!V498))))),"",0.0012*C508)</f>
        <v/>
      </c>
      <c r="Q508" s="15" t="str">
        <f>IF(OR(E508="",NOT(OR(ISNUMBER(SEARCH("Epóxico MT",Upload!R498&amp;Upload!S498&amp;Upload!T498&amp;Upload!U498&amp;Upload!V498))))),"",E508*0.000035)</f>
        <v/>
      </c>
      <c r="R508" s="15" t="str">
        <f>IF(OR(F508="",NOT(OR(ISNUMBER(SEARCH("Epóxico BT",Upload!S498&amp;Upload!T498&amp;Upload!U498&amp;Upload!V498&amp;Upload!W498))))),"",F508*0.000035)</f>
        <v/>
      </c>
      <c r="S508" s="15" t="str">
        <f>IF(OR(G508="",NOT(OR(ISNUMBER(SEARCH("Epóxico Rojo",Upload!T498&amp;Upload!U498&amp;Upload!V498&amp;Upload!W498&amp;Upload!X498))))),"",G508*0.000035)</f>
        <v/>
      </c>
    </row>
    <row r="509" spans="1:19" x14ac:dyDescent="0.2">
      <c r="A509" s="9" t="e">
        <f t="shared" ca="1" si="47"/>
        <v>#NAME?</v>
      </c>
      <c r="B509" s="9">
        <f>Upload!G499</f>
        <v>0</v>
      </c>
      <c r="C509" s="9">
        <f>Upload!AN499</f>
        <v>0</v>
      </c>
      <c r="D509" s="9">
        <f>Upload!AO499</f>
        <v>0</v>
      </c>
      <c r="E509" s="9">
        <f>Upload!AP499</f>
        <v>0</v>
      </c>
      <c r="F509" s="9" t="str">
        <f>Upload!AK499</f>
        <v/>
      </c>
      <c r="G509" s="9" t="str">
        <f>Upload!AM499</f>
        <v/>
      </c>
      <c r="H509" s="9" t="str">
        <f>Upload!AJ499</f>
        <v>(seleccione)</v>
      </c>
      <c r="I509" s="9" t="str">
        <f>Upload!AL499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IF(OR(C509="",NOT(OR(ISNUMBER(SEARCH("Antitarnish",Upload!R499&amp;Upload!S499&amp;Upload!T499&amp;Upload!U499&amp;Upload!V499)),ISNUMBER(SEARCH("Anti Tarnish",Upload!R499&amp;Upload!S499&amp;Upload!T499&amp;Upload!U499&amp;Upload!V499))))),"",0.0012*C509)</f>
        <v/>
      </c>
      <c r="Q509" s="15" t="str">
        <f>IF(OR(E509="",NOT(OR(ISNUMBER(SEARCH("Epóxico MT",Upload!R499&amp;Upload!S499&amp;Upload!T499&amp;Upload!U499&amp;Upload!V499))))),"",E509*0.000035)</f>
        <v/>
      </c>
      <c r="R509" s="15" t="str">
        <f>IF(OR(F509="",NOT(OR(ISNUMBER(SEARCH("Epóxico BT",Upload!S499&amp;Upload!T499&amp;Upload!U499&amp;Upload!V499&amp;Upload!W499))))),"",F509*0.000035)</f>
        <v/>
      </c>
      <c r="S509" s="15" t="str">
        <f>IF(OR(G509="",NOT(OR(ISNUMBER(SEARCH("Epóxico Rojo",Upload!T499&amp;Upload!U499&amp;Upload!V499&amp;Upload!W499&amp;Upload!X499))))),"",G509*0.000035)</f>
        <v/>
      </c>
    </row>
    <row r="510" spans="1:19" x14ac:dyDescent="0.2">
      <c r="A510" s="9" t="e">
        <f t="shared" ca="1" si="47"/>
        <v>#NAME?</v>
      </c>
      <c r="B510" s="9">
        <f>Upload!G500</f>
        <v>0</v>
      </c>
      <c r="C510" s="9">
        <f>Upload!AN500</f>
        <v>0</v>
      </c>
      <c r="D510" s="9">
        <f>Upload!AO500</f>
        <v>0</v>
      </c>
      <c r="E510" s="9">
        <f>Upload!AP500</f>
        <v>0</v>
      </c>
      <c r="F510" s="9" t="str">
        <f>Upload!AK500</f>
        <v/>
      </c>
      <c r="G510" s="9" t="str">
        <f>Upload!AM500</f>
        <v/>
      </c>
      <c r="H510" s="9" t="str">
        <f>Upload!AJ500</f>
        <v>(seleccione)</v>
      </c>
      <c r="I510" s="9" t="str">
        <f>Upload!AL500</f>
        <v>(seleccione)</v>
      </c>
      <c r="K510" s="15" t="str">
        <f t="shared" si="53"/>
        <v/>
      </c>
      <c r="L510" s="15" t="str">
        <f t="shared" si="54"/>
        <v/>
      </c>
      <c r="M510" s="15" t="str">
        <f t="shared" si="55"/>
        <v/>
      </c>
      <c r="N510" s="15" t="str">
        <f t="shared" si="56"/>
        <v/>
      </c>
      <c r="O510" s="15" t="str">
        <f t="shared" si="57"/>
        <v/>
      </c>
      <c r="P510" s="15" t="str">
        <f>IF(OR(C510="",NOT(OR(ISNUMBER(SEARCH("Antitarnish",Upload!R500&amp;Upload!S500&amp;Upload!T500&amp;Upload!U500&amp;Upload!V500)),ISNUMBER(SEARCH("Anti Tarnish",Upload!R500&amp;Upload!S500&amp;Upload!T500&amp;Upload!U500&amp;Upload!V500))))),"",0.0012*C510)</f>
        <v/>
      </c>
      <c r="Q510" s="15" t="str">
        <f>IF(OR(E510="",NOT(OR(ISNUMBER(SEARCH("Epóxico MT",Upload!R500&amp;Upload!S500&amp;Upload!T500&amp;Upload!U500&amp;Upload!V500))))),"",E510*0.000035)</f>
        <v/>
      </c>
      <c r="R510" s="15" t="str">
        <f>IF(OR(F510="",NOT(OR(ISNUMBER(SEARCH("Epóxico BT",Upload!S500&amp;Upload!T500&amp;Upload!U500&amp;Upload!V500&amp;Upload!W500))))),"",F510*0.000035)</f>
        <v/>
      </c>
      <c r="S510" s="15" t="str">
        <f>IF(OR(G510="",NOT(OR(ISNUMBER(SEARCH("Epóxico Rojo",Upload!T500&amp;Upload!U500&amp;Upload!V500&amp;Upload!W500&amp;Upload!X500))))),"",G510*0.000035)</f>
        <v/>
      </c>
    </row>
    <row r="511" spans="1:19" x14ac:dyDescent="0.2">
      <c r="A511" s="9" t="e">
        <f t="shared" ca="1" si="47"/>
        <v>#NAME?</v>
      </c>
      <c r="B511" s="9">
        <f>Upload!G501</f>
        <v>0</v>
      </c>
      <c r="C511" s="9">
        <f>Upload!AN501</f>
        <v>0</v>
      </c>
      <c r="D511" s="9">
        <f>Upload!AO501</f>
        <v>0</v>
      </c>
      <c r="E511" s="9">
        <f>Upload!AP501</f>
        <v>0</v>
      </c>
      <c r="F511" s="9" t="str">
        <f>Upload!AK501</f>
        <v/>
      </c>
      <c r="G511" s="9" t="str">
        <f>Upload!AM501</f>
        <v/>
      </c>
      <c r="H511" s="9" t="str">
        <f>Upload!AJ501</f>
        <v>(seleccione)</v>
      </c>
      <c r="I511" s="9" t="str">
        <f>Upload!AL501</f>
        <v>(seleccione)</v>
      </c>
      <c r="K511" s="15" t="str">
        <f t="shared" si="53"/>
        <v/>
      </c>
      <c r="L511" s="15" t="str">
        <f t="shared" si="54"/>
        <v/>
      </c>
      <c r="M511" s="15" t="str">
        <f t="shared" si="55"/>
        <v/>
      </c>
      <c r="N511" s="15" t="str">
        <f t="shared" si="56"/>
        <v/>
      </c>
      <c r="O511" s="15" t="str">
        <f t="shared" si="57"/>
        <v/>
      </c>
      <c r="P511" s="15" t="str">
        <f>IF(OR(C511="",NOT(OR(ISNUMBER(SEARCH("Antitarnish",Upload!R501&amp;Upload!S501&amp;Upload!T501&amp;Upload!U501&amp;Upload!V501)),ISNUMBER(SEARCH("Anti Tarnish",Upload!R501&amp;Upload!S501&amp;Upload!T501&amp;Upload!U501&amp;Upload!V501))))),"",0.0012*C511)</f>
        <v/>
      </c>
      <c r="Q511" s="15" t="str">
        <f>IF(OR(E511="",NOT(OR(ISNUMBER(SEARCH("Epóxico MT",Upload!R501&amp;Upload!S501&amp;Upload!T501&amp;Upload!U501&amp;Upload!V501))))),"",E511*0.000035)</f>
        <v/>
      </c>
      <c r="R511" s="15" t="str">
        <f>IF(OR(F511="",NOT(OR(ISNUMBER(SEARCH("Epóxico BT",Upload!S501&amp;Upload!T501&amp;Upload!U501&amp;Upload!V501&amp;Upload!W501))))),"",F511*0.000035)</f>
        <v/>
      </c>
      <c r="S511" s="15" t="str">
        <f>IF(OR(G511="",NOT(OR(ISNUMBER(SEARCH("Epóxico Rojo",Upload!T501&amp;Upload!U501&amp;Upload!V501&amp;Upload!W501&amp;Upload!X501))))),"",G511*0.000035)</f>
        <v/>
      </c>
    </row>
    <row r="512" spans="1:19" x14ac:dyDescent="0.2">
      <c r="A512" s="9" t="e">
        <f t="shared" ca="1" si="47"/>
        <v>#NAME?</v>
      </c>
      <c r="B512" s="9">
        <f>Upload!G502</f>
        <v>0</v>
      </c>
      <c r="C512" s="9">
        <f>Upload!AN502</f>
        <v>0</v>
      </c>
      <c r="D512" s="9">
        <f>Upload!AO502</f>
        <v>0</v>
      </c>
      <c r="E512" s="9">
        <f>Upload!AP502</f>
        <v>0</v>
      </c>
      <c r="F512" s="9" t="str">
        <f>Upload!AK502</f>
        <v/>
      </c>
      <c r="G512" s="9" t="str">
        <f>Upload!AM502</f>
        <v/>
      </c>
      <c r="H512" s="9" t="str">
        <f>Upload!AJ502</f>
        <v>(seleccione)</v>
      </c>
      <c r="I512" s="9" t="str">
        <f>Upload!AL502</f>
        <v>(seleccione)</v>
      </c>
      <c r="K512" s="15" t="str">
        <f t="shared" si="53"/>
        <v/>
      </c>
      <c r="L512" s="15" t="str">
        <f t="shared" si="54"/>
        <v/>
      </c>
      <c r="M512" s="15" t="str">
        <f t="shared" si="55"/>
        <v/>
      </c>
      <c r="N512" s="15" t="str">
        <f t="shared" si="56"/>
        <v/>
      </c>
      <c r="O512" s="15" t="str">
        <f t="shared" si="57"/>
        <v/>
      </c>
      <c r="P512" s="15" t="str">
        <f>IF(OR(C512="",NOT(OR(ISNUMBER(SEARCH("Antitarnish",Upload!R502&amp;Upload!S502&amp;Upload!T502&amp;Upload!U502&amp;Upload!V502)),ISNUMBER(SEARCH("Anti Tarnish",Upload!R502&amp;Upload!S502&amp;Upload!T502&amp;Upload!U502&amp;Upload!V502))))),"",0.0012*C512)</f>
        <v/>
      </c>
      <c r="Q512" s="15" t="str">
        <f>IF(OR(E512="",NOT(OR(ISNUMBER(SEARCH("Epóxico MT",Upload!R502&amp;Upload!S502&amp;Upload!T502&amp;Upload!U502&amp;Upload!V502))))),"",E512*0.000035)</f>
        <v/>
      </c>
      <c r="R512" s="15" t="str">
        <f>IF(OR(F512="",NOT(OR(ISNUMBER(SEARCH("Epóxico BT",Upload!S502&amp;Upload!T502&amp;Upload!U502&amp;Upload!V502&amp;Upload!W502))))),"",F512*0.000035)</f>
        <v/>
      </c>
      <c r="S512" s="15" t="str">
        <f>IF(OR(G512="",NOT(OR(ISNUMBER(SEARCH("Epóxico Rojo",Upload!T502&amp;Upload!U502&amp;Upload!V502&amp;Upload!W502&amp;Upload!X502))))),"",G512*0.000035)</f>
        <v/>
      </c>
    </row>
    <row r="513" spans="1:19" x14ac:dyDescent="0.2">
      <c r="A513" s="9" t="e">
        <f t="shared" ca="1" si="47"/>
        <v>#NAME?</v>
      </c>
      <c r="B513" s="9">
        <f>Upload!G503</f>
        <v>0</v>
      </c>
      <c r="C513" s="9">
        <f>Upload!AN503</f>
        <v>0</v>
      </c>
      <c r="D513" s="9">
        <f>Upload!AO503</f>
        <v>0</v>
      </c>
      <c r="E513" s="9">
        <f>Upload!AP503</f>
        <v>0</v>
      </c>
      <c r="F513" s="9" t="str">
        <f>Upload!AK503</f>
        <v/>
      </c>
      <c r="G513" s="9" t="str">
        <f>Upload!AM503</f>
        <v/>
      </c>
      <c r="H513" s="9" t="str">
        <f>Upload!AJ503</f>
        <v>(seleccione)</v>
      </c>
      <c r="I513" s="9" t="str">
        <f>Upload!AL503</f>
        <v>(seleccione)</v>
      </c>
      <c r="K513" s="15" t="str">
        <f t="shared" si="53"/>
        <v/>
      </c>
      <c r="L513" s="15" t="str">
        <f t="shared" si="54"/>
        <v/>
      </c>
      <c r="M513" s="15" t="str">
        <f t="shared" si="55"/>
        <v/>
      </c>
      <c r="N513" s="15" t="str">
        <f t="shared" si="56"/>
        <v/>
      </c>
      <c r="O513" s="15" t="str">
        <f t="shared" si="57"/>
        <v/>
      </c>
      <c r="P513" s="15" t="str">
        <f>IF(OR(C513="",NOT(OR(ISNUMBER(SEARCH("Antitarnish",Upload!R503&amp;Upload!S503&amp;Upload!T503&amp;Upload!U503&amp;Upload!V503)),ISNUMBER(SEARCH("Anti Tarnish",Upload!R503&amp;Upload!S503&amp;Upload!T503&amp;Upload!U503&amp;Upload!V503))))),"",0.0012*C513)</f>
        <v/>
      </c>
      <c r="Q513" s="15" t="str">
        <f>IF(OR(E513="",NOT(OR(ISNUMBER(SEARCH("Epóxico MT",Upload!R503&amp;Upload!S503&amp;Upload!T503&amp;Upload!U503&amp;Upload!V503))))),"",E513*0.000035)</f>
        <v/>
      </c>
      <c r="R513" s="15" t="str">
        <f>IF(OR(F513="",NOT(OR(ISNUMBER(SEARCH("Epóxico BT",Upload!S503&amp;Upload!T503&amp;Upload!U503&amp;Upload!V503&amp;Upload!W503))))),"",F513*0.000035)</f>
        <v/>
      </c>
      <c r="S513" s="15" t="str">
        <f>IF(OR(G513="",NOT(OR(ISNUMBER(SEARCH("Epóxico Rojo",Upload!T503&amp;Upload!U503&amp;Upload!V503&amp;Upload!W503&amp;Upload!X503))))),"",G513*0.000035)</f>
        <v/>
      </c>
    </row>
    <row r="514" spans="1:19" x14ac:dyDescent="0.2">
      <c r="A514" s="9" t="e">
        <f t="shared" ca="1" si="47"/>
        <v>#NAME?</v>
      </c>
      <c r="B514" s="9">
        <f>Upload!G504</f>
        <v>0</v>
      </c>
      <c r="C514" s="9">
        <f>Upload!AN504</f>
        <v>0</v>
      </c>
      <c r="D514" s="9">
        <f>Upload!AO504</f>
        <v>0</v>
      </c>
      <c r="E514" s="9">
        <f>Upload!AP504</f>
        <v>0</v>
      </c>
      <c r="F514" s="9" t="str">
        <f>Upload!AK504</f>
        <v/>
      </c>
      <c r="G514" s="9" t="str">
        <f>Upload!AM504</f>
        <v/>
      </c>
      <c r="H514" s="9" t="str">
        <f>Upload!AJ504</f>
        <v>(seleccione)</v>
      </c>
      <c r="I514" s="9" t="str">
        <f>Upload!AL504</f>
        <v>(seleccione)</v>
      </c>
      <c r="K514" s="15" t="str">
        <f t="shared" si="53"/>
        <v/>
      </c>
      <c r="L514" s="15" t="str">
        <f t="shared" si="54"/>
        <v/>
      </c>
      <c r="M514" s="15" t="str">
        <f t="shared" si="55"/>
        <v/>
      </c>
      <c r="N514" s="15" t="str">
        <f t="shared" si="56"/>
        <v/>
      </c>
      <c r="O514" s="15" t="str">
        <f t="shared" si="57"/>
        <v/>
      </c>
      <c r="P514" s="15" t="str">
        <f>IF(OR(C514="",NOT(OR(ISNUMBER(SEARCH("Antitarnish",Upload!R504&amp;Upload!S504&amp;Upload!T504&amp;Upload!U504&amp;Upload!V504)),ISNUMBER(SEARCH("Anti Tarnish",Upload!R504&amp;Upload!S504&amp;Upload!T504&amp;Upload!U504&amp;Upload!V504))))),"",0.0012*C514)</f>
        <v/>
      </c>
      <c r="Q514" s="15" t="str">
        <f>IF(OR(E514="",NOT(OR(ISNUMBER(SEARCH("Epóxico MT",Upload!R504&amp;Upload!S504&amp;Upload!T504&amp;Upload!U504&amp;Upload!V504))))),"",E514*0.000035)</f>
        <v/>
      </c>
      <c r="R514" s="15" t="str">
        <f>IF(OR(F514="",NOT(OR(ISNUMBER(SEARCH("Epóxico BT",Upload!S504&amp;Upload!T504&amp;Upload!U504&amp;Upload!V504&amp;Upload!W504))))),"",F514*0.000035)</f>
        <v/>
      </c>
      <c r="S514" s="15" t="str">
        <f>IF(OR(G514="",NOT(OR(ISNUMBER(SEARCH("Epóxico Rojo",Upload!T504&amp;Upload!U504&amp;Upload!V504&amp;Upload!W504&amp;Upload!X504))))),"",G514*0.000035)</f>
        <v/>
      </c>
    </row>
    <row r="515" spans="1:19" x14ac:dyDescent="0.2">
      <c r="A515" s="9" t="e">
        <f t="shared" ca="1" si="47"/>
        <v>#NAME?</v>
      </c>
      <c r="B515" s="9">
        <f>Upload!G505</f>
        <v>0</v>
      </c>
      <c r="C515" s="9">
        <f>Upload!AN505</f>
        <v>0</v>
      </c>
      <c r="D515" s="9">
        <f>Upload!AO505</f>
        <v>0</v>
      </c>
      <c r="E515" s="9">
        <f>Upload!AP505</f>
        <v>0</v>
      </c>
      <c r="F515" s="9" t="str">
        <f>Upload!AK505</f>
        <v/>
      </c>
      <c r="G515" s="9" t="str">
        <f>Upload!AM505</f>
        <v/>
      </c>
      <c r="H515" s="9" t="str">
        <f>Upload!AJ505</f>
        <v>(seleccione)</v>
      </c>
      <c r="I515" s="9" t="str">
        <f>Upload!AL505</f>
        <v>(seleccione)</v>
      </c>
      <c r="K515" s="15" t="str">
        <f t="shared" si="53"/>
        <v/>
      </c>
      <c r="L515" s="15" t="str">
        <f t="shared" si="54"/>
        <v/>
      </c>
      <c r="M515" s="15" t="str">
        <f t="shared" si="55"/>
        <v/>
      </c>
      <c r="N515" s="15" t="str">
        <f t="shared" si="56"/>
        <v/>
      </c>
      <c r="O515" s="15" t="str">
        <f t="shared" si="57"/>
        <v/>
      </c>
      <c r="P515" s="15" t="str">
        <f>IF(OR(C515="",NOT(OR(ISNUMBER(SEARCH("Antitarnish",Upload!R505&amp;Upload!S505&amp;Upload!T505&amp;Upload!U505&amp;Upload!V505)),ISNUMBER(SEARCH("Anti Tarnish",Upload!R505&amp;Upload!S505&amp;Upload!T505&amp;Upload!U505&amp;Upload!V505))))),"",0.0012*C515)</f>
        <v/>
      </c>
      <c r="Q515" s="15" t="str">
        <f>IF(OR(E515="",NOT(OR(ISNUMBER(SEARCH("Epóxico MT",Upload!R505&amp;Upload!S505&amp;Upload!T505&amp;Upload!U505&amp;Upload!V505))))),"",E515*0.000035)</f>
        <v/>
      </c>
      <c r="R515" s="15" t="str">
        <f>IF(OR(F515="",NOT(OR(ISNUMBER(SEARCH("Epóxico BT",Upload!S505&amp;Upload!T505&amp;Upload!U505&amp;Upload!V505&amp;Upload!W505))))),"",F515*0.000035)</f>
        <v/>
      </c>
      <c r="S515" s="15" t="str">
        <f>IF(OR(G515="",NOT(OR(ISNUMBER(SEARCH("Epóxico Rojo",Upload!T505&amp;Upload!U505&amp;Upload!V505&amp;Upload!W505&amp;Upload!X505))))),"",G515*0.000035)</f>
        <v/>
      </c>
    </row>
    <row r="516" spans="1:19" x14ac:dyDescent="0.2">
      <c r="A516" s="9" t="e">
        <f t="shared" ca="1" si="47"/>
        <v>#NAME?</v>
      </c>
      <c r="B516" s="9">
        <f>Upload!G506</f>
        <v>0</v>
      </c>
      <c r="C516" s="9">
        <f>Upload!AN506</f>
        <v>0</v>
      </c>
      <c r="D516" s="9">
        <f>Upload!AO506</f>
        <v>0</v>
      </c>
      <c r="E516" s="9">
        <f>Upload!AP506</f>
        <v>0</v>
      </c>
      <c r="F516" s="9" t="str">
        <f>Upload!AK506</f>
        <v/>
      </c>
      <c r="G516" s="9" t="str">
        <f>Upload!AM506</f>
        <v/>
      </c>
      <c r="H516" s="9" t="str">
        <f>Upload!AJ506</f>
        <v>(seleccione)</v>
      </c>
      <c r="I516" s="9" t="str">
        <f>Upload!AL506</f>
        <v>(seleccione)</v>
      </c>
      <c r="K516" s="15" t="str">
        <f t="shared" si="53"/>
        <v/>
      </c>
      <c r="L516" s="15" t="str">
        <f t="shared" si="54"/>
        <v/>
      </c>
      <c r="M516" s="15" t="str">
        <f t="shared" si="55"/>
        <v/>
      </c>
      <c r="N516" s="15" t="str">
        <f t="shared" si="56"/>
        <v/>
      </c>
      <c r="O516" s="15" t="str">
        <f t="shared" si="57"/>
        <v/>
      </c>
      <c r="P516" s="15" t="str">
        <f>IF(OR(C516="",NOT(OR(ISNUMBER(SEARCH("Antitarnish",Upload!R506&amp;Upload!S506&amp;Upload!T506&amp;Upload!U506&amp;Upload!V506)),ISNUMBER(SEARCH("Anti Tarnish",Upload!R506&amp;Upload!S506&amp;Upload!T506&amp;Upload!U506&amp;Upload!V506))))),"",0.0012*C516)</f>
        <v/>
      </c>
      <c r="Q516" s="15" t="str">
        <f>IF(OR(E516="",NOT(OR(ISNUMBER(SEARCH("Epóxico MT",Upload!R506&amp;Upload!S506&amp;Upload!T506&amp;Upload!U506&amp;Upload!V506))))),"",E516*0.000035)</f>
        <v/>
      </c>
      <c r="R516" s="15" t="str">
        <f>IF(OR(F516="",NOT(OR(ISNUMBER(SEARCH("Epóxico BT",Upload!S506&amp;Upload!T506&amp;Upload!U506&amp;Upload!V506&amp;Upload!W506))))),"",F516*0.000035)</f>
        <v/>
      </c>
      <c r="S516" s="15" t="str">
        <f>IF(OR(G516="",NOT(OR(ISNUMBER(SEARCH("Epóxico Rojo",Upload!T506&amp;Upload!U506&amp;Upload!V506&amp;Upload!W506&amp;Upload!X506))))),"",G516*0.000035)</f>
        <v/>
      </c>
    </row>
    <row r="517" spans="1:19" x14ac:dyDescent="0.2">
      <c r="A517" s="9" t="e">
        <f t="shared" ca="1" si="47"/>
        <v>#NAME?</v>
      </c>
      <c r="B517" s="9">
        <f>Upload!G507</f>
        <v>0</v>
      </c>
      <c r="C517" s="9">
        <f>Upload!AN507</f>
        <v>0</v>
      </c>
      <c r="D517" s="9">
        <f>Upload!AO507</f>
        <v>0</v>
      </c>
      <c r="E517" s="9">
        <f>Upload!AP507</f>
        <v>0</v>
      </c>
      <c r="F517" s="9" t="str">
        <f>Upload!AK507</f>
        <v/>
      </c>
      <c r="G517" s="9" t="str">
        <f>Upload!AM507</f>
        <v/>
      </c>
      <c r="H517" s="9" t="str">
        <f>Upload!AJ507</f>
        <v>(seleccione)</v>
      </c>
      <c r="I517" s="9" t="str">
        <f>Upload!AL507</f>
        <v>(seleccione)</v>
      </c>
      <c r="K517" s="15" t="str">
        <f t="shared" si="53"/>
        <v/>
      </c>
      <c r="L517" s="15" t="str">
        <f t="shared" si="54"/>
        <v/>
      </c>
      <c r="M517" s="15" t="str">
        <f t="shared" si="55"/>
        <v/>
      </c>
      <c r="N517" s="15" t="str">
        <f t="shared" si="56"/>
        <v/>
      </c>
      <c r="O517" s="15" t="str">
        <f t="shared" si="57"/>
        <v/>
      </c>
      <c r="P517" s="15" t="str">
        <f>IF(OR(C517="",NOT(OR(ISNUMBER(SEARCH("Antitarnish",Upload!R507&amp;Upload!S507&amp;Upload!T507&amp;Upload!U507&amp;Upload!V507)),ISNUMBER(SEARCH("Anti Tarnish",Upload!R507&amp;Upload!S507&amp;Upload!T507&amp;Upload!U507&amp;Upload!V507))))),"",0.0012*C517)</f>
        <v/>
      </c>
      <c r="Q517" s="15" t="str">
        <f>IF(OR(E517="",NOT(OR(ISNUMBER(SEARCH("Epóxico MT",Upload!R507&amp;Upload!S507&amp;Upload!T507&amp;Upload!U507&amp;Upload!V507))))),"",E517*0.000035)</f>
        <v/>
      </c>
      <c r="R517" s="15" t="str">
        <f>IF(OR(F517="",NOT(OR(ISNUMBER(SEARCH("Epóxico BT",Upload!S507&amp;Upload!T507&amp;Upload!U507&amp;Upload!V507&amp;Upload!W507))))),"",F517*0.000035)</f>
        <v/>
      </c>
      <c r="S517" s="15" t="str">
        <f>IF(OR(G517="",NOT(OR(ISNUMBER(SEARCH("Epóxico Rojo",Upload!T507&amp;Upload!U507&amp;Upload!V507&amp;Upload!W507&amp;Upload!X507))))),"",G517*0.000035)</f>
        <v/>
      </c>
    </row>
    <row r="518" spans="1:19" x14ac:dyDescent="0.2">
      <c r="A518" s="9" t="e">
        <f t="shared" ca="1" si="47"/>
        <v>#NAME?</v>
      </c>
      <c r="B518" s="9">
        <f>Upload!G508</f>
        <v>0</v>
      </c>
      <c r="C518" s="9">
        <f>Upload!AN508</f>
        <v>0</v>
      </c>
      <c r="D518" s="9">
        <f>Upload!AO508</f>
        <v>0</v>
      </c>
      <c r="E518" s="9">
        <f>Upload!AP508</f>
        <v>0</v>
      </c>
      <c r="F518" s="9" t="str">
        <f>Upload!AK508</f>
        <v/>
      </c>
      <c r="G518" s="9" t="str">
        <f>Upload!AM508</f>
        <v/>
      </c>
      <c r="H518" s="9" t="str">
        <f>Upload!AJ508</f>
        <v>(seleccione)</v>
      </c>
      <c r="I518" s="9" t="str">
        <f>Upload!AL508</f>
        <v>(seleccione)</v>
      </c>
      <c r="K518" s="15" t="str">
        <f t="shared" si="53"/>
        <v/>
      </c>
      <c r="L518" s="15" t="str">
        <f t="shared" si="54"/>
        <v/>
      </c>
      <c r="M518" s="15" t="str">
        <f t="shared" si="55"/>
        <v/>
      </c>
      <c r="N518" s="15" t="str">
        <f t="shared" si="56"/>
        <v/>
      </c>
      <c r="O518" s="15" t="str">
        <f t="shared" si="57"/>
        <v/>
      </c>
      <c r="P518" s="15" t="str">
        <f>IF(OR(C518="",NOT(OR(ISNUMBER(SEARCH("Antitarnish",Upload!R508&amp;Upload!S508&amp;Upload!T508&amp;Upload!U508&amp;Upload!V508)),ISNUMBER(SEARCH("Anti Tarnish",Upload!R508&amp;Upload!S508&amp;Upload!T508&amp;Upload!U508&amp;Upload!V508))))),"",0.0012*C518)</f>
        <v/>
      </c>
      <c r="Q518" s="15" t="str">
        <f>IF(OR(E518="",NOT(OR(ISNUMBER(SEARCH("Epóxico MT",Upload!R508&amp;Upload!S508&amp;Upload!T508&amp;Upload!U508&amp;Upload!V508))))),"",E518*0.000035)</f>
        <v/>
      </c>
      <c r="R518" s="15" t="str">
        <f>IF(OR(F518="",NOT(OR(ISNUMBER(SEARCH("Epóxico BT",Upload!S508&amp;Upload!T508&amp;Upload!U508&amp;Upload!V508&amp;Upload!W508))))),"",F518*0.000035)</f>
        <v/>
      </c>
      <c r="S518" s="15" t="str">
        <f>IF(OR(G518="",NOT(OR(ISNUMBER(SEARCH("Epóxico Rojo",Upload!T508&amp;Upload!U508&amp;Upload!V508&amp;Upload!W508&amp;Upload!X508))))),"",G518*0.000035)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76"/>
  <sheetViews>
    <sheetView zoomScaleNormal="100" workbookViewId="0">
      <pane ySplit="1" topLeftCell="A39" activePane="bottomLeft" state="frozen"/>
      <selection pane="bottomLeft" activeCell="A152" sqref="A152"/>
    </sheetView>
  </sheetViews>
  <sheetFormatPr baseColWidth="10" defaultColWidth="8.6640625" defaultRowHeight="15" x14ac:dyDescent="0.2"/>
  <cols>
    <col min="1" max="1" width="100" customWidth="1"/>
  </cols>
  <sheetData>
    <row r="1" spans="1:1" ht="19" customHeight="1" x14ac:dyDescent="0.2">
      <c r="A1" s="1" t="s">
        <v>836</v>
      </c>
    </row>
    <row r="2" spans="1:1" x14ac:dyDescent="0.2">
      <c r="A2" s="4"/>
    </row>
    <row r="3" spans="1:1" ht="17" customHeight="1" x14ac:dyDescent="0.2">
      <c r="A3" s="5" t="s">
        <v>837</v>
      </c>
    </row>
    <row r="4" spans="1:1" x14ac:dyDescent="0.2">
      <c r="A4" s="5" t="s">
        <v>838</v>
      </c>
    </row>
    <row r="5" spans="1:1" x14ac:dyDescent="0.2">
      <c r="A5" s="5" t="s">
        <v>839</v>
      </c>
    </row>
    <row r="6" spans="1:1" x14ac:dyDescent="0.2">
      <c r="A6" s="4" t="s">
        <v>840</v>
      </c>
    </row>
    <row r="7" spans="1:1" x14ac:dyDescent="0.2">
      <c r="A7" s="2"/>
    </row>
    <row r="8" spans="1:1" ht="17" customHeight="1" x14ac:dyDescent="0.2">
      <c r="A8" s="3" t="s">
        <v>841</v>
      </c>
    </row>
    <row r="9" spans="1:1" x14ac:dyDescent="0.2">
      <c r="A9" s="4" t="s">
        <v>842</v>
      </c>
    </row>
    <row r="10" spans="1:1" x14ac:dyDescent="0.2">
      <c r="A10" s="4" t="s">
        <v>843</v>
      </c>
    </row>
    <row r="11" spans="1:1" ht="17" customHeight="1" x14ac:dyDescent="0.2">
      <c r="A11" s="4" t="s">
        <v>844</v>
      </c>
    </row>
    <row r="12" spans="1:1" x14ac:dyDescent="0.2">
      <c r="A12" s="4"/>
    </row>
    <row r="13" spans="1:1" x14ac:dyDescent="0.2">
      <c r="A13" s="4" t="s">
        <v>845</v>
      </c>
    </row>
    <row r="14" spans="1:1" ht="16" customHeight="1" x14ac:dyDescent="0.2">
      <c r="A14" s="2" t="s">
        <v>846</v>
      </c>
    </row>
    <row r="15" spans="1:1" ht="17" customHeight="1" x14ac:dyDescent="0.2">
      <c r="A15" s="3" t="s">
        <v>847</v>
      </c>
    </row>
    <row r="16" spans="1:1" x14ac:dyDescent="0.2">
      <c r="A16" s="4" t="s">
        <v>848</v>
      </c>
    </row>
    <row r="17" spans="1:1" x14ac:dyDescent="0.2">
      <c r="A17" s="4" t="s">
        <v>849</v>
      </c>
    </row>
    <row r="18" spans="1:1" ht="17" customHeight="1" x14ac:dyDescent="0.2">
      <c r="A18" s="4" t="s">
        <v>850</v>
      </c>
    </row>
    <row r="19" spans="1:1" x14ac:dyDescent="0.2">
      <c r="A19" s="4" t="s">
        <v>851</v>
      </c>
    </row>
    <row r="20" spans="1:1" x14ac:dyDescent="0.2">
      <c r="A20" s="4"/>
    </row>
    <row r="21" spans="1:1" x14ac:dyDescent="0.2">
      <c r="A21" s="4" t="s">
        <v>852</v>
      </c>
    </row>
    <row r="22" spans="1:1" x14ac:dyDescent="0.2">
      <c r="A22" s="4" t="s">
        <v>853</v>
      </c>
    </row>
    <row r="23" spans="1:1" ht="16" x14ac:dyDescent="0.2">
      <c r="A23" s="2" t="s">
        <v>854</v>
      </c>
    </row>
    <row r="24" spans="1:1" ht="17" customHeight="1" x14ac:dyDescent="0.2">
      <c r="A24" s="3"/>
    </row>
    <row r="25" spans="1:1" x14ac:dyDescent="0.2">
      <c r="A25" s="4" t="s">
        <v>855</v>
      </c>
    </row>
    <row r="26" spans="1:1" x14ac:dyDescent="0.2">
      <c r="A26" s="4" t="s">
        <v>856</v>
      </c>
    </row>
    <row r="27" spans="1:1" ht="17" customHeight="1" x14ac:dyDescent="0.2">
      <c r="A27" s="4" t="s">
        <v>857</v>
      </c>
    </row>
    <row r="28" spans="1:1" x14ac:dyDescent="0.2">
      <c r="A28" s="4" t="s">
        <v>858</v>
      </c>
    </row>
    <row r="29" spans="1:1" x14ac:dyDescent="0.2">
      <c r="A29" s="4" t="s">
        <v>859</v>
      </c>
    </row>
    <row r="30" spans="1:1" ht="16" customHeight="1" x14ac:dyDescent="0.2">
      <c r="A30" s="2" t="s">
        <v>860</v>
      </c>
    </row>
    <row r="31" spans="1:1" ht="17" customHeight="1" x14ac:dyDescent="0.2">
      <c r="A31" s="3" t="s">
        <v>861</v>
      </c>
    </row>
    <row r="32" spans="1:1" x14ac:dyDescent="0.2">
      <c r="A32" s="4" t="s">
        <v>862</v>
      </c>
    </row>
    <row r="33" spans="1:1" x14ac:dyDescent="0.2">
      <c r="A33" s="4" t="s">
        <v>863</v>
      </c>
    </row>
    <row r="34" spans="1:1" ht="17" customHeight="1" x14ac:dyDescent="0.2">
      <c r="A34" s="4"/>
    </row>
    <row r="35" spans="1:1" x14ac:dyDescent="0.2">
      <c r="A35" t="s">
        <v>864</v>
      </c>
    </row>
    <row r="36" spans="1:1" x14ac:dyDescent="0.2">
      <c r="A36" t="s">
        <v>865</v>
      </c>
    </row>
    <row r="37" spans="1:1" x14ac:dyDescent="0.2">
      <c r="A37" t="s">
        <v>866</v>
      </c>
    </row>
    <row r="38" spans="1:1" x14ac:dyDescent="0.2">
      <c r="A38" t="s">
        <v>867</v>
      </c>
    </row>
    <row r="39" spans="1:1" x14ac:dyDescent="0.2">
      <c r="A39" t="s">
        <v>868</v>
      </c>
    </row>
    <row r="40" spans="1:1" x14ac:dyDescent="0.2">
      <c r="A40" t="s">
        <v>869</v>
      </c>
    </row>
    <row r="41" spans="1:1" x14ac:dyDescent="0.2">
      <c r="A41" t="s">
        <v>870</v>
      </c>
    </row>
    <row r="42" spans="1:1" x14ac:dyDescent="0.2">
      <c r="A42" t="s">
        <v>871</v>
      </c>
    </row>
    <row r="44" spans="1:1" x14ac:dyDescent="0.2">
      <c r="A44" t="s">
        <v>872</v>
      </c>
    </row>
    <row r="45" spans="1:1" x14ac:dyDescent="0.2">
      <c r="A45" t="s">
        <v>873</v>
      </c>
    </row>
    <row r="46" spans="1:1" x14ac:dyDescent="0.2">
      <c r="A46" t="s">
        <v>874</v>
      </c>
    </row>
    <row r="48" spans="1:1" x14ac:dyDescent="0.2">
      <c r="A48" t="s">
        <v>875</v>
      </c>
    </row>
    <row r="49" spans="1:1" x14ac:dyDescent="0.2">
      <c r="A49" t="s">
        <v>876</v>
      </c>
    </row>
    <row r="50" spans="1:1" x14ac:dyDescent="0.2">
      <c r="A50" t="s">
        <v>877</v>
      </c>
    </row>
    <row r="52" spans="1:1" x14ac:dyDescent="0.2">
      <c r="A52" t="s">
        <v>878</v>
      </c>
    </row>
    <row r="53" spans="1:1" x14ac:dyDescent="0.2">
      <c r="A53" t="s">
        <v>879</v>
      </c>
    </row>
    <row r="54" spans="1:1" x14ac:dyDescent="0.2">
      <c r="A54" t="s">
        <v>880</v>
      </c>
    </row>
    <row r="55" spans="1:1" x14ac:dyDescent="0.2">
      <c r="A55" t="s">
        <v>987</v>
      </c>
    </row>
    <row r="57" spans="1:1" x14ac:dyDescent="0.2">
      <c r="A57" t="s">
        <v>881</v>
      </c>
    </row>
    <row r="58" spans="1:1" x14ac:dyDescent="0.2">
      <c r="A58" t="s">
        <v>882</v>
      </c>
    </row>
    <row r="59" spans="1:1" x14ac:dyDescent="0.2">
      <c r="A59" t="s">
        <v>883</v>
      </c>
    </row>
    <row r="60" spans="1:1" x14ac:dyDescent="0.2">
      <c r="A60" t="s">
        <v>884</v>
      </c>
    </row>
    <row r="61" spans="1:1" x14ac:dyDescent="0.2">
      <c r="A61" t="s">
        <v>885</v>
      </c>
    </row>
    <row r="62" spans="1:1" x14ac:dyDescent="0.2">
      <c r="A62" t="s">
        <v>886</v>
      </c>
    </row>
    <row r="64" spans="1:1" x14ac:dyDescent="0.2">
      <c r="A64" t="s">
        <v>887</v>
      </c>
    </row>
    <row r="65" spans="1:1" x14ac:dyDescent="0.2">
      <c r="A65" t="s">
        <v>888</v>
      </c>
    </row>
    <row r="66" spans="1:1" x14ac:dyDescent="0.2">
      <c r="A66" t="s">
        <v>889</v>
      </c>
    </row>
    <row r="67" spans="1:1" x14ac:dyDescent="0.2">
      <c r="A67" t="s">
        <v>890</v>
      </c>
    </row>
    <row r="68" spans="1:1" x14ac:dyDescent="0.2">
      <c r="A68" t="s">
        <v>891</v>
      </c>
    </row>
    <row r="69" spans="1:1" x14ac:dyDescent="0.2">
      <c r="A69" t="s">
        <v>892</v>
      </c>
    </row>
    <row r="71" spans="1:1" x14ac:dyDescent="0.2">
      <c r="A71" t="s">
        <v>893</v>
      </c>
    </row>
    <row r="72" spans="1:1" x14ac:dyDescent="0.2">
      <c r="A72" t="s">
        <v>894</v>
      </c>
    </row>
    <row r="73" spans="1:1" x14ac:dyDescent="0.2">
      <c r="A73" t="s">
        <v>895</v>
      </c>
    </row>
    <row r="74" spans="1:1" x14ac:dyDescent="0.2">
      <c r="A74" t="s">
        <v>896</v>
      </c>
    </row>
    <row r="75" spans="1:1" x14ac:dyDescent="0.2">
      <c r="A75" t="s">
        <v>897</v>
      </c>
    </row>
    <row r="76" spans="1:1" x14ac:dyDescent="0.2">
      <c r="A76" t="s">
        <v>898</v>
      </c>
    </row>
    <row r="78" spans="1:1" x14ac:dyDescent="0.2">
      <c r="A78" t="s">
        <v>899</v>
      </c>
    </row>
    <row r="79" spans="1:1" x14ac:dyDescent="0.2">
      <c r="A79" t="s">
        <v>900</v>
      </c>
    </row>
    <row r="80" spans="1:1" x14ac:dyDescent="0.2">
      <c r="A80" t="s">
        <v>901</v>
      </c>
    </row>
    <row r="81" spans="1:1" x14ac:dyDescent="0.2">
      <c r="A81" t="s">
        <v>902</v>
      </c>
    </row>
    <row r="82" spans="1:1" x14ac:dyDescent="0.2">
      <c r="A82" t="s">
        <v>903</v>
      </c>
    </row>
    <row r="83" spans="1:1" x14ac:dyDescent="0.2">
      <c r="A83" t="s">
        <v>904</v>
      </c>
    </row>
    <row r="84" spans="1:1" x14ac:dyDescent="0.2">
      <c r="A84" t="s">
        <v>905</v>
      </c>
    </row>
    <row r="86" spans="1:1" x14ac:dyDescent="0.2">
      <c r="A86" t="s">
        <v>906</v>
      </c>
    </row>
    <row r="87" spans="1:1" x14ac:dyDescent="0.2">
      <c r="A87" t="s">
        <v>907</v>
      </c>
    </row>
    <row r="89" spans="1:1" x14ac:dyDescent="0.2">
      <c r="A89" t="s">
        <v>908</v>
      </c>
    </row>
    <row r="90" spans="1:1" x14ac:dyDescent="0.2">
      <c r="A90" t="s">
        <v>909</v>
      </c>
    </row>
    <row r="91" spans="1:1" x14ac:dyDescent="0.2">
      <c r="A91" t="s">
        <v>910</v>
      </c>
    </row>
    <row r="92" spans="1:1" x14ac:dyDescent="0.2">
      <c r="A92" t="s">
        <v>911</v>
      </c>
    </row>
    <row r="93" spans="1:1" x14ac:dyDescent="0.2">
      <c r="A93" t="s">
        <v>912</v>
      </c>
    </row>
    <row r="95" spans="1:1" x14ac:dyDescent="0.2">
      <c r="A95" t="s">
        <v>913</v>
      </c>
    </row>
    <row r="96" spans="1:1" x14ac:dyDescent="0.2">
      <c r="A96" t="s">
        <v>914</v>
      </c>
    </row>
    <row r="97" spans="1:1" x14ac:dyDescent="0.2">
      <c r="A97" t="s">
        <v>915</v>
      </c>
    </row>
    <row r="98" spans="1:1" x14ac:dyDescent="0.2">
      <c r="A98" t="s">
        <v>916</v>
      </c>
    </row>
    <row r="99" spans="1:1" x14ac:dyDescent="0.2">
      <c r="A99" t="s">
        <v>917</v>
      </c>
    </row>
    <row r="101" spans="1:1" x14ac:dyDescent="0.2">
      <c r="A101" t="s">
        <v>918</v>
      </c>
    </row>
    <row r="102" spans="1:1" x14ac:dyDescent="0.2">
      <c r="A102" t="s">
        <v>919</v>
      </c>
    </row>
    <row r="103" spans="1:1" x14ac:dyDescent="0.2">
      <c r="A103" t="s">
        <v>920</v>
      </c>
    </row>
    <row r="104" spans="1:1" x14ac:dyDescent="0.2">
      <c r="A104" t="s">
        <v>921</v>
      </c>
    </row>
    <row r="105" spans="1:1" x14ac:dyDescent="0.2">
      <c r="A105" t="s">
        <v>922</v>
      </c>
    </row>
    <row r="107" spans="1:1" x14ac:dyDescent="0.2">
      <c r="A107" t="s">
        <v>923</v>
      </c>
    </row>
    <row r="108" spans="1:1" x14ac:dyDescent="0.2">
      <c r="A108" t="s">
        <v>924</v>
      </c>
    </row>
    <row r="109" spans="1:1" x14ac:dyDescent="0.2">
      <c r="A109" t="s">
        <v>925</v>
      </c>
    </row>
    <row r="110" spans="1:1" x14ac:dyDescent="0.2">
      <c r="A110" t="s">
        <v>926</v>
      </c>
    </row>
    <row r="111" spans="1:1" x14ac:dyDescent="0.2">
      <c r="A111" t="s">
        <v>927</v>
      </c>
    </row>
    <row r="113" spans="1:1" x14ac:dyDescent="0.2">
      <c r="A113" t="s">
        <v>928</v>
      </c>
    </row>
    <row r="114" spans="1:1" x14ac:dyDescent="0.2">
      <c r="A114" t="s">
        <v>929</v>
      </c>
    </row>
    <row r="115" spans="1:1" x14ac:dyDescent="0.2">
      <c r="A115" t="s">
        <v>930</v>
      </c>
    </row>
    <row r="116" spans="1:1" x14ac:dyDescent="0.2">
      <c r="A116" t="s">
        <v>931</v>
      </c>
    </row>
    <row r="117" spans="1:1" x14ac:dyDescent="0.2">
      <c r="A117" t="s">
        <v>932</v>
      </c>
    </row>
    <row r="118" spans="1:1" x14ac:dyDescent="0.2">
      <c r="A118" t="s">
        <v>933</v>
      </c>
    </row>
    <row r="120" spans="1:1" x14ac:dyDescent="0.2">
      <c r="A120" t="s">
        <v>934</v>
      </c>
    </row>
    <row r="121" spans="1:1" x14ac:dyDescent="0.2">
      <c r="A121" t="s">
        <v>935</v>
      </c>
    </row>
    <row r="122" spans="1:1" x14ac:dyDescent="0.2">
      <c r="A122" t="s">
        <v>936</v>
      </c>
    </row>
    <row r="123" spans="1:1" x14ac:dyDescent="0.2">
      <c r="A123" t="s">
        <v>937</v>
      </c>
    </row>
    <row r="125" spans="1:1" x14ac:dyDescent="0.2">
      <c r="A125" t="s">
        <v>938</v>
      </c>
    </row>
    <row r="126" spans="1:1" x14ac:dyDescent="0.2">
      <c r="A126" t="s">
        <v>939</v>
      </c>
    </row>
    <row r="127" spans="1:1" x14ac:dyDescent="0.2">
      <c r="A127" t="s">
        <v>940</v>
      </c>
    </row>
    <row r="128" spans="1:1" x14ac:dyDescent="0.2">
      <c r="A128" t="s">
        <v>941</v>
      </c>
    </row>
    <row r="129" spans="1:1" x14ac:dyDescent="0.2">
      <c r="A129" t="s">
        <v>942</v>
      </c>
    </row>
    <row r="130" spans="1:1" x14ac:dyDescent="0.2">
      <c r="A130" t="s">
        <v>943</v>
      </c>
    </row>
    <row r="131" spans="1:1" x14ac:dyDescent="0.2">
      <c r="A131" t="s">
        <v>944</v>
      </c>
    </row>
    <row r="132" spans="1:1" x14ac:dyDescent="0.2">
      <c r="A132" t="s">
        <v>945</v>
      </c>
    </row>
    <row r="133" spans="1:1" x14ac:dyDescent="0.2">
      <c r="A133" t="s">
        <v>946</v>
      </c>
    </row>
    <row r="134" spans="1:1" x14ac:dyDescent="0.2">
      <c r="A134" t="s">
        <v>947</v>
      </c>
    </row>
    <row r="136" spans="1:1" x14ac:dyDescent="0.2">
      <c r="A136" t="s">
        <v>948</v>
      </c>
    </row>
    <row r="137" spans="1:1" x14ac:dyDescent="0.2">
      <c r="A137" t="s">
        <v>949</v>
      </c>
    </row>
    <row r="138" spans="1:1" x14ac:dyDescent="0.2">
      <c r="A138" t="s">
        <v>950</v>
      </c>
    </row>
    <row r="139" spans="1:1" x14ac:dyDescent="0.2">
      <c r="A139" t="s">
        <v>951</v>
      </c>
    </row>
    <row r="140" spans="1:1" x14ac:dyDescent="0.2">
      <c r="A140" t="s">
        <v>952</v>
      </c>
    </row>
    <row r="141" spans="1:1" x14ac:dyDescent="0.2">
      <c r="A141" t="s">
        <v>953</v>
      </c>
    </row>
    <row r="142" spans="1:1" x14ac:dyDescent="0.2">
      <c r="A142" t="s">
        <v>954</v>
      </c>
    </row>
    <row r="143" spans="1:1" x14ac:dyDescent="0.2">
      <c r="A143" t="s">
        <v>955</v>
      </c>
    </row>
    <row r="145" spans="1:1" x14ac:dyDescent="0.2">
      <c r="A145" t="s">
        <v>956</v>
      </c>
    </row>
    <row r="146" spans="1:1" x14ac:dyDescent="0.2">
      <c r="A146" t="s">
        <v>957</v>
      </c>
    </row>
    <row r="147" spans="1:1" x14ac:dyDescent="0.2">
      <c r="A147" t="s">
        <v>958</v>
      </c>
    </row>
    <row r="148" spans="1:1" x14ac:dyDescent="0.2">
      <c r="A148" t="s">
        <v>959</v>
      </c>
    </row>
    <row r="149" spans="1:1" x14ac:dyDescent="0.2">
      <c r="A149" t="s">
        <v>960</v>
      </c>
    </row>
    <row r="151" spans="1:1" x14ac:dyDescent="0.2">
      <c r="A151" t="s">
        <v>961</v>
      </c>
    </row>
    <row r="152" spans="1:1" x14ac:dyDescent="0.2">
      <c r="A152" t="s">
        <v>962</v>
      </c>
    </row>
    <row r="153" spans="1:1" x14ac:dyDescent="0.2">
      <c r="A153" t="s">
        <v>963</v>
      </c>
    </row>
    <row r="154" spans="1:1" x14ac:dyDescent="0.2">
      <c r="A154" t="s">
        <v>964</v>
      </c>
    </row>
    <row r="155" spans="1:1" x14ac:dyDescent="0.2">
      <c r="A155" t="s">
        <v>965</v>
      </c>
    </row>
    <row r="156" spans="1:1" x14ac:dyDescent="0.2">
      <c r="A156" t="s">
        <v>966</v>
      </c>
    </row>
    <row r="157" spans="1:1" x14ac:dyDescent="0.2">
      <c r="A157" t="s">
        <v>967</v>
      </c>
    </row>
    <row r="158" spans="1:1" x14ac:dyDescent="0.2">
      <c r="A158" t="s">
        <v>968</v>
      </c>
    </row>
    <row r="159" spans="1:1" x14ac:dyDescent="0.2">
      <c r="A159" t="s">
        <v>969</v>
      </c>
    </row>
    <row r="160" spans="1:1" x14ac:dyDescent="0.2">
      <c r="A160" t="s">
        <v>970</v>
      </c>
    </row>
    <row r="161" spans="1:1" x14ac:dyDescent="0.2">
      <c r="A161" t="s">
        <v>971</v>
      </c>
    </row>
    <row r="162" spans="1:1" x14ac:dyDescent="0.2">
      <c r="A162" t="s">
        <v>972</v>
      </c>
    </row>
    <row r="163" spans="1:1" x14ac:dyDescent="0.2">
      <c r="A163" t="s">
        <v>973</v>
      </c>
    </row>
    <row r="164" spans="1:1" x14ac:dyDescent="0.2">
      <c r="A164" t="s">
        <v>974</v>
      </c>
    </row>
    <row r="166" spans="1:1" x14ac:dyDescent="0.2">
      <c r="A166" t="s">
        <v>975</v>
      </c>
    </row>
    <row r="167" spans="1:1" x14ac:dyDescent="0.2">
      <c r="A167" t="s">
        <v>976</v>
      </c>
    </row>
    <row r="168" spans="1:1" x14ac:dyDescent="0.2">
      <c r="A168" t="s">
        <v>977</v>
      </c>
    </row>
    <row r="169" spans="1:1" x14ac:dyDescent="0.2">
      <c r="A169" t="s">
        <v>978</v>
      </c>
    </row>
    <row r="170" spans="1:1" x14ac:dyDescent="0.2">
      <c r="A170" t="s">
        <v>979</v>
      </c>
    </row>
    <row r="171" spans="1:1" x14ac:dyDescent="0.2">
      <c r="A171" t="s">
        <v>980</v>
      </c>
    </row>
    <row r="172" spans="1:1" x14ac:dyDescent="0.2">
      <c r="A172" t="s">
        <v>981</v>
      </c>
    </row>
    <row r="174" spans="1:1" x14ac:dyDescent="0.2">
      <c r="A174" t="s">
        <v>982</v>
      </c>
    </row>
    <row r="175" spans="1:1" x14ac:dyDescent="0.2">
      <c r="A175" t="s">
        <v>983</v>
      </c>
    </row>
    <row r="176" spans="1:1" x14ac:dyDescent="0.2">
      <c r="A176" t="s">
        <v>984</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I1" zoomScale="114" zoomScaleNormal="90" workbookViewId="0">
      <selection activeCell="G8" sqref="G8"/>
    </sheetView>
  </sheetViews>
  <sheetFormatPr baseColWidth="10" defaultRowHeight="15" outlineLevelCol="1" x14ac:dyDescent="0.2"/>
  <cols>
    <col min="1" max="1" width="20.83203125" style="82" hidden="1" customWidth="1" outlineLevel="1"/>
    <col min="2" max="2" width="23.1640625" hidden="1" customWidth="1" outlineLevel="1"/>
    <col min="3" max="3" width="9.33203125" style="82" hidden="1" customWidth="1" outlineLevel="1"/>
    <col min="4" max="4" width="31.33203125" style="82" customWidth="1" collapsed="1"/>
    <col min="5" max="5" width="19.83203125" style="82" bestFit="1" customWidth="1"/>
    <col min="6" max="6" width="60.6640625" style="82" bestFit="1" customWidth="1"/>
    <col min="7" max="7" width="77.6640625" style="82" bestFit="1" customWidth="1"/>
    <col min="8" max="8" width="5.83203125" customWidth="1"/>
    <col min="9" max="9" width="15" style="82" bestFit="1" customWidth="1"/>
    <col min="10" max="10" width="32.33203125" style="82" bestFit="1" customWidth="1"/>
    <col min="11" max="11" width="16.1640625" style="82" customWidth="1"/>
    <col min="12" max="12" width="37.1640625" style="82" bestFit="1" customWidth="1"/>
    <col min="13" max="13" width="26.5" style="82" customWidth="1"/>
    <col min="14" max="16384" width="10.83203125" style="82"/>
  </cols>
  <sheetData>
    <row r="1" spans="1:23" x14ac:dyDescent="0.2">
      <c r="A1" s="77" t="s">
        <v>28</v>
      </c>
      <c r="B1" s="80" t="s">
        <v>1579</v>
      </c>
      <c r="C1" s="78" t="s">
        <v>70</v>
      </c>
      <c r="D1" s="78" t="s">
        <v>1578</v>
      </c>
      <c r="E1" s="81" t="s">
        <v>1580</v>
      </c>
      <c r="F1" s="79" t="s">
        <v>102</v>
      </c>
      <c r="G1" s="79" t="s">
        <v>40</v>
      </c>
      <c r="H1" s="82"/>
      <c r="I1" s="83" t="s">
        <v>1581</v>
      </c>
      <c r="J1" s="84" t="s">
        <v>70</v>
      </c>
      <c r="K1" s="84" t="s">
        <v>2085</v>
      </c>
      <c r="L1" s="84" t="s">
        <v>2084</v>
      </c>
      <c r="M1" s="83" t="s">
        <v>1582</v>
      </c>
      <c r="N1" s="110" t="s">
        <v>2088</v>
      </c>
      <c r="O1" s="110" t="s">
        <v>2089</v>
      </c>
    </row>
    <row r="2" spans="1:23" ht="16" x14ac:dyDescent="0.2">
      <c r="A2" s="85" t="s">
        <v>1583</v>
      </c>
      <c r="B2" s="89" t="s">
        <v>1585</v>
      </c>
      <c r="C2" s="86" t="s">
        <v>1584</v>
      </c>
      <c r="D2" s="86" t="s">
        <v>1002</v>
      </c>
      <c r="E2" s="90" t="s">
        <v>117</v>
      </c>
      <c r="F2" s="88" t="s">
        <v>163</v>
      </c>
      <c r="G2" s="87" t="s">
        <v>207</v>
      </c>
      <c r="H2" s="82"/>
      <c r="I2" s="82">
        <v>9</v>
      </c>
      <c r="J2" s="82" t="str" cm="1">
        <f t="array" ref="J2">INDEX(Upload!$P:$P,I2)</f>
        <v>(seleccione)</v>
      </c>
      <c r="K2" s="82" t="str" cm="1">
        <f t="array" ref="K2">INDEX(Upload!$Q:$Q,I2)</f>
        <v>(seleccione o escriba)</v>
      </c>
      <c r="L2" s="82" t="str" cm="1">
        <f t="array" ref="L2">_xlfn.TEXTJOIN(" + ",TRUE,IF(OR(TRIM(INDEX(Upload!$R:$R,I2))="",LOWER(TRIM(INDEX(Upload!$R:$R,I2)))="(seleccione)"),"",PROPER(TRIM(INDEX(Upload!$R:$R,I2)))),IF(OR(TRIM(INDEX(Upload!$S:$S,I2))="",LOWER(TRIM(INDEX(Upload!$S:$S,I2)))="(seleccione)"),"",PROPER(TRIM(INDEX(Upload!$S:$S,I2)))),IF(OR(TRIM(INDEX(Upload!$T:$T,I2))="",LOWER(TRIM(INDEX(Upload!$T:$T,I2)))="(seleccione)"),"",PROPER(TRIM(INDEX(Upload!$T:$T,I2)))),IF(OR(TRIM(INDEX(Upload!$U:$U,I2))="",LOWER(TRIM(INDEX(Upload!$U:$U,I2)))="(seleccione)"),"",PROPER(TRIM(INDEX(Upload!$U:$U,I2)))),IF(OR(TRIM(INDEX(Upload!$V:$V,I2))="",LOWER(TRIM(INDEX(Upload!$V:$V,I2)))="(seleccione)"),"",PROPER(TRIM(INDEX(Upload!$V:$V,I2)))))</f>
        <v/>
      </c>
      <c r="M2" s="82" t="str" cm="1">
        <f t="array" aca="1" ref="M2" ca="1">IFERROR(_xlfn.UNIQUE(_xlfn._xlws.FILTER(OFFSET($G$2,0,0,COUNTA($G:$G)-1,1),IF(TRIM(J2&amp;"")="",1,IFERROR(LEFT(OFFSET($D$2,0,0,COUNTA($D:$D)-1,1),LEN(J2))=J2,FALSE))*IF(TRIM(K2&amp;"")="",1,OFFSET($E$2,0,0,COUNTA($E:$E)-1,1)=K2)*IF(L2="",1,OFFSET($F$2,0,0,COUNTA($F:$F)-1,1)=L2))),"")</f>
        <v/>
      </c>
      <c r="N2" s="82" t="str">
        <f>_xlfn.LET(_xlpm.t,L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O2" s="82" t="str" cm="1">
        <f t="array" ref="O2:O42">IFERROR(_xlfn._xlws.FILTER(CAT_Specs!$A$9:$A$197,(CAT_Specs!$B$9:$B$197&lt;&gt;"")*(ISNUMBER(SEARCH(IF(N2="Otros","Otros",IF(ISNUMBER(SEARCH("+",N2)),"|",N2)),CAT_Specs!$B$9:$B$197)))),"(sin matches)")</f>
        <v>1.28.003 (Pavonado)</v>
      </c>
      <c r="W2" s="82">
        <v>11</v>
      </c>
    </row>
    <row r="3" spans="1:23" ht="16" x14ac:dyDescent="0.2">
      <c r="A3" s="85" t="s">
        <v>1583</v>
      </c>
      <c r="B3" s="89" t="s">
        <v>1585</v>
      </c>
      <c r="C3" s="86" t="s">
        <v>1584</v>
      </c>
      <c r="D3" s="86" t="s">
        <v>1002</v>
      </c>
      <c r="E3" s="90" t="s">
        <v>117</v>
      </c>
      <c r="F3" s="88" t="s">
        <v>1586</v>
      </c>
      <c r="G3" s="87" t="s">
        <v>207</v>
      </c>
      <c r="H3" s="82"/>
      <c r="J3" s="91"/>
      <c r="K3" s="91"/>
      <c r="L3" s="91"/>
      <c r="O3" s="82" t="str">
        <v>48053-001-01 (Deshidrogenado)</v>
      </c>
    </row>
    <row r="4" spans="1:23" ht="16" x14ac:dyDescent="0.2">
      <c r="A4" s="85" t="s">
        <v>1583</v>
      </c>
      <c r="B4" s="89" t="s">
        <v>1585</v>
      </c>
      <c r="C4" s="86" t="s">
        <v>1584</v>
      </c>
      <c r="D4" s="86" t="s">
        <v>1002</v>
      </c>
      <c r="E4" s="90" t="s">
        <v>117</v>
      </c>
      <c r="F4" s="88" t="s">
        <v>1587</v>
      </c>
      <c r="G4" s="87" t="s">
        <v>207</v>
      </c>
      <c r="H4" s="82"/>
      <c r="J4" s="91"/>
      <c r="K4" s="91"/>
      <c r="L4" s="91"/>
      <c r="O4" s="82" t="str">
        <v>48053-005-01 (Lavado - Tratamiento Térmico - Bimetales)</v>
      </c>
    </row>
    <row r="5" spans="1:23" x14ac:dyDescent="0.2">
      <c r="A5" s="85" t="s">
        <v>1583</v>
      </c>
      <c r="B5" s="89" t="s">
        <v>1585</v>
      </c>
      <c r="C5" s="86" t="s">
        <v>1584</v>
      </c>
      <c r="D5" s="86" t="s">
        <v>1002</v>
      </c>
      <c r="E5" s="90" t="s">
        <v>140</v>
      </c>
      <c r="F5" s="88" t="s">
        <v>163</v>
      </c>
      <c r="G5" s="88" t="s">
        <v>1117</v>
      </c>
      <c r="H5" s="82"/>
      <c r="O5" s="82" t="str">
        <v>48057-004-01 (Bright Dip)</v>
      </c>
    </row>
    <row r="6" spans="1:23" x14ac:dyDescent="0.2">
      <c r="A6" s="85" t="s">
        <v>1583</v>
      </c>
      <c r="B6" s="89" t="s">
        <v>1585</v>
      </c>
      <c r="C6" s="86" t="s">
        <v>1584</v>
      </c>
      <c r="D6" s="86" t="s">
        <v>1002</v>
      </c>
      <c r="E6" s="90" t="s">
        <v>140</v>
      </c>
      <c r="F6" s="88" t="s">
        <v>1586</v>
      </c>
      <c r="G6" s="88" t="s">
        <v>1117</v>
      </c>
      <c r="H6" s="82"/>
      <c r="O6" s="82" t="str">
        <v>48860-031-01 (Lavado)</v>
      </c>
    </row>
    <row r="7" spans="1:23" x14ac:dyDescent="0.2">
      <c r="A7" s="85" t="s">
        <v>1583</v>
      </c>
      <c r="B7" s="89" t="s">
        <v>1585</v>
      </c>
      <c r="C7" s="86" t="s">
        <v>1584</v>
      </c>
      <c r="D7" s="86" t="s">
        <v>1002</v>
      </c>
      <c r="E7" s="90" t="s">
        <v>1034</v>
      </c>
      <c r="F7" s="88" t="s">
        <v>163</v>
      </c>
      <c r="G7" s="88" t="s">
        <v>1116</v>
      </c>
      <c r="H7" s="82"/>
      <c r="O7" s="82" t="str">
        <v>48951-001-01 (Rebabeo)</v>
      </c>
    </row>
    <row r="8" spans="1:23" x14ac:dyDescent="0.2">
      <c r="A8" s="85" t="s">
        <v>1583</v>
      </c>
      <c r="B8" s="89" t="s">
        <v>1585</v>
      </c>
      <c r="C8" s="86" t="s">
        <v>1584</v>
      </c>
      <c r="D8" s="86" t="s">
        <v>1002</v>
      </c>
      <c r="E8" s="90" t="s">
        <v>1034</v>
      </c>
      <c r="F8" s="88" t="s">
        <v>1586</v>
      </c>
      <c r="G8" s="88" t="s">
        <v>1116</v>
      </c>
      <c r="H8" s="82"/>
      <c r="O8" s="82" t="str">
        <v>48951-001-02 (Rebabeo)</v>
      </c>
    </row>
    <row r="9" spans="1:23" ht="16" x14ac:dyDescent="0.2">
      <c r="A9" s="85" t="s">
        <v>1583</v>
      </c>
      <c r="B9" s="89" t="s">
        <v>1585</v>
      </c>
      <c r="C9" s="86" t="s">
        <v>1584</v>
      </c>
      <c r="D9" s="86" t="s">
        <v>1002</v>
      </c>
      <c r="E9" s="90" t="s">
        <v>117</v>
      </c>
      <c r="F9" s="88" t="s">
        <v>172</v>
      </c>
      <c r="G9" s="87" t="s">
        <v>213</v>
      </c>
      <c r="H9" s="82"/>
      <c r="O9" s="82" t="str">
        <v>48951-008-01 (Desengrase)</v>
      </c>
    </row>
    <row r="10" spans="1:23" ht="16" x14ac:dyDescent="0.2">
      <c r="A10" s="92" t="s">
        <v>1583</v>
      </c>
      <c r="B10" s="95" t="s">
        <v>1585</v>
      </c>
      <c r="C10" s="86" t="s">
        <v>1584</v>
      </c>
      <c r="D10" s="86" t="s">
        <v>1002</v>
      </c>
      <c r="E10" s="96" t="s">
        <v>126</v>
      </c>
      <c r="F10" s="94" t="s">
        <v>307</v>
      </c>
      <c r="G10" s="93" t="s">
        <v>221</v>
      </c>
      <c r="H10" s="82"/>
      <c r="O10" s="82" t="str">
        <v>DIN EN 12476 (Fosfato de Manganeso - Aceitado - Medición de Grano) | 2.54 - 7.62 µm</v>
      </c>
    </row>
    <row r="11" spans="1:23" ht="16" x14ac:dyDescent="0.2">
      <c r="A11" s="85" t="s">
        <v>1583</v>
      </c>
      <c r="B11" s="89" t="s">
        <v>1585</v>
      </c>
      <c r="C11" s="86" t="s">
        <v>1584</v>
      </c>
      <c r="D11" s="86" t="s">
        <v>1002</v>
      </c>
      <c r="E11" s="90" t="s">
        <v>140</v>
      </c>
      <c r="F11" s="88" t="s">
        <v>254</v>
      </c>
      <c r="G11" s="87" t="s">
        <v>252</v>
      </c>
      <c r="H11" s="82"/>
      <c r="O11" s="82" t="str">
        <v>FFS-2E3 (Cromo Duro) | 12.7 - 17.78 µm</v>
      </c>
    </row>
    <row r="12" spans="1:23" ht="16" x14ac:dyDescent="0.2">
      <c r="A12" s="85" t="s">
        <v>1583</v>
      </c>
      <c r="B12" s="89" t="s">
        <v>1585</v>
      </c>
      <c r="C12" s="86" t="s">
        <v>1584</v>
      </c>
      <c r="D12" s="86" t="s">
        <v>1002</v>
      </c>
      <c r="E12" s="90" t="s">
        <v>133</v>
      </c>
      <c r="F12" s="88" t="s">
        <v>254</v>
      </c>
      <c r="G12" s="87" t="s">
        <v>241</v>
      </c>
      <c r="H12" s="82"/>
      <c r="O12" s="82" t="str">
        <v>FFS-2E3 (Cromo Duro) | 19.05 - 31.75 µm</v>
      </c>
    </row>
    <row r="13" spans="1:23" ht="16" x14ac:dyDescent="0.2">
      <c r="A13" s="85" t="s">
        <v>1583</v>
      </c>
      <c r="B13" s="89" t="s">
        <v>1585</v>
      </c>
      <c r="C13" s="86" t="s">
        <v>1584</v>
      </c>
      <c r="D13" s="86" t="s">
        <v>1002</v>
      </c>
      <c r="E13" s="90" t="s">
        <v>117</v>
      </c>
      <c r="F13" s="88" t="s">
        <v>254</v>
      </c>
      <c r="G13" s="87" t="s">
        <v>234</v>
      </c>
      <c r="H13" s="82"/>
      <c r="O13" s="82" t="str">
        <v>FFS-2E3 (Cromo Duro) | 25 - 38 µm</v>
      </c>
    </row>
    <row r="14" spans="1:23" ht="16" x14ac:dyDescent="0.2">
      <c r="A14" s="85" t="s">
        <v>1583</v>
      </c>
      <c r="B14" s="89" t="s">
        <v>1585</v>
      </c>
      <c r="C14" s="86" t="s">
        <v>1584</v>
      </c>
      <c r="D14" s="86" t="s">
        <v>1002</v>
      </c>
      <c r="E14" s="90" t="s">
        <v>126</v>
      </c>
      <c r="F14" s="88" t="s">
        <v>254</v>
      </c>
      <c r="G14" s="87" t="s">
        <v>229</v>
      </c>
      <c r="H14" s="82"/>
      <c r="O14" s="82" t="str">
        <v>FFS-2E3 (Cromo Duro) | 38.5 - 63.5 µm</v>
      </c>
    </row>
    <row r="15" spans="1:23" ht="16" x14ac:dyDescent="0.2">
      <c r="A15" s="85" t="s">
        <v>1583</v>
      </c>
      <c r="B15" s="89" t="s">
        <v>1585</v>
      </c>
      <c r="C15" s="86" t="s">
        <v>1584</v>
      </c>
      <c r="D15" s="86" t="s">
        <v>1002</v>
      </c>
      <c r="E15" s="90" t="s">
        <v>149</v>
      </c>
      <c r="F15" s="88" t="s">
        <v>254</v>
      </c>
      <c r="G15" s="87" t="s">
        <v>246</v>
      </c>
      <c r="H15" s="82"/>
      <c r="O15" s="82" t="str">
        <v>FFS-2E3 (Cromo Duro) | 63.5 - 88.9 µm</v>
      </c>
    </row>
    <row r="16" spans="1:23" x14ac:dyDescent="0.2">
      <c r="A16" s="85" t="s">
        <v>1583</v>
      </c>
      <c r="B16" s="89" t="s">
        <v>1585</v>
      </c>
      <c r="C16" s="86" t="s">
        <v>1584</v>
      </c>
      <c r="D16" s="86" t="s">
        <v>1002</v>
      </c>
      <c r="E16" s="90" t="s">
        <v>1034</v>
      </c>
      <c r="F16" s="88" t="s">
        <v>254</v>
      </c>
      <c r="G16" s="88" t="s">
        <v>1118</v>
      </c>
      <c r="H16" s="82"/>
      <c r="O16" s="82" t="str">
        <v>FFS-2E3 (Cromo Duro) | 7.62 - 12.7 µm</v>
      </c>
    </row>
    <row r="17" spans="1:15" x14ac:dyDescent="0.2">
      <c r="A17" s="85" t="s">
        <v>1583</v>
      </c>
      <c r="B17" s="97" t="s">
        <v>1588</v>
      </c>
      <c r="C17" s="86" t="s">
        <v>1584</v>
      </c>
      <c r="D17" s="86" t="s">
        <v>1002</v>
      </c>
      <c r="E17" s="90" t="s">
        <v>117</v>
      </c>
      <c r="F17" s="88" t="s">
        <v>254</v>
      </c>
      <c r="G17" s="88" t="s">
        <v>1119</v>
      </c>
      <c r="H17" s="82"/>
      <c r="O17" s="82" t="str">
        <v>FFS-3A9 (Iridizado)</v>
      </c>
    </row>
    <row r="18" spans="1:15" ht="16" x14ac:dyDescent="0.2">
      <c r="A18" s="85" t="s">
        <v>1583</v>
      </c>
      <c r="B18" s="89" t="s">
        <v>1585</v>
      </c>
      <c r="C18" s="86" t="s">
        <v>1584</v>
      </c>
      <c r="D18" s="86" t="s">
        <v>1002</v>
      </c>
      <c r="E18" s="90" t="s">
        <v>140</v>
      </c>
      <c r="F18" s="88" t="s">
        <v>1589</v>
      </c>
      <c r="G18" s="87" t="s">
        <v>1127</v>
      </c>
      <c r="H18" s="82"/>
      <c r="O18" s="82" t="str">
        <v>GDE1214700 (Antitarnish)</v>
      </c>
    </row>
    <row r="19" spans="1:15" ht="16" x14ac:dyDescent="0.2">
      <c r="A19" s="85" t="s">
        <v>1583</v>
      </c>
      <c r="B19" s="89" t="s">
        <v>1585</v>
      </c>
      <c r="C19" s="86" t="s">
        <v>1584</v>
      </c>
      <c r="D19" s="86" t="s">
        <v>1002</v>
      </c>
      <c r="E19" s="90" t="s">
        <v>133</v>
      </c>
      <c r="F19" s="88" t="s">
        <v>1589</v>
      </c>
      <c r="G19" s="87" t="s">
        <v>1125</v>
      </c>
      <c r="H19" s="82"/>
      <c r="O19" s="82" t="str">
        <v>MS-S1053 (Fosfato de Manganeso - Medición de Grano) | 5 - 11 µm</v>
      </c>
    </row>
    <row r="20" spans="1:15" ht="16" x14ac:dyDescent="0.2">
      <c r="A20" s="85" t="s">
        <v>1583</v>
      </c>
      <c r="B20" s="89" t="s">
        <v>1585</v>
      </c>
      <c r="C20" s="86" t="s">
        <v>1584</v>
      </c>
      <c r="D20" s="86" t="s">
        <v>1002</v>
      </c>
      <c r="E20" s="90" t="s">
        <v>117</v>
      </c>
      <c r="F20" s="88" t="s">
        <v>1589</v>
      </c>
      <c r="G20" s="87" t="s">
        <v>1124</v>
      </c>
      <c r="H20" s="82"/>
      <c r="O20" s="82" t="str">
        <v>RC Anodizado Natural | 12 - 18 µm</v>
      </c>
    </row>
    <row r="21" spans="1:15" ht="16" x14ac:dyDescent="0.2">
      <c r="A21" s="85" t="s">
        <v>1583</v>
      </c>
      <c r="B21" s="89" t="s">
        <v>1585</v>
      </c>
      <c r="C21" s="86" t="s">
        <v>1584</v>
      </c>
      <c r="D21" s="86" t="s">
        <v>1002</v>
      </c>
      <c r="E21" s="90" t="s">
        <v>126</v>
      </c>
      <c r="F21" s="88" t="s">
        <v>1589</v>
      </c>
      <c r="G21" s="87" t="s">
        <v>1123</v>
      </c>
      <c r="H21" s="82"/>
      <c r="O21" s="82" t="str">
        <v>RC Anodizado Natural | 8 - 13 µm</v>
      </c>
    </row>
    <row r="22" spans="1:15" ht="16" x14ac:dyDescent="0.2">
      <c r="A22" s="85" t="s">
        <v>1583</v>
      </c>
      <c r="B22" s="89" t="s">
        <v>1585</v>
      </c>
      <c r="C22" s="86" t="s">
        <v>1584</v>
      </c>
      <c r="D22" s="86" t="s">
        <v>1002</v>
      </c>
      <c r="E22" s="90" t="s">
        <v>149</v>
      </c>
      <c r="F22" s="88" t="s">
        <v>1589</v>
      </c>
      <c r="G22" s="87" t="s">
        <v>1126</v>
      </c>
      <c r="H22" s="82"/>
      <c r="O22" s="82" t="str">
        <v>RC Anodizado Negro | 12 - 18 µm</v>
      </c>
    </row>
    <row r="23" spans="1:15" x14ac:dyDescent="0.2">
      <c r="A23" s="85" t="s">
        <v>1583</v>
      </c>
      <c r="B23" s="89" t="s">
        <v>1585</v>
      </c>
      <c r="C23" s="86" t="s">
        <v>1584</v>
      </c>
      <c r="D23" s="86" t="s">
        <v>1002</v>
      </c>
      <c r="E23" s="90" t="s">
        <v>1034</v>
      </c>
      <c r="F23" s="88" t="s">
        <v>1589</v>
      </c>
      <c r="G23" s="88" t="s">
        <v>1122</v>
      </c>
      <c r="H23" s="82"/>
      <c r="O23" s="82" t="str">
        <v>RC Anodizado Negro | 8 - 13 µm</v>
      </c>
    </row>
    <row r="24" spans="1:15" x14ac:dyDescent="0.2">
      <c r="A24" s="85" t="s">
        <v>1583</v>
      </c>
      <c r="B24" s="89" t="s">
        <v>1585</v>
      </c>
      <c r="C24" s="86" t="s">
        <v>1584</v>
      </c>
      <c r="D24" s="86" t="s">
        <v>1002</v>
      </c>
      <c r="E24" s="90" t="s">
        <v>133</v>
      </c>
      <c r="F24" s="88" t="s">
        <v>1590</v>
      </c>
      <c r="G24" s="88" t="s">
        <v>1120</v>
      </c>
      <c r="H24" s="82"/>
      <c r="O24" s="82" t="str">
        <v>RC Brill 61</v>
      </c>
    </row>
    <row r="25" spans="1:15" x14ac:dyDescent="0.2">
      <c r="A25" s="85" t="s">
        <v>1583</v>
      </c>
      <c r="B25" s="89" t="s">
        <v>1585</v>
      </c>
      <c r="C25" s="86" t="s">
        <v>1584</v>
      </c>
      <c r="D25" s="86" t="s">
        <v>1002</v>
      </c>
      <c r="E25" s="90" t="s">
        <v>133</v>
      </c>
      <c r="F25" s="88" t="s">
        <v>1591</v>
      </c>
      <c r="G25" s="88" t="s">
        <v>1120</v>
      </c>
      <c r="H25" s="82"/>
      <c r="O25" s="82" t="str">
        <v>RC Cromo Duro | 12.7 - 17.78 µm</v>
      </c>
    </row>
    <row r="26" spans="1:15" ht="16" x14ac:dyDescent="0.2">
      <c r="A26" s="85" t="s">
        <v>1583</v>
      </c>
      <c r="B26" s="89" t="s">
        <v>1585</v>
      </c>
      <c r="C26" s="86" t="s">
        <v>1584</v>
      </c>
      <c r="D26" s="86" t="s">
        <v>1002</v>
      </c>
      <c r="E26" s="90" t="s">
        <v>149</v>
      </c>
      <c r="F26" s="88" t="s">
        <v>362</v>
      </c>
      <c r="G26" s="87" t="s">
        <v>269</v>
      </c>
      <c r="H26" s="82"/>
      <c r="O26" s="82" t="str">
        <v>RC Cromo Duro | 19.05 - 31.75 µm</v>
      </c>
    </row>
    <row r="27" spans="1:15" ht="16" x14ac:dyDescent="0.2">
      <c r="A27" s="85" t="s">
        <v>1583</v>
      </c>
      <c r="B27" s="89" t="s">
        <v>1585</v>
      </c>
      <c r="C27" s="86" t="s">
        <v>1584</v>
      </c>
      <c r="D27" s="86" t="s">
        <v>1002</v>
      </c>
      <c r="E27" s="90" t="s">
        <v>117</v>
      </c>
      <c r="F27" s="88" t="s">
        <v>362</v>
      </c>
      <c r="G27" s="87" t="s">
        <v>269</v>
      </c>
      <c r="H27" s="82"/>
      <c r="O27" s="82" t="str">
        <v>RC Cromo Duro | 38.5 - 63.5 µm</v>
      </c>
    </row>
    <row r="28" spans="1:15" x14ac:dyDescent="0.2">
      <c r="A28" s="85" t="s">
        <v>1583</v>
      </c>
      <c r="B28" s="89" t="s">
        <v>1585</v>
      </c>
      <c r="C28" s="86" t="s">
        <v>1584</v>
      </c>
      <c r="D28" s="86" t="s">
        <v>1002</v>
      </c>
      <c r="E28" s="90" t="s">
        <v>1531</v>
      </c>
      <c r="F28" s="88" t="s">
        <v>362</v>
      </c>
      <c r="G28" s="88" t="s">
        <v>1132</v>
      </c>
      <c r="H28" s="82"/>
      <c r="O28" s="82" t="str">
        <v>RC Cromo Duro | 63.5 - 88.9 µm</v>
      </c>
    </row>
    <row r="29" spans="1:15" x14ac:dyDescent="0.2">
      <c r="A29" s="85" t="s">
        <v>1583</v>
      </c>
      <c r="B29" s="89" t="s">
        <v>1585</v>
      </c>
      <c r="C29" s="86" t="s">
        <v>1584</v>
      </c>
      <c r="D29" s="86" t="s">
        <v>1002</v>
      </c>
      <c r="E29" s="90" t="s">
        <v>1034</v>
      </c>
      <c r="F29" s="88" t="s">
        <v>362</v>
      </c>
      <c r="G29" s="88" t="s">
        <v>1131</v>
      </c>
      <c r="H29" s="82"/>
      <c r="O29" s="82" t="str">
        <v>RC Cromo Duro | 7.62 - 12.7 µm</v>
      </c>
    </row>
    <row r="30" spans="1:15" ht="16" x14ac:dyDescent="0.2">
      <c r="A30" s="85" t="s">
        <v>1583</v>
      </c>
      <c r="B30" s="89" t="s">
        <v>1585</v>
      </c>
      <c r="C30" s="86" t="s">
        <v>1584</v>
      </c>
      <c r="D30" s="86" t="s">
        <v>1002</v>
      </c>
      <c r="E30" s="90" t="s">
        <v>120</v>
      </c>
      <c r="F30" s="88" t="s">
        <v>362</v>
      </c>
      <c r="G30" s="87" t="s">
        <v>1134</v>
      </c>
      <c r="H30" s="82"/>
      <c r="O30" s="82" t="str">
        <v>RC Cu (Cobre) | 0.25 - 1 µm</v>
      </c>
    </row>
    <row r="31" spans="1:15" ht="16" x14ac:dyDescent="0.2">
      <c r="A31" s="85" t="s">
        <v>1583</v>
      </c>
      <c r="B31" s="89" t="s">
        <v>1585</v>
      </c>
      <c r="C31" s="86" t="s">
        <v>1584</v>
      </c>
      <c r="D31" s="86" t="s">
        <v>1002</v>
      </c>
      <c r="E31" s="90" t="s">
        <v>120</v>
      </c>
      <c r="F31" s="88" t="s">
        <v>1592</v>
      </c>
      <c r="G31" s="87" t="s">
        <v>1134</v>
      </c>
      <c r="H31" s="82"/>
      <c r="O31" s="82" t="str">
        <v>RC Cu (Cobre) | 10 - 12 µm</v>
      </c>
    </row>
    <row r="32" spans="1:15" ht="16" x14ac:dyDescent="0.2">
      <c r="A32" s="85" t="s">
        <v>1583</v>
      </c>
      <c r="B32" s="89" t="s">
        <v>1585</v>
      </c>
      <c r="C32" s="86" t="s">
        <v>1584</v>
      </c>
      <c r="D32" s="86" t="s">
        <v>1002</v>
      </c>
      <c r="E32" s="90" t="s">
        <v>140</v>
      </c>
      <c r="F32" s="88" t="s">
        <v>362</v>
      </c>
      <c r="G32" s="87" t="s">
        <v>312</v>
      </c>
      <c r="H32" s="82"/>
      <c r="O32" s="82" t="str">
        <v>RC Cu (Cobre) | 3 - 5 µm</v>
      </c>
    </row>
    <row r="33" spans="1:15" ht="16" x14ac:dyDescent="0.2">
      <c r="A33" s="85" t="s">
        <v>1583</v>
      </c>
      <c r="B33" s="89" t="s">
        <v>1585</v>
      </c>
      <c r="C33" s="86" t="s">
        <v>1584</v>
      </c>
      <c r="D33" s="86" t="s">
        <v>1002</v>
      </c>
      <c r="E33" s="90" t="s">
        <v>140</v>
      </c>
      <c r="F33" s="88" t="s">
        <v>1592</v>
      </c>
      <c r="G33" s="87" t="s">
        <v>312</v>
      </c>
      <c r="H33" s="82"/>
      <c r="O33" s="82" t="str">
        <v>RC Cu (Cobre) | 5 - 10 µm</v>
      </c>
    </row>
    <row r="34" spans="1:15" ht="16" x14ac:dyDescent="0.2">
      <c r="A34" s="85" t="s">
        <v>1583</v>
      </c>
      <c r="B34" s="89" t="s">
        <v>1585</v>
      </c>
      <c r="C34" s="86" t="s">
        <v>1584</v>
      </c>
      <c r="D34" s="86" t="s">
        <v>1002</v>
      </c>
      <c r="E34" s="90" t="s">
        <v>133</v>
      </c>
      <c r="F34" s="88" t="s">
        <v>362</v>
      </c>
      <c r="G34" s="87" t="s">
        <v>302</v>
      </c>
      <c r="H34" s="82"/>
      <c r="O34" s="82" t="str">
        <v>RC Decapado</v>
      </c>
    </row>
    <row r="35" spans="1:15" ht="16" x14ac:dyDescent="0.2">
      <c r="A35" s="85" t="s">
        <v>1583</v>
      </c>
      <c r="B35" s="89" t="s">
        <v>1585</v>
      </c>
      <c r="C35" s="86" t="s">
        <v>1584</v>
      </c>
      <c r="D35" s="86" t="s">
        <v>1002</v>
      </c>
      <c r="E35" s="90" t="s">
        <v>133</v>
      </c>
      <c r="F35" s="88" t="s">
        <v>1592</v>
      </c>
      <c r="G35" s="87" t="s">
        <v>302</v>
      </c>
      <c r="H35" s="82"/>
      <c r="O35" s="82" t="str">
        <v>RC Electropulido</v>
      </c>
    </row>
    <row r="36" spans="1:15" ht="16" x14ac:dyDescent="0.2">
      <c r="A36" s="85" t="s">
        <v>1583</v>
      </c>
      <c r="B36" s="89" t="s">
        <v>1585</v>
      </c>
      <c r="C36" s="86" t="s">
        <v>1584</v>
      </c>
      <c r="D36" s="86" t="s">
        <v>1002</v>
      </c>
      <c r="E36" s="90" t="s">
        <v>117</v>
      </c>
      <c r="F36" s="88" t="s">
        <v>362</v>
      </c>
      <c r="G36" s="87" t="s">
        <v>290</v>
      </c>
      <c r="H36" s="82"/>
      <c r="O36" s="82" t="str">
        <v>RC Empaque</v>
      </c>
    </row>
    <row r="37" spans="1:15" ht="16" x14ac:dyDescent="0.2">
      <c r="A37" s="85" t="s">
        <v>1583</v>
      </c>
      <c r="B37" s="89" t="s">
        <v>1585</v>
      </c>
      <c r="C37" s="86" t="s">
        <v>1584</v>
      </c>
      <c r="D37" s="86" t="s">
        <v>1002</v>
      </c>
      <c r="E37" s="90" t="s">
        <v>117</v>
      </c>
      <c r="F37" s="88" t="s">
        <v>1592</v>
      </c>
      <c r="G37" s="87" t="s">
        <v>290</v>
      </c>
      <c r="H37" s="82"/>
      <c r="O37" s="82" t="str">
        <v>RC Lavado</v>
      </c>
    </row>
    <row r="38" spans="1:15" ht="16" x14ac:dyDescent="0.2">
      <c r="A38" s="85" t="s">
        <v>1583</v>
      </c>
      <c r="B38" s="89" t="s">
        <v>1585</v>
      </c>
      <c r="C38" s="86" t="s">
        <v>1584</v>
      </c>
      <c r="D38" s="86" t="s">
        <v>1002</v>
      </c>
      <c r="E38" s="90" t="s">
        <v>126</v>
      </c>
      <c r="F38" s="88" t="s">
        <v>362</v>
      </c>
      <c r="G38" s="87" t="s">
        <v>283</v>
      </c>
      <c r="H38" s="82"/>
      <c r="O38" s="82" t="str">
        <v>RC Limpieza Mecánica</v>
      </c>
    </row>
    <row r="39" spans="1:15" ht="16" x14ac:dyDescent="0.2">
      <c r="A39" s="85" t="s">
        <v>1583</v>
      </c>
      <c r="B39" s="89" t="s">
        <v>1585</v>
      </c>
      <c r="C39" s="86" t="s">
        <v>1584</v>
      </c>
      <c r="D39" s="86" t="s">
        <v>1002</v>
      </c>
      <c r="E39" s="90" t="s">
        <v>126</v>
      </c>
      <c r="F39" s="88" t="s">
        <v>1592</v>
      </c>
      <c r="G39" s="87" t="s">
        <v>283</v>
      </c>
      <c r="H39" s="82"/>
      <c r="O39" s="82" t="str">
        <v>RC No Oxide</v>
      </c>
    </row>
    <row r="40" spans="1:15" ht="16" x14ac:dyDescent="0.2">
      <c r="A40" s="85" t="s">
        <v>1583</v>
      </c>
      <c r="B40" s="89" t="s">
        <v>1585</v>
      </c>
      <c r="C40" s="86" t="s">
        <v>1584</v>
      </c>
      <c r="D40" s="86" t="s">
        <v>1002</v>
      </c>
      <c r="E40" s="90" t="s">
        <v>149</v>
      </c>
      <c r="F40" s="88" t="s">
        <v>362</v>
      </c>
      <c r="G40" s="87" t="s">
        <v>306</v>
      </c>
      <c r="H40" s="82"/>
      <c r="O40" s="82" t="str">
        <v>RC Pasivado</v>
      </c>
    </row>
    <row r="41" spans="1:15" ht="16" x14ac:dyDescent="0.2">
      <c r="A41" s="85" t="s">
        <v>1583</v>
      </c>
      <c r="B41" s="89" t="s">
        <v>1585</v>
      </c>
      <c r="C41" s="86" t="s">
        <v>1584</v>
      </c>
      <c r="D41" s="86" t="s">
        <v>1002</v>
      </c>
      <c r="E41" s="90" t="s">
        <v>149</v>
      </c>
      <c r="F41" s="88" t="s">
        <v>1592</v>
      </c>
      <c r="G41" s="87" t="s">
        <v>306</v>
      </c>
      <c r="H41" s="82"/>
      <c r="O41" s="82" t="str">
        <v>RC Rebabeo</v>
      </c>
    </row>
    <row r="42" spans="1:15" ht="16" x14ac:dyDescent="0.2">
      <c r="A42" s="85" t="s">
        <v>1583</v>
      </c>
      <c r="B42" s="89" t="s">
        <v>1593</v>
      </c>
      <c r="C42" s="86" t="s">
        <v>1584</v>
      </c>
      <c r="D42" s="86" t="s">
        <v>1002</v>
      </c>
      <c r="E42" s="90" t="s">
        <v>1531</v>
      </c>
      <c r="F42" s="88" t="s">
        <v>1342</v>
      </c>
      <c r="G42" s="87" t="s">
        <v>1162</v>
      </c>
      <c r="H42" s="82"/>
      <c r="O42" s="82" t="str">
        <v>TS1E-010-103 (Fosfato de Manganeso - Medición de Grano - GM) | 5 - 11 µm</v>
      </c>
    </row>
    <row r="43" spans="1:15" ht="16" x14ac:dyDescent="0.2">
      <c r="A43" s="85" t="s">
        <v>1583</v>
      </c>
      <c r="B43" s="89" t="s">
        <v>1593</v>
      </c>
      <c r="C43" s="86" t="s">
        <v>1584</v>
      </c>
      <c r="D43" s="86" t="s">
        <v>1002</v>
      </c>
      <c r="E43" s="90" t="s">
        <v>1531</v>
      </c>
      <c r="F43" s="88" t="s">
        <v>1594</v>
      </c>
      <c r="G43" s="87" t="s">
        <v>1162</v>
      </c>
      <c r="H43" s="82"/>
    </row>
    <row r="44" spans="1:15" ht="16" x14ac:dyDescent="0.2">
      <c r="A44" s="85" t="s">
        <v>1583</v>
      </c>
      <c r="B44" s="97" t="s">
        <v>1595</v>
      </c>
      <c r="C44" s="86" t="s">
        <v>1584</v>
      </c>
      <c r="D44" s="86" t="s">
        <v>1002</v>
      </c>
      <c r="E44" s="90" t="s">
        <v>117</v>
      </c>
      <c r="F44" s="88" t="s">
        <v>362</v>
      </c>
      <c r="G44" s="87" t="s">
        <v>297</v>
      </c>
      <c r="H44" s="82"/>
    </row>
    <row r="45" spans="1:15" ht="16" x14ac:dyDescent="0.2">
      <c r="A45" s="85" t="s">
        <v>1583</v>
      </c>
      <c r="B45" s="97" t="s">
        <v>1595</v>
      </c>
      <c r="C45" s="86" t="s">
        <v>1584</v>
      </c>
      <c r="D45" s="86" t="s">
        <v>1002</v>
      </c>
      <c r="E45" s="90" t="s">
        <v>158</v>
      </c>
      <c r="F45" s="88" t="s">
        <v>362</v>
      </c>
      <c r="G45" s="87" t="s">
        <v>297</v>
      </c>
      <c r="H45" s="82"/>
    </row>
    <row r="46" spans="1:15" ht="16" x14ac:dyDescent="0.2">
      <c r="A46" s="85" t="s">
        <v>1583</v>
      </c>
      <c r="B46" s="97" t="s">
        <v>1595</v>
      </c>
      <c r="C46" s="86" t="s">
        <v>1584</v>
      </c>
      <c r="D46" s="86" t="s">
        <v>1002</v>
      </c>
      <c r="E46" s="90" t="s">
        <v>117</v>
      </c>
      <c r="F46" s="88" t="s">
        <v>1592</v>
      </c>
      <c r="G46" s="87" t="s">
        <v>297</v>
      </c>
      <c r="H46" s="82"/>
    </row>
    <row r="47" spans="1:15" ht="16" x14ac:dyDescent="0.2">
      <c r="A47" s="85" t="s">
        <v>1583</v>
      </c>
      <c r="B47" s="97" t="s">
        <v>1595</v>
      </c>
      <c r="C47" s="86" t="s">
        <v>1584</v>
      </c>
      <c r="D47" s="86" t="s">
        <v>1002</v>
      </c>
      <c r="E47" s="90" t="s">
        <v>158</v>
      </c>
      <c r="F47" s="88" t="s">
        <v>1592</v>
      </c>
      <c r="G47" s="87" t="s">
        <v>297</v>
      </c>
      <c r="H47" s="82"/>
    </row>
    <row r="48" spans="1:15" x14ac:dyDescent="0.2">
      <c r="A48" s="85" t="s">
        <v>1583</v>
      </c>
      <c r="B48" s="89" t="s">
        <v>1585</v>
      </c>
      <c r="C48" s="86" t="s">
        <v>1584</v>
      </c>
      <c r="D48" s="86" t="s">
        <v>1002</v>
      </c>
      <c r="E48" s="90" t="s">
        <v>1531</v>
      </c>
      <c r="F48" s="88" t="s">
        <v>362</v>
      </c>
      <c r="G48" s="88" t="s">
        <v>1135</v>
      </c>
      <c r="H48" s="82"/>
    </row>
    <row r="49" spans="1:8" x14ac:dyDescent="0.2">
      <c r="A49" s="85" t="s">
        <v>1583</v>
      </c>
      <c r="B49" s="89" t="s">
        <v>1585</v>
      </c>
      <c r="C49" s="86" t="s">
        <v>1584</v>
      </c>
      <c r="D49" s="86" t="s">
        <v>1002</v>
      </c>
      <c r="E49" s="90" t="s">
        <v>1531</v>
      </c>
      <c r="F49" s="88" t="s">
        <v>1592</v>
      </c>
      <c r="G49" s="88" t="s">
        <v>1135</v>
      </c>
      <c r="H49" s="82"/>
    </row>
    <row r="50" spans="1:8" x14ac:dyDescent="0.2">
      <c r="A50" s="85" t="s">
        <v>1583</v>
      </c>
      <c r="B50" s="89" t="s">
        <v>1585</v>
      </c>
      <c r="C50" s="86" t="s">
        <v>1584</v>
      </c>
      <c r="D50" s="86" t="s">
        <v>1002</v>
      </c>
      <c r="E50" s="90" t="s">
        <v>1034</v>
      </c>
      <c r="F50" s="88" t="s">
        <v>362</v>
      </c>
      <c r="G50" s="88" t="s">
        <v>1133</v>
      </c>
      <c r="H50" s="82"/>
    </row>
    <row r="51" spans="1:8" x14ac:dyDescent="0.2">
      <c r="A51" s="85" t="s">
        <v>1583</v>
      </c>
      <c r="B51" s="89" t="s">
        <v>1585</v>
      </c>
      <c r="C51" s="86" t="s">
        <v>1584</v>
      </c>
      <c r="D51" s="86" t="s">
        <v>1002</v>
      </c>
      <c r="E51" s="90" t="s">
        <v>1034</v>
      </c>
      <c r="F51" s="88" t="s">
        <v>1592</v>
      </c>
      <c r="G51" s="88" t="s">
        <v>1133</v>
      </c>
      <c r="H51" s="82"/>
    </row>
    <row r="52" spans="1:8" x14ac:dyDescent="0.2">
      <c r="A52" s="85" t="s">
        <v>1583</v>
      </c>
      <c r="B52" s="89" t="s">
        <v>1585</v>
      </c>
      <c r="C52" s="86" t="s">
        <v>1584</v>
      </c>
      <c r="D52" s="86" t="s">
        <v>1002</v>
      </c>
      <c r="E52" s="90" t="s">
        <v>117</v>
      </c>
      <c r="F52" s="88" t="s">
        <v>1596</v>
      </c>
      <c r="G52" s="88" t="s">
        <v>1157</v>
      </c>
      <c r="H52" s="82"/>
    </row>
    <row r="53" spans="1:8" x14ac:dyDescent="0.2">
      <c r="A53" s="85" t="s">
        <v>1583</v>
      </c>
      <c r="B53" s="89" t="s">
        <v>1585</v>
      </c>
      <c r="C53" s="86" t="s">
        <v>1584</v>
      </c>
      <c r="D53" s="86" t="s">
        <v>1002</v>
      </c>
      <c r="E53" s="90" t="s">
        <v>126</v>
      </c>
      <c r="F53" s="88" t="s">
        <v>1596</v>
      </c>
      <c r="G53" s="88" t="s">
        <v>1155</v>
      </c>
      <c r="H53" s="82"/>
    </row>
    <row r="54" spans="1:8" x14ac:dyDescent="0.2">
      <c r="A54" s="85" t="s">
        <v>1583</v>
      </c>
      <c r="B54" s="89" t="s">
        <v>1585</v>
      </c>
      <c r="C54" s="86" t="s">
        <v>1584</v>
      </c>
      <c r="D54" s="86" t="s">
        <v>1002</v>
      </c>
      <c r="E54" s="90" t="s">
        <v>117</v>
      </c>
      <c r="F54" s="88" t="s">
        <v>1596</v>
      </c>
      <c r="G54" s="88" t="s">
        <v>1161</v>
      </c>
      <c r="H54" s="82"/>
    </row>
    <row r="55" spans="1:8" x14ac:dyDescent="0.2">
      <c r="A55" s="85" t="s">
        <v>1583</v>
      </c>
      <c r="B55" s="89" t="s">
        <v>1585</v>
      </c>
      <c r="C55" s="86" t="s">
        <v>1584</v>
      </c>
      <c r="D55" s="86" t="s">
        <v>1002</v>
      </c>
      <c r="E55" s="90" t="s">
        <v>126</v>
      </c>
      <c r="F55" s="88" t="s">
        <v>1596</v>
      </c>
      <c r="G55" s="88" t="s">
        <v>1159</v>
      </c>
      <c r="H55" s="82"/>
    </row>
    <row r="56" spans="1:8" x14ac:dyDescent="0.2">
      <c r="A56" s="85" t="s">
        <v>1583</v>
      </c>
      <c r="B56" s="89" t="s">
        <v>1585</v>
      </c>
      <c r="C56" s="86" t="s">
        <v>1584</v>
      </c>
      <c r="D56" s="86" t="s">
        <v>1002</v>
      </c>
      <c r="E56" s="90" t="s">
        <v>149</v>
      </c>
      <c r="F56" s="88" t="s">
        <v>1597</v>
      </c>
      <c r="G56" s="88" t="s">
        <v>1142</v>
      </c>
      <c r="H56" s="82"/>
    </row>
    <row r="57" spans="1:8" x14ac:dyDescent="0.2">
      <c r="A57" s="85" t="s">
        <v>1583</v>
      </c>
      <c r="B57" s="89" t="s">
        <v>1585</v>
      </c>
      <c r="C57" s="86" t="s">
        <v>1584</v>
      </c>
      <c r="D57" s="86" t="s">
        <v>1002</v>
      </c>
      <c r="E57" s="90" t="s">
        <v>1034</v>
      </c>
      <c r="F57" s="88" t="s">
        <v>1597</v>
      </c>
      <c r="G57" s="88" t="s">
        <v>1141</v>
      </c>
      <c r="H57" s="82"/>
    </row>
    <row r="58" spans="1:8" x14ac:dyDescent="0.2">
      <c r="A58" s="85" t="s">
        <v>1583</v>
      </c>
      <c r="B58" s="89" t="s">
        <v>1585</v>
      </c>
      <c r="C58" s="86" t="s">
        <v>1584</v>
      </c>
      <c r="D58" s="86" t="s">
        <v>1002</v>
      </c>
      <c r="E58" s="90" t="s">
        <v>117</v>
      </c>
      <c r="F58" s="88" t="s">
        <v>1598</v>
      </c>
      <c r="G58" s="88" t="s">
        <v>1144</v>
      </c>
      <c r="H58" s="82"/>
    </row>
    <row r="59" spans="1:8" x14ac:dyDescent="0.2">
      <c r="A59" s="85" t="s">
        <v>1583</v>
      </c>
      <c r="B59" s="89" t="s">
        <v>1585</v>
      </c>
      <c r="C59" s="86" t="s">
        <v>1584</v>
      </c>
      <c r="D59" s="86" t="s">
        <v>1002</v>
      </c>
      <c r="E59" s="90" t="s">
        <v>158</v>
      </c>
      <c r="F59" s="88" t="s">
        <v>1598</v>
      </c>
      <c r="G59" s="88" t="s">
        <v>1144</v>
      </c>
      <c r="H59" s="82"/>
    </row>
    <row r="60" spans="1:8" x14ac:dyDescent="0.2">
      <c r="A60" s="85" t="s">
        <v>1583</v>
      </c>
      <c r="B60" s="89" t="s">
        <v>1585</v>
      </c>
      <c r="C60" s="86" t="s">
        <v>1584</v>
      </c>
      <c r="D60" s="86" t="s">
        <v>1002</v>
      </c>
      <c r="E60" s="90" t="s">
        <v>1034</v>
      </c>
      <c r="F60" s="88" t="s">
        <v>1598</v>
      </c>
      <c r="G60" s="88" t="s">
        <v>1143</v>
      </c>
      <c r="H60" s="82"/>
    </row>
    <row r="61" spans="1:8" x14ac:dyDescent="0.2">
      <c r="A61" s="85" t="s">
        <v>1583</v>
      </c>
      <c r="B61" s="89" t="s">
        <v>1585</v>
      </c>
      <c r="C61" s="86" t="s">
        <v>1584</v>
      </c>
      <c r="D61" s="86" t="s">
        <v>1002</v>
      </c>
      <c r="E61" s="90" t="s">
        <v>117</v>
      </c>
      <c r="F61" s="88" t="s">
        <v>1599</v>
      </c>
      <c r="G61" s="88" t="s">
        <v>1147</v>
      </c>
      <c r="H61" s="82"/>
    </row>
    <row r="62" spans="1:8" x14ac:dyDescent="0.2">
      <c r="A62" s="85" t="s">
        <v>1583</v>
      </c>
      <c r="B62" s="89" t="s">
        <v>1585</v>
      </c>
      <c r="C62" s="86" t="s">
        <v>1584</v>
      </c>
      <c r="D62" s="86" t="s">
        <v>1002</v>
      </c>
      <c r="E62" s="90" t="s">
        <v>117</v>
      </c>
      <c r="F62" s="88" t="s">
        <v>1600</v>
      </c>
      <c r="G62" s="88" t="s">
        <v>1146</v>
      </c>
      <c r="H62" s="82"/>
    </row>
    <row r="63" spans="1:8" x14ac:dyDescent="0.2">
      <c r="A63" s="85" t="s">
        <v>1583</v>
      </c>
      <c r="B63" s="89" t="s">
        <v>1585</v>
      </c>
      <c r="C63" s="86" t="s">
        <v>1584</v>
      </c>
      <c r="D63" s="86" t="s">
        <v>1002</v>
      </c>
      <c r="E63" s="90" t="s">
        <v>117</v>
      </c>
      <c r="F63" s="88" t="s">
        <v>1601</v>
      </c>
      <c r="G63" s="88" t="s">
        <v>1146</v>
      </c>
      <c r="H63" s="82"/>
    </row>
    <row r="64" spans="1:8" x14ac:dyDescent="0.2">
      <c r="A64" s="85" t="s">
        <v>1583</v>
      </c>
      <c r="B64" s="89" t="s">
        <v>1585</v>
      </c>
      <c r="C64" s="86" t="s">
        <v>1584</v>
      </c>
      <c r="D64" s="86" t="s">
        <v>1002</v>
      </c>
      <c r="E64" s="90" t="s">
        <v>158</v>
      </c>
      <c r="F64" s="88" t="s">
        <v>1600</v>
      </c>
      <c r="G64" s="88" t="s">
        <v>1146</v>
      </c>
      <c r="H64" s="82"/>
    </row>
    <row r="65" spans="1:8" x14ac:dyDescent="0.2">
      <c r="A65" s="85" t="s">
        <v>1583</v>
      </c>
      <c r="B65" s="89" t="s">
        <v>1585</v>
      </c>
      <c r="C65" s="86" t="s">
        <v>1584</v>
      </c>
      <c r="D65" s="86" t="s">
        <v>1002</v>
      </c>
      <c r="E65" s="90" t="s">
        <v>158</v>
      </c>
      <c r="F65" s="88" t="s">
        <v>1601</v>
      </c>
      <c r="G65" s="88" t="s">
        <v>1146</v>
      </c>
      <c r="H65" s="82"/>
    </row>
    <row r="66" spans="1:8" x14ac:dyDescent="0.2">
      <c r="A66" s="85" t="s">
        <v>1583</v>
      </c>
      <c r="B66" s="89" t="s">
        <v>1585</v>
      </c>
      <c r="C66" s="86" t="s">
        <v>1584</v>
      </c>
      <c r="D66" s="86" t="s">
        <v>1002</v>
      </c>
      <c r="E66" s="90" t="s">
        <v>1034</v>
      </c>
      <c r="F66" s="88" t="s">
        <v>1601</v>
      </c>
      <c r="G66" s="88" t="s">
        <v>1145</v>
      </c>
      <c r="H66" s="82"/>
    </row>
    <row r="67" spans="1:8" x14ac:dyDescent="0.2">
      <c r="A67" s="85" t="s">
        <v>1583</v>
      </c>
      <c r="B67" s="89" t="s">
        <v>1585</v>
      </c>
      <c r="C67" s="86" t="s">
        <v>1584</v>
      </c>
      <c r="D67" s="86" t="s">
        <v>1002</v>
      </c>
      <c r="E67" s="90" t="s">
        <v>1034</v>
      </c>
      <c r="F67" s="88" t="s">
        <v>1600</v>
      </c>
      <c r="G67" s="88" t="s">
        <v>1145</v>
      </c>
      <c r="H67" s="82"/>
    </row>
    <row r="68" spans="1:8" x14ac:dyDescent="0.2">
      <c r="A68" s="85" t="s">
        <v>1583</v>
      </c>
      <c r="B68" s="89" t="s">
        <v>1585</v>
      </c>
      <c r="C68" s="86" t="s">
        <v>1584</v>
      </c>
      <c r="D68" s="86" t="s">
        <v>1002</v>
      </c>
      <c r="E68" s="90" t="s">
        <v>117</v>
      </c>
      <c r="F68" s="88" t="s">
        <v>1602</v>
      </c>
      <c r="G68" s="88" t="s">
        <v>1139</v>
      </c>
      <c r="H68" s="82"/>
    </row>
    <row r="69" spans="1:8" x14ac:dyDescent="0.2">
      <c r="A69" s="85" t="s">
        <v>1583</v>
      </c>
      <c r="B69" s="89" t="s">
        <v>1585</v>
      </c>
      <c r="C69" s="86" t="s">
        <v>1584</v>
      </c>
      <c r="D69" s="86" t="s">
        <v>1002</v>
      </c>
      <c r="E69" s="90" t="s">
        <v>158</v>
      </c>
      <c r="F69" s="88" t="s">
        <v>1602</v>
      </c>
      <c r="G69" s="88" t="s">
        <v>1138</v>
      </c>
      <c r="H69" s="82"/>
    </row>
    <row r="70" spans="1:8" x14ac:dyDescent="0.2">
      <c r="A70" s="85" t="s">
        <v>1583</v>
      </c>
      <c r="B70" s="89" t="s">
        <v>1585</v>
      </c>
      <c r="C70" s="86" t="s">
        <v>1584</v>
      </c>
      <c r="D70" s="86" t="s">
        <v>1002</v>
      </c>
      <c r="E70" s="90" t="s">
        <v>1034</v>
      </c>
      <c r="F70" s="88" t="s">
        <v>1602</v>
      </c>
      <c r="G70" s="88" t="s">
        <v>1137</v>
      </c>
      <c r="H70" s="82"/>
    </row>
    <row r="71" spans="1:8" x14ac:dyDescent="0.2">
      <c r="A71" s="85" t="s">
        <v>1583</v>
      </c>
      <c r="B71" s="89" t="s">
        <v>1585</v>
      </c>
      <c r="C71" s="86" t="s">
        <v>1584</v>
      </c>
      <c r="D71" s="86" t="s">
        <v>1002</v>
      </c>
      <c r="E71" s="90" t="s">
        <v>1034</v>
      </c>
      <c r="F71" s="88" t="s">
        <v>1603</v>
      </c>
      <c r="G71" s="88" t="s">
        <v>1136</v>
      </c>
      <c r="H71" s="82"/>
    </row>
    <row r="72" spans="1:8" x14ac:dyDescent="0.2">
      <c r="A72" s="85" t="s">
        <v>1583</v>
      </c>
      <c r="B72" s="89" t="s">
        <v>1585</v>
      </c>
      <c r="C72" s="86" t="s">
        <v>1584</v>
      </c>
      <c r="D72" s="86" t="s">
        <v>1002</v>
      </c>
      <c r="E72" s="90" t="s">
        <v>1034</v>
      </c>
      <c r="F72" s="88" t="s">
        <v>1604</v>
      </c>
      <c r="G72" s="88" t="s">
        <v>1136</v>
      </c>
      <c r="H72" s="82"/>
    </row>
    <row r="73" spans="1:8" x14ac:dyDescent="0.2">
      <c r="A73" s="85" t="s">
        <v>1583</v>
      </c>
      <c r="B73" s="89" t="s">
        <v>1585</v>
      </c>
      <c r="C73" s="86" t="s">
        <v>1584</v>
      </c>
      <c r="D73" s="86" t="s">
        <v>1002</v>
      </c>
      <c r="E73" s="90" t="s">
        <v>1034</v>
      </c>
      <c r="F73" s="88" t="s">
        <v>1605</v>
      </c>
      <c r="G73" s="88" t="s">
        <v>1148</v>
      </c>
      <c r="H73" s="82"/>
    </row>
    <row r="74" spans="1:8" x14ac:dyDescent="0.2">
      <c r="A74" s="85" t="s">
        <v>1583</v>
      </c>
      <c r="B74" s="89" t="s">
        <v>1585</v>
      </c>
      <c r="C74" s="86" t="s">
        <v>1584</v>
      </c>
      <c r="D74" s="86" t="s">
        <v>1002</v>
      </c>
      <c r="E74" s="90" t="s">
        <v>133</v>
      </c>
      <c r="F74" s="88" t="s">
        <v>1605</v>
      </c>
      <c r="G74" s="88" t="s">
        <v>1151</v>
      </c>
      <c r="H74" s="82"/>
    </row>
    <row r="75" spans="1:8" x14ac:dyDescent="0.2">
      <c r="A75" s="85" t="s">
        <v>1583</v>
      </c>
      <c r="B75" s="89" t="s">
        <v>1585</v>
      </c>
      <c r="C75" s="86" t="s">
        <v>1584</v>
      </c>
      <c r="D75" s="86" t="s">
        <v>1002</v>
      </c>
      <c r="E75" s="90" t="s">
        <v>149</v>
      </c>
      <c r="F75" s="88" t="s">
        <v>1605</v>
      </c>
      <c r="G75" s="88" t="s">
        <v>1152</v>
      </c>
      <c r="H75" s="82"/>
    </row>
    <row r="76" spans="1:8" x14ac:dyDescent="0.2">
      <c r="A76" s="85" t="s">
        <v>1583</v>
      </c>
      <c r="B76" s="89" t="s">
        <v>1585</v>
      </c>
      <c r="C76" s="86" t="s">
        <v>1584</v>
      </c>
      <c r="D76" s="86" t="s">
        <v>1002</v>
      </c>
      <c r="E76" s="90" t="s">
        <v>117</v>
      </c>
      <c r="F76" s="88" t="s">
        <v>1605</v>
      </c>
      <c r="G76" s="88" t="s">
        <v>1150</v>
      </c>
      <c r="H76" s="82"/>
    </row>
    <row r="77" spans="1:8" x14ac:dyDescent="0.2">
      <c r="A77" s="85" t="s">
        <v>1583</v>
      </c>
      <c r="B77" s="89" t="s">
        <v>1585</v>
      </c>
      <c r="C77" s="86" t="s">
        <v>1584</v>
      </c>
      <c r="D77" s="86" t="s">
        <v>1002</v>
      </c>
      <c r="E77" s="90" t="s">
        <v>140</v>
      </c>
      <c r="F77" s="88" t="s">
        <v>1605</v>
      </c>
      <c r="G77" s="88" t="s">
        <v>1153</v>
      </c>
      <c r="H77" s="82"/>
    </row>
    <row r="78" spans="1:8" x14ac:dyDescent="0.2">
      <c r="A78" s="85" t="s">
        <v>1583</v>
      </c>
      <c r="B78" s="89" t="s">
        <v>1585</v>
      </c>
      <c r="C78" s="86" t="s">
        <v>1584</v>
      </c>
      <c r="D78" s="86" t="s">
        <v>1002</v>
      </c>
      <c r="E78" s="90" t="s">
        <v>126</v>
      </c>
      <c r="F78" s="88" t="s">
        <v>1605</v>
      </c>
      <c r="G78" s="88" t="s">
        <v>1149</v>
      </c>
      <c r="H78" s="82"/>
    </row>
    <row r="79" spans="1:8" x14ac:dyDescent="0.2">
      <c r="A79" s="85" t="s">
        <v>1583</v>
      </c>
      <c r="B79" s="89" t="s">
        <v>1585</v>
      </c>
      <c r="C79" s="86" t="s">
        <v>1584</v>
      </c>
      <c r="D79" s="86" t="s">
        <v>1002</v>
      </c>
      <c r="E79" s="90" t="s">
        <v>149</v>
      </c>
      <c r="F79" s="88" t="s">
        <v>1606</v>
      </c>
      <c r="G79" s="88" t="s">
        <v>1140</v>
      </c>
      <c r="H79" s="82"/>
    </row>
    <row r="80" spans="1:8" x14ac:dyDescent="0.2">
      <c r="A80" s="85" t="s">
        <v>1583</v>
      </c>
      <c r="B80" s="89" t="s">
        <v>1585</v>
      </c>
      <c r="C80" s="86" t="s">
        <v>1584</v>
      </c>
      <c r="D80" s="86" t="s">
        <v>1002</v>
      </c>
      <c r="E80" s="90" t="s">
        <v>117</v>
      </c>
      <c r="F80" s="88" t="s">
        <v>381</v>
      </c>
      <c r="G80" s="88" t="s">
        <v>1101</v>
      </c>
      <c r="H80" s="82"/>
    </row>
    <row r="81" spans="1:8" x14ac:dyDescent="0.2">
      <c r="A81" s="85" t="s">
        <v>1583</v>
      </c>
      <c r="B81" s="89" t="s">
        <v>1585</v>
      </c>
      <c r="C81" s="86" t="s">
        <v>1584</v>
      </c>
      <c r="D81" s="86" t="s">
        <v>1002</v>
      </c>
      <c r="E81" s="90" t="s">
        <v>158</v>
      </c>
      <c r="F81" s="88" t="s">
        <v>381</v>
      </c>
      <c r="G81" s="88" t="s">
        <v>1101</v>
      </c>
      <c r="H81" s="82"/>
    </row>
    <row r="82" spans="1:8" ht="16" x14ac:dyDescent="0.2">
      <c r="A82" s="85" t="s">
        <v>1583</v>
      </c>
      <c r="B82" s="89" t="s">
        <v>1585</v>
      </c>
      <c r="C82" s="86" t="s">
        <v>1584</v>
      </c>
      <c r="D82" s="86" t="s">
        <v>1002</v>
      </c>
      <c r="E82" s="90" t="s">
        <v>126</v>
      </c>
      <c r="F82" s="88" t="s">
        <v>413</v>
      </c>
      <c r="G82" s="87" t="s">
        <v>318</v>
      </c>
      <c r="H82" s="82"/>
    </row>
    <row r="83" spans="1:8" ht="16" x14ac:dyDescent="0.2">
      <c r="A83" s="85" t="s">
        <v>1583</v>
      </c>
      <c r="B83" s="89" t="s">
        <v>1585</v>
      </c>
      <c r="C83" s="86" t="s">
        <v>1584</v>
      </c>
      <c r="D83" s="86" t="s">
        <v>1002</v>
      </c>
      <c r="E83" s="90" t="s">
        <v>133</v>
      </c>
      <c r="F83" s="88" t="s">
        <v>423</v>
      </c>
      <c r="G83" s="87" t="s">
        <v>330</v>
      </c>
      <c r="H83" s="82"/>
    </row>
    <row r="84" spans="1:8" ht="16" x14ac:dyDescent="0.2">
      <c r="A84" s="85" t="s">
        <v>1583</v>
      </c>
      <c r="B84" s="89" t="s">
        <v>1585</v>
      </c>
      <c r="C84" s="86" t="s">
        <v>1584</v>
      </c>
      <c r="D84" s="86" t="s">
        <v>1002</v>
      </c>
      <c r="E84" s="90" t="s">
        <v>117</v>
      </c>
      <c r="F84" s="88" t="s">
        <v>423</v>
      </c>
      <c r="G84" s="87" t="s">
        <v>324</v>
      </c>
      <c r="H84" s="82"/>
    </row>
    <row r="85" spans="1:8" ht="16" x14ac:dyDescent="0.2">
      <c r="A85" s="85" t="s">
        <v>1583</v>
      </c>
      <c r="B85" s="89" t="s">
        <v>1585</v>
      </c>
      <c r="C85" s="86" t="s">
        <v>1584</v>
      </c>
      <c r="D85" s="86" t="s">
        <v>1002</v>
      </c>
      <c r="E85" s="90" t="s">
        <v>149</v>
      </c>
      <c r="F85" s="88" t="s">
        <v>423</v>
      </c>
      <c r="G85" s="87" t="s">
        <v>336</v>
      </c>
      <c r="H85" s="82"/>
    </row>
    <row r="86" spans="1:8" x14ac:dyDescent="0.2">
      <c r="A86" s="85" t="s">
        <v>1583</v>
      </c>
      <c r="B86" s="89" t="s">
        <v>1585</v>
      </c>
      <c r="C86" s="86" t="s">
        <v>1584</v>
      </c>
      <c r="D86" s="86" t="s">
        <v>1002</v>
      </c>
      <c r="E86" s="90" t="s">
        <v>1034</v>
      </c>
      <c r="F86" s="88" t="s">
        <v>423</v>
      </c>
      <c r="G86" s="88" t="s">
        <v>1163</v>
      </c>
      <c r="H86" s="82"/>
    </row>
    <row r="87" spans="1:8" x14ac:dyDescent="0.2">
      <c r="A87" s="85" t="s">
        <v>1583</v>
      </c>
      <c r="B87" s="89" t="s">
        <v>1585</v>
      </c>
      <c r="C87" s="86" t="s">
        <v>1584</v>
      </c>
      <c r="D87" s="86" t="s">
        <v>1002</v>
      </c>
      <c r="E87" s="90" t="s">
        <v>133</v>
      </c>
      <c r="F87" s="88" t="s">
        <v>464</v>
      </c>
      <c r="G87" s="88" t="s">
        <v>1108</v>
      </c>
      <c r="H87" s="82"/>
    </row>
    <row r="88" spans="1:8" x14ac:dyDescent="0.2">
      <c r="A88" s="85" t="s">
        <v>1583</v>
      </c>
      <c r="B88" s="89" t="s">
        <v>1585</v>
      </c>
      <c r="C88" s="86" t="s">
        <v>1584</v>
      </c>
      <c r="D88" s="86" t="s">
        <v>1002</v>
      </c>
      <c r="E88" s="90" t="s">
        <v>1034</v>
      </c>
      <c r="F88" s="88" t="s">
        <v>464</v>
      </c>
      <c r="G88" s="88" t="s">
        <v>1108</v>
      </c>
      <c r="H88" s="82"/>
    </row>
    <row r="89" spans="1:8" x14ac:dyDescent="0.2">
      <c r="A89" s="85" t="s">
        <v>1583</v>
      </c>
      <c r="B89" s="89" t="s">
        <v>1585</v>
      </c>
      <c r="C89" s="86" t="s">
        <v>1584</v>
      </c>
      <c r="D89" s="86" t="s">
        <v>1002</v>
      </c>
      <c r="E89" s="90" t="s">
        <v>117</v>
      </c>
      <c r="F89" s="88" t="s">
        <v>464</v>
      </c>
      <c r="G89" s="88" t="s">
        <v>1108</v>
      </c>
      <c r="H89" s="82"/>
    </row>
    <row r="90" spans="1:8" x14ac:dyDescent="0.2">
      <c r="A90" s="85" t="s">
        <v>1583</v>
      </c>
      <c r="B90" s="89" t="s">
        <v>1585</v>
      </c>
      <c r="C90" s="86" t="s">
        <v>1584</v>
      </c>
      <c r="D90" s="86" t="s">
        <v>1002</v>
      </c>
      <c r="E90" s="90" t="s">
        <v>149</v>
      </c>
      <c r="F90" s="88" t="s">
        <v>464</v>
      </c>
      <c r="G90" s="88" t="s">
        <v>1108</v>
      </c>
      <c r="H90" s="82"/>
    </row>
    <row r="91" spans="1:8" ht="16" x14ac:dyDescent="0.2">
      <c r="A91" s="85" t="s">
        <v>357</v>
      </c>
      <c r="B91" s="89" t="s">
        <v>1585</v>
      </c>
      <c r="C91" s="86" t="s">
        <v>1584</v>
      </c>
      <c r="D91" s="86" t="s">
        <v>1002</v>
      </c>
      <c r="E91" s="90" t="s">
        <v>126</v>
      </c>
      <c r="F91" s="88" t="s">
        <v>1607</v>
      </c>
      <c r="G91" s="87" t="s">
        <v>1121</v>
      </c>
      <c r="H91" s="82"/>
    </row>
    <row r="92" spans="1:8" ht="16" x14ac:dyDescent="0.2">
      <c r="A92" s="85" t="s">
        <v>357</v>
      </c>
      <c r="B92" s="89" t="s">
        <v>1585</v>
      </c>
      <c r="C92" s="86" t="s">
        <v>1584</v>
      </c>
      <c r="D92" s="86" t="s">
        <v>1002</v>
      </c>
      <c r="E92" s="90" t="s">
        <v>126</v>
      </c>
      <c r="F92" s="88" t="s">
        <v>357</v>
      </c>
      <c r="G92" s="87" t="s">
        <v>277</v>
      </c>
      <c r="H92" s="82"/>
    </row>
    <row r="93" spans="1:8" ht="16" x14ac:dyDescent="0.2">
      <c r="A93" s="85" t="s">
        <v>520</v>
      </c>
      <c r="B93" s="89" t="s">
        <v>1585</v>
      </c>
      <c r="C93" s="86" t="s">
        <v>1608</v>
      </c>
      <c r="D93" s="86" t="s">
        <v>1005</v>
      </c>
      <c r="E93" s="90" t="s">
        <v>133</v>
      </c>
      <c r="F93" s="88" t="s">
        <v>1609</v>
      </c>
      <c r="G93" s="87" t="s">
        <v>1198</v>
      </c>
      <c r="H93" s="82"/>
    </row>
    <row r="94" spans="1:8" ht="16" x14ac:dyDescent="0.2">
      <c r="A94" s="85" t="s">
        <v>520</v>
      </c>
      <c r="B94" s="89" t="s">
        <v>1585</v>
      </c>
      <c r="C94" s="86" t="s">
        <v>1608</v>
      </c>
      <c r="D94" s="86" t="s">
        <v>1005</v>
      </c>
      <c r="E94" s="90" t="s">
        <v>1034</v>
      </c>
      <c r="F94" s="88" t="s">
        <v>1609</v>
      </c>
      <c r="G94" s="87" t="s">
        <v>1198</v>
      </c>
      <c r="H94" s="82"/>
    </row>
    <row r="95" spans="1:8" ht="16" x14ac:dyDescent="0.2">
      <c r="A95" s="85" t="s">
        <v>520</v>
      </c>
      <c r="B95" s="89" t="s">
        <v>1585</v>
      </c>
      <c r="C95" s="86" t="s">
        <v>1608</v>
      </c>
      <c r="D95" s="86" t="s">
        <v>1005</v>
      </c>
      <c r="E95" s="90" t="s">
        <v>133</v>
      </c>
      <c r="F95" s="88" t="s">
        <v>1610</v>
      </c>
      <c r="G95" s="87" t="s">
        <v>1194</v>
      </c>
      <c r="H95" s="82"/>
    </row>
    <row r="96" spans="1:8" ht="16" x14ac:dyDescent="0.2">
      <c r="A96" s="85" t="s">
        <v>520</v>
      </c>
      <c r="B96" s="89" t="s">
        <v>1585</v>
      </c>
      <c r="C96" s="86" t="s">
        <v>1608</v>
      </c>
      <c r="D96" s="86" t="s">
        <v>1005</v>
      </c>
      <c r="E96" s="90" t="s">
        <v>1034</v>
      </c>
      <c r="F96" s="88" t="s">
        <v>1610</v>
      </c>
      <c r="G96" s="87" t="s">
        <v>1194</v>
      </c>
      <c r="H96" s="82"/>
    </row>
    <row r="97" spans="1:8" ht="16" x14ac:dyDescent="0.2">
      <c r="A97" s="85" t="s">
        <v>520</v>
      </c>
      <c r="B97" s="89" t="s">
        <v>1585</v>
      </c>
      <c r="C97" s="86" t="s">
        <v>1608</v>
      </c>
      <c r="D97" s="86" t="s">
        <v>1005</v>
      </c>
      <c r="E97" s="90" t="s">
        <v>133</v>
      </c>
      <c r="F97" s="88" t="s">
        <v>1611</v>
      </c>
      <c r="G97" s="87" t="s">
        <v>1194</v>
      </c>
      <c r="H97" s="82"/>
    </row>
    <row r="98" spans="1:8" ht="16" x14ac:dyDescent="0.2">
      <c r="A98" s="85" t="s">
        <v>520</v>
      </c>
      <c r="B98" s="89" t="s">
        <v>1585</v>
      </c>
      <c r="C98" s="86" t="s">
        <v>1608</v>
      </c>
      <c r="D98" s="86" t="s">
        <v>1005</v>
      </c>
      <c r="E98" s="90" t="s">
        <v>1034</v>
      </c>
      <c r="F98" s="88" t="s">
        <v>1611</v>
      </c>
      <c r="G98" s="87" t="s">
        <v>1194</v>
      </c>
      <c r="H98" s="82"/>
    </row>
    <row r="99" spans="1:8" ht="16" x14ac:dyDescent="0.2">
      <c r="A99" s="85" t="s">
        <v>520</v>
      </c>
      <c r="B99" s="89" t="s">
        <v>1585</v>
      </c>
      <c r="C99" s="86" t="s">
        <v>1608</v>
      </c>
      <c r="D99" s="86" t="s">
        <v>1005</v>
      </c>
      <c r="E99" s="90" t="s">
        <v>133</v>
      </c>
      <c r="F99" s="88" t="s">
        <v>1612</v>
      </c>
      <c r="G99" s="87" t="s">
        <v>1194</v>
      </c>
      <c r="H99" s="82"/>
    </row>
    <row r="100" spans="1:8" ht="16" x14ac:dyDescent="0.2">
      <c r="A100" s="85" t="s">
        <v>520</v>
      </c>
      <c r="B100" s="89" t="s">
        <v>1585</v>
      </c>
      <c r="C100" s="86" t="s">
        <v>1608</v>
      </c>
      <c r="D100" s="86" t="s">
        <v>1005</v>
      </c>
      <c r="E100" s="90" t="s">
        <v>1034</v>
      </c>
      <c r="F100" s="88" t="s">
        <v>1612</v>
      </c>
      <c r="G100" s="87" t="s">
        <v>1194</v>
      </c>
      <c r="H100" s="82"/>
    </row>
    <row r="101" spans="1:8" ht="16" x14ac:dyDescent="0.2">
      <c r="A101" s="85" t="s">
        <v>520</v>
      </c>
      <c r="B101" s="89" t="s">
        <v>1585</v>
      </c>
      <c r="C101" s="86" t="s">
        <v>1608</v>
      </c>
      <c r="D101" s="86" t="s">
        <v>1005</v>
      </c>
      <c r="E101" s="90" t="s">
        <v>133</v>
      </c>
      <c r="F101" s="88" t="s">
        <v>1613</v>
      </c>
      <c r="G101" s="87" t="s">
        <v>1197</v>
      </c>
      <c r="H101" s="82"/>
    </row>
    <row r="102" spans="1:8" ht="16" x14ac:dyDescent="0.2">
      <c r="A102" s="85" t="s">
        <v>520</v>
      </c>
      <c r="B102" s="89" t="s">
        <v>1585</v>
      </c>
      <c r="C102" s="86" t="s">
        <v>1608</v>
      </c>
      <c r="D102" s="86" t="s">
        <v>1005</v>
      </c>
      <c r="E102" s="90" t="s">
        <v>1034</v>
      </c>
      <c r="F102" s="88" t="s">
        <v>1613</v>
      </c>
      <c r="G102" s="87" t="s">
        <v>1197</v>
      </c>
      <c r="H102" s="82"/>
    </row>
    <row r="103" spans="1:8" x14ac:dyDescent="0.2">
      <c r="A103" s="85" t="s">
        <v>520</v>
      </c>
      <c r="B103" s="89" t="s">
        <v>1585</v>
      </c>
      <c r="C103" s="86" t="s">
        <v>1608</v>
      </c>
      <c r="D103" s="86" t="s">
        <v>1005</v>
      </c>
      <c r="E103" s="90" t="s">
        <v>133</v>
      </c>
      <c r="F103" s="88" t="s">
        <v>1614</v>
      </c>
      <c r="G103" s="88" t="s">
        <v>1195</v>
      </c>
      <c r="H103" s="82"/>
    </row>
    <row r="104" spans="1:8" x14ac:dyDescent="0.2">
      <c r="A104" s="85" t="s">
        <v>520</v>
      </c>
      <c r="B104" s="89" t="s">
        <v>1585</v>
      </c>
      <c r="C104" s="86" t="s">
        <v>1608</v>
      </c>
      <c r="D104" s="86" t="s">
        <v>1005</v>
      </c>
      <c r="E104" s="90" t="s">
        <v>1034</v>
      </c>
      <c r="F104" s="88" t="s">
        <v>1614</v>
      </c>
      <c r="G104" s="88" t="s">
        <v>1195</v>
      </c>
      <c r="H104" s="82"/>
    </row>
    <row r="105" spans="1:8" x14ac:dyDescent="0.2">
      <c r="A105" s="85" t="s">
        <v>520</v>
      </c>
      <c r="B105" s="89" t="s">
        <v>1585</v>
      </c>
      <c r="C105" s="86" t="s">
        <v>1608</v>
      </c>
      <c r="D105" s="86" t="s">
        <v>1005</v>
      </c>
      <c r="E105" s="90" t="s">
        <v>133</v>
      </c>
      <c r="F105" s="88" t="s">
        <v>1615</v>
      </c>
      <c r="G105" s="88" t="s">
        <v>1195</v>
      </c>
      <c r="H105" s="82"/>
    </row>
    <row r="106" spans="1:8" x14ac:dyDescent="0.2">
      <c r="A106" s="85" t="s">
        <v>520</v>
      </c>
      <c r="B106" s="89" t="s">
        <v>1585</v>
      </c>
      <c r="C106" s="86" t="s">
        <v>1608</v>
      </c>
      <c r="D106" s="86" t="s">
        <v>1005</v>
      </c>
      <c r="E106" s="90" t="s">
        <v>1034</v>
      </c>
      <c r="F106" s="88" t="s">
        <v>1615</v>
      </c>
      <c r="G106" s="88" t="s">
        <v>1195</v>
      </c>
      <c r="H106" s="82"/>
    </row>
    <row r="107" spans="1:8" x14ac:dyDescent="0.2">
      <c r="A107" s="85" t="s">
        <v>520</v>
      </c>
      <c r="B107" s="89" t="s">
        <v>1585</v>
      </c>
      <c r="C107" s="86" t="s">
        <v>1608</v>
      </c>
      <c r="D107" s="86" t="s">
        <v>1005</v>
      </c>
      <c r="E107" s="90" t="s">
        <v>133</v>
      </c>
      <c r="F107" s="88" t="s">
        <v>1616</v>
      </c>
      <c r="G107" s="88" t="s">
        <v>1195</v>
      </c>
      <c r="H107" s="82"/>
    </row>
    <row r="108" spans="1:8" x14ac:dyDescent="0.2">
      <c r="A108" s="85" t="s">
        <v>520</v>
      </c>
      <c r="B108" s="89" t="s">
        <v>1585</v>
      </c>
      <c r="C108" s="86" t="s">
        <v>1608</v>
      </c>
      <c r="D108" s="86" t="s">
        <v>1005</v>
      </c>
      <c r="E108" s="90" t="s">
        <v>1034</v>
      </c>
      <c r="F108" s="88" t="s">
        <v>1616</v>
      </c>
      <c r="G108" s="88" t="s">
        <v>1195</v>
      </c>
      <c r="H108" s="82"/>
    </row>
    <row r="109" spans="1:8" x14ac:dyDescent="0.2">
      <c r="A109" s="85" t="s">
        <v>520</v>
      </c>
      <c r="B109" s="89" t="s">
        <v>1585</v>
      </c>
      <c r="C109" s="86" t="s">
        <v>1608</v>
      </c>
      <c r="D109" s="86" t="s">
        <v>1005</v>
      </c>
      <c r="E109" s="90" t="s">
        <v>133</v>
      </c>
      <c r="F109" s="88" t="s">
        <v>1617</v>
      </c>
      <c r="G109" s="88" t="s">
        <v>1195</v>
      </c>
      <c r="H109" s="82"/>
    </row>
    <row r="110" spans="1:8" x14ac:dyDescent="0.2">
      <c r="A110" s="85" t="s">
        <v>520</v>
      </c>
      <c r="B110" s="89" t="s">
        <v>1585</v>
      </c>
      <c r="C110" s="86" t="s">
        <v>1608</v>
      </c>
      <c r="D110" s="86" t="s">
        <v>1005</v>
      </c>
      <c r="E110" s="90" t="s">
        <v>1034</v>
      </c>
      <c r="F110" s="88" t="s">
        <v>1617</v>
      </c>
      <c r="G110" s="88" t="s">
        <v>1195</v>
      </c>
      <c r="H110" s="82"/>
    </row>
    <row r="111" spans="1:8" x14ac:dyDescent="0.2">
      <c r="A111" s="85" t="s">
        <v>520</v>
      </c>
      <c r="B111" s="89" t="s">
        <v>1585</v>
      </c>
      <c r="C111" s="86" t="s">
        <v>1608</v>
      </c>
      <c r="D111" s="86" t="s">
        <v>1005</v>
      </c>
      <c r="E111" s="90" t="s">
        <v>133</v>
      </c>
      <c r="F111" s="88" t="s">
        <v>1618</v>
      </c>
      <c r="G111" s="88" t="s">
        <v>1196</v>
      </c>
      <c r="H111" s="82"/>
    </row>
    <row r="112" spans="1:8" x14ac:dyDescent="0.2">
      <c r="A112" s="85" t="s">
        <v>520</v>
      </c>
      <c r="B112" s="89" t="s">
        <v>1585</v>
      </c>
      <c r="C112" s="86" t="s">
        <v>1608</v>
      </c>
      <c r="D112" s="86" t="s">
        <v>1005</v>
      </c>
      <c r="E112" s="90" t="s">
        <v>1034</v>
      </c>
      <c r="F112" s="88" t="s">
        <v>1618</v>
      </c>
      <c r="G112" s="88" t="s">
        <v>1196</v>
      </c>
      <c r="H112" s="82"/>
    </row>
    <row r="113" spans="1:8" x14ac:dyDescent="0.2">
      <c r="A113" s="85" t="s">
        <v>520</v>
      </c>
      <c r="B113" s="89" t="s">
        <v>1585</v>
      </c>
      <c r="C113" s="86" t="s">
        <v>1608</v>
      </c>
      <c r="D113" s="86" t="s">
        <v>1005</v>
      </c>
      <c r="E113" s="90" t="s">
        <v>133</v>
      </c>
      <c r="F113" s="88" t="s">
        <v>1619</v>
      </c>
      <c r="G113" s="88" t="s">
        <v>1196</v>
      </c>
      <c r="H113" s="82"/>
    </row>
    <row r="114" spans="1:8" x14ac:dyDescent="0.2">
      <c r="A114" s="85" t="s">
        <v>520</v>
      </c>
      <c r="B114" s="89" t="s">
        <v>1585</v>
      </c>
      <c r="C114" s="86" t="s">
        <v>1608</v>
      </c>
      <c r="D114" s="86" t="s">
        <v>1005</v>
      </c>
      <c r="E114" s="90" t="s">
        <v>1034</v>
      </c>
      <c r="F114" s="88" t="s">
        <v>1619</v>
      </c>
      <c r="G114" s="88" t="s">
        <v>1196</v>
      </c>
      <c r="H114" s="82"/>
    </row>
    <row r="115" spans="1:8" ht="16" x14ac:dyDescent="0.2">
      <c r="A115" s="85" t="s">
        <v>520</v>
      </c>
      <c r="B115" s="89" t="s">
        <v>1585</v>
      </c>
      <c r="C115" s="86" t="s">
        <v>1608</v>
      </c>
      <c r="D115" s="86" t="s">
        <v>1005</v>
      </c>
      <c r="E115" s="90" t="s">
        <v>133</v>
      </c>
      <c r="F115" s="88" t="s">
        <v>1620</v>
      </c>
      <c r="G115" s="87" t="s">
        <v>1191</v>
      </c>
      <c r="H115" s="82"/>
    </row>
    <row r="116" spans="1:8" ht="16" x14ac:dyDescent="0.2">
      <c r="A116" s="85" t="s">
        <v>520</v>
      </c>
      <c r="B116" s="89" t="s">
        <v>1585</v>
      </c>
      <c r="C116" s="86" t="s">
        <v>1608</v>
      </c>
      <c r="D116" s="86" t="s">
        <v>1005</v>
      </c>
      <c r="E116" s="90" t="s">
        <v>1034</v>
      </c>
      <c r="F116" s="88" t="s">
        <v>1620</v>
      </c>
      <c r="G116" s="87" t="s">
        <v>1191</v>
      </c>
      <c r="H116" s="82"/>
    </row>
    <row r="117" spans="1:8" ht="16" x14ac:dyDescent="0.2">
      <c r="A117" s="85" t="s">
        <v>520</v>
      </c>
      <c r="B117" s="89" t="s">
        <v>1585</v>
      </c>
      <c r="C117" s="86" t="s">
        <v>1608</v>
      </c>
      <c r="D117" s="86" t="s">
        <v>1005</v>
      </c>
      <c r="E117" s="90" t="s">
        <v>133</v>
      </c>
      <c r="F117" s="88" t="s">
        <v>1621</v>
      </c>
      <c r="G117" s="87" t="s">
        <v>1191</v>
      </c>
      <c r="H117" s="82"/>
    </row>
    <row r="118" spans="1:8" ht="16" x14ac:dyDescent="0.2">
      <c r="A118" s="85" t="s">
        <v>520</v>
      </c>
      <c r="B118" s="89" t="s">
        <v>1585</v>
      </c>
      <c r="C118" s="86" t="s">
        <v>1608</v>
      </c>
      <c r="D118" s="86" t="s">
        <v>1005</v>
      </c>
      <c r="E118" s="90" t="s">
        <v>1034</v>
      </c>
      <c r="F118" s="88" t="s">
        <v>1621</v>
      </c>
      <c r="G118" s="87" t="s">
        <v>1191</v>
      </c>
      <c r="H118" s="82"/>
    </row>
    <row r="119" spans="1:8" ht="16" x14ac:dyDescent="0.2">
      <c r="A119" s="85" t="s">
        <v>520</v>
      </c>
      <c r="B119" s="89" t="s">
        <v>1585</v>
      </c>
      <c r="C119" s="86" t="s">
        <v>1608</v>
      </c>
      <c r="D119" s="86" t="s">
        <v>1005</v>
      </c>
      <c r="E119" s="90" t="s">
        <v>133</v>
      </c>
      <c r="F119" s="88" t="s">
        <v>1622</v>
      </c>
      <c r="G119" s="87" t="s">
        <v>1191</v>
      </c>
      <c r="H119" s="82"/>
    </row>
    <row r="120" spans="1:8" ht="16" x14ac:dyDescent="0.2">
      <c r="A120" s="85" t="s">
        <v>520</v>
      </c>
      <c r="B120" s="89" t="s">
        <v>1585</v>
      </c>
      <c r="C120" s="86" t="s">
        <v>1608</v>
      </c>
      <c r="D120" s="86" t="s">
        <v>1005</v>
      </c>
      <c r="E120" s="90" t="s">
        <v>1034</v>
      </c>
      <c r="F120" s="88" t="s">
        <v>1622</v>
      </c>
      <c r="G120" s="87" t="s">
        <v>1191</v>
      </c>
      <c r="H120" s="82"/>
    </row>
    <row r="121" spans="1:8" ht="16" x14ac:dyDescent="0.2">
      <c r="A121" s="85" t="s">
        <v>520</v>
      </c>
      <c r="B121" s="89" t="s">
        <v>1585</v>
      </c>
      <c r="C121" s="86" t="s">
        <v>1608</v>
      </c>
      <c r="D121" s="86" t="s">
        <v>1005</v>
      </c>
      <c r="E121" s="90" t="s">
        <v>133</v>
      </c>
      <c r="F121" s="88" t="s">
        <v>1623</v>
      </c>
      <c r="G121" s="87" t="s">
        <v>1191</v>
      </c>
      <c r="H121" s="82"/>
    </row>
    <row r="122" spans="1:8" ht="16" x14ac:dyDescent="0.2">
      <c r="A122" s="85" t="s">
        <v>520</v>
      </c>
      <c r="B122" s="89" t="s">
        <v>1585</v>
      </c>
      <c r="C122" s="86" t="s">
        <v>1608</v>
      </c>
      <c r="D122" s="86" t="s">
        <v>1005</v>
      </c>
      <c r="E122" s="90" t="s">
        <v>1034</v>
      </c>
      <c r="F122" s="88" t="s">
        <v>1623</v>
      </c>
      <c r="G122" s="87" t="s">
        <v>1191</v>
      </c>
      <c r="H122" s="82"/>
    </row>
    <row r="123" spans="1:8" ht="16" x14ac:dyDescent="0.2">
      <c r="A123" s="85" t="s">
        <v>520</v>
      </c>
      <c r="B123" s="89" t="s">
        <v>1585</v>
      </c>
      <c r="C123" s="86" t="s">
        <v>1608</v>
      </c>
      <c r="D123" s="86" t="s">
        <v>1005</v>
      </c>
      <c r="E123" s="90" t="s">
        <v>133</v>
      </c>
      <c r="F123" s="88" t="s">
        <v>1624</v>
      </c>
      <c r="G123" s="87" t="s">
        <v>1191</v>
      </c>
      <c r="H123" s="82"/>
    </row>
    <row r="124" spans="1:8" ht="16" x14ac:dyDescent="0.2">
      <c r="A124" s="85" t="s">
        <v>520</v>
      </c>
      <c r="B124" s="89" t="s">
        <v>1585</v>
      </c>
      <c r="C124" s="86" t="s">
        <v>1608</v>
      </c>
      <c r="D124" s="86" t="s">
        <v>1005</v>
      </c>
      <c r="E124" s="90" t="s">
        <v>1034</v>
      </c>
      <c r="F124" s="88" t="s">
        <v>1624</v>
      </c>
      <c r="G124" s="87" t="s">
        <v>1191</v>
      </c>
      <c r="H124" s="82"/>
    </row>
    <row r="125" spans="1:8" ht="16" x14ac:dyDescent="0.2">
      <c r="A125" s="85" t="s">
        <v>520</v>
      </c>
      <c r="B125" s="89" t="s">
        <v>1585</v>
      </c>
      <c r="C125" s="86" t="s">
        <v>1608</v>
      </c>
      <c r="D125" s="86" t="s">
        <v>1005</v>
      </c>
      <c r="E125" s="90" t="s">
        <v>133</v>
      </c>
      <c r="F125" s="88" t="s">
        <v>1625</v>
      </c>
      <c r="G125" s="87" t="s">
        <v>1192</v>
      </c>
      <c r="H125" s="82"/>
    </row>
    <row r="126" spans="1:8" ht="16" x14ac:dyDescent="0.2">
      <c r="A126" s="85" t="s">
        <v>520</v>
      </c>
      <c r="B126" s="89" t="s">
        <v>1585</v>
      </c>
      <c r="C126" s="86" t="s">
        <v>1608</v>
      </c>
      <c r="D126" s="86" t="s">
        <v>1005</v>
      </c>
      <c r="E126" s="90" t="s">
        <v>1034</v>
      </c>
      <c r="F126" s="88" t="s">
        <v>1625</v>
      </c>
      <c r="G126" s="87" t="s">
        <v>1192</v>
      </c>
      <c r="H126" s="82"/>
    </row>
    <row r="127" spans="1:8" ht="16" x14ac:dyDescent="0.2">
      <c r="A127" s="85" t="s">
        <v>520</v>
      </c>
      <c r="B127" s="89" t="s">
        <v>1585</v>
      </c>
      <c r="C127" s="86" t="s">
        <v>1608</v>
      </c>
      <c r="D127" s="86" t="s">
        <v>1005</v>
      </c>
      <c r="E127" s="90" t="s">
        <v>133</v>
      </c>
      <c r="F127" s="88" t="s">
        <v>1626</v>
      </c>
      <c r="G127" s="87" t="s">
        <v>1192</v>
      </c>
      <c r="H127" s="82"/>
    </row>
    <row r="128" spans="1:8" ht="16" x14ac:dyDescent="0.2">
      <c r="A128" s="85" t="s">
        <v>520</v>
      </c>
      <c r="B128" s="89" t="s">
        <v>1585</v>
      </c>
      <c r="C128" s="86" t="s">
        <v>1608</v>
      </c>
      <c r="D128" s="86" t="s">
        <v>1005</v>
      </c>
      <c r="E128" s="90" t="s">
        <v>1034</v>
      </c>
      <c r="F128" s="88" t="s">
        <v>1626</v>
      </c>
      <c r="G128" s="87" t="s">
        <v>1192</v>
      </c>
      <c r="H128" s="82"/>
    </row>
    <row r="129" spans="1:8" ht="16" x14ac:dyDescent="0.2">
      <c r="A129" s="85" t="s">
        <v>520</v>
      </c>
      <c r="B129" s="89" t="s">
        <v>1585</v>
      </c>
      <c r="C129" s="86" t="s">
        <v>1608</v>
      </c>
      <c r="D129" s="86" t="s">
        <v>1005</v>
      </c>
      <c r="E129" s="90" t="s">
        <v>133</v>
      </c>
      <c r="F129" s="88" t="s">
        <v>1627</v>
      </c>
      <c r="G129" s="87" t="s">
        <v>1193</v>
      </c>
      <c r="H129" s="82"/>
    </row>
    <row r="130" spans="1:8" ht="16" x14ac:dyDescent="0.2">
      <c r="A130" s="85" t="s">
        <v>520</v>
      </c>
      <c r="B130" s="89" t="s">
        <v>1585</v>
      </c>
      <c r="C130" s="86" t="s">
        <v>1608</v>
      </c>
      <c r="D130" s="86" t="s">
        <v>1005</v>
      </c>
      <c r="E130" s="90" t="s">
        <v>1034</v>
      </c>
      <c r="F130" s="88" t="s">
        <v>1627</v>
      </c>
      <c r="G130" s="87" t="s">
        <v>1193</v>
      </c>
      <c r="H130" s="82"/>
    </row>
    <row r="131" spans="1:8" ht="16" x14ac:dyDescent="0.2">
      <c r="A131" s="85" t="s">
        <v>520</v>
      </c>
      <c r="B131" s="89" t="s">
        <v>1585</v>
      </c>
      <c r="C131" s="86" t="s">
        <v>1608</v>
      </c>
      <c r="D131" s="86" t="s">
        <v>1005</v>
      </c>
      <c r="E131" s="90" t="s">
        <v>133</v>
      </c>
      <c r="F131" s="88" t="s">
        <v>1628</v>
      </c>
      <c r="G131" s="87" t="s">
        <v>1193</v>
      </c>
      <c r="H131" s="82"/>
    </row>
    <row r="132" spans="1:8" ht="16" x14ac:dyDescent="0.2">
      <c r="A132" s="85" t="s">
        <v>520</v>
      </c>
      <c r="B132" s="89" t="s">
        <v>1585</v>
      </c>
      <c r="C132" s="86" t="s">
        <v>1608</v>
      </c>
      <c r="D132" s="86" t="s">
        <v>1005</v>
      </c>
      <c r="E132" s="90" t="s">
        <v>1034</v>
      </c>
      <c r="F132" s="88" t="s">
        <v>1628</v>
      </c>
      <c r="G132" s="87" t="s">
        <v>1193</v>
      </c>
      <c r="H132" s="82"/>
    </row>
    <row r="133" spans="1:8" x14ac:dyDescent="0.2">
      <c r="A133" s="85" t="s">
        <v>520</v>
      </c>
      <c r="B133" s="89" t="s">
        <v>1585</v>
      </c>
      <c r="C133" s="86" t="s">
        <v>1608</v>
      </c>
      <c r="D133" s="86" t="s">
        <v>1005</v>
      </c>
      <c r="E133" s="90" t="s">
        <v>133</v>
      </c>
      <c r="F133" s="88" t="s">
        <v>1629</v>
      </c>
      <c r="G133" s="88" t="s">
        <v>1110</v>
      </c>
      <c r="H133" s="82"/>
    </row>
    <row r="134" spans="1:8" x14ac:dyDescent="0.2">
      <c r="A134" s="85" t="s">
        <v>520</v>
      </c>
      <c r="B134" s="89" t="s">
        <v>1585</v>
      </c>
      <c r="C134" s="86" t="s">
        <v>1608</v>
      </c>
      <c r="D134" s="86" t="s">
        <v>1005</v>
      </c>
      <c r="E134" s="90" t="s">
        <v>1034</v>
      </c>
      <c r="F134" s="88" t="s">
        <v>1629</v>
      </c>
      <c r="G134" s="88" t="s">
        <v>1110</v>
      </c>
      <c r="H134" s="82"/>
    </row>
    <row r="135" spans="1:8" x14ac:dyDescent="0.2">
      <c r="A135" s="85" t="s">
        <v>520</v>
      </c>
      <c r="B135" s="89" t="s">
        <v>1585</v>
      </c>
      <c r="C135" s="86" t="s">
        <v>1608</v>
      </c>
      <c r="D135" s="86" t="s">
        <v>1005</v>
      </c>
      <c r="E135" s="90" t="s">
        <v>133</v>
      </c>
      <c r="F135" s="88" t="s">
        <v>1630</v>
      </c>
      <c r="G135" s="88" t="s">
        <v>1111</v>
      </c>
      <c r="H135" s="82"/>
    </row>
    <row r="136" spans="1:8" x14ac:dyDescent="0.2">
      <c r="A136" s="85" t="s">
        <v>520</v>
      </c>
      <c r="B136" s="89" t="s">
        <v>1585</v>
      </c>
      <c r="C136" s="86" t="s">
        <v>1608</v>
      </c>
      <c r="D136" s="86" t="s">
        <v>1005</v>
      </c>
      <c r="E136" s="90" t="s">
        <v>1034</v>
      </c>
      <c r="F136" s="88" t="s">
        <v>1630</v>
      </c>
      <c r="G136" s="88" t="s">
        <v>1111</v>
      </c>
      <c r="H136" s="82"/>
    </row>
    <row r="137" spans="1:8" x14ac:dyDescent="0.2">
      <c r="A137" s="85" t="s">
        <v>520</v>
      </c>
      <c r="B137" s="89" t="s">
        <v>1585</v>
      </c>
      <c r="C137" s="86" t="s">
        <v>1608</v>
      </c>
      <c r="D137" s="86" t="s">
        <v>1005</v>
      </c>
      <c r="E137" s="90" t="s">
        <v>1034</v>
      </c>
      <c r="F137" s="88" t="s">
        <v>1631</v>
      </c>
      <c r="G137" s="88" t="s">
        <v>1109</v>
      </c>
      <c r="H137" s="82"/>
    </row>
    <row r="138" spans="1:8" x14ac:dyDescent="0.2">
      <c r="A138" s="85" t="s">
        <v>520</v>
      </c>
      <c r="B138" s="89" t="s">
        <v>1585</v>
      </c>
      <c r="C138" s="86" t="s">
        <v>1608</v>
      </c>
      <c r="D138" s="86" t="s">
        <v>1005</v>
      </c>
      <c r="E138" s="90" t="s">
        <v>133</v>
      </c>
      <c r="F138" s="88" t="s">
        <v>1631</v>
      </c>
      <c r="G138" s="88" t="s">
        <v>1109</v>
      </c>
      <c r="H138" s="82"/>
    </row>
    <row r="139" spans="1:8" x14ac:dyDescent="0.2">
      <c r="A139" s="85" t="s">
        <v>520</v>
      </c>
      <c r="B139" s="89" t="s">
        <v>1585</v>
      </c>
      <c r="C139" s="86" t="s">
        <v>1608</v>
      </c>
      <c r="D139" s="86" t="s">
        <v>1005</v>
      </c>
      <c r="E139" s="90" t="s">
        <v>133</v>
      </c>
      <c r="F139" s="88" t="s">
        <v>1632</v>
      </c>
      <c r="G139" s="88" t="s">
        <v>1188</v>
      </c>
      <c r="H139" s="82"/>
    </row>
    <row r="140" spans="1:8" x14ac:dyDescent="0.2">
      <c r="A140" s="85" t="s">
        <v>520</v>
      </c>
      <c r="B140" s="89" t="s">
        <v>1585</v>
      </c>
      <c r="C140" s="86" t="s">
        <v>1608</v>
      </c>
      <c r="D140" s="86" t="s">
        <v>1005</v>
      </c>
      <c r="E140" s="90" t="s">
        <v>1034</v>
      </c>
      <c r="F140" s="88" t="s">
        <v>1632</v>
      </c>
      <c r="G140" s="88" t="s">
        <v>1188</v>
      </c>
      <c r="H140" s="82"/>
    </row>
    <row r="141" spans="1:8" x14ac:dyDescent="0.2">
      <c r="A141" s="85" t="s">
        <v>520</v>
      </c>
      <c r="B141" s="89" t="s">
        <v>1585</v>
      </c>
      <c r="C141" s="86" t="s">
        <v>1608</v>
      </c>
      <c r="D141" s="86" t="s">
        <v>1005</v>
      </c>
      <c r="E141" s="90" t="s">
        <v>133</v>
      </c>
      <c r="F141" s="88" t="s">
        <v>1633</v>
      </c>
      <c r="G141" s="88" t="s">
        <v>1189</v>
      </c>
      <c r="H141" s="82"/>
    </row>
    <row r="142" spans="1:8" x14ac:dyDescent="0.2">
      <c r="A142" s="85" t="s">
        <v>520</v>
      </c>
      <c r="B142" s="89" t="s">
        <v>1585</v>
      </c>
      <c r="C142" s="86" t="s">
        <v>1608</v>
      </c>
      <c r="D142" s="86" t="s">
        <v>1005</v>
      </c>
      <c r="E142" s="90" t="s">
        <v>1034</v>
      </c>
      <c r="F142" s="88" t="s">
        <v>1633</v>
      </c>
      <c r="G142" s="88" t="s">
        <v>1189</v>
      </c>
      <c r="H142" s="82"/>
    </row>
    <row r="143" spans="1:8" x14ac:dyDescent="0.2">
      <c r="A143" s="85" t="s">
        <v>520</v>
      </c>
      <c r="B143" s="89" t="s">
        <v>1585</v>
      </c>
      <c r="C143" s="86" t="s">
        <v>1608</v>
      </c>
      <c r="D143" s="86" t="s">
        <v>1005</v>
      </c>
      <c r="E143" s="90" t="s">
        <v>1034</v>
      </c>
      <c r="F143" s="88" t="s">
        <v>1634</v>
      </c>
      <c r="G143" s="88" t="s">
        <v>1187</v>
      </c>
      <c r="H143" s="82"/>
    </row>
    <row r="144" spans="1:8" x14ac:dyDescent="0.2">
      <c r="A144" s="85" t="s">
        <v>520</v>
      </c>
      <c r="B144" s="89" t="s">
        <v>1585</v>
      </c>
      <c r="C144" s="86" t="s">
        <v>1608</v>
      </c>
      <c r="D144" s="86" t="s">
        <v>1005</v>
      </c>
      <c r="E144" s="90" t="s">
        <v>133</v>
      </c>
      <c r="F144" s="88" t="s">
        <v>1634</v>
      </c>
      <c r="G144" s="88" t="s">
        <v>1187</v>
      </c>
      <c r="H144" s="82"/>
    </row>
    <row r="145" spans="1:8" x14ac:dyDescent="0.2">
      <c r="A145" s="85" t="s">
        <v>520</v>
      </c>
      <c r="B145" s="89" t="s">
        <v>1585</v>
      </c>
      <c r="C145" s="86" t="s">
        <v>1608</v>
      </c>
      <c r="D145" s="86" t="s">
        <v>1005</v>
      </c>
      <c r="E145" s="90" t="s">
        <v>1034</v>
      </c>
      <c r="F145" s="88" t="s">
        <v>1635</v>
      </c>
      <c r="G145" s="88" t="s">
        <v>1186</v>
      </c>
      <c r="H145" s="82"/>
    </row>
    <row r="146" spans="1:8" x14ac:dyDescent="0.2">
      <c r="A146" s="85" t="s">
        <v>520</v>
      </c>
      <c r="B146" s="89" t="s">
        <v>1585</v>
      </c>
      <c r="C146" s="86" t="s">
        <v>1608</v>
      </c>
      <c r="D146" s="86" t="s">
        <v>1005</v>
      </c>
      <c r="E146" s="90" t="s">
        <v>133</v>
      </c>
      <c r="F146" s="88" t="s">
        <v>1635</v>
      </c>
      <c r="G146" s="88" t="s">
        <v>1186</v>
      </c>
      <c r="H146" s="82"/>
    </row>
    <row r="147" spans="1:8" x14ac:dyDescent="0.2">
      <c r="A147" s="85" t="s">
        <v>520</v>
      </c>
      <c r="B147" s="89" t="s">
        <v>1585</v>
      </c>
      <c r="C147" s="86" t="s">
        <v>1608</v>
      </c>
      <c r="D147" s="86" t="s">
        <v>1005</v>
      </c>
      <c r="E147" s="90" t="s">
        <v>1034</v>
      </c>
      <c r="F147" s="88" t="s">
        <v>1636</v>
      </c>
      <c r="G147" s="88" t="s">
        <v>1186</v>
      </c>
      <c r="H147" s="82"/>
    </row>
    <row r="148" spans="1:8" x14ac:dyDescent="0.2">
      <c r="A148" s="85" t="s">
        <v>520</v>
      </c>
      <c r="B148" s="89" t="s">
        <v>1585</v>
      </c>
      <c r="C148" s="86" t="s">
        <v>1608</v>
      </c>
      <c r="D148" s="86" t="s">
        <v>1005</v>
      </c>
      <c r="E148" s="90" t="s">
        <v>133</v>
      </c>
      <c r="F148" s="88" t="s">
        <v>1636</v>
      </c>
      <c r="G148" s="88" t="s">
        <v>1186</v>
      </c>
      <c r="H148" s="82"/>
    </row>
    <row r="149" spans="1:8" x14ac:dyDescent="0.2">
      <c r="A149" s="85" t="s">
        <v>520</v>
      </c>
      <c r="B149" s="89" t="s">
        <v>1585</v>
      </c>
      <c r="C149" s="86" t="s">
        <v>1608</v>
      </c>
      <c r="D149" s="86" t="s">
        <v>1005</v>
      </c>
      <c r="E149" s="90" t="s">
        <v>133</v>
      </c>
      <c r="F149" s="88" t="s">
        <v>1631</v>
      </c>
      <c r="G149" s="88" t="s">
        <v>1109</v>
      </c>
      <c r="H149" s="82"/>
    </row>
    <row r="150" spans="1:8" x14ac:dyDescent="0.2">
      <c r="A150" s="85" t="s">
        <v>520</v>
      </c>
      <c r="B150" s="89" t="s">
        <v>1585</v>
      </c>
      <c r="C150" s="86" t="s">
        <v>1608</v>
      </c>
      <c r="D150" s="86" t="s">
        <v>1005</v>
      </c>
      <c r="E150" s="90" t="s">
        <v>1034</v>
      </c>
      <c r="F150" s="88" t="s">
        <v>1631</v>
      </c>
      <c r="G150" s="88" t="s">
        <v>1109</v>
      </c>
      <c r="H150" s="82"/>
    </row>
    <row r="151" spans="1:8" x14ac:dyDescent="0.2">
      <c r="A151" s="85" t="s">
        <v>520</v>
      </c>
      <c r="B151" s="89" t="s">
        <v>1585</v>
      </c>
      <c r="C151" s="86" t="s">
        <v>1608</v>
      </c>
      <c r="D151" s="86" t="s">
        <v>1005</v>
      </c>
      <c r="E151" s="90" t="s">
        <v>133</v>
      </c>
      <c r="F151" s="88" t="s">
        <v>1629</v>
      </c>
      <c r="G151" s="88" t="s">
        <v>1110</v>
      </c>
      <c r="H151" s="82"/>
    </row>
    <row r="152" spans="1:8" x14ac:dyDescent="0.2">
      <c r="A152" s="85" t="s">
        <v>520</v>
      </c>
      <c r="B152" s="89" t="s">
        <v>1585</v>
      </c>
      <c r="C152" s="86" t="s">
        <v>1608</v>
      </c>
      <c r="D152" s="86" t="s">
        <v>1005</v>
      </c>
      <c r="E152" s="90" t="s">
        <v>1034</v>
      </c>
      <c r="F152" s="88" t="s">
        <v>1629</v>
      </c>
      <c r="G152" s="88" t="s">
        <v>1110</v>
      </c>
      <c r="H152" s="82"/>
    </row>
    <row r="153" spans="1:8" ht="16" x14ac:dyDescent="0.2">
      <c r="A153" s="85" t="s">
        <v>308</v>
      </c>
      <c r="B153" s="89" t="s">
        <v>1585</v>
      </c>
      <c r="C153" s="86" t="s">
        <v>1608</v>
      </c>
      <c r="D153" s="86" t="s">
        <v>1005</v>
      </c>
      <c r="E153" s="90" t="s">
        <v>117</v>
      </c>
      <c r="F153" s="88" t="s">
        <v>308</v>
      </c>
      <c r="G153" s="87" t="s">
        <v>1190</v>
      </c>
      <c r="H153" s="82"/>
    </row>
    <row r="154" spans="1:8" ht="16" x14ac:dyDescent="0.2">
      <c r="A154" s="85" t="s">
        <v>308</v>
      </c>
      <c r="B154" s="89" t="s">
        <v>1585</v>
      </c>
      <c r="C154" s="86" t="s">
        <v>1608</v>
      </c>
      <c r="D154" s="86" t="s">
        <v>1005</v>
      </c>
      <c r="E154" s="90" t="s">
        <v>158</v>
      </c>
      <c r="F154" s="88" t="s">
        <v>308</v>
      </c>
      <c r="G154" s="87" t="s">
        <v>1190</v>
      </c>
      <c r="H154" s="82"/>
    </row>
    <row r="155" spans="1:8" ht="16" x14ac:dyDescent="0.2">
      <c r="A155" s="85" t="s">
        <v>308</v>
      </c>
      <c r="B155" s="89" t="s">
        <v>1585</v>
      </c>
      <c r="C155" s="86" t="s">
        <v>1608</v>
      </c>
      <c r="D155" s="86" t="s">
        <v>1005</v>
      </c>
      <c r="E155" s="90" t="s">
        <v>117</v>
      </c>
      <c r="F155" s="88" t="s">
        <v>313</v>
      </c>
      <c r="G155" s="87" t="s">
        <v>1190</v>
      </c>
      <c r="H155" s="82"/>
    </row>
    <row r="156" spans="1:8" ht="16" x14ac:dyDescent="0.2">
      <c r="A156" s="85" t="s">
        <v>308</v>
      </c>
      <c r="B156" s="89" t="s">
        <v>1585</v>
      </c>
      <c r="C156" s="86" t="s">
        <v>1608</v>
      </c>
      <c r="D156" s="86" t="s">
        <v>1005</v>
      </c>
      <c r="E156" s="90" t="s">
        <v>158</v>
      </c>
      <c r="F156" s="88" t="s">
        <v>313</v>
      </c>
      <c r="G156" s="87" t="s">
        <v>1190</v>
      </c>
      <c r="H156" s="82"/>
    </row>
    <row r="157" spans="1:8" ht="16" x14ac:dyDescent="0.2">
      <c r="A157" s="85" t="s">
        <v>308</v>
      </c>
      <c r="B157" s="89" t="s">
        <v>1585</v>
      </c>
      <c r="C157" s="86" t="s">
        <v>1608</v>
      </c>
      <c r="D157" s="86" t="s">
        <v>1005</v>
      </c>
      <c r="E157" s="90" t="s">
        <v>117</v>
      </c>
      <c r="F157" s="88" t="s">
        <v>1637</v>
      </c>
      <c r="G157" s="87" t="s">
        <v>1190</v>
      </c>
      <c r="H157" s="82"/>
    </row>
    <row r="158" spans="1:8" ht="16" x14ac:dyDescent="0.2">
      <c r="A158" s="85" t="s">
        <v>308</v>
      </c>
      <c r="B158" s="89" t="s">
        <v>1585</v>
      </c>
      <c r="C158" s="86" t="s">
        <v>1608</v>
      </c>
      <c r="D158" s="86" t="s">
        <v>1005</v>
      </c>
      <c r="E158" s="90" t="s">
        <v>158</v>
      </c>
      <c r="F158" s="88" t="s">
        <v>1637</v>
      </c>
      <c r="G158" s="87" t="s">
        <v>1190</v>
      </c>
      <c r="H158" s="82"/>
    </row>
    <row r="159" spans="1:8" ht="16" x14ac:dyDescent="0.2">
      <c r="A159" s="85" t="s">
        <v>308</v>
      </c>
      <c r="B159" s="89" t="s">
        <v>1585</v>
      </c>
      <c r="C159" s="86" t="s">
        <v>1608</v>
      </c>
      <c r="D159" s="86" t="s">
        <v>1005</v>
      </c>
      <c r="E159" s="90" t="s">
        <v>117</v>
      </c>
      <c r="F159" s="88" t="s">
        <v>1638</v>
      </c>
      <c r="G159" s="87" t="s">
        <v>1190</v>
      </c>
      <c r="H159" s="82"/>
    </row>
    <row r="160" spans="1:8" ht="16" x14ac:dyDescent="0.2">
      <c r="A160" s="85" t="s">
        <v>308</v>
      </c>
      <c r="B160" s="89" t="s">
        <v>1585</v>
      </c>
      <c r="C160" s="86" t="s">
        <v>1608</v>
      </c>
      <c r="D160" s="86" t="s">
        <v>1005</v>
      </c>
      <c r="E160" s="90" t="s">
        <v>158</v>
      </c>
      <c r="F160" s="88" t="s">
        <v>1638</v>
      </c>
      <c r="G160" s="87" t="s">
        <v>1190</v>
      </c>
      <c r="H160" s="82"/>
    </row>
    <row r="161" spans="1:8" ht="16" x14ac:dyDescent="0.2">
      <c r="A161" s="85" t="s">
        <v>308</v>
      </c>
      <c r="B161" s="89" t="s">
        <v>1585</v>
      </c>
      <c r="C161" s="86" t="s">
        <v>1608</v>
      </c>
      <c r="D161" s="86" t="s">
        <v>1005</v>
      </c>
      <c r="E161" s="90" t="s">
        <v>117</v>
      </c>
      <c r="F161" s="88" t="s">
        <v>1639</v>
      </c>
      <c r="G161" s="87" t="s">
        <v>1190</v>
      </c>
      <c r="H161" s="82"/>
    </row>
    <row r="162" spans="1:8" ht="16" x14ac:dyDescent="0.2">
      <c r="A162" s="85" t="s">
        <v>308</v>
      </c>
      <c r="B162" s="89" t="s">
        <v>1585</v>
      </c>
      <c r="C162" s="86" t="s">
        <v>1608</v>
      </c>
      <c r="D162" s="86" t="s">
        <v>1005</v>
      </c>
      <c r="E162" s="90" t="s">
        <v>158</v>
      </c>
      <c r="F162" s="88" t="s">
        <v>1639</v>
      </c>
      <c r="G162" s="87" t="s">
        <v>1190</v>
      </c>
      <c r="H162" s="82"/>
    </row>
    <row r="163" spans="1:8" x14ac:dyDescent="0.2">
      <c r="A163" s="85" t="s">
        <v>308</v>
      </c>
      <c r="B163" s="89" t="s">
        <v>1585</v>
      </c>
      <c r="C163" s="86" t="s">
        <v>1608</v>
      </c>
      <c r="D163" s="86" t="s">
        <v>1005</v>
      </c>
      <c r="E163" s="90" t="s">
        <v>117</v>
      </c>
      <c r="F163" s="88" t="s">
        <v>1640</v>
      </c>
      <c r="G163" s="88" t="s">
        <v>1128</v>
      </c>
      <c r="H163" s="82"/>
    </row>
    <row r="164" spans="1:8" x14ac:dyDescent="0.2">
      <c r="A164" s="85" t="s">
        <v>308</v>
      </c>
      <c r="B164" s="89" t="s">
        <v>1585</v>
      </c>
      <c r="C164" s="86" t="s">
        <v>1608</v>
      </c>
      <c r="D164" s="86" t="s">
        <v>1005</v>
      </c>
      <c r="E164" s="90" t="s">
        <v>158</v>
      </c>
      <c r="F164" s="88" t="s">
        <v>1640</v>
      </c>
      <c r="G164" s="88" t="s">
        <v>1128</v>
      </c>
      <c r="H164" s="82"/>
    </row>
    <row r="165" spans="1:8" x14ac:dyDescent="0.2">
      <c r="A165" s="85" t="s">
        <v>308</v>
      </c>
      <c r="B165" s="89" t="s">
        <v>1585</v>
      </c>
      <c r="C165" s="86" t="s">
        <v>1608</v>
      </c>
      <c r="D165" s="86" t="s">
        <v>1005</v>
      </c>
      <c r="E165" s="90" t="s">
        <v>117</v>
      </c>
      <c r="F165" s="88" t="s">
        <v>1641</v>
      </c>
      <c r="G165" s="88" t="s">
        <v>1128</v>
      </c>
      <c r="H165" s="82"/>
    </row>
    <row r="166" spans="1:8" x14ac:dyDescent="0.2">
      <c r="A166" s="85" t="s">
        <v>308</v>
      </c>
      <c r="B166" s="89" t="s">
        <v>1585</v>
      </c>
      <c r="C166" s="86" t="s">
        <v>1608</v>
      </c>
      <c r="D166" s="86" t="s">
        <v>1005</v>
      </c>
      <c r="E166" s="90" t="s">
        <v>158</v>
      </c>
      <c r="F166" s="88" t="s">
        <v>1641</v>
      </c>
      <c r="G166" s="88" t="s">
        <v>1128</v>
      </c>
      <c r="H166" s="82"/>
    </row>
    <row r="167" spans="1:8" ht="16" x14ac:dyDescent="0.2">
      <c r="A167" s="85" t="s">
        <v>308</v>
      </c>
      <c r="B167" s="97" t="s">
        <v>1595</v>
      </c>
      <c r="C167" s="86" t="s">
        <v>1608</v>
      </c>
      <c r="D167" s="86" t="s">
        <v>1005</v>
      </c>
      <c r="E167" s="90" t="s">
        <v>117</v>
      </c>
      <c r="F167" s="88" t="s">
        <v>1642</v>
      </c>
      <c r="G167" s="87" t="s">
        <v>1104</v>
      </c>
      <c r="H167" s="82"/>
    </row>
    <row r="168" spans="1:8" ht="16" x14ac:dyDescent="0.2">
      <c r="A168" s="85" t="s">
        <v>308</v>
      </c>
      <c r="B168" s="97" t="s">
        <v>1595</v>
      </c>
      <c r="C168" s="86" t="s">
        <v>1608</v>
      </c>
      <c r="D168" s="86" t="s">
        <v>1005</v>
      </c>
      <c r="E168" s="90" t="s">
        <v>158</v>
      </c>
      <c r="F168" s="88" t="s">
        <v>1642</v>
      </c>
      <c r="G168" s="87" t="s">
        <v>1104</v>
      </c>
      <c r="H168" s="82"/>
    </row>
    <row r="169" spans="1:8" x14ac:dyDescent="0.2">
      <c r="A169" s="85" t="s">
        <v>308</v>
      </c>
      <c r="B169" s="97" t="s">
        <v>1595</v>
      </c>
      <c r="C169" s="86" t="s">
        <v>1608</v>
      </c>
      <c r="D169" s="86" t="s">
        <v>1005</v>
      </c>
      <c r="E169" s="90" t="s">
        <v>117</v>
      </c>
      <c r="F169" s="88" t="s">
        <v>1643</v>
      </c>
      <c r="G169" s="88" t="s">
        <v>1102</v>
      </c>
      <c r="H169" s="82"/>
    </row>
    <row r="170" spans="1:8" x14ac:dyDescent="0.2">
      <c r="A170" s="85" t="s">
        <v>308</v>
      </c>
      <c r="B170" s="97" t="s">
        <v>1595</v>
      </c>
      <c r="C170" s="86" t="s">
        <v>1608</v>
      </c>
      <c r="D170" s="86" t="s">
        <v>1005</v>
      </c>
      <c r="E170" s="90" t="s">
        <v>158</v>
      </c>
      <c r="F170" s="88" t="s">
        <v>1643</v>
      </c>
      <c r="G170" s="88" t="s">
        <v>1102</v>
      </c>
      <c r="H170" s="82"/>
    </row>
    <row r="171" spans="1:8" x14ac:dyDescent="0.2">
      <c r="A171" s="85" t="s">
        <v>308</v>
      </c>
      <c r="B171" s="97" t="s">
        <v>1595</v>
      </c>
      <c r="C171" s="86" t="s">
        <v>1608</v>
      </c>
      <c r="D171" s="86" t="s">
        <v>1005</v>
      </c>
      <c r="E171" s="90" t="s">
        <v>117</v>
      </c>
      <c r="F171" s="88" t="s">
        <v>1644</v>
      </c>
      <c r="G171" s="88" t="s">
        <v>1102</v>
      </c>
      <c r="H171" s="82"/>
    </row>
    <row r="172" spans="1:8" x14ac:dyDescent="0.2">
      <c r="A172" s="85" t="s">
        <v>308</v>
      </c>
      <c r="B172" s="97" t="s">
        <v>1595</v>
      </c>
      <c r="C172" s="86" t="s">
        <v>1608</v>
      </c>
      <c r="D172" s="86" t="s">
        <v>1005</v>
      </c>
      <c r="E172" s="90" t="s">
        <v>158</v>
      </c>
      <c r="F172" s="88" t="s">
        <v>1644</v>
      </c>
      <c r="G172" s="88" t="s">
        <v>1102</v>
      </c>
      <c r="H172" s="82"/>
    </row>
    <row r="173" spans="1:8" x14ac:dyDescent="0.2">
      <c r="A173" s="85" t="s">
        <v>520</v>
      </c>
      <c r="B173" s="89" t="s">
        <v>1585</v>
      </c>
      <c r="C173" s="86" t="s">
        <v>1645</v>
      </c>
      <c r="D173" s="86" t="s">
        <v>1006</v>
      </c>
      <c r="E173" s="90" t="s">
        <v>133</v>
      </c>
      <c r="F173" s="88" t="s">
        <v>1610</v>
      </c>
      <c r="G173" s="98" t="s">
        <v>1203</v>
      </c>
      <c r="H173" s="82"/>
    </row>
    <row r="174" spans="1:8" x14ac:dyDescent="0.2">
      <c r="A174" s="85" t="s">
        <v>520</v>
      </c>
      <c r="B174" s="89" t="s">
        <v>1585</v>
      </c>
      <c r="C174" s="86" t="s">
        <v>1645</v>
      </c>
      <c r="D174" s="86" t="s">
        <v>1006</v>
      </c>
      <c r="E174" s="90" t="s">
        <v>1034</v>
      </c>
      <c r="F174" s="88" t="s">
        <v>1610</v>
      </c>
      <c r="G174" s="98" t="s">
        <v>1203</v>
      </c>
      <c r="H174" s="82"/>
    </row>
    <row r="175" spans="1:8" x14ac:dyDescent="0.2">
      <c r="A175" s="85" t="s">
        <v>520</v>
      </c>
      <c r="B175" s="89" t="s">
        <v>1585</v>
      </c>
      <c r="C175" s="86" t="s">
        <v>1645</v>
      </c>
      <c r="D175" s="86" t="s">
        <v>1006</v>
      </c>
      <c r="E175" s="90" t="s">
        <v>140</v>
      </c>
      <c r="F175" s="88" t="s">
        <v>1610</v>
      </c>
      <c r="G175" s="98" t="s">
        <v>1203</v>
      </c>
      <c r="H175" s="82"/>
    </row>
    <row r="176" spans="1:8" x14ac:dyDescent="0.2">
      <c r="A176" s="85" t="s">
        <v>520</v>
      </c>
      <c r="B176" s="89" t="s">
        <v>1585</v>
      </c>
      <c r="C176" s="86" t="s">
        <v>1645</v>
      </c>
      <c r="D176" s="86" t="s">
        <v>1006</v>
      </c>
      <c r="E176" s="90" t="s">
        <v>133</v>
      </c>
      <c r="F176" s="88" t="s">
        <v>1612</v>
      </c>
      <c r="G176" s="98" t="s">
        <v>1203</v>
      </c>
      <c r="H176" s="82"/>
    </row>
    <row r="177" spans="1:8" x14ac:dyDescent="0.2">
      <c r="A177" s="85" t="s">
        <v>520</v>
      </c>
      <c r="B177" s="89" t="s">
        <v>1585</v>
      </c>
      <c r="C177" s="86" t="s">
        <v>1645</v>
      </c>
      <c r="D177" s="86" t="s">
        <v>1006</v>
      </c>
      <c r="E177" s="90" t="s">
        <v>1034</v>
      </c>
      <c r="F177" s="88" t="s">
        <v>1612</v>
      </c>
      <c r="G177" s="98" t="s">
        <v>1203</v>
      </c>
      <c r="H177" s="82"/>
    </row>
    <row r="178" spans="1:8" x14ac:dyDescent="0.2">
      <c r="A178" s="85" t="s">
        <v>520</v>
      </c>
      <c r="B178" s="89" t="s">
        <v>1585</v>
      </c>
      <c r="C178" s="86" t="s">
        <v>1645</v>
      </c>
      <c r="D178" s="86" t="s">
        <v>1006</v>
      </c>
      <c r="E178" s="90" t="s">
        <v>140</v>
      </c>
      <c r="F178" s="88" t="s">
        <v>1612</v>
      </c>
      <c r="G178" s="98" t="s">
        <v>1203</v>
      </c>
      <c r="H178" s="82"/>
    </row>
    <row r="179" spans="1:8" x14ac:dyDescent="0.2">
      <c r="A179" s="85" t="s">
        <v>520</v>
      </c>
      <c r="B179" s="89" t="s">
        <v>1585</v>
      </c>
      <c r="C179" s="86" t="s">
        <v>1645</v>
      </c>
      <c r="D179" s="86" t="s">
        <v>1006</v>
      </c>
      <c r="E179" s="90" t="s">
        <v>133</v>
      </c>
      <c r="F179" s="88" t="s">
        <v>1613</v>
      </c>
      <c r="G179" s="98" t="s">
        <v>1204</v>
      </c>
      <c r="H179" s="82"/>
    </row>
    <row r="180" spans="1:8" x14ac:dyDescent="0.2">
      <c r="A180" s="85" t="s">
        <v>520</v>
      </c>
      <c r="B180" s="89" t="s">
        <v>1585</v>
      </c>
      <c r="C180" s="86" t="s">
        <v>1645</v>
      </c>
      <c r="D180" s="86" t="s">
        <v>1006</v>
      </c>
      <c r="E180" s="90" t="s">
        <v>1034</v>
      </c>
      <c r="F180" s="88" t="s">
        <v>1613</v>
      </c>
      <c r="G180" s="98" t="s">
        <v>1204</v>
      </c>
      <c r="H180" s="82"/>
    </row>
    <row r="181" spans="1:8" x14ac:dyDescent="0.2">
      <c r="A181" s="85" t="s">
        <v>520</v>
      </c>
      <c r="B181" s="89" t="s">
        <v>1585</v>
      </c>
      <c r="C181" s="86" t="s">
        <v>1645</v>
      </c>
      <c r="D181" s="86" t="s">
        <v>1006</v>
      </c>
      <c r="E181" s="90" t="s">
        <v>140</v>
      </c>
      <c r="F181" s="88" t="s">
        <v>1613</v>
      </c>
      <c r="G181" s="98" t="s">
        <v>1204</v>
      </c>
      <c r="H181" s="82"/>
    </row>
    <row r="182" spans="1:8" x14ac:dyDescent="0.2">
      <c r="A182" s="85" t="s">
        <v>520</v>
      </c>
      <c r="B182" s="89" t="s">
        <v>1585</v>
      </c>
      <c r="C182" s="86" t="s">
        <v>1645</v>
      </c>
      <c r="D182" s="86" t="s">
        <v>1006</v>
      </c>
      <c r="E182" s="90" t="s">
        <v>133</v>
      </c>
      <c r="F182" s="88" t="s">
        <v>1609</v>
      </c>
      <c r="G182" s="98" t="s">
        <v>1205</v>
      </c>
      <c r="H182" s="82"/>
    </row>
    <row r="183" spans="1:8" x14ac:dyDescent="0.2">
      <c r="A183" s="85" t="s">
        <v>520</v>
      </c>
      <c r="B183" s="89" t="s">
        <v>1585</v>
      </c>
      <c r="C183" s="86" t="s">
        <v>1645</v>
      </c>
      <c r="D183" s="86" t="s">
        <v>1006</v>
      </c>
      <c r="E183" s="90" t="s">
        <v>1034</v>
      </c>
      <c r="F183" s="88" t="s">
        <v>1609</v>
      </c>
      <c r="G183" s="98" t="s">
        <v>1205</v>
      </c>
      <c r="H183" s="82"/>
    </row>
    <row r="184" spans="1:8" x14ac:dyDescent="0.2">
      <c r="A184" s="85" t="s">
        <v>520</v>
      </c>
      <c r="B184" s="89" t="s">
        <v>1585</v>
      </c>
      <c r="C184" s="86" t="s">
        <v>1645</v>
      </c>
      <c r="D184" s="86" t="s">
        <v>1006</v>
      </c>
      <c r="E184" s="90" t="s">
        <v>140</v>
      </c>
      <c r="F184" s="88" t="s">
        <v>1609</v>
      </c>
      <c r="G184" s="98" t="s">
        <v>1205</v>
      </c>
      <c r="H184" s="82"/>
    </row>
    <row r="185" spans="1:8" x14ac:dyDescent="0.2">
      <c r="A185" s="85" t="s">
        <v>520</v>
      </c>
      <c r="B185" s="89" t="s">
        <v>1585</v>
      </c>
      <c r="C185" s="86" t="s">
        <v>1645</v>
      </c>
      <c r="D185" s="86" t="s">
        <v>1006</v>
      </c>
      <c r="E185" s="90" t="s">
        <v>133</v>
      </c>
      <c r="F185" s="88" t="s">
        <v>1634</v>
      </c>
      <c r="G185" s="98" t="s">
        <v>1199</v>
      </c>
      <c r="H185" s="82"/>
    </row>
    <row r="186" spans="1:8" x14ac:dyDescent="0.2">
      <c r="A186" s="85" t="s">
        <v>520</v>
      </c>
      <c r="B186" s="89" t="s">
        <v>1585</v>
      </c>
      <c r="C186" s="86" t="s">
        <v>1645</v>
      </c>
      <c r="D186" s="86" t="s">
        <v>1006</v>
      </c>
      <c r="E186" s="90" t="s">
        <v>1034</v>
      </c>
      <c r="F186" s="88" t="s">
        <v>1634</v>
      </c>
      <c r="G186" s="98" t="s">
        <v>1199</v>
      </c>
      <c r="H186" s="82"/>
    </row>
    <row r="187" spans="1:8" x14ac:dyDescent="0.2">
      <c r="A187" s="85" t="s">
        <v>520</v>
      </c>
      <c r="B187" s="89" t="s">
        <v>1585</v>
      </c>
      <c r="C187" s="86" t="s">
        <v>1645</v>
      </c>
      <c r="D187" s="86" t="s">
        <v>1006</v>
      </c>
      <c r="E187" s="90" t="s">
        <v>133</v>
      </c>
      <c r="F187" s="88" t="s">
        <v>1632</v>
      </c>
      <c r="G187" s="98" t="s">
        <v>1200</v>
      </c>
      <c r="H187" s="82"/>
    </row>
    <row r="188" spans="1:8" x14ac:dyDescent="0.2">
      <c r="A188" s="85" t="s">
        <v>520</v>
      </c>
      <c r="B188" s="89" t="s">
        <v>1585</v>
      </c>
      <c r="C188" s="86" t="s">
        <v>1645</v>
      </c>
      <c r="D188" s="86" t="s">
        <v>1006</v>
      </c>
      <c r="E188" s="90" t="s">
        <v>1034</v>
      </c>
      <c r="F188" s="88" t="s">
        <v>1632</v>
      </c>
      <c r="G188" s="98" t="s">
        <v>1200</v>
      </c>
      <c r="H188" s="82"/>
    </row>
    <row r="189" spans="1:8" x14ac:dyDescent="0.2">
      <c r="A189" s="85" t="s">
        <v>520</v>
      </c>
      <c r="B189" s="89" t="s">
        <v>1585</v>
      </c>
      <c r="C189" s="86" t="s">
        <v>1645</v>
      </c>
      <c r="D189" s="86" t="s">
        <v>1006</v>
      </c>
      <c r="E189" s="90" t="s">
        <v>133</v>
      </c>
      <c r="F189" s="88" t="s">
        <v>1633</v>
      </c>
      <c r="G189" s="98" t="s">
        <v>1201</v>
      </c>
      <c r="H189" s="82"/>
    </row>
    <row r="190" spans="1:8" x14ac:dyDescent="0.2">
      <c r="A190" s="85" t="s">
        <v>520</v>
      </c>
      <c r="B190" s="89" t="s">
        <v>1585</v>
      </c>
      <c r="C190" s="86" t="s">
        <v>1645</v>
      </c>
      <c r="D190" s="86" t="s">
        <v>1006</v>
      </c>
      <c r="E190" s="90" t="s">
        <v>1034</v>
      </c>
      <c r="F190" s="88" t="s">
        <v>1633</v>
      </c>
      <c r="G190" s="98" t="s">
        <v>1201</v>
      </c>
      <c r="H190" s="82"/>
    </row>
    <row r="191" spans="1:8" ht="16" x14ac:dyDescent="0.2">
      <c r="A191" s="85" t="s">
        <v>520</v>
      </c>
      <c r="B191" s="89" t="s">
        <v>1585</v>
      </c>
      <c r="C191" s="86" t="s">
        <v>1645</v>
      </c>
      <c r="D191" s="86" t="s">
        <v>1006</v>
      </c>
      <c r="E191" s="90" t="s">
        <v>133</v>
      </c>
      <c r="F191" s="88" t="s">
        <v>1620</v>
      </c>
      <c r="G191" s="87" t="s">
        <v>1202</v>
      </c>
      <c r="H191" s="82"/>
    </row>
    <row r="192" spans="1:8" ht="16" x14ac:dyDescent="0.2">
      <c r="A192" s="85" t="s">
        <v>520</v>
      </c>
      <c r="B192" s="89" t="s">
        <v>1585</v>
      </c>
      <c r="C192" s="86" t="s">
        <v>1645</v>
      </c>
      <c r="D192" s="86" t="s">
        <v>1006</v>
      </c>
      <c r="E192" s="90" t="s">
        <v>1034</v>
      </c>
      <c r="F192" s="88" t="s">
        <v>1620</v>
      </c>
      <c r="G192" s="87" t="s">
        <v>1202</v>
      </c>
      <c r="H192" s="82"/>
    </row>
    <row r="193" spans="1:8" ht="16" x14ac:dyDescent="0.2">
      <c r="A193" s="85" t="s">
        <v>520</v>
      </c>
      <c r="B193" s="89" t="s">
        <v>1585</v>
      </c>
      <c r="C193" s="86" t="s">
        <v>1645</v>
      </c>
      <c r="D193" s="86" t="s">
        <v>1006</v>
      </c>
      <c r="E193" s="90" t="s">
        <v>140</v>
      </c>
      <c r="F193" s="88" t="s">
        <v>1620</v>
      </c>
      <c r="G193" s="87" t="s">
        <v>1202</v>
      </c>
      <c r="H193" s="82"/>
    </row>
    <row r="194" spans="1:8" ht="16" x14ac:dyDescent="0.2">
      <c r="A194" s="85" t="s">
        <v>520</v>
      </c>
      <c r="B194" s="89" t="s">
        <v>1585</v>
      </c>
      <c r="C194" s="86" t="s">
        <v>1645</v>
      </c>
      <c r="D194" s="86" t="s">
        <v>1006</v>
      </c>
      <c r="E194" s="90" t="s">
        <v>133</v>
      </c>
      <c r="F194" s="88" t="s">
        <v>1621</v>
      </c>
      <c r="G194" s="87" t="s">
        <v>1202</v>
      </c>
      <c r="H194" s="82"/>
    </row>
    <row r="195" spans="1:8" ht="16" x14ac:dyDescent="0.2">
      <c r="A195" s="85" t="s">
        <v>520</v>
      </c>
      <c r="B195" s="89" t="s">
        <v>1585</v>
      </c>
      <c r="C195" s="86" t="s">
        <v>1645</v>
      </c>
      <c r="D195" s="86" t="s">
        <v>1006</v>
      </c>
      <c r="E195" s="90" t="s">
        <v>1034</v>
      </c>
      <c r="F195" s="88" t="s">
        <v>1621</v>
      </c>
      <c r="G195" s="87" t="s">
        <v>1202</v>
      </c>
      <c r="H195" s="82"/>
    </row>
    <row r="196" spans="1:8" ht="16" x14ac:dyDescent="0.2">
      <c r="A196" s="85" t="s">
        <v>520</v>
      </c>
      <c r="B196" s="89" t="s">
        <v>1585</v>
      </c>
      <c r="C196" s="86" t="s">
        <v>1645</v>
      </c>
      <c r="D196" s="86" t="s">
        <v>1006</v>
      </c>
      <c r="E196" s="90" t="s">
        <v>140</v>
      </c>
      <c r="F196" s="88" t="s">
        <v>1621</v>
      </c>
      <c r="G196" s="87" t="s">
        <v>1202</v>
      </c>
      <c r="H196" s="82"/>
    </row>
    <row r="197" spans="1:8" ht="16" x14ac:dyDescent="0.2">
      <c r="A197" s="85" t="s">
        <v>520</v>
      </c>
      <c r="B197" s="89" t="s">
        <v>1585</v>
      </c>
      <c r="C197" s="86" t="s">
        <v>1645</v>
      </c>
      <c r="D197" s="86" t="s">
        <v>1006</v>
      </c>
      <c r="E197" s="90" t="s">
        <v>133</v>
      </c>
      <c r="F197" s="88" t="s">
        <v>1622</v>
      </c>
      <c r="G197" s="87" t="s">
        <v>1202</v>
      </c>
      <c r="H197" s="82"/>
    </row>
    <row r="198" spans="1:8" ht="16" x14ac:dyDescent="0.2">
      <c r="A198" s="85" t="s">
        <v>520</v>
      </c>
      <c r="B198" s="89" t="s">
        <v>1585</v>
      </c>
      <c r="C198" s="86" t="s">
        <v>1645</v>
      </c>
      <c r="D198" s="86" t="s">
        <v>1006</v>
      </c>
      <c r="E198" s="90" t="s">
        <v>1034</v>
      </c>
      <c r="F198" s="88" t="s">
        <v>1622</v>
      </c>
      <c r="G198" s="87" t="s">
        <v>1202</v>
      </c>
      <c r="H198" s="82"/>
    </row>
    <row r="199" spans="1:8" ht="16" x14ac:dyDescent="0.2">
      <c r="A199" s="85" t="s">
        <v>520</v>
      </c>
      <c r="B199" s="89" t="s">
        <v>1585</v>
      </c>
      <c r="C199" s="86" t="s">
        <v>1645</v>
      </c>
      <c r="D199" s="86" t="s">
        <v>1006</v>
      </c>
      <c r="E199" s="90" t="s">
        <v>140</v>
      </c>
      <c r="F199" s="88" t="s">
        <v>1622</v>
      </c>
      <c r="G199" s="87" t="s">
        <v>1202</v>
      </c>
      <c r="H199" s="82"/>
    </row>
    <row r="200" spans="1:8" ht="16" x14ac:dyDescent="0.2">
      <c r="A200" s="85" t="s">
        <v>520</v>
      </c>
      <c r="B200" s="89" t="s">
        <v>1585</v>
      </c>
      <c r="C200" s="86" t="s">
        <v>1645</v>
      </c>
      <c r="D200" s="86" t="s">
        <v>1006</v>
      </c>
      <c r="E200" s="90" t="s">
        <v>133</v>
      </c>
      <c r="F200" s="88" t="s">
        <v>1624</v>
      </c>
      <c r="G200" s="87" t="s">
        <v>1202</v>
      </c>
      <c r="H200" s="82"/>
    </row>
    <row r="201" spans="1:8" ht="16" x14ac:dyDescent="0.2">
      <c r="A201" s="85" t="s">
        <v>520</v>
      </c>
      <c r="B201" s="89" t="s">
        <v>1585</v>
      </c>
      <c r="C201" s="86" t="s">
        <v>1645</v>
      </c>
      <c r="D201" s="86" t="s">
        <v>1006</v>
      </c>
      <c r="E201" s="90" t="s">
        <v>1034</v>
      </c>
      <c r="F201" s="88" t="s">
        <v>1624</v>
      </c>
      <c r="G201" s="87" t="s">
        <v>1202</v>
      </c>
      <c r="H201" s="82"/>
    </row>
    <row r="202" spans="1:8" ht="16" x14ac:dyDescent="0.2">
      <c r="A202" s="85" t="s">
        <v>520</v>
      </c>
      <c r="B202" s="89" t="s">
        <v>1585</v>
      </c>
      <c r="C202" s="86" t="s">
        <v>1645</v>
      </c>
      <c r="D202" s="86" t="s">
        <v>1006</v>
      </c>
      <c r="E202" s="90" t="s">
        <v>140</v>
      </c>
      <c r="F202" s="88" t="s">
        <v>1624</v>
      </c>
      <c r="G202" s="87" t="s">
        <v>1202</v>
      </c>
      <c r="H202" s="82"/>
    </row>
    <row r="203" spans="1:8" ht="16" x14ac:dyDescent="0.2">
      <c r="A203" s="85" t="s">
        <v>342</v>
      </c>
      <c r="B203" s="97" t="s">
        <v>136</v>
      </c>
      <c r="C203" s="86" t="s">
        <v>1646</v>
      </c>
      <c r="D203" s="86" t="s">
        <v>1015</v>
      </c>
      <c r="E203" s="90" t="s">
        <v>133</v>
      </c>
      <c r="F203" s="88" t="s">
        <v>342</v>
      </c>
      <c r="G203" s="87" t="s">
        <v>579</v>
      </c>
      <c r="H203" s="82"/>
    </row>
    <row r="204" spans="1:8" ht="16" x14ac:dyDescent="0.2">
      <c r="A204" s="85" t="s">
        <v>342</v>
      </c>
      <c r="B204" s="97" t="s">
        <v>1647</v>
      </c>
      <c r="C204" s="86" t="s">
        <v>1646</v>
      </c>
      <c r="D204" s="86" t="s">
        <v>1015</v>
      </c>
      <c r="E204" s="90" t="s">
        <v>133</v>
      </c>
      <c r="F204" s="88" t="s">
        <v>342</v>
      </c>
      <c r="G204" s="87" t="s">
        <v>581</v>
      </c>
      <c r="H204" s="82"/>
    </row>
    <row r="205" spans="1:8" ht="16" x14ac:dyDescent="0.2">
      <c r="A205" s="85" t="s">
        <v>342</v>
      </c>
      <c r="B205" s="97" t="s">
        <v>1648</v>
      </c>
      <c r="C205" s="86" t="s">
        <v>1646</v>
      </c>
      <c r="D205" s="86" t="s">
        <v>1015</v>
      </c>
      <c r="E205" s="90" t="s">
        <v>133</v>
      </c>
      <c r="F205" s="88" t="s">
        <v>342</v>
      </c>
      <c r="G205" s="87" t="s">
        <v>583</v>
      </c>
      <c r="H205" s="82"/>
    </row>
    <row r="206" spans="1:8" ht="16" x14ac:dyDescent="0.2">
      <c r="A206" s="85" t="s">
        <v>342</v>
      </c>
      <c r="B206" s="97" t="s">
        <v>1647</v>
      </c>
      <c r="C206" s="86" t="s">
        <v>1646</v>
      </c>
      <c r="D206" s="86" t="s">
        <v>1015</v>
      </c>
      <c r="E206" s="90" t="s">
        <v>133</v>
      </c>
      <c r="F206" s="88" t="s">
        <v>1649</v>
      </c>
      <c r="G206" s="87" t="s">
        <v>585</v>
      </c>
      <c r="H206" s="82"/>
    </row>
    <row r="207" spans="1:8" ht="16" x14ac:dyDescent="0.2">
      <c r="A207" s="85" t="s">
        <v>342</v>
      </c>
      <c r="B207" s="97" t="s">
        <v>1648</v>
      </c>
      <c r="C207" s="86" t="s">
        <v>1646</v>
      </c>
      <c r="D207" s="86" t="s">
        <v>1015</v>
      </c>
      <c r="E207" s="90" t="s">
        <v>133</v>
      </c>
      <c r="F207" s="88" t="s">
        <v>1649</v>
      </c>
      <c r="G207" s="87" t="s">
        <v>587</v>
      </c>
      <c r="H207" s="82"/>
    </row>
    <row r="208" spans="1:8" ht="16" x14ac:dyDescent="0.2">
      <c r="A208" s="85" t="s">
        <v>347</v>
      </c>
      <c r="B208" s="89" t="s">
        <v>1585</v>
      </c>
      <c r="C208" s="86" t="s">
        <v>1650</v>
      </c>
      <c r="D208" s="86" t="s">
        <v>1017</v>
      </c>
      <c r="E208" s="90" t="s">
        <v>133</v>
      </c>
      <c r="F208" s="88" t="s">
        <v>347</v>
      </c>
      <c r="G208" s="87" t="s">
        <v>1250</v>
      </c>
      <c r="H208" s="82"/>
    </row>
    <row r="209" spans="1:8" ht="16" x14ac:dyDescent="0.2">
      <c r="A209" s="85" t="s">
        <v>347</v>
      </c>
      <c r="B209" s="89" t="s">
        <v>1585</v>
      </c>
      <c r="C209" s="86" t="s">
        <v>1650</v>
      </c>
      <c r="D209" s="86" t="s">
        <v>1017</v>
      </c>
      <c r="E209" s="90" t="s">
        <v>1034</v>
      </c>
      <c r="F209" s="88" t="s">
        <v>347</v>
      </c>
      <c r="G209" s="87" t="s">
        <v>1250</v>
      </c>
      <c r="H209" s="82"/>
    </row>
    <row r="210" spans="1:8" ht="16" x14ac:dyDescent="0.2">
      <c r="A210" s="85" t="s">
        <v>347</v>
      </c>
      <c r="B210" s="89" t="s">
        <v>1585</v>
      </c>
      <c r="C210" s="86" t="s">
        <v>1650</v>
      </c>
      <c r="D210" s="86" t="s">
        <v>1017</v>
      </c>
      <c r="E210" s="90" t="s">
        <v>133</v>
      </c>
      <c r="F210" s="88" t="s">
        <v>1651</v>
      </c>
      <c r="G210" s="87" t="s">
        <v>1253</v>
      </c>
      <c r="H210" s="82"/>
    </row>
    <row r="211" spans="1:8" ht="16" x14ac:dyDescent="0.2">
      <c r="A211" s="85" t="s">
        <v>347</v>
      </c>
      <c r="B211" s="89" t="s">
        <v>1585</v>
      </c>
      <c r="C211" s="86" t="s">
        <v>1650</v>
      </c>
      <c r="D211" s="86" t="s">
        <v>1017</v>
      </c>
      <c r="E211" s="90" t="s">
        <v>1034</v>
      </c>
      <c r="F211" s="88" t="s">
        <v>1651</v>
      </c>
      <c r="G211" s="87" t="s">
        <v>1253</v>
      </c>
      <c r="H211" s="82"/>
    </row>
    <row r="212" spans="1:8" x14ac:dyDescent="0.2">
      <c r="A212" s="85" t="s">
        <v>347</v>
      </c>
      <c r="B212" s="89" t="s">
        <v>1585</v>
      </c>
      <c r="C212" s="86" t="s">
        <v>1650</v>
      </c>
      <c r="D212" s="86" t="s">
        <v>1017</v>
      </c>
      <c r="E212" s="90" t="s">
        <v>133</v>
      </c>
      <c r="F212" s="88" t="s">
        <v>1652</v>
      </c>
      <c r="G212" s="88" t="s">
        <v>1252</v>
      </c>
      <c r="H212" s="82"/>
    </row>
    <row r="213" spans="1:8" x14ac:dyDescent="0.2">
      <c r="A213" s="85" t="s">
        <v>347</v>
      </c>
      <c r="B213" s="89" t="s">
        <v>1585</v>
      </c>
      <c r="C213" s="86" t="s">
        <v>1650</v>
      </c>
      <c r="D213" s="86" t="s">
        <v>1017</v>
      </c>
      <c r="E213" s="90" t="s">
        <v>1034</v>
      </c>
      <c r="F213" s="88" t="s">
        <v>1652</v>
      </c>
      <c r="G213" s="88" t="s">
        <v>1252</v>
      </c>
      <c r="H213" s="82"/>
    </row>
    <row r="214" spans="1:8" x14ac:dyDescent="0.2">
      <c r="A214" s="85" t="s">
        <v>347</v>
      </c>
      <c r="B214" s="89" t="s">
        <v>1585</v>
      </c>
      <c r="C214" s="86" t="s">
        <v>1650</v>
      </c>
      <c r="D214" s="86" t="s">
        <v>1017</v>
      </c>
      <c r="E214" s="90" t="s">
        <v>133</v>
      </c>
      <c r="F214" s="88" t="s">
        <v>1653</v>
      </c>
      <c r="G214" s="88" t="s">
        <v>1252</v>
      </c>
      <c r="H214" s="82"/>
    </row>
    <row r="215" spans="1:8" x14ac:dyDescent="0.2">
      <c r="A215" s="85" t="s">
        <v>347</v>
      </c>
      <c r="B215" s="89" t="s">
        <v>1585</v>
      </c>
      <c r="C215" s="86" t="s">
        <v>1650</v>
      </c>
      <c r="D215" s="86" t="s">
        <v>1017</v>
      </c>
      <c r="E215" s="90" t="s">
        <v>1034</v>
      </c>
      <c r="F215" s="88" t="s">
        <v>1653</v>
      </c>
      <c r="G215" s="88" t="s">
        <v>1252</v>
      </c>
      <c r="H215" s="82"/>
    </row>
    <row r="216" spans="1:8" x14ac:dyDescent="0.2">
      <c r="A216" s="85" t="s">
        <v>347</v>
      </c>
      <c r="B216" s="89" t="s">
        <v>1585</v>
      </c>
      <c r="C216" s="86" t="s">
        <v>1650</v>
      </c>
      <c r="D216" s="86" t="s">
        <v>1017</v>
      </c>
      <c r="E216" s="90" t="s">
        <v>133</v>
      </c>
      <c r="F216" s="88" t="s">
        <v>1654</v>
      </c>
      <c r="G216" s="88" t="s">
        <v>1252</v>
      </c>
      <c r="H216" s="82"/>
    </row>
    <row r="217" spans="1:8" x14ac:dyDescent="0.2">
      <c r="A217" s="85" t="s">
        <v>347</v>
      </c>
      <c r="B217" s="89" t="s">
        <v>1585</v>
      </c>
      <c r="C217" s="86" t="s">
        <v>1650</v>
      </c>
      <c r="D217" s="86" t="s">
        <v>1017</v>
      </c>
      <c r="E217" s="90" t="s">
        <v>1034</v>
      </c>
      <c r="F217" s="88" t="s">
        <v>1654</v>
      </c>
      <c r="G217" s="88" t="s">
        <v>1252</v>
      </c>
      <c r="H217" s="82"/>
    </row>
    <row r="218" spans="1:8" ht="16" x14ac:dyDescent="0.2">
      <c r="A218" s="85" t="s">
        <v>347</v>
      </c>
      <c r="B218" s="89" t="s">
        <v>1585</v>
      </c>
      <c r="C218" s="86" t="s">
        <v>1650</v>
      </c>
      <c r="D218" s="86" t="s">
        <v>1017</v>
      </c>
      <c r="E218" s="90" t="s">
        <v>133</v>
      </c>
      <c r="F218" s="88" t="s">
        <v>1655</v>
      </c>
      <c r="G218" s="87" t="s">
        <v>1251</v>
      </c>
      <c r="H218" s="82"/>
    </row>
    <row r="219" spans="1:8" ht="16" x14ac:dyDescent="0.2">
      <c r="A219" s="85" t="s">
        <v>347</v>
      </c>
      <c r="B219" s="89" t="s">
        <v>1585</v>
      </c>
      <c r="C219" s="86" t="s">
        <v>1650</v>
      </c>
      <c r="D219" s="86" t="s">
        <v>1017</v>
      </c>
      <c r="E219" s="90" t="s">
        <v>1034</v>
      </c>
      <c r="F219" s="88" t="s">
        <v>1655</v>
      </c>
      <c r="G219" s="87" t="s">
        <v>1251</v>
      </c>
      <c r="H219" s="82"/>
    </row>
    <row r="220" spans="1:8" ht="16" x14ac:dyDescent="0.2">
      <c r="A220" s="85" t="s">
        <v>347</v>
      </c>
      <c r="B220" s="89" t="s">
        <v>1585</v>
      </c>
      <c r="C220" s="86" t="s">
        <v>1650</v>
      </c>
      <c r="D220" s="86" t="s">
        <v>1017</v>
      </c>
      <c r="E220" s="90" t="s">
        <v>133</v>
      </c>
      <c r="F220" s="88" t="s">
        <v>1656</v>
      </c>
      <c r="G220" s="87" t="s">
        <v>1251</v>
      </c>
      <c r="H220" s="82"/>
    </row>
    <row r="221" spans="1:8" ht="16" x14ac:dyDescent="0.2">
      <c r="A221" s="85" t="s">
        <v>347</v>
      </c>
      <c r="B221" s="89" t="s">
        <v>1585</v>
      </c>
      <c r="C221" s="86" t="s">
        <v>1650</v>
      </c>
      <c r="D221" s="86" t="s">
        <v>1017</v>
      </c>
      <c r="E221" s="90" t="s">
        <v>1034</v>
      </c>
      <c r="F221" s="88" t="s">
        <v>1656</v>
      </c>
      <c r="G221" s="87" t="s">
        <v>1251</v>
      </c>
      <c r="H221" s="82"/>
    </row>
    <row r="222" spans="1:8" x14ac:dyDescent="0.2">
      <c r="A222" s="85" t="s">
        <v>347</v>
      </c>
      <c r="B222" s="89" t="s">
        <v>1585</v>
      </c>
      <c r="C222" s="86" t="s">
        <v>1650</v>
      </c>
      <c r="D222" s="86" t="s">
        <v>1017</v>
      </c>
      <c r="E222" s="90" t="s">
        <v>133</v>
      </c>
      <c r="F222" s="88" t="s">
        <v>1657</v>
      </c>
      <c r="G222" s="88" t="s">
        <v>1115</v>
      </c>
      <c r="H222" s="82"/>
    </row>
    <row r="223" spans="1:8" x14ac:dyDescent="0.2">
      <c r="A223" s="85" t="s">
        <v>347</v>
      </c>
      <c r="B223" s="89" t="s">
        <v>1585</v>
      </c>
      <c r="C223" s="86" t="s">
        <v>1650</v>
      </c>
      <c r="D223" s="86" t="s">
        <v>1017</v>
      </c>
      <c r="E223" s="90" t="s">
        <v>1034</v>
      </c>
      <c r="F223" s="88" t="s">
        <v>1657</v>
      </c>
      <c r="G223" s="88" t="s">
        <v>1115</v>
      </c>
      <c r="H223" s="82"/>
    </row>
    <row r="224" spans="1:8" ht="16" x14ac:dyDescent="0.2">
      <c r="A224" s="85" t="s">
        <v>428</v>
      </c>
      <c r="B224" s="89" t="s">
        <v>1585</v>
      </c>
      <c r="C224" s="86" t="s">
        <v>1650</v>
      </c>
      <c r="D224" s="86" t="s">
        <v>1017</v>
      </c>
      <c r="E224" s="90" t="s">
        <v>133</v>
      </c>
      <c r="F224" s="88" t="s">
        <v>428</v>
      </c>
      <c r="G224" s="87" t="s">
        <v>1254</v>
      </c>
      <c r="H224" s="82"/>
    </row>
    <row r="225" spans="1:8" ht="16" x14ac:dyDescent="0.2">
      <c r="A225" s="85" t="s">
        <v>428</v>
      </c>
      <c r="B225" s="89" t="s">
        <v>1585</v>
      </c>
      <c r="C225" s="86" t="s">
        <v>1650</v>
      </c>
      <c r="D225" s="86" t="s">
        <v>1017</v>
      </c>
      <c r="E225" s="90" t="s">
        <v>1034</v>
      </c>
      <c r="F225" s="88" t="s">
        <v>428</v>
      </c>
      <c r="G225" s="87" t="s">
        <v>1254</v>
      </c>
      <c r="H225" s="82"/>
    </row>
    <row r="226" spans="1:8" ht="16" x14ac:dyDescent="0.2">
      <c r="A226" s="85" t="s">
        <v>428</v>
      </c>
      <c r="B226" s="89" t="s">
        <v>1585</v>
      </c>
      <c r="C226" s="86" t="s">
        <v>1650</v>
      </c>
      <c r="D226" s="86" t="s">
        <v>1017</v>
      </c>
      <c r="E226" s="90" t="s">
        <v>133</v>
      </c>
      <c r="F226" s="88" t="s">
        <v>1658</v>
      </c>
      <c r="G226" s="87" t="s">
        <v>1255</v>
      </c>
      <c r="H226" s="82"/>
    </row>
    <row r="227" spans="1:8" ht="16" x14ac:dyDescent="0.2">
      <c r="A227" s="85" t="s">
        <v>428</v>
      </c>
      <c r="B227" s="89" t="s">
        <v>1585</v>
      </c>
      <c r="C227" s="86" t="s">
        <v>1650</v>
      </c>
      <c r="D227" s="86" t="s">
        <v>1017</v>
      </c>
      <c r="E227" s="90" t="s">
        <v>1034</v>
      </c>
      <c r="F227" s="88" t="s">
        <v>1658</v>
      </c>
      <c r="G227" s="87" t="s">
        <v>1255</v>
      </c>
      <c r="H227" s="82"/>
    </row>
    <row r="228" spans="1:8" ht="16" x14ac:dyDescent="0.2">
      <c r="A228" s="85" t="s">
        <v>520</v>
      </c>
      <c r="B228" s="89" t="s">
        <v>1585</v>
      </c>
      <c r="C228" s="86" t="s">
        <v>1659</v>
      </c>
      <c r="D228" s="86" t="s">
        <v>1007</v>
      </c>
      <c r="E228" s="90" t="s">
        <v>133</v>
      </c>
      <c r="F228" s="88" t="s">
        <v>1660</v>
      </c>
      <c r="G228" s="87" t="s">
        <v>1220</v>
      </c>
      <c r="H228" s="82"/>
    </row>
    <row r="229" spans="1:8" ht="16" x14ac:dyDescent="0.2">
      <c r="A229" s="85" t="s">
        <v>520</v>
      </c>
      <c r="B229" s="89" t="s">
        <v>1585</v>
      </c>
      <c r="C229" s="86" t="s">
        <v>1659</v>
      </c>
      <c r="D229" s="86" t="s">
        <v>1007</v>
      </c>
      <c r="E229" s="90" t="s">
        <v>1034</v>
      </c>
      <c r="F229" s="88" t="s">
        <v>1660</v>
      </c>
      <c r="G229" s="87" t="s">
        <v>1220</v>
      </c>
      <c r="H229" s="82"/>
    </row>
    <row r="230" spans="1:8" ht="16" x14ac:dyDescent="0.2">
      <c r="A230" s="85" t="s">
        <v>520</v>
      </c>
      <c r="B230" s="89" t="s">
        <v>1585</v>
      </c>
      <c r="C230" s="86" t="s">
        <v>1659</v>
      </c>
      <c r="D230" s="86" t="s">
        <v>1007</v>
      </c>
      <c r="E230" s="90" t="s">
        <v>133</v>
      </c>
      <c r="F230" s="88" t="s">
        <v>1661</v>
      </c>
      <c r="G230" s="87" t="s">
        <v>1221</v>
      </c>
      <c r="H230" s="82"/>
    </row>
    <row r="231" spans="1:8" ht="16" x14ac:dyDescent="0.2">
      <c r="A231" s="85" t="s">
        <v>520</v>
      </c>
      <c r="B231" s="89" t="s">
        <v>1585</v>
      </c>
      <c r="C231" s="86" t="s">
        <v>1659</v>
      </c>
      <c r="D231" s="86" t="s">
        <v>1007</v>
      </c>
      <c r="E231" s="90" t="s">
        <v>1034</v>
      </c>
      <c r="F231" s="88" t="s">
        <v>1661</v>
      </c>
      <c r="G231" s="87" t="s">
        <v>1221</v>
      </c>
      <c r="H231" s="82"/>
    </row>
    <row r="232" spans="1:8" ht="16" x14ac:dyDescent="0.2">
      <c r="A232" s="85" t="s">
        <v>520</v>
      </c>
      <c r="B232" s="89" t="s">
        <v>1585</v>
      </c>
      <c r="C232" s="86" t="s">
        <v>1659</v>
      </c>
      <c r="D232" s="86" t="s">
        <v>1007</v>
      </c>
      <c r="E232" s="90" t="s">
        <v>133</v>
      </c>
      <c r="F232" s="88" t="s">
        <v>1610</v>
      </c>
      <c r="G232" s="87" t="s">
        <v>1223</v>
      </c>
      <c r="H232" s="82"/>
    </row>
    <row r="233" spans="1:8" ht="16" x14ac:dyDescent="0.2">
      <c r="A233" s="85" t="s">
        <v>520</v>
      </c>
      <c r="B233" s="89" t="s">
        <v>1585</v>
      </c>
      <c r="C233" s="86" t="s">
        <v>1659</v>
      </c>
      <c r="D233" s="86" t="s">
        <v>1007</v>
      </c>
      <c r="E233" s="90" t="s">
        <v>1034</v>
      </c>
      <c r="F233" s="88" t="s">
        <v>1610</v>
      </c>
      <c r="G233" s="87" t="s">
        <v>1223</v>
      </c>
      <c r="H233" s="82"/>
    </row>
    <row r="234" spans="1:8" ht="16" x14ac:dyDescent="0.2">
      <c r="A234" s="85" t="s">
        <v>520</v>
      </c>
      <c r="B234" s="89" t="s">
        <v>1585</v>
      </c>
      <c r="C234" s="86" t="s">
        <v>1659</v>
      </c>
      <c r="D234" s="86" t="s">
        <v>1007</v>
      </c>
      <c r="E234" s="90" t="s">
        <v>133</v>
      </c>
      <c r="F234" s="88" t="s">
        <v>1611</v>
      </c>
      <c r="G234" s="87" t="s">
        <v>1223</v>
      </c>
      <c r="H234" s="82"/>
    </row>
    <row r="235" spans="1:8" ht="16" x14ac:dyDescent="0.2">
      <c r="A235" s="85" t="s">
        <v>520</v>
      </c>
      <c r="B235" s="89" t="s">
        <v>1585</v>
      </c>
      <c r="C235" s="86" t="s">
        <v>1659</v>
      </c>
      <c r="D235" s="86" t="s">
        <v>1007</v>
      </c>
      <c r="E235" s="90" t="s">
        <v>1034</v>
      </c>
      <c r="F235" s="88" t="s">
        <v>1611</v>
      </c>
      <c r="G235" s="87" t="s">
        <v>1223</v>
      </c>
      <c r="H235" s="82"/>
    </row>
    <row r="236" spans="1:8" ht="16" x14ac:dyDescent="0.2">
      <c r="A236" s="85" t="s">
        <v>520</v>
      </c>
      <c r="B236" s="89" t="s">
        <v>1585</v>
      </c>
      <c r="C236" s="86" t="s">
        <v>1659</v>
      </c>
      <c r="D236" s="86" t="s">
        <v>1007</v>
      </c>
      <c r="E236" s="90" t="s">
        <v>133</v>
      </c>
      <c r="F236" s="88" t="s">
        <v>1612</v>
      </c>
      <c r="G236" s="87" t="s">
        <v>1223</v>
      </c>
      <c r="H236" s="82"/>
    </row>
    <row r="237" spans="1:8" ht="16" x14ac:dyDescent="0.2">
      <c r="A237" s="85" t="s">
        <v>520</v>
      </c>
      <c r="B237" s="89" t="s">
        <v>1585</v>
      </c>
      <c r="C237" s="86" t="s">
        <v>1659</v>
      </c>
      <c r="D237" s="86" t="s">
        <v>1007</v>
      </c>
      <c r="E237" s="90" t="s">
        <v>1034</v>
      </c>
      <c r="F237" s="88" t="s">
        <v>1612</v>
      </c>
      <c r="G237" s="87" t="s">
        <v>1223</v>
      </c>
      <c r="H237" s="82"/>
    </row>
    <row r="238" spans="1:8" ht="16" x14ac:dyDescent="0.2">
      <c r="A238" s="85" t="s">
        <v>520</v>
      </c>
      <c r="B238" s="89" t="s">
        <v>1585</v>
      </c>
      <c r="C238" s="86" t="s">
        <v>1659</v>
      </c>
      <c r="D238" s="86" t="s">
        <v>1007</v>
      </c>
      <c r="E238" s="90" t="s">
        <v>133</v>
      </c>
      <c r="F238" s="88" t="s">
        <v>1662</v>
      </c>
      <c r="G238" s="87" t="s">
        <v>1223</v>
      </c>
      <c r="H238" s="82"/>
    </row>
    <row r="239" spans="1:8" ht="16" x14ac:dyDescent="0.2">
      <c r="A239" s="85" t="s">
        <v>520</v>
      </c>
      <c r="B239" s="89" t="s">
        <v>1585</v>
      </c>
      <c r="C239" s="86" t="s">
        <v>1659</v>
      </c>
      <c r="D239" s="86" t="s">
        <v>1007</v>
      </c>
      <c r="E239" s="90" t="s">
        <v>1034</v>
      </c>
      <c r="F239" s="88" t="s">
        <v>1662</v>
      </c>
      <c r="G239" s="87" t="s">
        <v>1223</v>
      </c>
      <c r="H239" s="82"/>
    </row>
    <row r="240" spans="1:8" ht="16" x14ac:dyDescent="0.2">
      <c r="A240" s="92" t="s">
        <v>520</v>
      </c>
      <c r="B240" s="95" t="s">
        <v>1585</v>
      </c>
      <c r="C240" s="86" t="s">
        <v>1659</v>
      </c>
      <c r="D240" s="86" t="s">
        <v>1007</v>
      </c>
      <c r="E240" s="96" t="s">
        <v>133</v>
      </c>
      <c r="F240" s="94" t="s">
        <v>1663</v>
      </c>
      <c r="G240" s="93" t="s">
        <v>1227</v>
      </c>
      <c r="H240" s="82"/>
    </row>
    <row r="241" spans="1:8" ht="16" x14ac:dyDescent="0.2">
      <c r="A241" s="92" t="s">
        <v>520</v>
      </c>
      <c r="B241" s="95" t="s">
        <v>1585</v>
      </c>
      <c r="C241" s="86" t="s">
        <v>1659</v>
      </c>
      <c r="D241" s="86" t="s">
        <v>1007</v>
      </c>
      <c r="E241" s="96" t="s">
        <v>1034</v>
      </c>
      <c r="F241" s="94" t="s">
        <v>1663</v>
      </c>
      <c r="G241" s="93" t="s">
        <v>1227</v>
      </c>
      <c r="H241" s="82"/>
    </row>
    <row r="242" spans="1:8" ht="16" x14ac:dyDescent="0.2">
      <c r="A242" s="85" t="s">
        <v>520</v>
      </c>
      <c r="B242" s="89" t="s">
        <v>1585</v>
      </c>
      <c r="C242" s="86" t="s">
        <v>1659</v>
      </c>
      <c r="D242" s="86" t="s">
        <v>1007</v>
      </c>
      <c r="E242" s="90" t="s">
        <v>133</v>
      </c>
      <c r="F242" s="88" t="s">
        <v>1664</v>
      </c>
      <c r="G242" s="87" t="s">
        <v>1225</v>
      </c>
      <c r="H242" s="82"/>
    </row>
    <row r="243" spans="1:8" ht="16" x14ac:dyDescent="0.2">
      <c r="A243" s="85" t="s">
        <v>520</v>
      </c>
      <c r="B243" s="89" t="s">
        <v>1585</v>
      </c>
      <c r="C243" s="86" t="s">
        <v>1659</v>
      </c>
      <c r="D243" s="86" t="s">
        <v>1007</v>
      </c>
      <c r="E243" s="90" t="s">
        <v>1034</v>
      </c>
      <c r="F243" s="88" t="s">
        <v>1664</v>
      </c>
      <c r="G243" s="87" t="s">
        <v>1225</v>
      </c>
      <c r="H243" s="82"/>
    </row>
    <row r="244" spans="1:8" ht="16" x14ac:dyDescent="0.2">
      <c r="A244" s="85" t="s">
        <v>520</v>
      </c>
      <c r="B244" s="89" t="s">
        <v>1585</v>
      </c>
      <c r="C244" s="86" t="s">
        <v>1659</v>
      </c>
      <c r="D244" s="86" t="s">
        <v>1007</v>
      </c>
      <c r="E244" s="90" t="s">
        <v>133</v>
      </c>
      <c r="F244" s="88" t="s">
        <v>1613</v>
      </c>
      <c r="G244" s="87" t="s">
        <v>1229</v>
      </c>
      <c r="H244" s="82"/>
    </row>
    <row r="245" spans="1:8" ht="16" x14ac:dyDescent="0.2">
      <c r="A245" s="85" t="s">
        <v>520</v>
      </c>
      <c r="B245" s="89" t="s">
        <v>1585</v>
      </c>
      <c r="C245" s="86" t="s">
        <v>1659</v>
      </c>
      <c r="D245" s="86" t="s">
        <v>1007</v>
      </c>
      <c r="E245" s="90" t="s">
        <v>1034</v>
      </c>
      <c r="F245" s="88" t="s">
        <v>1613</v>
      </c>
      <c r="G245" s="87" t="s">
        <v>1229</v>
      </c>
      <c r="H245" s="82"/>
    </row>
    <row r="246" spans="1:8" ht="16" x14ac:dyDescent="0.2">
      <c r="A246" s="85" t="s">
        <v>520</v>
      </c>
      <c r="B246" s="89" t="s">
        <v>1585</v>
      </c>
      <c r="C246" s="86" t="s">
        <v>1659</v>
      </c>
      <c r="D246" s="86" t="s">
        <v>1007</v>
      </c>
      <c r="E246" s="90" t="s">
        <v>133</v>
      </c>
      <c r="F246" s="88" t="s">
        <v>1609</v>
      </c>
      <c r="G246" s="87" t="s">
        <v>1231</v>
      </c>
      <c r="H246" s="82"/>
    </row>
    <row r="247" spans="1:8" ht="16" x14ac:dyDescent="0.2">
      <c r="A247" s="85" t="s">
        <v>520</v>
      </c>
      <c r="B247" s="89" t="s">
        <v>1585</v>
      </c>
      <c r="C247" s="86" t="s">
        <v>1659</v>
      </c>
      <c r="D247" s="86" t="s">
        <v>1007</v>
      </c>
      <c r="E247" s="90" t="s">
        <v>1034</v>
      </c>
      <c r="F247" s="88" t="s">
        <v>1609</v>
      </c>
      <c r="G247" s="87" t="s">
        <v>1231</v>
      </c>
      <c r="H247" s="82"/>
    </row>
    <row r="248" spans="1:8" ht="16" x14ac:dyDescent="0.2">
      <c r="A248" s="85" t="s">
        <v>520</v>
      </c>
      <c r="B248" s="89" t="s">
        <v>1585</v>
      </c>
      <c r="C248" s="86" t="s">
        <v>1659</v>
      </c>
      <c r="D248" s="86" t="s">
        <v>1007</v>
      </c>
      <c r="E248" s="90" t="s">
        <v>133</v>
      </c>
      <c r="F248" s="88" t="s">
        <v>1665</v>
      </c>
      <c r="G248" s="87" t="s">
        <v>1228</v>
      </c>
      <c r="H248" s="82"/>
    </row>
    <row r="249" spans="1:8" ht="16" x14ac:dyDescent="0.2">
      <c r="A249" s="85" t="s">
        <v>520</v>
      </c>
      <c r="B249" s="89" t="s">
        <v>1585</v>
      </c>
      <c r="C249" s="86" t="s">
        <v>1659</v>
      </c>
      <c r="D249" s="86" t="s">
        <v>1007</v>
      </c>
      <c r="E249" s="90" t="s">
        <v>1034</v>
      </c>
      <c r="F249" s="88" t="s">
        <v>1665</v>
      </c>
      <c r="G249" s="87" t="s">
        <v>1228</v>
      </c>
      <c r="H249" s="82"/>
    </row>
    <row r="250" spans="1:8" ht="16" x14ac:dyDescent="0.2">
      <c r="A250" s="85" t="s">
        <v>520</v>
      </c>
      <c r="B250" s="89" t="s">
        <v>1585</v>
      </c>
      <c r="C250" s="86" t="s">
        <v>1659</v>
      </c>
      <c r="D250" s="86" t="s">
        <v>1007</v>
      </c>
      <c r="E250" s="90" t="s">
        <v>133</v>
      </c>
      <c r="F250" s="88" t="s">
        <v>1666</v>
      </c>
      <c r="G250" s="87" t="s">
        <v>1230</v>
      </c>
      <c r="H250" s="82"/>
    </row>
    <row r="251" spans="1:8" ht="16" x14ac:dyDescent="0.2">
      <c r="A251" s="85" t="s">
        <v>520</v>
      </c>
      <c r="B251" s="89" t="s">
        <v>1585</v>
      </c>
      <c r="C251" s="86" t="s">
        <v>1659</v>
      </c>
      <c r="D251" s="86" t="s">
        <v>1007</v>
      </c>
      <c r="E251" s="90" t="s">
        <v>1034</v>
      </c>
      <c r="F251" s="88" t="s">
        <v>1666</v>
      </c>
      <c r="G251" s="87" t="s">
        <v>1230</v>
      </c>
      <c r="H251" s="82"/>
    </row>
    <row r="252" spans="1:8" x14ac:dyDescent="0.2">
      <c r="A252" s="85" t="s">
        <v>520</v>
      </c>
      <c r="B252" s="89" t="s">
        <v>1585</v>
      </c>
      <c r="C252" s="86" t="s">
        <v>1659</v>
      </c>
      <c r="D252" s="86" t="s">
        <v>1007</v>
      </c>
      <c r="E252" s="90" t="s">
        <v>140</v>
      </c>
      <c r="F252" s="88" t="s">
        <v>1661</v>
      </c>
      <c r="G252" s="88" t="s">
        <v>1222</v>
      </c>
      <c r="H252" s="82"/>
    </row>
    <row r="253" spans="1:8" x14ac:dyDescent="0.2">
      <c r="A253" s="85" t="s">
        <v>520</v>
      </c>
      <c r="B253" s="89" t="s">
        <v>1585</v>
      </c>
      <c r="C253" s="86" t="s">
        <v>1659</v>
      </c>
      <c r="D253" s="86" t="s">
        <v>1007</v>
      </c>
      <c r="E253" s="90" t="s">
        <v>133</v>
      </c>
      <c r="F253" s="88" t="s">
        <v>1614</v>
      </c>
      <c r="G253" s="88" t="s">
        <v>1224</v>
      </c>
      <c r="H253" s="82"/>
    </row>
    <row r="254" spans="1:8" x14ac:dyDescent="0.2">
      <c r="A254" s="85" t="s">
        <v>520</v>
      </c>
      <c r="B254" s="89" t="s">
        <v>1585</v>
      </c>
      <c r="C254" s="86" t="s">
        <v>1659</v>
      </c>
      <c r="D254" s="86" t="s">
        <v>1007</v>
      </c>
      <c r="E254" s="90" t="s">
        <v>1034</v>
      </c>
      <c r="F254" s="88" t="s">
        <v>1614</v>
      </c>
      <c r="G254" s="88" t="s">
        <v>1224</v>
      </c>
      <c r="H254" s="82"/>
    </row>
    <row r="255" spans="1:8" x14ac:dyDescent="0.2">
      <c r="A255" s="85" t="s">
        <v>520</v>
      </c>
      <c r="B255" s="89" t="s">
        <v>1585</v>
      </c>
      <c r="C255" s="86" t="s">
        <v>1659</v>
      </c>
      <c r="D255" s="86" t="s">
        <v>1007</v>
      </c>
      <c r="E255" s="90" t="s">
        <v>133</v>
      </c>
      <c r="F255" s="88" t="s">
        <v>1615</v>
      </c>
      <c r="G255" s="88" t="s">
        <v>1224</v>
      </c>
      <c r="H255" s="82"/>
    </row>
    <row r="256" spans="1:8" x14ac:dyDescent="0.2">
      <c r="A256" s="85" t="s">
        <v>520</v>
      </c>
      <c r="B256" s="89" t="s">
        <v>1585</v>
      </c>
      <c r="C256" s="86" t="s">
        <v>1659</v>
      </c>
      <c r="D256" s="86" t="s">
        <v>1007</v>
      </c>
      <c r="E256" s="90" t="s">
        <v>1034</v>
      </c>
      <c r="F256" s="88" t="s">
        <v>1615</v>
      </c>
      <c r="G256" s="88" t="s">
        <v>1224</v>
      </c>
      <c r="H256" s="82"/>
    </row>
    <row r="257" spans="1:8" x14ac:dyDescent="0.2">
      <c r="A257" s="85" t="s">
        <v>520</v>
      </c>
      <c r="B257" s="89" t="s">
        <v>1585</v>
      </c>
      <c r="C257" s="86" t="s">
        <v>1659</v>
      </c>
      <c r="D257" s="86" t="s">
        <v>1007</v>
      </c>
      <c r="E257" s="90" t="s">
        <v>133</v>
      </c>
      <c r="F257" s="88" t="s">
        <v>1667</v>
      </c>
      <c r="G257" s="88" t="s">
        <v>1224</v>
      </c>
      <c r="H257" s="82"/>
    </row>
    <row r="258" spans="1:8" x14ac:dyDescent="0.2">
      <c r="A258" s="85" t="s">
        <v>520</v>
      </c>
      <c r="B258" s="89" t="s">
        <v>1585</v>
      </c>
      <c r="C258" s="86" t="s">
        <v>1659</v>
      </c>
      <c r="D258" s="86" t="s">
        <v>1007</v>
      </c>
      <c r="E258" s="90" t="s">
        <v>1034</v>
      </c>
      <c r="F258" s="88" t="s">
        <v>1667</v>
      </c>
      <c r="G258" s="88" t="s">
        <v>1224</v>
      </c>
      <c r="H258" s="82"/>
    </row>
    <row r="259" spans="1:8" x14ac:dyDescent="0.2">
      <c r="A259" s="85" t="s">
        <v>520</v>
      </c>
      <c r="B259" s="89" t="s">
        <v>1585</v>
      </c>
      <c r="C259" s="86" t="s">
        <v>1659</v>
      </c>
      <c r="D259" s="86" t="s">
        <v>1007</v>
      </c>
      <c r="E259" s="90" t="s">
        <v>133</v>
      </c>
      <c r="F259" s="88" t="s">
        <v>1668</v>
      </c>
      <c r="G259" s="88" t="s">
        <v>1224</v>
      </c>
      <c r="H259" s="82"/>
    </row>
    <row r="260" spans="1:8" x14ac:dyDescent="0.2">
      <c r="A260" s="85" t="s">
        <v>520</v>
      </c>
      <c r="B260" s="89" t="s">
        <v>1585</v>
      </c>
      <c r="C260" s="86" t="s">
        <v>1659</v>
      </c>
      <c r="D260" s="86" t="s">
        <v>1007</v>
      </c>
      <c r="E260" s="90" t="s">
        <v>1034</v>
      </c>
      <c r="F260" s="88" t="s">
        <v>1668</v>
      </c>
      <c r="G260" s="88" t="s">
        <v>1224</v>
      </c>
      <c r="H260" s="82"/>
    </row>
    <row r="261" spans="1:8" x14ac:dyDescent="0.2">
      <c r="A261" s="85" t="s">
        <v>520</v>
      </c>
      <c r="B261" s="89" t="s">
        <v>1585</v>
      </c>
      <c r="C261" s="86" t="s">
        <v>1659</v>
      </c>
      <c r="D261" s="86" t="s">
        <v>1007</v>
      </c>
      <c r="E261" s="90" t="s">
        <v>133</v>
      </c>
      <c r="F261" s="88" t="s">
        <v>1669</v>
      </c>
      <c r="G261" s="88" t="s">
        <v>1224</v>
      </c>
      <c r="H261" s="82"/>
    </row>
    <row r="262" spans="1:8" x14ac:dyDescent="0.2">
      <c r="A262" s="85" t="s">
        <v>520</v>
      </c>
      <c r="B262" s="89" t="s">
        <v>1585</v>
      </c>
      <c r="C262" s="86" t="s">
        <v>1659</v>
      </c>
      <c r="D262" s="86" t="s">
        <v>1007</v>
      </c>
      <c r="E262" s="90" t="s">
        <v>1034</v>
      </c>
      <c r="F262" s="88" t="s">
        <v>1669</v>
      </c>
      <c r="G262" s="88" t="s">
        <v>1224</v>
      </c>
      <c r="H262" s="82"/>
    </row>
    <row r="263" spans="1:8" x14ac:dyDescent="0.2">
      <c r="A263" s="85" t="s">
        <v>520</v>
      </c>
      <c r="B263" s="89" t="s">
        <v>1585</v>
      </c>
      <c r="C263" s="86" t="s">
        <v>1659</v>
      </c>
      <c r="D263" s="86" t="s">
        <v>1007</v>
      </c>
      <c r="E263" s="90" t="s">
        <v>133</v>
      </c>
      <c r="F263" s="88" t="s">
        <v>1670</v>
      </c>
      <c r="G263" s="88" t="s">
        <v>1224</v>
      </c>
      <c r="H263" s="82"/>
    </row>
    <row r="264" spans="1:8" x14ac:dyDescent="0.2">
      <c r="A264" s="85" t="s">
        <v>520</v>
      </c>
      <c r="B264" s="89" t="s">
        <v>1585</v>
      </c>
      <c r="C264" s="86" t="s">
        <v>1659</v>
      </c>
      <c r="D264" s="86" t="s">
        <v>1007</v>
      </c>
      <c r="E264" s="90" t="s">
        <v>1034</v>
      </c>
      <c r="F264" s="88" t="s">
        <v>1670</v>
      </c>
      <c r="G264" s="88" t="s">
        <v>1224</v>
      </c>
      <c r="H264" s="82"/>
    </row>
    <row r="265" spans="1:8" x14ac:dyDescent="0.2">
      <c r="A265" s="85" t="s">
        <v>520</v>
      </c>
      <c r="B265" s="89" t="s">
        <v>1585</v>
      </c>
      <c r="C265" s="86" t="s">
        <v>1659</v>
      </c>
      <c r="D265" s="86" t="s">
        <v>1007</v>
      </c>
      <c r="E265" s="90" t="s">
        <v>133</v>
      </c>
      <c r="F265" s="88" t="s">
        <v>1671</v>
      </c>
      <c r="G265" s="88" t="s">
        <v>1112</v>
      </c>
      <c r="H265" s="82"/>
    </row>
    <row r="266" spans="1:8" x14ac:dyDescent="0.2">
      <c r="A266" s="85" t="s">
        <v>520</v>
      </c>
      <c r="B266" s="89" t="s">
        <v>1585</v>
      </c>
      <c r="C266" s="86" t="s">
        <v>1659</v>
      </c>
      <c r="D266" s="86" t="s">
        <v>1007</v>
      </c>
      <c r="E266" s="90" t="s">
        <v>1034</v>
      </c>
      <c r="F266" s="88" t="s">
        <v>1671</v>
      </c>
      <c r="G266" s="88" t="s">
        <v>1112</v>
      </c>
      <c r="H266" s="82"/>
    </row>
    <row r="267" spans="1:8" x14ac:dyDescent="0.2">
      <c r="A267" s="85" t="s">
        <v>520</v>
      </c>
      <c r="B267" s="89" t="s">
        <v>1585</v>
      </c>
      <c r="C267" s="86" t="s">
        <v>1659</v>
      </c>
      <c r="D267" s="86" t="s">
        <v>1007</v>
      </c>
      <c r="E267" s="90" t="s">
        <v>133</v>
      </c>
      <c r="F267" s="88" t="s">
        <v>1672</v>
      </c>
      <c r="G267" s="88" t="s">
        <v>1208</v>
      </c>
      <c r="H267" s="82"/>
    </row>
    <row r="268" spans="1:8" x14ac:dyDescent="0.2">
      <c r="A268" s="85" t="s">
        <v>520</v>
      </c>
      <c r="B268" s="89" t="s">
        <v>1585</v>
      </c>
      <c r="C268" s="86" t="s">
        <v>1659</v>
      </c>
      <c r="D268" s="86" t="s">
        <v>1007</v>
      </c>
      <c r="E268" s="90" t="s">
        <v>1034</v>
      </c>
      <c r="F268" s="88" t="s">
        <v>1672</v>
      </c>
      <c r="G268" s="88" t="s">
        <v>1208</v>
      </c>
      <c r="H268" s="82"/>
    </row>
    <row r="269" spans="1:8" x14ac:dyDescent="0.2">
      <c r="A269" s="85" t="s">
        <v>520</v>
      </c>
      <c r="B269" s="89" t="s">
        <v>1585</v>
      </c>
      <c r="C269" s="86" t="s">
        <v>1659</v>
      </c>
      <c r="D269" s="86" t="s">
        <v>1007</v>
      </c>
      <c r="E269" s="90" t="s">
        <v>133</v>
      </c>
      <c r="F269" s="88" t="s">
        <v>1632</v>
      </c>
      <c r="G269" s="88" t="s">
        <v>1211</v>
      </c>
      <c r="H269" s="82"/>
    </row>
    <row r="270" spans="1:8" x14ac:dyDescent="0.2">
      <c r="A270" s="85" t="s">
        <v>520</v>
      </c>
      <c r="B270" s="89" t="s">
        <v>1585</v>
      </c>
      <c r="C270" s="86" t="s">
        <v>1659</v>
      </c>
      <c r="D270" s="86" t="s">
        <v>1007</v>
      </c>
      <c r="E270" s="90" t="s">
        <v>1034</v>
      </c>
      <c r="F270" s="88" t="s">
        <v>1632</v>
      </c>
      <c r="G270" s="88" t="s">
        <v>1211</v>
      </c>
      <c r="H270" s="82"/>
    </row>
    <row r="271" spans="1:8" x14ac:dyDescent="0.2">
      <c r="A271" s="85" t="s">
        <v>520</v>
      </c>
      <c r="B271" s="89" t="s">
        <v>1585</v>
      </c>
      <c r="C271" s="86" t="s">
        <v>1659</v>
      </c>
      <c r="D271" s="86" t="s">
        <v>1007</v>
      </c>
      <c r="E271" s="90" t="s">
        <v>1034</v>
      </c>
      <c r="F271" s="88" t="s">
        <v>1633</v>
      </c>
      <c r="G271" s="88" t="s">
        <v>1213</v>
      </c>
      <c r="H271" s="82"/>
    </row>
    <row r="272" spans="1:8" x14ac:dyDescent="0.2">
      <c r="A272" s="85" t="s">
        <v>520</v>
      </c>
      <c r="B272" s="89" t="s">
        <v>1585</v>
      </c>
      <c r="C272" s="86" t="s">
        <v>1659</v>
      </c>
      <c r="D272" s="86" t="s">
        <v>1007</v>
      </c>
      <c r="E272" s="90" t="s">
        <v>133</v>
      </c>
      <c r="F272" s="88" t="s">
        <v>1634</v>
      </c>
      <c r="G272" s="88" t="s">
        <v>1210</v>
      </c>
      <c r="H272" s="82"/>
    </row>
    <row r="273" spans="1:8" x14ac:dyDescent="0.2">
      <c r="A273" s="85" t="s">
        <v>520</v>
      </c>
      <c r="B273" s="89" t="s">
        <v>1585</v>
      </c>
      <c r="C273" s="86" t="s">
        <v>1659</v>
      </c>
      <c r="D273" s="86" t="s">
        <v>1007</v>
      </c>
      <c r="E273" s="90" t="s">
        <v>1034</v>
      </c>
      <c r="F273" s="88" t="s">
        <v>1634</v>
      </c>
      <c r="G273" s="88" t="s">
        <v>1210</v>
      </c>
      <c r="H273" s="82"/>
    </row>
    <row r="274" spans="1:8" x14ac:dyDescent="0.2">
      <c r="A274" s="85" t="s">
        <v>520</v>
      </c>
      <c r="B274" s="89" t="s">
        <v>1585</v>
      </c>
      <c r="C274" s="86" t="s">
        <v>1659</v>
      </c>
      <c r="D274" s="86" t="s">
        <v>1007</v>
      </c>
      <c r="E274" s="90" t="s">
        <v>133</v>
      </c>
      <c r="F274" s="88" t="s">
        <v>1673</v>
      </c>
      <c r="G274" s="88" t="s">
        <v>1210</v>
      </c>
      <c r="H274" s="82"/>
    </row>
    <row r="275" spans="1:8" x14ac:dyDescent="0.2">
      <c r="A275" s="85" t="s">
        <v>520</v>
      </c>
      <c r="B275" s="89" t="s">
        <v>1585</v>
      </c>
      <c r="C275" s="86" t="s">
        <v>1659</v>
      </c>
      <c r="D275" s="86" t="s">
        <v>1007</v>
      </c>
      <c r="E275" s="90" t="s">
        <v>1034</v>
      </c>
      <c r="F275" s="88" t="s">
        <v>1673</v>
      </c>
      <c r="G275" s="88" t="s">
        <v>1210</v>
      </c>
      <c r="H275" s="82"/>
    </row>
    <row r="276" spans="1:8" x14ac:dyDescent="0.2">
      <c r="A276" s="85" t="s">
        <v>520</v>
      </c>
      <c r="B276" s="89" t="s">
        <v>1585</v>
      </c>
      <c r="C276" s="86" t="s">
        <v>1659</v>
      </c>
      <c r="D276" s="86" t="s">
        <v>1007</v>
      </c>
      <c r="E276" s="90" t="s">
        <v>133</v>
      </c>
      <c r="F276" s="88" t="s">
        <v>1674</v>
      </c>
      <c r="G276" s="88" t="s">
        <v>1210</v>
      </c>
      <c r="H276" s="82"/>
    </row>
    <row r="277" spans="1:8" x14ac:dyDescent="0.2">
      <c r="A277" s="85" t="s">
        <v>520</v>
      </c>
      <c r="B277" s="89" t="s">
        <v>1585</v>
      </c>
      <c r="C277" s="86" t="s">
        <v>1659</v>
      </c>
      <c r="D277" s="86" t="s">
        <v>1007</v>
      </c>
      <c r="E277" s="90" t="s">
        <v>1034</v>
      </c>
      <c r="F277" s="88" t="s">
        <v>1674</v>
      </c>
      <c r="G277" s="88" t="s">
        <v>1210</v>
      </c>
      <c r="H277" s="82"/>
    </row>
    <row r="278" spans="1:8" x14ac:dyDescent="0.2">
      <c r="A278" s="85" t="s">
        <v>520</v>
      </c>
      <c r="B278" s="89" t="s">
        <v>1585</v>
      </c>
      <c r="C278" s="86" t="s">
        <v>1659</v>
      </c>
      <c r="D278" s="86" t="s">
        <v>1007</v>
      </c>
      <c r="E278" s="90" t="s">
        <v>1034</v>
      </c>
      <c r="F278" s="88" t="s">
        <v>1635</v>
      </c>
      <c r="G278" s="88" t="s">
        <v>1207</v>
      </c>
      <c r="H278" s="82"/>
    </row>
    <row r="279" spans="1:8" x14ac:dyDescent="0.2">
      <c r="A279" s="85" t="s">
        <v>520</v>
      </c>
      <c r="B279" s="89" t="s">
        <v>1585</v>
      </c>
      <c r="C279" s="86" t="s">
        <v>1659</v>
      </c>
      <c r="D279" s="86" t="s">
        <v>1007</v>
      </c>
      <c r="E279" s="90" t="s">
        <v>133</v>
      </c>
      <c r="F279" s="88" t="s">
        <v>1635</v>
      </c>
      <c r="G279" s="88" t="s">
        <v>1207</v>
      </c>
      <c r="H279" s="82"/>
    </row>
    <row r="280" spans="1:8" x14ac:dyDescent="0.2">
      <c r="A280" s="85" t="s">
        <v>520</v>
      </c>
      <c r="B280" s="89" t="s">
        <v>1585</v>
      </c>
      <c r="C280" s="86" t="s">
        <v>1659</v>
      </c>
      <c r="D280" s="86" t="s">
        <v>1007</v>
      </c>
      <c r="E280" s="90" t="s">
        <v>1034</v>
      </c>
      <c r="F280" s="88" t="s">
        <v>1636</v>
      </c>
      <c r="G280" s="88" t="s">
        <v>1207</v>
      </c>
      <c r="H280" s="82"/>
    </row>
    <row r="281" spans="1:8" x14ac:dyDescent="0.2">
      <c r="A281" s="85" t="s">
        <v>520</v>
      </c>
      <c r="B281" s="89" t="s">
        <v>1585</v>
      </c>
      <c r="C281" s="86" t="s">
        <v>1659</v>
      </c>
      <c r="D281" s="86" t="s">
        <v>1007</v>
      </c>
      <c r="E281" s="90" t="s">
        <v>133</v>
      </c>
      <c r="F281" s="88" t="s">
        <v>1636</v>
      </c>
      <c r="G281" s="88" t="s">
        <v>1207</v>
      </c>
      <c r="H281" s="82"/>
    </row>
    <row r="282" spans="1:8" x14ac:dyDescent="0.2">
      <c r="A282" s="85" t="s">
        <v>520</v>
      </c>
      <c r="B282" s="89" t="s">
        <v>1585</v>
      </c>
      <c r="C282" s="86" t="s">
        <v>1659</v>
      </c>
      <c r="D282" s="86" t="s">
        <v>1007</v>
      </c>
      <c r="E282" s="90" t="s">
        <v>133</v>
      </c>
      <c r="F282" s="88" t="s">
        <v>1675</v>
      </c>
      <c r="G282" s="88" t="s">
        <v>1209</v>
      </c>
      <c r="H282" s="82"/>
    </row>
    <row r="283" spans="1:8" x14ac:dyDescent="0.2">
      <c r="A283" s="85" t="s">
        <v>520</v>
      </c>
      <c r="B283" s="89" t="s">
        <v>1585</v>
      </c>
      <c r="C283" s="86" t="s">
        <v>1659</v>
      </c>
      <c r="D283" s="86" t="s">
        <v>1007</v>
      </c>
      <c r="E283" s="90" t="s">
        <v>1034</v>
      </c>
      <c r="F283" s="88" t="s">
        <v>1675</v>
      </c>
      <c r="G283" s="88" t="s">
        <v>1209</v>
      </c>
      <c r="H283" s="82"/>
    </row>
    <row r="284" spans="1:8" x14ac:dyDescent="0.2">
      <c r="A284" s="85" t="s">
        <v>520</v>
      </c>
      <c r="B284" s="89" t="s">
        <v>1585</v>
      </c>
      <c r="C284" s="86" t="s">
        <v>1659</v>
      </c>
      <c r="D284" s="86" t="s">
        <v>1007</v>
      </c>
      <c r="E284" s="90" t="s">
        <v>133</v>
      </c>
      <c r="F284" s="88" t="s">
        <v>1676</v>
      </c>
      <c r="G284" s="88" t="s">
        <v>1212</v>
      </c>
      <c r="H284" s="82"/>
    </row>
    <row r="285" spans="1:8" x14ac:dyDescent="0.2">
      <c r="A285" s="85" t="s">
        <v>520</v>
      </c>
      <c r="B285" s="89" t="s">
        <v>1585</v>
      </c>
      <c r="C285" s="86" t="s">
        <v>1659</v>
      </c>
      <c r="D285" s="86" t="s">
        <v>1007</v>
      </c>
      <c r="E285" s="90" t="s">
        <v>1034</v>
      </c>
      <c r="F285" s="88" t="s">
        <v>1676</v>
      </c>
      <c r="G285" s="88" t="s">
        <v>1212</v>
      </c>
      <c r="H285" s="82"/>
    </row>
    <row r="286" spans="1:8" ht="16" x14ac:dyDescent="0.2">
      <c r="A286" s="85" t="s">
        <v>520</v>
      </c>
      <c r="B286" s="89" t="s">
        <v>1585</v>
      </c>
      <c r="C286" s="86" t="s">
        <v>1659</v>
      </c>
      <c r="D286" s="86" t="s">
        <v>1007</v>
      </c>
      <c r="E286" s="90" t="s">
        <v>133</v>
      </c>
      <c r="F286" s="88" t="s">
        <v>1620</v>
      </c>
      <c r="G286" s="87" t="s">
        <v>1217</v>
      </c>
      <c r="H286" s="82"/>
    </row>
    <row r="287" spans="1:8" ht="16" x14ac:dyDescent="0.2">
      <c r="A287" s="85" t="s">
        <v>520</v>
      </c>
      <c r="B287" s="89" t="s">
        <v>1585</v>
      </c>
      <c r="C287" s="86" t="s">
        <v>1659</v>
      </c>
      <c r="D287" s="86" t="s">
        <v>1007</v>
      </c>
      <c r="E287" s="90" t="s">
        <v>1034</v>
      </c>
      <c r="F287" s="88" t="s">
        <v>1620</v>
      </c>
      <c r="G287" s="87" t="s">
        <v>1217</v>
      </c>
      <c r="H287" s="82"/>
    </row>
    <row r="288" spans="1:8" ht="16" x14ac:dyDescent="0.2">
      <c r="A288" s="85" t="s">
        <v>520</v>
      </c>
      <c r="B288" s="89" t="s">
        <v>1585</v>
      </c>
      <c r="C288" s="86" t="s">
        <v>1659</v>
      </c>
      <c r="D288" s="86" t="s">
        <v>1007</v>
      </c>
      <c r="E288" s="90" t="s">
        <v>133</v>
      </c>
      <c r="F288" s="88" t="s">
        <v>1621</v>
      </c>
      <c r="G288" s="87" t="s">
        <v>1217</v>
      </c>
      <c r="H288" s="82"/>
    </row>
    <row r="289" spans="1:8" ht="16" x14ac:dyDescent="0.2">
      <c r="A289" s="85" t="s">
        <v>520</v>
      </c>
      <c r="B289" s="89" t="s">
        <v>1585</v>
      </c>
      <c r="C289" s="86" t="s">
        <v>1659</v>
      </c>
      <c r="D289" s="86" t="s">
        <v>1007</v>
      </c>
      <c r="E289" s="90" t="s">
        <v>1034</v>
      </c>
      <c r="F289" s="88" t="s">
        <v>1621</v>
      </c>
      <c r="G289" s="87" t="s">
        <v>1217</v>
      </c>
      <c r="H289" s="82"/>
    </row>
    <row r="290" spans="1:8" ht="16" x14ac:dyDescent="0.2">
      <c r="A290" s="85" t="s">
        <v>520</v>
      </c>
      <c r="B290" s="89" t="s">
        <v>1585</v>
      </c>
      <c r="C290" s="86" t="s">
        <v>1659</v>
      </c>
      <c r="D290" s="86" t="s">
        <v>1007</v>
      </c>
      <c r="E290" s="90" t="s">
        <v>133</v>
      </c>
      <c r="F290" s="88" t="s">
        <v>1677</v>
      </c>
      <c r="G290" s="87" t="s">
        <v>1217</v>
      </c>
      <c r="H290" s="82"/>
    </row>
    <row r="291" spans="1:8" ht="16" x14ac:dyDescent="0.2">
      <c r="A291" s="85" t="s">
        <v>520</v>
      </c>
      <c r="B291" s="89" t="s">
        <v>1585</v>
      </c>
      <c r="C291" s="86" t="s">
        <v>1659</v>
      </c>
      <c r="D291" s="86" t="s">
        <v>1007</v>
      </c>
      <c r="E291" s="90" t="s">
        <v>1034</v>
      </c>
      <c r="F291" s="88" t="s">
        <v>1677</v>
      </c>
      <c r="G291" s="87" t="s">
        <v>1217</v>
      </c>
      <c r="H291" s="82"/>
    </row>
    <row r="292" spans="1:8" ht="16" x14ac:dyDescent="0.2">
      <c r="A292" s="85" t="s">
        <v>520</v>
      </c>
      <c r="B292" s="89" t="s">
        <v>1585</v>
      </c>
      <c r="C292" s="86" t="s">
        <v>1659</v>
      </c>
      <c r="D292" s="86" t="s">
        <v>1007</v>
      </c>
      <c r="E292" s="90" t="s">
        <v>133</v>
      </c>
      <c r="F292" s="88" t="s">
        <v>1622</v>
      </c>
      <c r="G292" s="87" t="s">
        <v>1217</v>
      </c>
      <c r="H292" s="82"/>
    </row>
    <row r="293" spans="1:8" ht="16" x14ac:dyDescent="0.2">
      <c r="A293" s="85" t="s">
        <v>520</v>
      </c>
      <c r="B293" s="89" t="s">
        <v>1585</v>
      </c>
      <c r="C293" s="86" t="s">
        <v>1659</v>
      </c>
      <c r="D293" s="86" t="s">
        <v>1007</v>
      </c>
      <c r="E293" s="90" t="s">
        <v>1034</v>
      </c>
      <c r="F293" s="88" t="s">
        <v>1622</v>
      </c>
      <c r="G293" s="87" t="s">
        <v>1217</v>
      </c>
      <c r="H293" s="82"/>
    </row>
    <row r="294" spans="1:8" ht="16" x14ac:dyDescent="0.2">
      <c r="A294" s="85" t="s">
        <v>520</v>
      </c>
      <c r="B294" s="89" t="s">
        <v>1585</v>
      </c>
      <c r="C294" s="86" t="s">
        <v>1659</v>
      </c>
      <c r="D294" s="86" t="s">
        <v>1007</v>
      </c>
      <c r="E294" s="90" t="s">
        <v>133</v>
      </c>
      <c r="F294" s="88" t="s">
        <v>1623</v>
      </c>
      <c r="G294" s="87" t="s">
        <v>1217</v>
      </c>
      <c r="H294" s="82"/>
    </row>
    <row r="295" spans="1:8" ht="16" x14ac:dyDescent="0.2">
      <c r="A295" s="85" t="s">
        <v>520</v>
      </c>
      <c r="B295" s="89" t="s">
        <v>1585</v>
      </c>
      <c r="C295" s="86" t="s">
        <v>1659</v>
      </c>
      <c r="D295" s="86" t="s">
        <v>1007</v>
      </c>
      <c r="E295" s="90" t="s">
        <v>1034</v>
      </c>
      <c r="F295" s="88" t="s">
        <v>1623</v>
      </c>
      <c r="G295" s="87" t="s">
        <v>1217</v>
      </c>
      <c r="H295" s="82"/>
    </row>
    <row r="296" spans="1:8" ht="16" x14ac:dyDescent="0.2">
      <c r="A296" s="85" t="s">
        <v>520</v>
      </c>
      <c r="B296" s="89" t="s">
        <v>1585</v>
      </c>
      <c r="C296" s="86" t="s">
        <v>1659</v>
      </c>
      <c r="D296" s="86" t="s">
        <v>1007</v>
      </c>
      <c r="E296" s="90" t="s">
        <v>133</v>
      </c>
      <c r="F296" s="88" t="s">
        <v>1624</v>
      </c>
      <c r="G296" s="87" t="s">
        <v>1217</v>
      </c>
      <c r="H296" s="82"/>
    </row>
    <row r="297" spans="1:8" ht="16" x14ac:dyDescent="0.2">
      <c r="A297" s="85" t="s">
        <v>520</v>
      </c>
      <c r="B297" s="89" t="s">
        <v>1585</v>
      </c>
      <c r="C297" s="86" t="s">
        <v>1659</v>
      </c>
      <c r="D297" s="86" t="s">
        <v>1007</v>
      </c>
      <c r="E297" s="90" t="s">
        <v>1034</v>
      </c>
      <c r="F297" s="88" t="s">
        <v>1624</v>
      </c>
      <c r="G297" s="87" t="s">
        <v>1217</v>
      </c>
      <c r="H297" s="82"/>
    </row>
    <row r="298" spans="1:8" ht="16" x14ac:dyDescent="0.2">
      <c r="A298" s="85" t="s">
        <v>520</v>
      </c>
      <c r="B298" s="89" t="s">
        <v>1585</v>
      </c>
      <c r="C298" s="86" t="s">
        <v>1659</v>
      </c>
      <c r="D298" s="86" t="s">
        <v>1007</v>
      </c>
      <c r="E298" s="90" t="s">
        <v>133</v>
      </c>
      <c r="F298" s="88" t="s">
        <v>1678</v>
      </c>
      <c r="G298" s="87" t="s">
        <v>1217</v>
      </c>
      <c r="H298" s="82"/>
    </row>
    <row r="299" spans="1:8" ht="16" x14ac:dyDescent="0.2">
      <c r="A299" s="85" t="s">
        <v>520</v>
      </c>
      <c r="B299" s="89" t="s">
        <v>1585</v>
      </c>
      <c r="C299" s="86" t="s">
        <v>1659</v>
      </c>
      <c r="D299" s="86" t="s">
        <v>1007</v>
      </c>
      <c r="E299" s="90" t="s">
        <v>1034</v>
      </c>
      <c r="F299" s="88" t="s">
        <v>1678</v>
      </c>
      <c r="G299" s="87" t="s">
        <v>1217</v>
      </c>
      <c r="H299" s="82"/>
    </row>
    <row r="300" spans="1:8" ht="16" x14ac:dyDescent="0.2">
      <c r="A300" s="85" t="s">
        <v>520</v>
      </c>
      <c r="B300" s="89" t="s">
        <v>1585</v>
      </c>
      <c r="C300" s="86" t="s">
        <v>1659</v>
      </c>
      <c r="D300" s="86" t="s">
        <v>1007</v>
      </c>
      <c r="E300" s="90" t="s">
        <v>133</v>
      </c>
      <c r="F300" s="88" t="s">
        <v>1679</v>
      </c>
      <c r="G300" s="87" t="s">
        <v>1214</v>
      </c>
      <c r="H300" s="82"/>
    </row>
    <row r="301" spans="1:8" ht="16" x14ac:dyDescent="0.2">
      <c r="A301" s="85" t="s">
        <v>520</v>
      </c>
      <c r="B301" s="89" t="s">
        <v>1585</v>
      </c>
      <c r="C301" s="86" t="s">
        <v>1659</v>
      </c>
      <c r="D301" s="86" t="s">
        <v>1007</v>
      </c>
      <c r="E301" s="90" t="s">
        <v>1034</v>
      </c>
      <c r="F301" s="88" t="s">
        <v>1679</v>
      </c>
      <c r="G301" s="87" t="s">
        <v>1214</v>
      </c>
      <c r="H301" s="82"/>
    </row>
    <row r="302" spans="1:8" ht="16" x14ac:dyDescent="0.2">
      <c r="A302" s="85" t="s">
        <v>520</v>
      </c>
      <c r="B302" s="89" t="s">
        <v>1585</v>
      </c>
      <c r="C302" s="86" t="s">
        <v>1659</v>
      </c>
      <c r="D302" s="86" t="s">
        <v>1007</v>
      </c>
      <c r="E302" s="90" t="s">
        <v>133</v>
      </c>
      <c r="F302" s="88" t="s">
        <v>1680</v>
      </c>
      <c r="G302" s="87" t="s">
        <v>1214</v>
      </c>
      <c r="H302" s="82"/>
    </row>
    <row r="303" spans="1:8" ht="16" x14ac:dyDescent="0.2">
      <c r="A303" s="85" t="s">
        <v>520</v>
      </c>
      <c r="B303" s="89" t="s">
        <v>1585</v>
      </c>
      <c r="C303" s="86" t="s">
        <v>1659</v>
      </c>
      <c r="D303" s="86" t="s">
        <v>1007</v>
      </c>
      <c r="E303" s="90" t="s">
        <v>1034</v>
      </c>
      <c r="F303" s="88" t="s">
        <v>1680</v>
      </c>
      <c r="G303" s="87" t="s">
        <v>1214</v>
      </c>
      <c r="H303" s="82"/>
    </row>
    <row r="304" spans="1:8" ht="16" x14ac:dyDescent="0.2">
      <c r="A304" s="85" t="s">
        <v>520</v>
      </c>
      <c r="B304" s="89" t="s">
        <v>1585</v>
      </c>
      <c r="C304" s="86" t="s">
        <v>1659</v>
      </c>
      <c r="D304" s="86" t="s">
        <v>1007</v>
      </c>
      <c r="E304" s="90" t="s">
        <v>133</v>
      </c>
      <c r="F304" s="88" t="s">
        <v>1681</v>
      </c>
      <c r="G304" s="87" t="s">
        <v>1215</v>
      </c>
      <c r="H304" s="82"/>
    </row>
    <row r="305" spans="1:8" ht="16" x14ac:dyDescent="0.2">
      <c r="A305" s="85" t="s">
        <v>520</v>
      </c>
      <c r="B305" s="89" t="s">
        <v>1585</v>
      </c>
      <c r="C305" s="86" t="s">
        <v>1659</v>
      </c>
      <c r="D305" s="86" t="s">
        <v>1007</v>
      </c>
      <c r="E305" s="90" t="s">
        <v>133</v>
      </c>
      <c r="F305" s="88" t="s">
        <v>1682</v>
      </c>
      <c r="G305" s="87" t="s">
        <v>1215</v>
      </c>
      <c r="H305" s="82"/>
    </row>
    <row r="306" spans="1:8" ht="16" x14ac:dyDescent="0.2">
      <c r="A306" s="85" t="s">
        <v>520</v>
      </c>
      <c r="B306" s="89" t="s">
        <v>1585</v>
      </c>
      <c r="C306" s="86" t="s">
        <v>1659</v>
      </c>
      <c r="D306" s="86" t="s">
        <v>1007</v>
      </c>
      <c r="E306" s="90" t="s">
        <v>133</v>
      </c>
      <c r="F306" s="88" t="s">
        <v>1683</v>
      </c>
      <c r="G306" s="87" t="s">
        <v>1215</v>
      </c>
      <c r="H306" s="82"/>
    </row>
    <row r="307" spans="1:8" ht="16" x14ac:dyDescent="0.2">
      <c r="A307" s="85" t="s">
        <v>520</v>
      </c>
      <c r="B307" s="89" t="s">
        <v>1585</v>
      </c>
      <c r="C307" s="86" t="s">
        <v>1659</v>
      </c>
      <c r="D307" s="86" t="s">
        <v>1007</v>
      </c>
      <c r="E307" s="90" t="s">
        <v>133</v>
      </c>
      <c r="F307" s="88" t="s">
        <v>1684</v>
      </c>
      <c r="G307" s="87" t="s">
        <v>1215</v>
      </c>
      <c r="H307" s="82"/>
    </row>
    <row r="308" spans="1:8" x14ac:dyDescent="0.2">
      <c r="A308" s="85" t="s">
        <v>520</v>
      </c>
      <c r="B308" s="89" t="s">
        <v>1585</v>
      </c>
      <c r="C308" s="86" t="s">
        <v>1659</v>
      </c>
      <c r="D308" s="86" t="s">
        <v>1007</v>
      </c>
      <c r="E308" s="90" t="s">
        <v>133</v>
      </c>
      <c r="F308" s="88" t="s">
        <v>1625</v>
      </c>
      <c r="G308" s="88" t="s">
        <v>1219</v>
      </c>
      <c r="H308" s="82"/>
    </row>
    <row r="309" spans="1:8" x14ac:dyDescent="0.2">
      <c r="A309" s="85" t="s">
        <v>520</v>
      </c>
      <c r="B309" s="89" t="s">
        <v>1585</v>
      </c>
      <c r="C309" s="86" t="s">
        <v>1659</v>
      </c>
      <c r="D309" s="86" t="s">
        <v>1007</v>
      </c>
      <c r="E309" s="90" t="s">
        <v>1034</v>
      </c>
      <c r="F309" s="88" t="s">
        <v>1625</v>
      </c>
      <c r="G309" s="88" t="s">
        <v>1219</v>
      </c>
      <c r="H309" s="82"/>
    </row>
    <row r="310" spans="1:8" x14ac:dyDescent="0.2">
      <c r="A310" s="85" t="s">
        <v>520</v>
      </c>
      <c r="B310" s="89" t="s">
        <v>1585</v>
      </c>
      <c r="C310" s="86" t="s">
        <v>1659</v>
      </c>
      <c r="D310" s="86" t="s">
        <v>1007</v>
      </c>
      <c r="E310" s="90" t="s">
        <v>133</v>
      </c>
      <c r="F310" s="88" t="s">
        <v>1626</v>
      </c>
      <c r="G310" s="88" t="s">
        <v>1219</v>
      </c>
      <c r="H310" s="82"/>
    </row>
    <row r="311" spans="1:8" x14ac:dyDescent="0.2">
      <c r="A311" s="85" t="s">
        <v>520</v>
      </c>
      <c r="B311" s="89" t="s">
        <v>1585</v>
      </c>
      <c r="C311" s="86" t="s">
        <v>1659</v>
      </c>
      <c r="D311" s="86" t="s">
        <v>1007</v>
      </c>
      <c r="E311" s="90" t="s">
        <v>1034</v>
      </c>
      <c r="F311" s="88" t="s">
        <v>1626</v>
      </c>
      <c r="G311" s="88" t="s">
        <v>1219</v>
      </c>
      <c r="H311" s="82"/>
    </row>
    <row r="312" spans="1:8" x14ac:dyDescent="0.2">
      <c r="A312" s="85" t="s">
        <v>520</v>
      </c>
      <c r="B312" s="89" t="s">
        <v>1585</v>
      </c>
      <c r="C312" s="86" t="s">
        <v>1659</v>
      </c>
      <c r="D312" s="86" t="s">
        <v>1007</v>
      </c>
      <c r="E312" s="90" t="s">
        <v>133</v>
      </c>
      <c r="F312" s="88" t="s">
        <v>1685</v>
      </c>
      <c r="G312" s="88" t="s">
        <v>1218</v>
      </c>
      <c r="H312" s="82"/>
    </row>
    <row r="313" spans="1:8" ht="15" customHeight="1" x14ac:dyDescent="0.2">
      <c r="A313" s="85" t="s">
        <v>520</v>
      </c>
      <c r="B313" s="89" t="s">
        <v>1585</v>
      </c>
      <c r="C313" s="86" t="s">
        <v>1659</v>
      </c>
      <c r="D313" s="86" t="s">
        <v>1007</v>
      </c>
      <c r="E313" s="90" t="s">
        <v>1034</v>
      </c>
      <c r="F313" s="88" t="s">
        <v>1685</v>
      </c>
      <c r="G313" s="88" t="s">
        <v>1218</v>
      </c>
      <c r="H313" s="82"/>
    </row>
    <row r="314" spans="1:8" x14ac:dyDescent="0.2">
      <c r="A314" s="85" t="s">
        <v>520</v>
      </c>
      <c r="B314" s="89" t="s">
        <v>1585</v>
      </c>
      <c r="C314" s="86" t="s">
        <v>1659</v>
      </c>
      <c r="D314" s="86" t="s">
        <v>1007</v>
      </c>
      <c r="E314" s="90" t="s">
        <v>133</v>
      </c>
      <c r="F314" s="88" t="s">
        <v>1686</v>
      </c>
      <c r="G314" s="88" t="s">
        <v>1218</v>
      </c>
      <c r="H314" s="82"/>
    </row>
    <row r="315" spans="1:8" x14ac:dyDescent="0.2">
      <c r="A315" s="85" t="s">
        <v>520</v>
      </c>
      <c r="B315" s="89" t="s">
        <v>1585</v>
      </c>
      <c r="C315" s="86" t="s">
        <v>1659</v>
      </c>
      <c r="D315" s="86" t="s">
        <v>1007</v>
      </c>
      <c r="E315" s="90" t="s">
        <v>1034</v>
      </c>
      <c r="F315" s="88" t="s">
        <v>1686</v>
      </c>
      <c r="G315" s="88" t="s">
        <v>1218</v>
      </c>
      <c r="H315" s="82"/>
    </row>
    <row r="316" spans="1:8" x14ac:dyDescent="0.2">
      <c r="A316" s="85" t="s">
        <v>520</v>
      </c>
      <c r="B316" s="89" t="s">
        <v>1585</v>
      </c>
      <c r="C316" s="86" t="s">
        <v>1659</v>
      </c>
      <c r="D316" s="86" t="s">
        <v>1007</v>
      </c>
      <c r="E316" s="90" t="s">
        <v>133</v>
      </c>
      <c r="F316" s="88" t="s">
        <v>1619</v>
      </c>
      <c r="G316" s="88" t="s">
        <v>1226</v>
      </c>
      <c r="H316" s="82"/>
    </row>
    <row r="317" spans="1:8" ht="15" customHeight="1" x14ac:dyDescent="0.2">
      <c r="A317" s="85" t="s">
        <v>520</v>
      </c>
      <c r="B317" s="89" t="s">
        <v>1585</v>
      </c>
      <c r="C317" s="86" t="s">
        <v>1659</v>
      </c>
      <c r="D317" s="86" t="s">
        <v>1007</v>
      </c>
      <c r="E317" s="90" t="s">
        <v>1034</v>
      </c>
      <c r="F317" s="88" t="s">
        <v>1619</v>
      </c>
      <c r="G317" s="88" t="s">
        <v>1226</v>
      </c>
      <c r="H317" s="82"/>
    </row>
    <row r="318" spans="1:8" x14ac:dyDescent="0.2">
      <c r="A318" s="85" t="s">
        <v>520</v>
      </c>
      <c r="B318" s="89" t="s">
        <v>1585</v>
      </c>
      <c r="C318" s="86" t="s">
        <v>1659</v>
      </c>
      <c r="D318" s="86" t="s">
        <v>1007</v>
      </c>
      <c r="E318" s="90" t="s">
        <v>133</v>
      </c>
      <c r="F318" s="88" t="s">
        <v>1618</v>
      </c>
      <c r="G318" s="88" t="s">
        <v>1226</v>
      </c>
      <c r="H318" s="82"/>
    </row>
    <row r="319" spans="1:8" ht="15" customHeight="1" x14ac:dyDescent="0.2">
      <c r="A319" s="85" t="s">
        <v>520</v>
      </c>
      <c r="B319" s="89" t="s">
        <v>1585</v>
      </c>
      <c r="C319" s="86" t="s">
        <v>1659</v>
      </c>
      <c r="D319" s="86" t="s">
        <v>1007</v>
      </c>
      <c r="E319" s="90" t="s">
        <v>1034</v>
      </c>
      <c r="F319" s="88" t="s">
        <v>1618</v>
      </c>
      <c r="G319" s="88" t="s">
        <v>1226</v>
      </c>
      <c r="H319" s="82"/>
    </row>
    <row r="320" spans="1:8" x14ac:dyDescent="0.2">
      <c r="A320" s="85" t="s">
        <v>520</v>
      </c>
      <c r="B320" s="89" t="s">
        <v>1585</v>
      </c>
      <c r="C320" s="86" t="s">
        <v>1659</v>
      </c>
      <c r="D320" s="86" t="s">
        <v>1007</v>
      </c>
      <c r="E320" s="90" t="s">
        <v>133</v>
      </c>
      <c r="F320" s="88" t="s">
        <v>1687</v>
      </c>
      <c r="G320" s="88" t="s">
        <v>1216</v>
      </c>
      <c r="H320" s="82"/>
    </row>
    <row r="321" spans="1:8" x14ac:dyDescent="0.2">
      <c r="A321" s="85" t="s">
        <v>520</v>
      </c>
      <c r="B321" s="89" t="s">
        <v>1585</v>
      </c>
      <c r="C321" s="86" t="s">
        <v>1659</v>
      </c>
      <c r="D321" s="86" t="s">
        <v>1007</v>
      </c>
      <c r="E321" s="90" t="s">
        <v>1034</v>
      </c>
      <c r="F321" s="88" t="s">
        <v>1687</v>
      </c>
      <c r="G321" s="88" t="s">
        <v>1216</v>
      </c>
      <c r="H321" s="82"/>
    </row>
    <row r="322" spans="1:8" x14ac:dyDescent="0.2">
      <c r="A322" s="85" t="s">
        <v>520</v>
      </c>
      <c r="B322" s="89" t="s">
        <v>1585</v>
      </c>
      <c r="C322" s="86" t="s">
        <v>1659</v>
      </c>
      <c r="D322" s="86" t="s">
        <v>1007</v>
      </c>
      <c r="E322" s="90" t="s">
        <v>133</v>
      </c>
      <c r="F322" s="88" t="s">
        <v>1688</v>
      </c>
      <c r="G322" s="88" t="s">
        <v>1216</v>
      </c>
      <c r="H322" s="82"/>
    </row>
    <row r="323" spans="1:8" x14ac:dyDescent="0.2">
      <c r="A323" s="85" t="s">
        <v>520</v>
      </c>
      <c r="B323" s="89" t="s">
        <v>1585</v>
      </c>
      <c r="C323" s="86" t="s">
        <v>1659</v>
      </c>
      <c r="D323" s="86" t="s">
        <v>1007</v>
      </c>
      <c r="E323" s="90" t="s">
        <v>1034</v>
      </c>
      <c r="F323" s="88" t="s">
        <v>1688</v>
      </c>
      <c r="G323" s="88" t="s">
        <v>1216</v>
      </c>
      <c r="H323" s="82"/>
    </row>
    <row r="324" spans="1:8" x14ac:dyDescent="0.2">
      <c r="A324" s="85" t="s">
        <v>520</v>
      </c>
      <c r="B324" s="89" t="s">
        <v>1585</v>
      </c>
      <c r="C324" s="86" t="s">
        <v>1659</v>
      </c>
      <c r="D324" s="86" t="s">
        <v>1007</v>
      </c>
      <c r="E324" s="90" t="s">
        <v>133</v>
      </c>
      <c r="F324" s="88" t="s">
        <v>1689</v>
      </c>
      <c r="G324" s="88" t="s">
        <v>1206</v>
      </c>
      <c r="H324" s="82"/>
    </row>
    <row r="325" spans="1:8" x14ac:dyDescent="0.2">
      <c r="A325" s="85" t="s">
        <v>520</v>
      </c>
      <c r="B325" s="89" t="s">
        <v>1585</v>
      </c>
      <c r="C325" s="86" t="s">
        <v>1659</v>
      </c>
      <c r="D325" s="86" t="s">
        <v>1007</v>
      </c>
      <c r="E325" s="90" t="s">
        <v>1034</v>
      </c>
      <c r="F325" s="88" t="s">
        <v>1689</v>
      </c>
      <c r="G325" s="88" t="s">
        <v>1206</v>
      </c>
      <c r="H325" s="82"/>
    </row>
    <row r="326" spans="1:8" x14ac:dyDescent="0.2">
      <c r="A326" s="85" t="s">
        <v>520</v>
      </c>
      <c r="B326" s="89" t="s">
        <v>1585</v>
      </c>
      <c r="C326" s="86" t="s">
        <v>1659</v>
      </c>
      <c r="D326" s="86" t="s">
        <v>1007</v>
      </c>
      <c r="E326" s="90" t="s">
        <v>133</v>
      </c>
      <c r="F326" s="88" t="s">
        <v>1690</v>
      </c>
      <c r="G326" s="88" t="s">
        <v>1206</v>
      </c>
      <c r="H326" s="82"/>
    </row>
    <row r="327" spans="1:8" x14ac:dyDescent="0.2">
      <c r="A327" s="85" t="s">
        <v>520</v>
      </c>
      <c r="B327" s="89" t="s">
        <v>1585</v>
      </c>
      <c r="C327" s="86" t="s">
        <v>1659</v>
      </c>
      <c r="D327" s="86" t="s">
        <v>1007</v>
      </c>
      <c r="E327" s="90" t="s">
        <v>1034</v>
      </c>
      <c r="F327" s="88" t="s">
        <v>1690</v>
      </c>
      <c r="G327" s="88" t="s">
        <v>1206</v>
      </c>
      <c r="H327" s="82"/>
    </row>
    <row r="328" spans="1:8" ht="16" x14ac:dyDescent="0.2">
      <c r="A328" s="85" t="s">
        <v>248</v>
      </c>
      <c r="B328" s="97" t="s">
        <v>1692</v>
      </c>
      <c r="C328" s="86" t="s">
        <v>1691</v>
      </c>
      <c r="D328" s="86" t="s">
        <v>1004</v>
      </c>
      <c r="E328" s="90" t="s">
        <v>1034</v>
      </c>
      <c r="F328" s="88" t="s">
        <v>248</v>
      </c>
      <c r="G328" s="87" t="s">
        <v>1179</v>
      </c>
      <c r="H328" s="82"/>
    </row>
    <row r="329" spans="1:8" ht="16" x14ac:dyDescent="0.2">
      <c r="A329" s="85" t="s">
        <v>248</v>
      </c>
      <c r="B329" s="97" t="s">
        <v>1692</v>
      </c>
      <c r="C329" s="86" t="s">
        <v>1691</v>
      </c>
      <c r="D329" s="86" t="s">
        <v>1004</v>
      </c>
      <c r="E329" s="90" t="s">
        <v>1034</v>
      </c>
      <c r="F329" s="88" t="s">
        <v>1693</v>
      </c>
      <c r="G329" s="87" t="s">
        <v>1179</v>
      </c>
      <c r="H329" s="82"/>
    </row>
    <row r="330" spans="1:8" ht="16" x14ac:dyDescent="0.2">
      <c r="A330" s="85" t="s">
        <v>248</v>
      </c>
      <c r="B330" s="97" t="s">
        <v>1692</v>
      </c>
      <c r="C330" s="86" t="s">
        <v>1691</v>
      </c>
      <c r="D330" s="86" t="s">
        <v>1004</v>
      </c>
      <c r="E330" s="90" t="s">
        <v>1034</v>
      </c>
      <c r="F330" s="88" t="s">
        <v>1694</v>
      </c>
      <c r="G330" s="87" t="s">
        <v>1179</v>
      </c>
      <c r="H330" s="82"/>
    </row>
    <row r="331" spans="1:8" x14ac:dyDescent="0.2">
      <c r="A331" s="85" t="s">
        <v>248</v>
      </c>
      <c r="B331" s="89" t="s">
        <v>1585</v>
      </c>
      <c r="C331" s="86" t="s">
        <v>1691</v>
      </c>
      <c r="D331" s="86" t="s">
        <v>1004</v>
      </c>
      <c r="E331" s="90" t="s">
        <v>133</v>
      </c>
      <c r="F331" s="88" t="s">
        <v>248</v>
      </c>
      <c r="G331" s="88" t="s">
        <v>1180</v>
      </c>
      <c r="H331" s="82"/>
    </row>
    <row r="332" spans="1:8" x14ac:dyDescent="0.2">
      <c r="A332" s="85" t="s">
        <v>248</v>
      </c>
      <c r="B332" s="89" t="s">
        <v>1585</v>
      </c>
      <c r="C332" s="86" t="s">
        <v>1691</v>
      </c>
      <c r="D332" s="86" t="s">
        <v>1004</v>
      </c>
      <c r="E332" s="90" t="s">
        <v>1034</v>
      </c>
      <c r="F332" s="88" t="s">
        <v>248</v>
      </c>
      <c r="G332" s="88" t="s">
        <v>1180</v>
      </c>
      <c r="H332" s="82"/>
    </row>
    <row r="333" spans="1:8" x14ac:dyDescent="0.2">
      <c r="A333" s="85" t="s">
        <v>248</v>
      </c>
      <c r="B333" s="89" t="s">
        <v>1585</v>
      </c>
      <c r="C333" s="86" t="s">
        <v>1691</v>
      </c>
      <c r="D333" s="86" t="s">
        <v>1004</v>
      </c>
      <c r="E333" s="90" t="s">
        <v>149</v>
      </c>
      <c r="F333" s="88" t="s">
        <v>248</v>
      </c>
      <c r="G333" s="88" t="s">
        <v>1180</v>
      </c>
      <c r="H333" s="82"/>
    </row>
    <row r="334" spans="1:8" x14ac:dyDescent="0.2">
      <c r="A334" s="85" t="s">
        <v>248</v>
      </c>
      <c r="B334" s="89" t="s">
        <v>1585</v>
      </c>
      <c r="C334" s="86" t="s">
        <v>1691</v>
      </c>
      <c r="D334" s="86" t="s">
        <v>1004</v>
      </c>
      <c r="E334" s="90" t="s">
        <v>133</v>
      </c>
      <c r="F334" s="88" t="s">
        <v>1693</v>
      </c>
      <c r="G334" s="88" t="s">
        <v>1180</v>
      </c>
      <c r="H334" s="82"/>
    </row>
    <row r="335" spans="1:8" x14ac:dyDescent="0.2">
      <c r="A335" s="85" t="s">
        <v>248</v>
      </c>
      <c r="B335" s="89" t="s">
        <v>1585</v>
      </c>
      <c r="C335" s="86" t="s">
        <v>1691</v>
      </c>
      <c r="D335" s="86" t="s">
        <v>1004</v>
      </c>
      <c r="E335" s="90" t="s">
        <v>1034</v>
      </c>
      <c r="F335" s="88" t="s">
        <v>1693</v>
      </c>
      <c r="G335" s="88" t="s">
        <v>1180</v>
      </c>
      <c r="H335" s="82"/>
    </row>
    <row r="336" spans="1:8" x14ac:dyDescent="0.2">
      <c r="A336" s="85" t="s">
        <v>248</v>
      </c>
      <c r="B336" s="89" t="s">
        <v>1585</v>
      </c>
      <c r="C336" s="86" t="s">
        <v>1691</v>
      </c>
      <c r="D336" s="86" t="s">
        <v>1004</v>
      </c>
      <c r="E336" s="90" t="s">
        <v>149</v>
      </c>
      <c r="F336" s="88" t="s">
        <v>1693</v>
      </c>
      <c r="G336" s="88" t="s">
        <v>1180</v>
      </c>
      <c r="H336" s="82"/>
    </row>
    <row r="337" spans="1:8" x14ac:dyDescent="0.2">
      <c r="A337" s="85" t="s">
        <v>248</v>
      </c>
      <c r="B337" s="89" t="s">
        <v>1585</v>
      </c>
      <c r="C337" s="86" t="s">
        <v>1691</v>
      </c>
      <c r="D337" s="86" t="s">
        <v>1004</v>
      </c>
      <c r="E337" s="90" t="s">
        <v>133</v>
      </c>
      <c r="F337" s="88" t="s">
        <v>254</v>
      </c>
      <c r="G337" s="88" t="s">
        <v>1182</v>
      </c>
      <c r="H337" s="82"/>
    </row>
    <row r="338" spans="1:8" x14ac:dyDescent="0.2">
      <c r="A338" s="85" t="s">
        <v>248</v>
      </c>
      <c r="B338" s="89" t="s">
        <v>1585</v>
      </c>
      <c r="C338" s="86" t="s">
        <v>1691</v>
      </c>
      <c r="D338" s="86" t="s">
        <v>1004</v>
      </c>
      <c r="E338" s="90" t="s">
        <v>1034</v>
      </c>
      <c r="F338" s="88" t="s">
        <v>254</v>
      </c>
      <c r="G338" s="88" t="s">
        <v>1182</v>
      </c>
      <c r="H338" s="82"/>
    </row>
    <row r="339" spans="1:8" x14ac:dyDescent="0.2">
      <c r="A339" s="85" t="s">
        <v>248</v>
      </c>
      <c r="B339" s="89" t="s">
        <v>1585</v>
      </c>
      <c r="C339" s="86" t="s">
        <v>1691</v>
      </c>
      <c r="D339" s="86" t="s">
        <v>1004</v>
      </c>
      <c r="E339" s="90" t="s">
        <v>149</v>
      </c>
      <c r="F339" s="88" t="s">
        <v>254</v>
      </c>
      <c r="G339" s="88" t="s">
        <v>1182</v>
      </c>
      <c r="H339" s="82"/>
    </row>
    <row r="340" spans="1:8" x14ac:dyDescent="0.2">
      <c r="A340" s="85" t="s">
        <v>248</v>
      </c>
      <c r="B340" s="89" t="s">
        <v>1585</v>
      </c>
      <c r="C340" s="86" t="s">
        <v>1691</v>
      </c>
      <c r="D340" s="86" t="s">
        <v>1004</v>
      </c>
      <c r="E340" s="90" t="s">
        <v>133</v>
      </c>
      <c r="F340" s="88" t="s">
        <v>1695</v>
      </c>
      <c r="G340" s="88" t="s">
        <v>1183</v>
      </c>
      <c r="H340" s="82"/>
    </row>
    <row r="341" spans="1:8" x14ac:dyDescent="0.2">
      <c r="A341" s="85" t="s">
        <v>248</v>
      </c>
      <c r="B341" s="89" t="s">
        <v>1585</v>
      </c>
      <c r="C341" s="86" t="s">
        <v>1691</v>
      </c>
      <c r="D341" s="86" t="s">
        <v>1004</v>
      </c>
      <c r="E341" s="90" t="s">
        <v>1034</v>
      </c>
      <c r="F341" s="88" t="s">
        <v>1695</v>
      </c>
      <c r="G341" s="88" t="s">
        <v>1183</v>
      </c>
      <c r="H341" s="82"/>
    </row>
    <row r="342" spans="1:8" x14ac:dyDescent="0.2">
      <c r="A342" s="85" t="s">
        <v>248</v>
      </c>
      <c r="B342" s="89" t="s">
        <v>1585</v>
      </c>
      <c r="C342" s="86" t="s">
        <v>1691</v>
      </c>
      <c r="D342" s="86" t="s">
        <v>1004</v>
      </c>
      <c r="E342" s="90" t="s">
        <v>149</v>
      </c>
      <c r="F342" s="88" t="s">
        <v>1695</v>
      </c>
      <c r="G342" s="88" t="s">
        <v>1183</v>
      </c>
      <c r="H342" s="82"/>
    </row>
    <row r="343" spans="1:8" x14ac:dyDescent="0.2">
      <c r="A343" s="85" t="s">
        <v>248</v>
      </c>
      <c r="B343" s="89" t="s">
        <v>1585</v>
      </c>
      <c r="C343" s="86" t="s">
        <v>1691</v>
      </c>
      <c r="D343" s="86" t="s">
        <v>1004</v>
      </c>
      <c r="E343" s="90" t="s">
        <v>133</v>
      </c>
      <c r="F343" s="88" t="s">
        <v>1696</v>
      </c>
      <c r="G343" s="88" t="s">
        <v>1185</v>
      </c>
      <c r="H343" s="82"/>
    </row>
    <row r="344" spans="1:8" x14ac:dyDescent="0.2">
      <c r="A344" s="85" t="s">
        <v>248</v>
      </c>
      <c r="B344" s="89" t="s">
        <v>1585</v>
      </c>
      <c r="C344" s="86" t="s">
        <v>1691</v>
      </c>
      <c r="D344" s="86" t="s">
        <v>1004</v>
      </c>
      <c r="E344" s="90" t="s">
        <v>1034</v>
      </c>
      <c r="F344" s="88" t="s">
        <v>1696</v>
      </c>
      <c r="G344" s="88" t="s">
        <v>1185</v>
      </c>
      <c r="H344" s="82"/>
    </row>
    <row r="345" spans="1:8" x14ac:dyDescent="0.2">
      <c r="A345" s="85" t="s">
        <v>248</v>
      </c>
      <c r="B345" s="89" t="s">
        <v>1585</v>
      </c>
      <c r="C345" s="86" t="s">
        <v>1691</v>
      </c>
      <c r="D345" s="86" t="s">
        <v>1004</v>
      </c>
      <c r="E345" s="90" t="s">
        <v>149</v>
      </c>
      <c r="F345" s="88" t="s">
        <v>1696</v>
      </c>
      <c r="G345" s="88" t="s">
        <v>1185</v>
      </c>
      <c r="H345" s="82"/>
    </row>
    <row r="346" spans="1:8" x14ac:dyDescent="0.2">
      <c r="A346" s="85" t="s">
        <v>248</v>
      </c>
      <c r="B346" s="89" t="s">
        <v>1585</v>
      </c>
      <c r="C346" s="86" t="s">
        <v>1691</v>
      </c>
      <c r="D346" s="86" t="s">
        <v>1004</v>
      </c>
      <c r="E346" s="90" t="s">
        <v>133</v>
      </c>
      <c r="F346" s="88" t="s">
        <v>1697</v>
      </c>
      <c r="G346" s="88" t="s">
        <v>1185</v>
      </c>
      <c r="H346" s="82"/>
    </row>
    <row r="347" spans="1:8" x14ac:dyDescent="0.2">
      <c r="A347" s="85" t="s">
        <v>248</v>
      </c>
      <c r="B347" s="89" t="s">
        <v>1585</v>
      </c>
      <c r="C347" s="86" t="s">
        <v>1691</v>
      </c>
      <c r="D347" s="86" t="s">
        <v>1004</v>
      </c>
      <c r="E347" s="90" t="s">
        <v>1034</v>
      </c>
      <c r="F347" s="88" t="s">
        <v>1697</v>
      </c>
      <c r="G347" s="88" t="s">
        <v>1185</v>
      </c>
      <c r="H347" s="82"/>
    </row>
    <row r="348" spans="1:8" x14ac:dyDescent="0.2">
      <c r="A348" s="85" t="s">
        <v>248</v>
      </c>
      <c r="B348" s="89" t="s">
        <v>1585</v>
      </c>
      <c r="C348" s="86" t="s">
        <v>1691</v>
      </c>
      <c r="D348" s="86" t="s">
        <v>1004</v>
      </c>
      <c r="E348" s="90" t="s">
        <v>149</v>
      </c>
      <c r="F348" s="88" t="s">
        <v>1697</v>
      </c>
      <c r="G348" s="88" t="s">
        <v>1185</v>
      </c>
      <c r="H348" s="82"/>
    </row>
    <row r="349" spans="1:8" x14ac:dyDescent="0.2">
      <c r="A349" s="85" t="s">
        <v>248</v>
      </c>
      <c r="B349" s="89" t="s">
        <v>1585</v>
      </c>
      <c r="C349" s="86" t="s">
        <v>1691</v>
      </c>
      <c r="D349" s="86" t="s">
        <v>1004</v>
      </c>
      <c r="E349" s="90" t="s">
        <v>133</v>
      </c>
      <c r="F349" s="88" t="s">
        <v>1698</v>
      </c>
      <c r="G349" s="88" t="s">
        <v>1185</v>
      </c>
      <c r="H349" s="82"/>
    </row>
    <row r="350" spans="1:8" x14ac:dyDescent="0.2">
      <c r="A350" s="85" t="s">
        <v>248</v>
      </c>
      <c r="B350" s="89" t="s">
        <v>1585</v>
      </c>
      <c r="C350" s="86" t="s">
        <v>1691</v>
      </c>
      <c r="D350" s="86" t="s">
        <v>1004</v>
      </c>
      <c r="E350" s="90" t="s">
        <v>1034</v>
      </c>
      <c r="F350" s="88" t="s">
        <v>1698</v>
      </c>
      <c r="G350" s="88" t="s">
        <v>1185</v>
      </c>
      <c r="H350" s="82"/>
    </row>
    <row r="351" spans="1:8" x14ac:dyDescent="0.2">
      <c r="A351" s="85" t="s">
        <v>248</v>
      </c>
      <c r="B351" s="89" t="s">
        <v>1585</v>
      </c>
      <c r="C351" s="86" t="s">
        <v>1691</v>
      </c>
      <c r="D351" s="86" t="s">
        <v>1004</v>
      </c>
      <c r="E351" s="90" t="s">
        <v>149</v>
      </c>
      <c r="F351" s="88" t="s">
        <v>1698</v>
      </c>
      <c r="G351" s="88" t="s">
        <v>1185</v>
      </c>
      <c r="H351" s="82"/>
    </row>
    <row r="352" spans="1:8" x14ac:dyDescent="0.2">
      <c r="A352" s="85" t="s">
        <v>248</v>
      </c>
      <c r="B352" s="89" t="s">
        <v>1585</v>
      </c>
      <c r="C352" s="86" t="s">
        <v>1691</v>
      </c>
      <c r="D352" s="86" t="s">
        <v>1004</v>
      </c>
      <c r="E352" s="90" t="s">
        <v>133</v>
      </c>
      <c r="F352" s="88" t="s">
        <v>1699</v>
      </c>
      <c r="G352" s="88" t="s">
        <v>1184</v>
      </c>
      <c r="H352" s="82"/>
    </row>
    <row r="353" spans="1:8" x14ac:dyDescent="0.2">
      <c r="A353" s="85" t="s">
        <v>248</v>
      </c>
      <c r="B353" s="89" t="s">
        <v>1585</v>
      </c>
      <c r="C353" s="86" t="s">
        <v>1691</v>
      </c>
      <c r="D353" s="86" t="s">
        <v>1004</v>
      </c>
      <c r="E353" s="90" t="s">
        <v>1034</v>
      </c>
      <c r="F353" s="88" t="s">
        <v>1699</v>
      </c>
      <c r="G353" s="88" t="s">
        <v>1184</v>
      </c>
      <c r="H353" s="82"/>
    </row>
    <row r="354" spans="1:8" x14ac:dyDescent="0.2">
      <c r="A354" s="85" t="s">
        <v>248</v>
      </c>
      <c r="B354" s="89" t="s">
        <v>1585</v>
      </c>
      <c r="C354" s="86" t="s">
        <v>1691</v>
      </c>
      <c r="D354" s="86" t="s">
        <v>1004</v>
      </c>
      <c r="E354" s="90" t="s">
        <v>149</v>
      </c>
      <c r="F354" s="88" t="s">
        <v>1699</v>
      </c>
      <c r="G354" s="88" t="s">
        <v>1184</v>
      </c>
      <c r="H354" s="82"/>
    </row>
    <row r="355" spans="1:8" x14ac:dyDescent="0.2">
      <c r="A355" s="85" t="s">
        <v>248</v>
      </c>
      <c r="B355" s="89" t="s">
        <v>1585</v>
      </c>
      <c r="C355" s="86" t="s">
        <v>1691</v>
      </c>
      <c r="D355" s="86" t="s">
        <v>1004</v>
      </c>
      <c r="E355" s="90" t="s">
        <v>133</v>
      </c>
      <c r="F355" s="88" t="s">
        <v>1700</v>
      </c>
      <c r="G355" s="88" t="s">
        <v>1184</v>
      </c>
      <c r="H355" s="82"/>
    </row>
    <row r="356" spans="1:8" x14ac:dyDescent="0.2">
      <c r="A356" s="85" t="s">
        <v>248</v>
      </c>
      <c r="B356" s="89" t="s">
        <v>1585</v>
      </c>
      <c r="C356" s="86" t="s">
        <v>1691</v>
      </c>
      <c r="D356" s="86" t="s">
        <v>1004</v>
      </c>
      <c r="E356" s="90" t="s">
        <v>1034</v>
      </c>
      <c r="F356" s="88" t="s">
        <v>1700</v>
      </c>
      <c r="G356" s="88" t="s">
        <v>1184</v>
      </c>
      <c r="H356" s="82"/>
    </row>
    <row r="357" spans="1:8" x14ac:dyDescent="0.2">
      <c r="A357" s="85" t="s">
        <v>248</v>
      </c>
      <c r="B357" s="89" t="s">
        <v>1585</v>
      </c>
      <c r="C357" s="86" t="s">
        <v>1691</v>
      </c>
      <c r="D357" s="86" t="s">
        <v>1004</v>
      </c>
      <c r="E357" s="90" t="s">
        <v>149</v>
      </c>
      <c r="F357" s="88" t="s">
        <v>1700</v>
      </c>
      <c r="G357" s="88" t="s">
        <v>1184</v>
      </c>
      <c r="H357" s="82"/>
    </row>
    <row r="358" spans="1:8" x14ac:dyDescent="0.2">
      <c r="A358" s="85" t="s">
        <v>248</v>
      </c>
      <c r="B358" s="89" t="s">
        <v>1585</v>
      </c>
      <c r="C358" s="86" t="s">
        <v>1691</v>
      </c>
      <c r="D358" s="86" t="s">
        <v>1004</v>
      </c>
      <c r="E358" s="90" t="s">
        <v>133</v>
      </c>
      <c r="F358" s="88" t="s">
        <v>1701</v>
      </c>
      <c r="G358" s="88" t="s">
        <v>1184</v>
      </c>
      <c r="H358" s="82"/>
    </row>
    <row r="359" spans="1:8" x14ac:dyDescent="0.2">
      <c r="A359" s="85" t="s">
        <v>248</v>
      </c>
      <c r="B359" s="89" t="s">
        <v>1585</v>
      </c>
      <c r="C359" s="86" t="s">
        <v>1691</v>
      </c>
      <c r="D359" s="86" t="s">
        <v>1004</v>
      </c>
      <c r="E359" s="90" t="s">
        <v>1034</v>
      </c>
      <c r="F359" s="88" t="s">
        <v>1701</v>
      </c>
      <c r="G359" s="88" t="s">
        <v>1184</v>
      </c>
      <c r="H359" s="82"/>
    </row>
    <row r="360" spans="1:8" x14ac:dyDescent="0.2">
      <c r="A360" s="85" t="s">
        <v>248</v>
      </c>
      <c r="B360" s="89" t="s">
        <v>1585</v>
      </c>
      <c r="C360" s="86" t="s">
        <v>1691</v>
      </c>
      <c r="D360" s="86" t="s">
        <v>1004</v>
      </c>
      <c r="E360" s="90" t="s">
        <v>149</v>
      </c>
      <c r="F360" s="88" t="s">
        <v>1701</v>
      </c>
      <c r="G360" s="88" t="s">
        <v>1184</v>
      </c>
      <c r="H360" s="82"/>
    </row>
    <row r="361" spans="1:8" x14ac:dyDescent="0.2">
      <c r="A361" s="85" t="s">
        <v>248</v>
      </c>
      <c r="B361" s="89" t="s">
        <v>1585</v>
      </c>
      <c r="C361" s="86" t="s">
        <v>1691</v>
      </c>
      <c r="D361" s="86" t="s">
        <v>1004</v>
      </c>
      <c r="E361" s="90" t="s">
        <v>133</v>
      </c>
      <c r="F361" s="88" t="s">
        <v>1702</v>
      </c>
      <c r="G361" s="88" t="s">
        <v>1184</v>
      </c>
      <c r="H361" s="82"/>
    </row>
    <row r="362" spans="1:8" x14ac:dyDescent="0.2">
      <c r="A362" s="85" t="s">
        <v>248</v>
      </c>
      <c r="B362" s="89" t="s">
        <v>1585</v>
      </c>
      <c r="C362" s="86" t="s">
        <v>1691</v>
      </c>
      <c r="D362" s="86" t="s">
        <v>1004</v>
      </c>
      <c r="E362" s="90" t="s">
        <v>1034</v>
      </c>
      <c r="F362" s="88" t="s">
        <v>1702</v>
      </c>
      <c r="G362" s="88" t="s">
        <v>1184</v>
      </c>
      <c r="H362" s="82"/>
    </row>
    <row r="363" spans="1:8" x14ac:dyDescent="0.2">
      <c r="A363" s="85" t="s">
        <v>248</v>
      </c>
      <c r="B363" s="89" t="s">
        <v>1585</v>
      </c>
      <c r="C363" s="86" t="s">
        <v>1691</v>
      </c>
      <c r="D363" s="86" t="s">
        <v>1004</v>
      </c>
      <c r="E363" s="90" t="s">
        <v>149</v>
      </c>
      <c r="F363" s="88" t="s">
        <v>1702</v>
      </c>
      <c r="G363" s="88" t="s">
        <v>1184</v>
      </c>
      <c r="H363" s="82"/>
    </row>
    <row r="364" spans="1:8" ht="16" x14ac:dyDescent="0.2">
      <c r="A364" s="85" t="s">
        <v>248</v>
      </c>
      <c r="B364" s="97" t="s">
        <v>1704</v>
      </c>
      <c r="C364" s="86" t="s">
        <v>1691</v>
      </c>
      <c r="D364" s="86" t="s">
        <v>1004</v>
      </c>
      <c r="E364" s="90" t="s">
        <v>133</v>
      </c>
      <c r="F364" s="88" t="s">
        <v>1703</v>
      </c>
      <c r="G364" s="87" t="s">
        <v>1107</v>
      </c>
      <c r="H364" s="82"/>
    </row>
    <row r="365" spans="1:8" ht="16" x14ac:dyDescent="0.2">
      <c r="A365" s="85" t="s">
        <v>248</v>
      </c>
      <c r="B365" s="97" t="s">
        <v>1704</v>
      </c>
      <c r="C365" s="86" t="s">
        <v>1691</v>
      </c>
      <c r="D365" s="86" t="s">
        <v>1004</v>
      </c>
      <c r="E365" s="90" t="s">
        <v>1034</v>
      </c>
      <c r="F365" s="88" t="s">
        <v>1703</v>
      </c>
      <c r="G365" s="87" t="s">
        <v>1107</v>
      </c>
      <c r="H365" s="82"/>
    </row>
    <row r="366" spans="1:8" ht="16" x14ac:dyDescent="0.2">
      <c r="A366" s="85" t="s">
        <v>248</v>
      </c>
      <c r="B366" s="97" t="s">
        <v>1704</v>
      </c>
      <c r="C366" s="86" t="s">
        <v>1691</v>
      </c>
      <c r="D366" s="86" t="s">
        <v>1004</v>
      </c>
      <c r="E366" s="90" t="s">
        <v>149</v>
      </c>
      <c r="F366" s="88" t="s">
        <v>1703</v>
      </c>
      <c r="G366" s="87" t="s">
        <v>1107</v>
      </c>
      <c r="H366" s="82"/>
    </row>
    <row r="367" spans="1:8" ht="16" x14ac:dyDescent="0.2">
      <c r="A367" s="85" t="s">
        <v>248</v>
      </c>
      <c r="B367" s="97" t="s">
        <v>1704</v>
      </c>
      <c r="C367" s="86" t="s">
        <v>1691</v>
      </c>
      <c r="D367" s="86" t="s">
        <v>1004</v>
      </c>
      <c r="E367" s="90" t="s">
        <v>133</v>
      </c>
      <c r="F367" s="88" t="s">
        <v>1705</v>
      </c>
      <c r="G367" s="87" t="s">
        <v>1107</v>
      </c>
      <c r="H367" s="82"/>
    </row>
    <row r="368" spans="1:8" ht="16" x14ac:dyDescent="0.2">
      <c r="A368" s="85" t="s">
        <v>248</v>
      </c>
      <c r="B368" s="97" t="s">
        <v>1704</v>
      </c>
      <c r="C368" s="86" t="s">
        <v>1691</v>
      </c>
      <c r="D368" s="86" t="s">
        <v>1004</v>
      </c>
      <c r="E368" s="90" t="s">
        <v>1034</v>
      </c>
      <c r="F368" s="88" t="s">
        <v>1705</v>
      </c>
      <c r="G368" s="87" t="s">
        <v>1107</v>
      </c>
      <c r="H368" s="82"/>
    </row>
    <row r="369" spans="1:8" ht="16" x14ac:dyDescent="0.2">
      <c r="A369" s="85" t="s">
        <v>248</v>
      </c>
      <c r="B369" s="97" t="s">
        <v>1704</v>
      </c>
      <c r="C369" s="86" t="s">
        <v>1691</v>
      </c>
      <c r="D369" s="86" t="s">
        <v>1004</v>
      </c>
      <c r="E369" s="90" t="s">
        <v>149</v>
      </c>
      <c r="F369" s="88" t="s">
        <v>1705</v>
      </c>
      <c r="G369" s="87" t="s">
        <v>1107</v>
      </c>
      <c r="H369" s="82"/>
    </row>
    <row r="370" spans="1:8" ht="16" x14ac:dyDescent="0.2">
      <c r="A370" s="85" t="s">
        <v>248</v>
      </c>
      <c r="B370" s="97" t="s">
        <v>1704</v>
      </c>
      <c r="C370" s="86" t="s">
        <v>1691</v>
      </c>
      <c r="D370" s="86" t="s">
        <v>1004</v>
      </c>
      <c r="E370" s="90" t="s">
        <v>133</v>
      </c>
      <c r="F370" s="88" t="s">
        <v>1706</v>
      </c>
      <c r="G370" s="87" t="s">
        <v>1181</v>
      </c>
      <c r="H370" s="82"/>
    </row>
    <row r="371" spans="1:8" ht="16" x14ac:dyDescent="0.2">
      <c r="A371" s="85" t="s">
        <v>248</v>
      </c>
      <c r="B371" s="97" t="s">
        <v>1704</v>
      </c>
      <c r="C371" s="86" t="s">
        <v>1691</v>
      </c>
      <c r="D371" s="86" t="s">
        <v>1004</v>
      </c>
      <c r="E371" s="90" t="s">
        <v>1034</v>
      </c>
      <c r="F371" s="88" t="s">
        <v>1706</v>
      </c>
      <c r="G371" s="87" t="s">
        <v>1181</v>
      </c>
      <c r="H371" s="82"/>
    </row>
    <row r="372" spans="1:8" ht="16" x14ac:dyDescent="0.2">
      <c r="A372" s="85" t="s">
        <v>248</v>
      </c>
      <c r="B372" s="97" t="s">
        <v>1704</v>
      </c>
      <c r="C372" s="86" t="s">
        <v>1691</v>
      </c>
      <c r="D372" s="86" t="s">
        <v>1004</v>
      </c>
      <c r="E372" s="90" t="s">
        <v>149</v>
      </c>
      <c r="F372" s="88" t="s">
        <v>1706</v>
      </c>
      <c r="G372" s="87" t="s">
        <v>1181</v>
      </c>
      <c r="H372" s="82"/>
    </row>
    <row r="373" spans="1:8" ht="16" x14ac:dyDescent="0.2">
      <c r="A373" s="85" t="s">
        <v>248</v>
      </c>
      <c r="B373" s="97" t="s">
        <v>1704</v>
      </c>
      <c r="C373" s="86" t="s">
        <v>1691</v>
      </c>
      <c r="D373" s="86" t="s">
        <v>1004</v>
      </c>
      <c r="E373" s="90" t="s">
        <v>133</v>
      </c>
      <c r="F373" s="88" t="s">
        <v>1707</v>
      </c>
      <c r="G373" s="87" t="s">
        <v>1181</v>
      </c>
      <c r="H373" s="82"/>
    </row>
    <row r="374" spans="1:8" ht="16" x14ac:dyDescent="0.2">
      <c r="A374" s="85" t="s">
        <v>248</v>
      </c>
      <c r="B374" s="97" t="s">
        <v>1704</v>
      </c>
      <c r="C374" s="86" t="s">
        <v>1691</v>
      </c>
      <c r="D374" s="86" t="s">
        <v>1004</v>
      </c>
      <c r="E374" s="90" t="s">
        <v>1034</v>
      </c>
      <c r="F374" s="88" t="s">
        <v>1707</v>
      </c>
      <c r="G374" s="87" t="s">
        <v>1181</v>
      </c>
      <c r="H374" s="82"/>
    </row>
    <row r="375" spans="1:8" ht="16" x14ac:dyDescent="0.2">
      <c r="A375" s="85" t="s">
        <v>248</v>
      </c>
      <c r="B375" s="97" t="s">
        <v>1704</v>
      </c>
      <c r="C375" s="86" t="s">
        <v>1691</v>
      </c>
      <c r="D375" s="86" t="s">
        <v>1004</v>
      </c>
      <c r="E375" s="90" t="s">
        <v>149</v>
      </c>
      <c r="F375" s="88" t="s">
        <v>1707</v>
      </c>
      <c r="G375" s="87" t="s">
        <v>1181</v>
      </c>
      <c r="H375" s="82"/>
    </row>
    <row r="376" spans="1:8" ht="16" x14ac:dyDescent="0.2">
      <c r="A376" s="85" t="s">
        <v>248</v>
      </c>
      <c r="B376" s="97" t="s">
        <v>1704</v>
      </c>
      <c r="C376" s="86" t="s">
        <v>1691</v>
      </c>
      <c r="D376" s="86" t="s">
        <v>1004</v>
      </c>
      <c r="E376" s="90" t="s">
        <v>149</v>
      </c>
      <c r="F376" s="88" t="s">
        <v>1708</v>
      </c>
      <c r="G376" s="87" t="s">
        <v>1106</v>
      </c>
      <c r="H376" s="82"/>
    </row>
    <row r="377" spans="1:8" ht="16" x14ac:dyDescent="0.2">
      <c r="A377" s="85" t="s">
        <v>248</v>
      </c>
      <c r="B377" s="97" t="s">
        <v>1704</v>
      </c>
      <c r="C377" s="86" t="s">
        <v>1691</v>
      </c>
      <c r="D377" s="86" t="s">
        <v>1004</v>
      </c>
      <c r="E377" s="90" t="s">
        <v>133</v>
      </c>
      <c r="F377" s="88" t="s">
        <v>1708</v>
      </c>
      <c r="G377" s="87" t="s">
        <v>1106</v>
      </c>
      <c r="H377" s="82"/>
    </row>
    <row r="378" spans="1:8" ht="16" x14ac:dyDescent="0.2">
      <c r="A378" s="85" t="s">
        <v>248</v>
      </c>
      <c r="B378" s="97" t="s">
        <v>1704</v>
      </c>
      <c r="C378" s="86" t="s">
        <v>1691</v>
      </c>
      <c r="D378" s="86" t="s">
        <v>1004</v>
      </c>
      <c r="E378" s="90" t="s">
        <v>1034</v>
      </c>
      <c r="F378" s="88" t="s">
        <v>1708</v>
      </c>
      <c r="G378" s="87" t="s">
        <v>1106</v>
      </c>
      <c r="H378" s="82"/>
    </row>
    <row r="379" spans="1:8" ht="16" x14ac:dyDescent="0.2">
      <c r="A379" s="85" t="s">
        <v>308</v>
      </c>
      <c r="B379" s="89" t="s">
        <v>1585</v>
      </c>
      <c r="C379" s="86" t="s">
        <v>1709</v>
      </c>
      <c r="D379" s="86" t="s">
        <v>1003</v>
      </c>
      <c r="E379" s="90" t="s">
        <v>117</v>
      </c>
      <c r="F379" s="88" t="s">
        <v>308</v>
      </c>
      <c r="G379" s="87" t="s">
        <v>1177</v>
      </c>
      <c r="H379" s="82"/>
    </row>
    <row r="380" spans="1:8" ht="16" x14ac:dyDescent="0.2">
      <c r="A380" s="85" t="s">
        <v>308</v>
      </c>
      <c r="B380" s="89" t="s">
        <v>1585</v>
      </c>
      <c r="C380" s="86" t="s">
        <v>1709</v>
      </c>
      <c r="D380" s="86" t="s">
        <v>1003</v>
      </c>
      <c r="E380" s="90" t="s">
        <v>158</v>
      </c>
      <c r="F380" s="88" t="s">
        <v>308</v>
      </c>
      <c r="G380" s="87" t="s">
        <v>1177</v>
      </c>
      <c r="H380" s="82"/>
    </row>
    <row r="381" spans="1:8" ht="16" x14ac:dyDescent="0.2">
      <c r="A381" s="85" t="s">
        <v>308</v>
      </c>
      <c r="B381" s="89" t="s">
        <v>1585</v>
      </c>
      <c r="C381" s="86" t="s">
        <v>1709</v>
      </c>
      <c r="D381" s="86" t="s">
        <v>1003</v>
      </c>
      <c r="E381" s="90" t="s">
        <v>117</v>
      </c>
      <c r="F381" s="88" t="s">
        <v>313</v>
      </c>
      <c r="G381" s="87" t="s">
        <v>1177</v>
      </c>
      <c r="H381" s="82"/>
    </row>
    <row r="382" spans="1:8" ht="16" x14ac:dyDescent="0.2">
      <c r="A382" s="85" t="s">
        <v>308</v>
      </c>
      <c r="B382" s="89" t="s">
        <v>1585</v>
      </c>
      <c r="C382" s="86" t="s">
        <v>1709</v>
      </c>
      <c r="D382" s="86" t="s">
        <v>1003</v>
      </c>
      <c r="E382" s="90" t="s">
        <v>158</v>
      </c>
      <c r="F382" s="88" t="s">
        <v>313</v>
      </c>
      <c r="G382" s="87" t="s">
        <v>1177</v>
      </c>
      <c r="H382" s="82"/>
    </row>
    <row r="383" spans="1:8" ht="16" x14ac:dyDescent="0.2">
      <c r="A383" s="85" t="s">
        <v>308</v>
      </c>
      <c r="B383" s="89" t="s">
        <v>1585</v>
      </c>
      <c r="C383" s="86" t="s">
        <v>1709</v>
      </c>
      <c r="D383" s="86" t="s">
        <v>1003</v>
      </c>
      <c r="E383" s="90" t="s">
        <v>117</v>
      </c>
      <c r="F383" s="88" t="s">
        <v>1637</v>
      </c>
      <c r="G383" s="87" t="s">
        <v>1177</v>
      </c>
      <c r="H383" s="82"/>
    </row>
    <row r="384" spans="1:8" ht="16" x14ac:dyDescent="0.2">
      <c r="A384" s="85" t="s">
        <v>308</v>
      </c>
      <c r="B384" s="89" t="s">
        <v>1585</v>
      </c>
      <c r="C384" s="86" t="s">
        <v>1709</v>
      </c>
      <c r="D384" s="86" t="s">
        <v>1003</v>
      </c>
      <c r="E384" s="90" t="s">
        <v>158</v>
      </c>
      <c r="F384" s="88" t="s">
        <v>1637</v>
      </c>
      <c r="G384" s="87" t="s">
        <v>1177</v>
      </c>
      <c r="H384" s="82"/>
    </row>
    <row r="385" spans="1:8" ht="16" x14ac:dyDescent="0.2">
      <c r="A385" s="85" t="s">
        <v>308</v>
      </c>
      <c r="B385" s="89" t="s">
        <v>1585</v>
      </c>
      <c r="C385" s="86" t="s">
        <v>1709</v>
      </c>
      <c r="D385" s="86" t="s">
        <v>1003</v>
      </c>
      <c r="E385" s="90" t="s">
        <v>117</v>
      </c>
      <c r="F385" s="88" t="s">
        <v>1638</v>
      </c>
      <c r="G385" s="87" t="s">
        <v>1177</v>
      </c>
      <c r="H385" s="82"/>
    </row>
    <row r="386" spans="1:8" ht="16" x14ac:dyDescent="0.2">
      <c r="A386" s="85" t="s">
        <v>308</v>
      </c>
      <c r="B386" s="89" t="s">
        <v>1585</v>
      </c>
      <c r="C386" s="86" t="s">
        <v>1709</v>
      </c>
      <c r="D386" s="86" t="s">
        <v>1003</v>
      </c>
      <c r="E386" s="90" t="s">
        <v>158</v>
      </c>
      <c r="F386" s="88" t="s">
        <v>1638</v>
      </c>
      <c r="G386" s="87" t="s">
        <v>1177</v>
      </c>
      <c r="H386" s="82"/>
    </row>
    <row r="387" spans="1:8" ht="16" x14ac:dyDescent="0.2">
      <c r="A387" s="85" t="s">
        <v>308</v>
      </c>
      <c r="B387" s="89" t="s">
        <v>1585</v>
      </c>
      <c r="C387" s="86" t="s">
        <v>1709</v>
      </c>
      <c r="D387" s="86" t="s">
        <v>1003</v>
      </c>
      <c r="E387" s="90" t="s">
        <v>117</v>
      </c>
      <c r="F387" s="88" t="s">
        <v>1639</v>
      </c>
      <c r="G387" s="87" t="s">
        <v>1177</v>
      </c>
      <c r="H387" s="82"/>
    </row>
    <row r="388" spans="1:8" ht="16" x14ac:dyDescent="0.2">
      <c r="A388" s="85" t="s">
        <v>308</v>
      </c>
      <c r="B388" s="89" t="s">
        <v>1585</v>
      </c>
      <c r="C388" s="86" t="s">
        <v>1709</v>
      </c>
      <c r="D388" s="86" t="s">
        <v>1003</v>
      </c>
      <c r="E388" s="90" t="s">
        <v>158</v>
      </c>
      <c r="F388" s="88" t="s">
        <v>1639</v>
      </c>
      <c r="G388" s="87" t="s">
        <v>1177</v>
      </c>
      <c r="H388" s="82"/>
    </row>
    <row r="389" spans="1:8" ht="16" x14ac:dyDescent="0.2">
      <c r="A389" s="85" t="s">
        <v>308</v>
      </c>
      <c r="B389" s="97" t="s">
        <v>1595</v>
      </c>
      <c r="C389" s="86" t="s">
        <v>1709</v>
      </c>
      <c r="D389" s="86" t="s">
        <v>1003</v>
      </c>
      <c r="E389" s="90" t="s">
        <v>117</v>
      </c>
      <c r="F389" s="88" t="s">
        <v>1642</v>
      </c>
      <c r="G389" s="87" t="s">
        <v>1103</v>
      </c>
      <c r="H389" s="82"/>
    </row>
    <row r="390" spans="1:8" ht="16" x14ac:dyDescent="0.2">
      <c r="A390" s="85" t="s">
        <v>308</v>
      </c>
      <c r="B390" s="97" t="s">
        <v>1595</v>
      </c>
      <c r="C390" s="86" t="s">
        <v>1709</v>
      </c>
      <c r="D390" s="86" t="s">
        <v>1003</v>
      </c>
      <c r="E390" s="90" t="s">
        <v>158</v>
      </c>
      <c r="F390" s="88" t="s">
        <v>1642</v>
      </c>
      <c r="G390" s="87" t="s">
        <v>1103</v>
      </c>
      <c r="H390" s="82"/>
    </row>
    <row r="391" spans="1:8" ht="16" x14ac:dyDescent="0.2">
      <c r="A391" s="85" t="s">
        <v>308</v>
      </c>
      <c r="B391" s="89" t="s">
        <v>1585</v>
      </c>
      <c r="C391" s="86" t="s">
        <v>1709</v>
      </c>
      <c r="D391" s="86" t="s">
        <v>1003</v>
      </c>
      <c r="E391" s="90" t="s">
        <v>126</v>
      </c>
      <c r="F391" s="88" t="s">
        <v>308</v>
      </c>
      <c r="G391" s="87" t="s">
        <v>418</v>
      </c>
      <c r="H391" s="82"/>
    </row>
    <row r="392" spans="1:8" ht="16" x14ac:dyDescent="0.2">
      <c r="A392" s="85" t="s">
        <v>308</v>
      </c>
      <c r="B392" s="89" t="s">
        <v>1585</v>
      </c>
      <c r="C392" s="86" t="s">
        <v>1709</v>
      </c>
      <c r="D392" s="86" t="s">
        <v>1003</v>
      </c>
      <c r="E392" s="90" t="s">
        <v>126</v>
      </c>
      <c r="F392" s="88" t="s">
        <v>313</v>
      </c>
      <c r="G392" s="87" t="s">
        <v>418</v>
      </c>
      <c r="H392" s="82"/>
    </row>
    <row r="393" spans="1:8" ht="16" x14ac:dyDescent="0.2">
      <c r="A393" s="85" t="s">
        <v>308</v>
      </c>
      <c r="B393" s="89" t="s">
        <v>1585</v>
      </c>
      <c r="C393" s="86" t="s">
        <v>1709</v>
      </c>
      <c r="D393" s="86" t="s">
        <v>1003</v>
      </c>
      <c r="E393" s="90" t="s">
        <v>126</v>
      </c>
      <c r="F393" s="88" t="s">
        <v>1637</v>
      </c>
      <c r="G393" s="87" t="s">
        <v>418</v>
      </c>
      <c r="H393" s="82"/>
    </row>
    <row r="394" spans="1:8" ht="16" x14ac:dyDescent="0.2">
      <c r="A394" s="85" t="s">
        <v>308</v>
      </c>
      <c r="B394" s="89" t="s">
        <v>1585</v>
      </c>
      <c r="C394" s="86" t="s">
        <v>1709</v>
      </c>
      <c r="D394" s="86" t="s">
        <v>1003</v>
      </c>
      <c r="E394" s="90" t="s">
        <v>126</v>
      </c>
      <c r="F394" s="88" t="s">
        <v>1638</v>
      </c>
      <c r="G394" s="87" t="s">
        <v>418</v>
      </c>
      <c r="H394" s="82"/>
    </row>
    <row r="395" spans="1:8" ht="16" x14ac:dyDescent="0.2">
      <c r="A395" s="85" t="s">
        <v>308</v>
      </c>
      <c r="B395" s="89" t="s">
        <v>1585</v>
      </c>
      <c r="C395" s="86" t="s">
        <v>1709</v>
      </c>
      <c r="D395" s="86" t="s">
        <v>1003</v>
      </c>
      <c r="E395" s="90" t="s">
        <v>126</v>
      </c>
      <c r="F395" s="88" t="s">
        <v>1639</v>
      </c>
      <c r="G395" s="87" t="s">
        <v>418</v>
      </c>
      <c r="H395" s="82"/>
    </row>
    <row r="396" spans="1:8" ht="16" x14ac:dyDescent="0.2">
      <c r="A396" s="85" t="s">
        <v>308</v>
      </c>
      <c r="B396" s="89" t="s">
        <v>1585</v>
      </c>
      <c r="C396" s="86" t="s">
        <v>1709</v>
      </c>
      <c r="D396" s="86" t="s">
        <v>1003</v>
      </c>
      <c r="E396" s="90" t="s">
        <v>126</v>
      </c>
      <c r="F396" s="88" t="s">
        <v>1710</v>
      </c>
      <c r="G396" s="87" t="s">
        <v>418</v>
      </c>
      <c r="H396" s="82"/>
    </row>
    <row r="397" spans="1:8" ht="16" x14ac:dyDescent="0.2">
      <c r="A397" s="85" t="s">
        <v>308</v>
      </c>
      <c r="B397" s="89" t="s">
        <v>1585</v>
      </c>
      <c r="C397" s="86" t="s">
        <v>1709</v>
      </c>
      <c r="D397" s="86" t="s">
        <v>1003</v>
      </c>
      <c r="E397" s="90" t="s">
        <v>126</v>
      </c>
      <c r="F397" s="88" t="s">
        <v>1711</v>
      </c>
      <c r="G397" s="87" t="s">
        <v>418</v>
      </c>
      <c r="H397" s="82"/>
    </row>
    <row r="398" spans="1:8" ht="16" x14ac:dyDescent="0.2">
      <c r="A398" s="85" t="s">
        <v>308</v>
      </c>
      <c r="B398" s="89" t="s">
        <v>1585</v>
      </c>
      <c r="C398" s="86" t="s">
        <v>1709</v>
      </c>
      <c r="D398" s="86" t="s">
        <v>1003</v>
      </c>
      <c r="E398" s="90" t="s">
        <v>126</v>
      </c>
      <c r="F398" s="88" t="s">
        <v>1712</v>
      </c>
      <c r="G398" s="87" t="s">
        <v>418</v>
      </c>
      <c r="H398" s="82"/>
    </row>
    <row r="399" spans="1:8" ht="16" x14ac:dyDescent="0.2">
      <c r="A399" s="85" t="s">
        <v>308</v>
      </c>
      <c r="B399" s="89" t="s">
        <v>1585</v>
      </c>
      <c r="C399" s="86" t="s">
        <v>1709</v>
      </c>
      <c r="D399" s="86" t="s">
        <v>1003</v>
      </c>
      <c r="E399" s="90" t="s">
        <v>126</v>
      </c>
      <c r="F399" s="88" t="s">
        <v>1713</v>
      </c>
      <c r="G399" s="87" t="s">
        <v>418</v>
      </c>
      <c r="H399" s="82"/>
    </row>
    <row r="400" spans="1:8" x14ac:dyDescent="0.2">
      <c r="A400" s="85" t="s">
        <v>308</v>
      </c>
      <c r="B400" s="89" t="s">
        <v>1585</v>
      </c>
      <c r="C400" s="86" t="s">
        <v>1709</v>
      </c>
      <c r="D400" s="86" t="s">
        <v>1003</v>
      </c>
      <c r="E400" s="90" t="s">
        <v>133</v>
      </c>
      <c r="F400" s="88" t="s">
        <v>308</v>
      </c>
      <c r="G400" s="88" t="s">
        <v>1178</v>
      </c>
      <c r="H400" s="82"/>
    </row>
    <row r="401" spans="1:8" x14ac:dyDescent="0.2">
      <c r="A401" s="85" t="s">
        <v>308</v>
      </c>
      <c r="B401" s="89" t="s">
        <v>1585</v>
      </c>
      <c r="C401" s="86" t="s">
        <v>1709</v>
      </c>
      <c r="D401" s="86" t="s">
        <v>1003</v>
      </c>
      <c r="E401" s="90" t="s">
        <v>1034</v>
      </c>
      <c r="F401" s="88" t="s">
        <v>308</v>
      </c>
      <c r="G401" s="88" t="s">
        <v>1178</v>
      </c>
      <c r="H401" s="82"/>
    </row>
    <row r="402" spans="1:8" x14ac:dyDescent="0.2">
      <c r="A402" s="85" t="s">
        <v>308</v>
      </c>
      <c r="B402" s="89" t="s">
        <v>1585</v>
      </c>
      <c r="C402" s="86" t="s">
        <v>1709</v>
      </c>
      <c r="D402" s="86" t="s">
        <v>1003</v>
      </c>
      <c r="E402" s="90" t="s">
        <v>140</v>
      </c>
      <c r="F402" s="88" t="s">
        <v>308</v>
      </c>
      <c r="G402" s="88" t="s">
        <v>1178</v>
      </c>
      <c r="H402" s="82"/>
    </row>
    <row r="403" spans="1:8" x14ac:dyDescent="0.2">
      <c r="A403" s="85" t="s">
        <v>308</v>
      </c>
      <c r="B403" s="89" t="s">
        <v>1585</v>
      </c>
      <c r="C403" s="86" t="s">
        <v>1709</v>
      </c>
      <c r="D403" s="86" t="s">
        <v>1003</v>
      </c>
      <c r="E403" s="90" t="s">
        <v>133</v>
      </c>
      <c r="F403" s="88" t="s">
        <v>1637</v>
      </c>
      <c r="G403" s="88" t="s">
        <v>1178</v>
      </c>
      <c r="H403" s="82"/>
    </row>
    <row r="404" spans="1:8" x14ac:dyDescent="0.2">
      <c r="A404" s="85" t="s">
        <v>308</v>
      </c>
      <c r="B404" s="89" t="s">
        <v>1585</v>
      </c>
      <c r="C404" s="86" t="s">
        <v>1709</v>
      </c>
      <c r="D404" s="86" t="s">
        <v>1003</v>
      </c>
      <c r="E404" s="90" t="s">
        <v>1034</v>
      </c>
      <c r="F404" s="88" t="s">
        <v>1637</v>
      </c>
      <c r="G404" s="88" t="s">
        <v>1178</v>
      </c>
      <c r="H404" s="82"/>
    </row>
    <row r="405" spans="1:8" x14ac:dyDescent="0.2">
      <c r="A405" s="85" t="s">
        <v>308</v>
      </c>
      <c r="B405" s="89" t="s">
        <v>1585</v>
      </c>
      <c r="C405" s="86" t="s">
        <v>1709</v>
      </c>
      <c r="D405" s="86" t="s">
        <v>1003</v>
      </c>
      <c r="E405" s="90" t="s">
        <v>140</v>
      </c>
      <c r="F405" s="88" t="s">
        <v>1637</v>
      </c>
      <c r="G405" s="88" t="s">
        <v>1178</v>
      </c>
      <c r="H405" s="82"/>
    </row>
    <row r="406" spans="1:8" x14ac:dyDescent="0.2">
      <c r="A406" s="85" t="s">
        <v>308</v>
      </c>
      <c r="B406" s="89" t="s">
        <v>1585</v>
      </c>
      <c r="C406" s="86" t="s">
        <v>1709</v>
      </c>
      <c r="D406" s="86" t="s">
        <v>1003</v>
      </c>
      <c r="E406" s="90" t="s">
        <v>133</v>
      </c>
      <c r="F406" s="88" t="s">
        <v>1638</v>
      </c>
      <c r="G406" s="88" t="s">
        <v>1178</v>
      </c>
      <c r="H406" s="82"/>
    </row>
    <row r="407" spans="1:8" x14ac:dyDescent="0.2">
      <c r="A407" s="85" t="s">
        <v>308</v>
      </c>
      <c r="B407" s="89" t="s">
        <v>1585</v>
      </c>
      <c r="C407" s="86" t="s">
        <v>1709</v>
      </c>
      <c r="D407" s="86" t="s">
        <v>1003</v>
      </c>
      <c r="E407" s="90" t="s">
        <v>1034</v>
      </c>
      <c r="F407" s="88" t="s">
        <v>1638</v>
      </c>
      <c r="G407" s="88" t="s">
        <v>1178</v>
      </c>
      <c r="H407" s="82"/>
    </row>
    <row r="408" spans="1:8" x14ac:dyDescent="0.2">
      <c r="A408" s="85" t="s">
        <v>308</v>
      </c>
      <c r="B408" s="89" t="s">
        <v>1585</v>
      </c>
      <c r="C408" s="86" t="s">
        <v>1709</v>
      </c>
      <c r="D408" s="86" t="s">
        <v>1003</v>
      </c>
      <c r="E408" s="90" t="s">
        <v>140</v>
      </c>
      <c r="F408" s="88" t="s">
        <v>1638</v>
      </c>
      <c r="G408" s="88" t="s">
        <v>1178</v>
      </c>
      <c r="H408" s="82"/>
    </row>
    <row r="409" spans="1:8" x14ac:dyDescent="0.2">
      <c r="A409" s="85" t="s">
        <v>308</v>
      </c>
      <c r="B409" s="89" t="s">
        <v>1585</v>
      </c>
      <c r="C409" s="86" t="s">
        <v>1709</v>
      </c>
      <c r="D409" s="86" t="s">
        <v>1003</v>
      </c>
      <c r="E409" s="90" t="s">
        <v>133</v>
      </c>
      <c r="F409" s="88" t="s">
        <v>1639</v>
      </c>
      <c r="G409" s="88" t="s">
        <v>1178</v>
      </c>
      <c r="H409" s="82"/>
    </row>
    <row r="410" spans="1:8" x14ac:dyDescent="0.2">
      <c r="A410" s="85" t="s">
        <v>308</v>
      </c>
      <c r="B410" s="89" t="s">
        <v>1585</v>
      </c>
      <c r="C410" s="86" t="s">
        <v>1709</v>
      </c>
      <c r="D410" s="86" t="s">
        <v>1003</v>
      </c>
      <c r="E410" s="90" t="s">
        <v>1034</v>
      </c>
      <c r="F410" s="88" t="s">
        <v>1639</v>
      </c>
      <c r="G410" s="88" t="s">
        <v>1178</v>
      </c>
      <c r="H410" s="82"/>
    </row>
    <row r="411" spans="1:8" x14ac:dyDescent="0.2">
      <c r="A411" s="85" t="s">
        <v>308</v>
      </c>
      <c r="B411" s="89" t="s">
        <v>1585</v>
      </c>
      <c r="C411" s="86" t="s">
        <v>1709</v>
      </c>
      <c r="D411" s="86" t="s">
        <v>1003</v>
      </c>
      <c r="E411" s="90" t="s">
        <v>140</v>
      </c>
      <c r="F411" s="88" t="s">
        <v>1639</v>
      </c>
      <c r="G411" s="88" t="s">
        <v>1178</v>
      </c>
      <c r="H411" s="82"/>
    </row>
    <row r="412" spans="1:8" x14ac:dyDescent="0.2">
      <c r="A412" s="85" t="s">
        <v>308</v>
      </c>
      <c r="B412" s="89" t="s">
        <v>1585</v>
      </c>
      <c r="C412" s="86" t="s">
        <v>1709</v>
      </c>
      <c r="D412" s="86" t="s">
        <v>1003</v>
      </c>
      <c r="E412" s="90" t="s">
        <v>133</v>
      </c>
      <c r="F412" s="88" t="s">
        <v>1710</v>
      </c>
      <c r="G412" s="88" t="s">
        <v>1171</v>
      </c>
      <c r="H412" s="82"/>
    </row>
    <row r="413" spans="1:8" x14ac:dyDescent="0.2">
      <c r="A413" s="85" t="s">
        <v>308</v>
      </c>
      <c r="B413" s="89" t="s">
        <v>1585</v>
      </c>
      <c r="C413" s="86" t="s">
        <v>1709</v>
      </c>
      <c r="D413" s="86" t="s">
        <v>1003</v>
      </c>
      <c r="E413" s="90" t="s">
        <v>1034</v>
      </c>
      <c r="F413" s="88" t="s">
        <v>1710</v>
      </c>
      <c r="G413" s="88" t="s">
        <v>1171</v>
      </c>
      <c r="H413" s="82"/>
    </row>
    <row r="414" spans="1:8" x14ac:dyDescent="0.2">
      <c r="A414" s="85" t="s">
        <v>308</v>
      </c>
      <c r="B414" s="89" t="s">
        <v>1585</v>
      </c>
      <c r="C414" s="86" t="s">
        <v>1709</v>
      </c>
      <c r="D414" s="86" t="s">
        <v>1003</v>
      </c>
      <c r="E414" s="90" t="s">
        <v>133</v>
      </c>
      <c r="F414" s="88" t="s">
        <v>1714</v>
      </c>
      <c r="G414" s="88" t="s">
        <v>1171</v>
      </c>
      <c r="H414" s="82"/>
    </row>
    <row r="415" spans="1:8" x14ac:dyDescent="0.2">
      <c r="A415" s="85" t="s">
        <v>308</v>
      </c>
      <c r="B415" s="89" t="s">
        <v>1585</v>
      </c>
      <c r="C415" s="86" t="s">
        <v>1709</v>
      </c>
      <c r="D415" s="86" t="s">
        <v>1003</v>
      </c>
      <c r="E415" s="90" t="s">
        <v>1034</v>
      </c>
      <c r="F415" s="88" t="s">
        <v>1714</v>
      </c>
      <c r="G415" s="88" t="s">
        <v>1171</v>
      </c>
      <c r="H415" s="82"/>
    </row>
    <row r="416" spans="1:8" x14ac:dyDescent="0.2">
      <c r="A416" s="85" t="s">
        <v>308</v>
      </c>
      <c r="B416" s="89" t="s">
        <v>1585</v>
      </c>
      <c r="C416" s="86" t="s">
        <v>1709</v>
      </c>
      <c r="D416" s="86" t="s">
        <v>1003</v>
      </c>
      <c r="E416" s="90" t="s">
        <v>133</v>
      </c>
      <c r="F416" s="88" t="s">
        <v>1710</v>
      </c>
      <c r="G416" s="88" t="s">
        <v>1171</v>
      </c>
      <c r="H416" s="82"/>
    </row>
    <row r="417" spans="1:8" x14ac:dyDescent="0.2">
      <c r="A417" s="85" t="s">
        <v>308</v>
      </c>
      <c r="B417" s="89" t="s">
        <v>1585</v>
      </c>
      <c r="C417" s="86" t="s">
        <v>1709</v>
      </c>
      <c r="D417" s="86" t="s">
        <v>1003</v>
      </c>
      <c r="E417" s="90" t="s">
        <v>1034</v>
      </c>
      <c r="F417" s="88" t="s">
        <v>1710</v>
      </c>
      <c r="G417" s="88" t="s">
        <v>1171</v>
      </c>
      <c r="H417" s="82"/>
    </row>
    <row r="418" spans="1:8" x14ac:dyDescent="0.2">
      <c r="A418" s="85" t="s">
        <v>308</v>
      </c>
      <c r="B418" s="89" t="s">
        <v>1585</v>
      </c>
      <c r="C418" s="86" t="s">
        <v>1709</v>
      </c>
      <c r="D418" s="86" t="s">
        <v>1003</v>
      </c>
      <c r="E418" s="90" t="s">
        <v>133</v>
      </c>
      <c r="F418" s="88" t="s">
        <v>1714</v>
      </c>
      <c r="G418" s="88" t="s">
        <v>1171</v>
      </c>
      <c r="H418" s="82"/>
    </row>
    <row r="419" spans="1:8" x14ac:dyDescent="0.2">
      <c r="A419" s="85" t="s">
        <v>308</v>
      </c>
      <c r="B419" s="89" t="s">
        <v>1585</v>
      </c>
      <c r="C419" s="86" t="s">
        <v>1709</v>
      </c>
      <c r="D419" s="86" t="s">
        <v>1003</v>
      </c>
      <c r="E419" s="90" t="s">
        <v>1034</v>
      </c>
      <c r="F419" s="88" t="s">
        <v>1714</v>
      </c>
      <c r="G419" s="88" t="s">
        <v>1171</v>
      </c>
      <c r="H419" s="82"/>
    </row>
    <row r="420" spans="1:8" x14ac:dyDescent="0.2">
      <c r="A420" s="85" t="s">
        <v>308</v>
      </c>
      <c r="B420" s="89" t="s">
        <v>1585</v>
      </c>
      <c r="C420" s="86" t="s">
        <v>1709</v>
      </c>
      <c r="D420" s="86" t="s">
        <v>1003</v>
      </c>
      <c r="E420" s="90" t="s">
        <v>126</v>
      </c>
      <c r="F420" s="88" t="s">
        <v>1640</v>
      </c>
      <c r="G420" s="88" t="s">
        <v>1174</v>
      </c>
      <c r="H420" s="82"/>
    </row>
    <row r="421" spans="1:8" x14ac:dyDescent="0.2">
      <c r="A421" s="85" t="s">
        <v>308</v>
      </c>
      <c r="B421" s="89" t="s">
        <v>1585</v>
      </c>
      <c r="C421" s="86" t="s">
        <v>1709</v>
      </c>
      <c r="D421" s="86" t="s">
        <v>1003</v>
      </c>
      <c r="E421" s="90" t="s">
        <v>126</v>
      </c>
      <c r="F421" s="88" t="s">
        <v>1715</v>
      </c>
      <c r="G421" s="88" t="s">
        <v>1174</v>
      </c>
      <c r="H421" s="82"/>
    </row>
    <row r="422" spans="1:8" x14ac:dyDescent="0.2">
      <c r="A422" s="85" t="s">
        <v>308</v>
      </c>
      <c r="B422" s="89" t="s">
        <v>1585</v>
      </c>
      <c r="C422" s="86" t="s">
        <v>1709</v>
      </c>
      <c r="D422" s="86" t="s">
        <v>1003</v>
      </c>
      <c r="E422" s="90" t="s">
        <v>126</v>
      </c>
      <c r="F422" s="88" t="s">
        <v>1716</v>
      </c>
      <c r="G422" s="88" t="s">
        <v>1174</v>
      </c>
      <c r="H422" s="82"/>
    </row>
    <row r="423" spans="1:8" x14ac:dyDescent="0.2">
      <c r="A423" s="85" t="s">
        <v>308</v>
      </c>
      <c r="B423" s="89" t="s">
        <v>1585</v>
      </c>
      <c r="C423" s="86" t="s">
        <v>1709</v>
      </c>
      <c r="D423" s="86" t="s">
        <v>1003</v>
      </c>
      <c r="E423" s="90" t="s">
        <v>117</v>
      </c>
      <c r="F423" s="88" t="s">
        <v>1640</v>
      </c>
      <c r="G423" s="88" t="s">
        <v>1175</v>
      </c>
      <c r="H423" s="82"/>
    </row>
    <row r="424" spans="1:8" x14ac:dyDescent="0.2">
      <c r="A424" s="85" t="s">
        <v>308</v>
      </c>
      <c r="B424" s="89" t="s">
        <v>1585</v>
      </c>
      <c r="C424" s="86" t="s">
        <v>1709</v>
      </c>
      <c r="D424" s="86" t="s">
        <v>1003</v>
      </c>
      <c r="E424" s="90" t="s">
        <v>117</v>
      </c>
      <c r="F424" s="88" t="s">
        <v>1641</v>
      </c>
      <c r="G424" s="88" t="s">
        <v>1175</v>
      </c>
      <c r="H424" s="82"/>
    </row>
    <row r="425" spans="1:8" x14ac:dyDescent="0.2">
      <c r="A425" s="85" t="s">
        <v>308</v>
      </c>
      <c r="B425" s="89" t="s">
        <v>1585</v>
      </c>
      <c r="C425" s="86" t="s">
        <v>1709</v>
      </c>
      <c r="D425" s="86" t="s">
        <v>1003</v>
      </c>
      <c r="E425" s="90" t="s">
        <v>117</v>
      </c>
      <c r="F425" s="88" t="s">
        <v>1717</v>
      </c>
      <c r="G425" s="88" t="s">
        <v>1175</v>
      </c>
      <c r="H425" s="82"/>
    </row>
    <row r="426" spans="1:8" x14ac:dyDescent="0.2">
      <c r="A426" s="85" t="s">
        <v>308</v>
      </c>
      <c r="B426" s="89" t="s">
        <v>1585</v>
      </c>
      <c r="C426" s="86" t="s">
        <v>1709</v>
      </c>
      <c r="D426" s="86" t="s">
        <v>1003</v>
      </c>
      <c r="E426" s="90" t="s">
        <v>158</v>
      </c>
      <c r="F426" s="88" t="s">
        <v>1640</v>
      </c>
      <c r="G426" s="88" t="s">
        <v>1175</v>
      </c>
      <c r="H426" s="82"/>
    </row>
    <row r="427" spans="1:8" x14ac:dyDescent="0.2">
      <c r="A427" s="85" t="s">
        <v>308</v>
      </c>
      <c r="B427" s="89" t="s">
        <v>1585</v>
      </c>
      <c r="C427" s="86" t="s">
        <v>1709</v>
      </c>
      <c r="D427" s="86" t="s">
        <v>1003</v>
      </c>
      <c r="E427" s="90" t="s">
        <v>158</v>
      </c>
      <c r="F427" s="88" t="s">
        <v>1641</v>
      </c>
      <c r="G427" s="88" t="s">
        <v>1175</v>
      </c>
      <c r="H427" s="82"/>
    </row>
    <row r="428" spans="1:8" x14ac:dyDescent="0.2">
      <c r="A428" s="85" t="s">
        <v>308</v>
      </c>
      <c r="B428" s="89" t="s">
        <v>1585</v>
      </c>
      <c r="C428" s="86" t="s">
        <v>1709</v>
      </c>
      <c r="D428" s="86" t="s">
        <v>1003</v>
      </c>
      <c r="E428" s="90" t="s">
        <v>158</v>
      </c>
      <c r="F428" s="88" t="s">
        <v>1717</v>
      </c>
      <c r="G428" s="88" t="s">
        <v>1175</v>
      </c>
      <c r="H428" s="82"/>
    </row>
    <row r="429" spans="1:8" ht="16" x14ac:dyDescent="0.2">
      <c r="A429" s="85" t="s">
        <v>308</v>
      </c>
      <c r="B429" s="89" t="s">
        <v>1585</v>
      </c>
      <c r="C429" s="86" t="s">
        <v>1709</v>
      </c>
      <c r="D429" s="86" t="s">
        <v>1003</v>
      </c>
      <c r="E429" s="90" t="s">
        <v>133</v>
      </c>
      <c r="F429" s="88" t="s">
        <v>1710</v>
      </c>
      <c r="G429" s="87" t="s">
        <v>1171</v>
      </c>
      <c r="H429" s="82"/>
    </row>
    <row r="430" spans="1:8" ht="16" x14ac:dyDescent="0.2">
      <c r="A430" s="85" t="s">
        <v>308</v>
      </c>
      <c r="B430" s="89" t="s">
        <v>1585</v>
      </c>
      <c r="C430" s="86" t="s">
        <v>1709</v>
      </c>
      <c r="D430" s="86" t="s">
        <v>1003</v>
      </c>
      <c r="E430" s="90" t="s">
        <v>1034</v>
      </c>
      <c r="F430" s="88" t="s">
        <v>1710</v>
      </c>
      <c r="G430" s="87" t="s">
        <v>1171</v>
      </c>
      <c r="H430" s="82"/>
    </row>
    <row r="431" spans="1:8" ht="16" x14ac:dyDescent="0.2">
      <c r="A431" s="85" t="s">
        <v>308</v>
      </c>
      <c r="B431" s="89" t="s">
        <v>1585</v>
      </c>
      <c r="C431" s="86" t="s">
        <v>1709</v>
      </c>
      <c r="D431" s="86" t="s">
        <v>1003</v>
      </c>
      <c r="E431" s="90" t="s">
        <v>133</v>
      </c>
      <c r="F431" s="88" t="s">
        <v>1711</v>
      </c>
      <c r="G431" s="87" t="s">
        <v>1171</v>
      </c>
      <c r="H431" s="82"/>
    </row>
    <row r="432" spans="1:8" ht="16" x14ac:dyDescent="0.2">
      <c r="A432" s="85" t="s">
        <v>308</v>
      </c>
      <c r="B432" s="89" t="s">
        <v>1585</v>
      </c>
      <c r="C432" s="86" t="s">
        <v>1709</v>
      </c>
      <c r="D432" s="86" t="s">
        <v>1003</v>
      </c>
      <c r="E432" s="90" t="s">
        <v>1034</v>
      </c>
      <c r="F432" s="88" t="s">
        <v>1711</v>
      </c>
      <c r="G432" s="87" t="s">
        <v>1171</v>
      </c>
      <c r="H432" s="82"/>
    </row>
    <row r="433" spans="1:8" ht="16" x14ac:dyDescent="0.2">
      <c r="A433" s="85" t="s">
        <v>308</v>
      </c>
      <c r="B433" s="89" t="s">
        <v>1585</v>
      </c>
      <c r="C433" s="86" t="s">
        <v>1709</v>
      </c>
      <c r="D433" s="86" t="s">
        <v>1003</v>
      </c>
      <c r="E433" s="90" t="s">
        <v>133</v>
      </c>
      <c r="F433" s="88" t="s">
        <v>1713</v>
      </c>
      <c r="G433" s="87" t="s">
        <v>1171</v>
      </c>
      <c r="H433" s="82"/>
    </row>
    <row r="434" spans="1:8" ht="16" x14ac:dyDescent="0.2">
      <c r="A434" s="85" t="s">
        <v>308</v>
      </c>
      <c r="B434" s="89" t="s">
        <v>1585</v>
      </c>
      <c r="C434" s="86" t="s">
        <v>1709</v>
      </c>
      <c r="D434" s="86" t="s">
        <v>1003</v>
      </c>
      <c r="E434" s="90" t="s">
        <v>1034</v>
      </c>
      <c r="F434" s="88" t="s">
        <v>1713</v>
      </c>
      <c r="G434" s="87" t="s">
        <v>1171</v>
      </c>
      <c r="H434" s="82"/>
    </row>
    <row r="435" spans="1:8" ht="16" x14ac:dyDescent="0.2">
      <c r="A435" s="85" t="s">
        <v>117</v>
      </c>
      <c r="B435" s="89" t="s">
        <v>1585</v>
      </c>
      <c r="C435" s="86" t="s">
        <v>1709</v>
      </c>
      <c r="D435" s="86" t="s">
        <v>1003</v>
      </c>
      <c r="E435" s="90" t="s">
        <v>126</v>
      </c>
      <c r="F435" s="88" t="s">
        <v>117</v>
      </c>
      <c r="G435" s="87" t="s">
        <v>411</v>
      </c>
      <c r="H435" s="82"/>
    </row>
    <row r="436" spans="1:8" x14ac:dyDescent="0.2">
      <c r="A436" s="85" t="s">
        <v>117</v>
      </c>
      <c r="B436" s="89" t="s">
        <v>1585</v>
      </c>
      <c r="C436" s="86" t="s">
        <v>1709</v>
      </c>
      <c r="D436" s="86" t="s">
        <v>1003</v>
      </c>
      <c r="E436" s="90" t="s">
        <v>133</v>
      </c>
      <c r="F436" s="88" t="s">
        <v>117</v>
      </c>
      <c r="G436" s="88" t="s">
        <v>1170</v>
      </c>
      <c r="H436" s="82"/>
    </row>
    <row r="437" spans="1:8" ht="16" x14ac:dyDescent="0.2">
      <c r="A437" s="85" t="s">
        <v>117</v>
      </c>
      <c r="B437" s="89" t="s">
        <v>1585</v>
      </c>
      <c r="C437" s="86" t="s">
        <v>1709</v>
      </c>
      <c r="D437" s="86" t="s">
        <v>1003</v>
      </c>
      <c r="E437" s="90" t="s">
        <v>126</v>
      </c>
      <c r="F437" s="88" t="s">
        <v>117</v>
      </c>
      <c r="G437" s="87" t="s">
        <v>411</v>
      </c>
      <c r="H437" s="82"/>
    </row>
    <row r="438" spans="1:8" x14ac:dyDescent="0.2">
      <c r="A438" s="85" t="s">
        <v>117</v>
      </c>
      <c r="B438" s="89" t="s">
        <v>1585</v>
      </c>
      <c r="C438" s="86" t="s">
        <v>1709</v>
      </c>
      <c r="D438" s="86" t="s">
        <v>1003</v>
      </c>
      <c r="E438" s="90" t="s">
        <v>133</v>
      </c>
      <c r="F438" s="88" t="s">
        <v>117</v>
      </c>
      <c r="G438" s="88" t="s">
        <v>1170</v>
      </c>
      <c r="H438" s="82"/>
    </row>
    <row r="439" spans="1:8" ht="16" x14ac:dyDescent="0.2">
      <c r="A439" s="85" t="s">
        <v>357</v>
      </c>
      <c r="B439" s="97" t="s">
        <v>1704</v>
      </c>
      <c r="C439" s="86" t="s">
        <v>1709</v>
      </c>
      <c r="D439" s="86" t="s">
        <v>1003</v>
      </c>
      <c r="E439" s="90" t="s">
        <v>126</v>
      </c>
      <c r="F439" s="88" t="s">
        <v>357</v>
      </c>
      <c r="G439" s="87" t="s">
        <v>426</v>
      </c>
      <c r="H439" s="82"/>
    </row>
    <row r="440" spans="1:8" x14ac:dyDescent="0.2">
      <c r="A440" s="85" t="s">
        <v>357</v>
      </c>
      <c r="B440" s="97" t="s">
        <v>1704</v>
      </c>
      <c r="C440" s="86" t="s">
        <v>1709</v>
      </c>
      <c r="D440" s="86" t="s">
        <v>1003</v>
      </c>
      <c r="E440" s="90" t="s">
        <v>126</v>
      </c>
      <c r="F440" s="88" t="s">
        <v>1607</v>
      </c>
      <c r="G440" s="88" t="s">
        <v>1176</v>
      </c>
      <c r="H440" s="82"/>
    </row>
    <row r="441" spans="1:8" ht="16" x14ac:dyDescent="0.2">
      <c r="A441" s="85" t="s">
        <v>1583</v>
      </c>
      <c r="B441" s="99" t="s">
        <v>1585</v>
      </c>
      <c r="C441" s="86" t="s">
        <v>1718</v>
      </c>
      <c r="D441" s="86" t="s">
        <v>1009</v>
      </c>
      <c r="E441" s="90" t="s">
        <v>149</v>
      </c>
      <c r="F441" s="88" t="s">
        <v>254</v>
      </c>
      <c r="G441" s="87" t="s">
        <v>1235</v>
      </c>
      <c r="H441" s="82"/>
    </row>
    <row r="442" spans="1:8" ht="16" x14ac:dyDescent="0.2">
      <c r="A442" s="85" t="s">
        <v>1583</v>
      </c>
      <c r="B442" s="99" t="s">
        <v>1585</v>
      </c>
      <c r="C442" s="86" t="s">
        <v>1718</v>
      </c>
      <c r="D442" s="86" t="s">
        <v>1009</v>
      </c>
      <c r="E442" s="90" t="s">
        <v>133</v>
      </c>
      <c r="F442" s="88" t="s">
        <v>254</v>
      </c>
      <c r="G442" s="87" t="s">
        <v>1234</v>
      </c>
      <c r="H442" s="82"/>
    </row>
    <row r="443" spans="1:8" ht="16" x14ac:dyDescent="0.2">
      <c r="A443" s="85" t="s">
        <v>1583</v>
      </c>
      <c r="B443" s="99" t="s">
        <v>1585</v>
      </c>
      <c r="C443" s="86" t="s">
        <v>1718</v>
      </c>
      <c r="D443" s="86" t="s">
        <v>1009</v>
      </c>
      <c r="E443" s="90" t="s">
        <v>1034</v>
      </c>
      <c r="F443" s="88" t="s">
        <v>254</v>
      </c>
      <c r="G443" s="87" t="s">
        <v>1234</v>
      </c>
      <c r="H443" s="82"/>
    </row>
    <row r="444" spans="1:8" ht="16" x14ac:dyDescent="0.2">
      <c r="A444" s="85" t="s">
        <v>1583</v>
      </c>
      <c r="B444" s="99" t="s">
        <v>1585</v>
      </c>
      <c r="C444" s="86" t="s">
        <v>1718</v>
      </c>
      <c r="D444" s="86" t="s">
        <v>1009</v>
      </c>
      <c r="E444" s="90" t="s">
        <v>117</v>
      </c>
      <c r="F444" s="88" t="s">
        <v>254</v>
      </c>
      <c r="G444" s="87" t="s">
        <v>1233</v>
      </c>
      <c r="H444" s="82"/>
    </row>
    <row r="445" spans="1:8" ht="16" x14ac:dyDescent="0.2">
      <c r="A445" s="85" t="s">
        <v>1583</v>
      </c>
      <c r="B445" s="99" t="s">
        <v>1585</v>
      </c>
      <c r="C445" s="86" t="s">
        <v>1718</v>
      </c>
      <c r="D445" s="86" t="s">
        <v>1009</v>
      </c>
      <c r="E445" s="90" t="s">
        <v>158</v>
      </c>
      <c r="F445" s="88" t="s">
        <v>254</v>
      </c>
      <c r="G445" s="87" t="s">
        <v>1233</v>
      </c>
      <c r="H445" s="82"/>
    </row>
    <row r="446" spans="1:8" ht="16" x14ac:dyDescent="0.2">
      <c r="A446" s="85" t="s">
        <v>1583</v>
      </c>
      <c r="B446" s="99" t="s">
        <v>1585</v>
      </c>
      <c r="C446" s="86" t="s">
        <v>1718</v>
      </c>
      <c r="D446" s="86" t="s">
        <v>1009</v>
      </c>
      <c r="E446" s="90" t="s">
        <v>117</v>
      </c>
      <c r="F446" s="88" t="s">
        <v>1719</v>
      </c>
      <c r="G446" s="87" t="s">
        <v>1237</v>
      </c>
      <c r="H446" s="82"/>
    </row>
    <row r="447" spans="1:8" ht="16" x14ac:dyDescent="0.2">
      <c r="A447" s="85" t="s">
        <v>1583</v>
      </c>
      <c r="B447" s="99" t="s">
        <v>1585</v>
      </c>
      <c r="C447" s="86" t="s">
        <v>1718</v>
      </c>
      <c r="D447" s="86" t="s">
        <v>1009</v>
      </c>
      <c r="E447" s="90" t="s">
        <v>117</v>
      </c>
      <c r="F447" s="88" t="s">
        <v>1720</v>
      </c>
      <c r="G447" s="87" t="s">
        <v>1237</v>
      </c>
      <c r="H447" s="82"/>
    </row>
    <row r="448" spans="1:8" ht="16" x14ac:dyDescent="0.2">
      <c r="A448" s="85" t="s">
        <v>1583</v>
      </c>
      <c r="B448" s="99" t="s">
        <v>1585</v>
      </c>
      <c r="C448" s="86" t="s">
        <v>1718</v>
      </c>
      <c r="D448" s="86" t="s">
        <v>1009</v>
      </c>
      <c r="E448" s="90" t="s">
        <v>117</v>
      </c>
      <c r="F448" s="88" t="s">
        <v>1721</v>
      </c>
      <c r="G448" s="87" t="s">
        <v>1237</v>
      </c>
      <c r="H448" s="82"/>
    </row>
    <row r="449" spans="1:8" ht="16" x14ac:dyDescent="0.2">
      <c r="A449" s="85" t="s">
        <v>1583</v>
      </c>
      <c r="B449" s="99" t="s">
        <v>1585</v>
      </c>
      <c r="C449" s="86" t="s">
        <v>1718</v>
      </c>
      <c r="D449" s="86" t="s">
        <v>1009</v>
      </c>
      <c r="E449" s="90" t="s">
        <v>117</v>
      </c>
      <c r="F449" s="88" t="s">
        <v>1722</v>
      </c>
      <c r="G449" s="87" t="s">
        <v>1236</v>
      </c>
      <c r="H449" s="82"/>
    </row>
    <row r="450" spans="1:8" ht="16" x14ac:dyDescent="0.2">
      <c r="A450" s="85" t="s">
        <v>1583</v>
      </c>
      <c r="B450" s="99" t="s">
        <v>1585</v>
      </c>
      <c r="C450" s="86" t="s">
        <v>1718</v>
      </c>
      <c r="D450" s="86" t="s">
        <v>1009</v>
      </c>
      <c r="E450" s="90" t="s">
        <v>117</v>
      </c>
      <c r="F450" s="88" t="s">
        <v>1723</v>
      </c>
      <c r="G450" s="87" t="s">
        <v>1236</v>
      </c>
      <c r="H450" s="82"/>
    </row>
    <row r="451" spans="1:8" ht="16" x14ac:dyDescent="0.2">
      <c r="A451" s="85" t="s">
        <v>1583</v>
      </c>
      <c r="B451" s="99" t="s">
        <v>1585</v>
      </c>
      <c r="C451" s="86" t="s">
        <v>1718</v>
      </c>
      <c r="D451" s="86" t="s">
        <v>1009</v>
      </c>
      <c r="E451" s="90" t="s">
        <v>117</v>
      </c>
      <c r="F451" s="88" t="s">
        <v>1724</v>
      </c>
      <c r="G451" s="87" t="s">
        <v>1236</v>
      </c>
      <c r="H451" s="82"/>
    </row>
    <row r="452" spans="1:8" ht="16" x14ac:dyDescent="0.2">
      <c r="A452" s="85" t="s">
        <v>401</v>
      </c>
      <c r="B452" s="97" t="s">
        <v>1726</v>
      </c>
      <c r="C452" s="86" t="s">
        <v>1718</v>
      </c>
      <c r="D452" s="86" t="s">
        <v>1009</v>
      </c>
      <c r="E452" s="90" t="s">
        <v>133</v>
      </c>
      <c r="F452" s="88" t="s">
        <v>1725</v>
      </c>
      <c r="G452" s="87" t="s">
        <v>993</v>
      </c>
      <c r="H452" s="82"/>
    </row>
    <row r="453" spans="1:8" ht="16" x14ac:dyDescent="0.2">
      <c r="A453" s="85" t="s">
        <v>401</v>
      </c>
      <c r="B453" s="97" t="s">
        <v>1726</v>
      </c>
      <c r="C453" s="86" t="s">
        <v>1718</v>
      </c>
      <c r="D453" s="86" t="s">
        <v>1009</v>
      </c>
      <c r="E453" s="90" t="s">
        <v>133</v>
      </c>
      <c r="F453" s="88" t="s">
        <v>1727</v>
      </c>
      <c r="G453" s="87" t="s">
        <v>993</v>
      </c>
      <c r="H453" s="82"/>
    </row>
    <row r="454" spans="1:8" ht="16" x14ac:dyDescent="0.2">
      <c r="A454" s="85" t="s">
        <v>401</v>
      </c>
      <c r="B454" s="97" t="s">
        <v>1726</v>
      </c>
      <c r="C454" s="86" t="s">
        <v>1718</v>
      </c>
      <c r="D454" s="86" t="s">
        <v>1009</v>
      </c>
      <c r="E454" s="90" t="s">
        <v>133</v>
      </c>
      <c r="F454" s="88" t="s">
        <v>1728</v>
      </c>
      <c r="G454" s="87" t="s">
        <v>993</v>
      </c>
      <c r="H454" s="82"/>
    </row>
    <row r="455" spans="1:8" ht="16" x14ac:dyDescent="0.2">
      <c r="A455" s="85" t="s">
        <v>401</v>
      </c>
      <c r="B455" s="97" t="s">
        <v>1726</v>
      </c>
      <c r="C455" s="86" t="s">
        <v>1718</v>
      </c>
      <c r="D455" s="86" t="s">
        <v>1009</v>
      </c>
      <c r="E455" s="90" t="s">
        <v>133</v>
      </c>
      <c r="F455" s="88" t="s">
        <v>401</v>
      </c>
      <c r="G455" s="87" t="s">
        <v>993</v>
      </c>
      <c r="H455" s="82"/>
    </row>
    <row r="456" spans="1:8" ht="16" x14ac:dyDescent="0.2">
      <c r="A456" s="85" t="s">
        <v>401</v>
      </c>
      <c r="B456" s="97" t="s">
        <v>1730</v>
      </c>
      <c r="C456" s="86" t="s">
        <v>1718</v>
      </c>
      <c r="D456" s="86" t="s">
        <v>1009</v>
      </c>
      <c r="E456" s="90" t="s">
        <v>133</v>
      </c>
      <c r="F456" s="88" t="s">
        <v>1729</v>
      </c>
      <c r="G456" s="87" t="s">
        <v>1238</v>
      </c>
      <c r="H456" s="82"/>
    </row>
    <row r="457" spans="1:8" ht="16" x14ac:dyDescent="0.2">
      <c r="A457" s="85" t="s">
        <v>401</v>
      </c>
      <c r="B457" s="97" t="s">
        <v>1730</v>
      </c>
      <c r="C457" s="86" t="s">
        <v>1718</v>
      </c>
      <c r="D457" s="86" t="s">
        <v>1009</v>
      </c>
      <c r="E457" s="90" t="s">
        <v>133</v>
      </c>
      <c r="F457" s="88" t="s">
        <v>1731</v>
      </c>
      <c r="G457" s="87" t="s">
        <v>1238</v>
      </c>
      <c r="H457" s="82"/>
    </row>
    <row r="458" spans="1:8" ht="16" x14ac:dyDescent="0.2">
      <c r="A458" s="85" t="s">
        <v>401</v>
      </c>
      <c r="B458" s="97" t="s">
        <v>1730</v>
      </c>
      <c r="C458" s="86" t="s">
        <v>1718</v>
      </c>
      <c r="D458" s="86" t="s">
        <v>1009</v>
      </c>
      <c r="E458" s="90" t="s">
        <v>133</v>
      </c>
      <c r="F458" s="88" t="s">
        <v>1732</v>
      </c>
      <c r="G458" s="87" t="s">
        <v>1238</v>
      </c>
      <c r="H458" s="82"/>
    </row>
    <row r="459" spans="1:8" ht="16" x14ac:dyDescent="0.2">
      <c r="A459" s="85" t="s">
        <v>401</v>
      </c>
      <c r="B459" s="97" t="s">
        <v>1730</v>
      </c>
      <c r="C459" s="86" t="s">
        <v>1718</v>
      </c>
      <c r="D459" s="86" t="s">
        <v>1009</v>
      </c>
      <c r="E459" s="90" t="s">
        <v>133</v>
      </c>
      <c r="F459" s="88" t="s">
        <v>1733</v>
      </c>
      <c r="G459" s="87" t="s">
        <v>1238</v>
      </c>
      <c r="H459" s="82"/>
    </row>
    <row r="460" spans="1:8" ht="16" x14ac:dyDescent="0.2">
      <c r="A460" s="85" t="s">
        <v>401</v>
      </c>
      <c r="B460" s="97" t="s">
        <v>1730</v>
      </c>
      <c r="C460" s="86" t="s">
        <v>1718</v>
      </c>
      <c r="D460" s="86" t="s">
        <v>1009</v>
      </c>
      <c r="E460" s="90" t="s">
        <v>1034</v>
      </c>
      <c r="F460" s="88" t="s">
        <v>1729</v>
      </c>
      <c r="G460" s="87" t="s">
        <v>1238</v>
      </c>
      <c r="H460" s="82"/>
    </row>
    <row r="461" spans="1:8" ht="16" x14ac:dyDescent="0.2">
      <c r="A461" s="85" t="s">
        <v>401</v>
      </c>
      <c r="B461" s="97" t="s">
        <v>1730</v>
      </c>
      <c r="C461" s="86" t="s">
        <v>1718</v>
      </c>
      <c r="D461" s="86" t="s">
        <v>1009</v>
      </c>
      <c r="E461" s="90" t="s">
        <v>1034</v>
      </c>
      <c r="F461" s="88" t="s">
        <v>1731</v>
      </c>
      <c r="G461" s="87" t="s">
        <v>1238</v>
      </c>
      <c r="H461" s="82"/>
    </row>
    <row r="462" spans="1:8" ht="16" x14ac:dyDescent="0.2">
      <c r="A462" s="85" t="s">
        <v>401</v>
      </c>
      <c r="B462" s="97" t="s">
        <v>1730</v>
      </c>
      <c r="C462" s="86" t="s">
        <v>1718</v>
      </c>
      <c r="D462" s="86" t="s">
        <v>1009</v>
      </c>
      <c r="E462" s="90" t="s">
        <v>1034</v>
      </c>
      <c r="F462" s="88" t="s">
        <v>1732</v>
      </c>
      <c r="G462" s="87" t="s">
        <v>1238</v>
      </c>
      <c r="H462" s="82"/>
    </row>
    <row r="463" spans="1:8" ht="16" x14ac:dyDescent="0.2">
      <c r="A463" s="85" t="s">
        <v>401</v>
      </c>
      <c r="B463" s="97" t="s">
        <v>1730</v>
      </c>
      <c r="C463" s="86" t="s">
        <v>1718</v>
      </c>
      <c r="D463" s="86" t="s">
        <v>1009</v>
      </c>
      <c r="E463" s="90" t="s">
        <v>1034</v>
      </c>
      <c r="F463" s="88" t="s">
        <v>1733</v>
      </c>
      <c r="G463" s="87" t="s">
        <v>1238</v>
      </c>
      <c r="H463" s="82"/>
    </row>
    <row r="464" spans="1:8" ht="16" x14ac:dyDescent="0.2">
      <c r="A464" s="85" t="s">
        <v>401</v>
      </c>
      <c r="B464" s="97" t="s">
        <v>1735</v>
      </c>
      <c r="C464" s="86" t="s">
        <v>1718</v>
      </c>
      <c r="D464" s="86" t="s">
        <v>1009</v>
      </c>
      <c r="E464" s="90" t="s">
        <v>133</v>
      </c>
      <c r="F464" s="88" t="s">
        <v>1734</v>
      </c>
      <c r="G464" s="87" t="s">
        <v>1240</v>
      </c>
      <c r="H464" s="82"/>
    </row>
    <row r="465" spans="1:8" ht="16" x14ac:dyDescent="0.2">
      <c r="A465" s="85" t="s">
        <v>401</v>
      </c>
      <c r="B465" s="97" t="s">
        <v>1735</v>
      </c>
      <c r="C465" s="86" t="s">
        <v>1718</v>
      </c>
      <c r="D465" s="86" t="s">
        <v>1009</v>
      </c>
      <c r="E465" s="90" t="s">
        <v>133</v>
      </c>
      <c r="F465" s="88" t="s">
        <v>1736</v>
      </c>
      <c r="G465" s="87" t="s">
        <v>1240</v>
      </c>
      <c r="H465" s="82"/>
    </row>
    <row r="466" spans="1:8" ht="16" x14ac:dyDescent="0.2">
      <c r="A466" s="85" t="s">
        <v>401</v>
      </c>
      <c r="B466" s="97" t="s">
        <v>1735</v>
      </c>
      <c r="C466" s="86" t="s">
        <v>1718</v>
      </c>
      <c r="D466" s="86" t="s">
        <v>1009</v>
      </c>
      <c r="E466" s="90" t="s">
        <v>133</v>
      </c>
      <c r="F466" s="88" t="s">
        <v>1737</v>
      </c>
      <c r="G466" s="87" t="s">
        <v>1240</v>
      </c>
      <c r="H466" s="82"/>
    </row>
    <row r="467" spans="1:8" ht="16" x14ac:dyDescent="0.2">
      <c r="A467" s="85" t="s">
        <v>401</v>
      </c>
      <c r="B467" s="97" t="s">
        <v>1735</v>
      </c>
      <c r="C467" s="86" t="s">
        <v>1718</v>
      </c>
      <c r="D467" s="86" t="s">
        <v>1009</v>
      </c>
      <c r="E467" s="90" t="s">
        <v>133</v>
      </c>
      <c r="F467" s="88" t="s">
        <v>1738</v>
      </c>
      <c r="G467" s="87" t="s">
        <v>1240</v>
      </c>
      <c r="H467" s="82"/>
    </row>
    <row r="468" spans="1:8" ht="16" x14ac:dyDescent="0.2">
      <c r="A468" s="85" t="s">
        <v>401</v>
      </c>
      <c r="B468" s="97" t="s">
        <v>1735</v>
      </c>
      <c r="C468" s="86" t="s">
        <v>1718</v>
      </c>
      <c r="D468" s="86" t="s">
        <v>1009</v>
      </c>
      <c r="E468" s="90" t="s">
        <v>1034</v>
      </c>
      <c r="F468" s="88" t="s">
        <v>1734</v>
      </c>
      <c r="G468" s="87" t="s">
        <v>1240</v>
      </c>
      <c r="H468" s="82"/>
    </row>
    <row r="469" spans="1:8" ht="16" x14ac:dyDescent="0.2">
      <c r="A469" s="85" t="s">
        <v>401</v>
      </c>
      <c r="B469" s="97" t="s">
        <v>1735</v>
      </c>
      <c r="C469" s="86" t="s">
        <v>1718</v>
      </c>
      <c r="D469" s="86" t="s">
        <v>1009</v>
      </c>
      <c r="E469" s="90" t="s">
        <v>1034</v>
      </c>
      <c r="F469" s="88" t="s">
        <v>1736</v>
      </c>
      <c r="G469" s="87" t="s">
        <v>1240</v>
      </c>
      <c r="H469" s="82"/>
    </row>
    <row r="470" spans="1:8" ht="16" x14ac:dyDescent="0.2">
      <c r="A470" s="85" t="s">
        <v>401</v>
      </c>
      <c r="B470" s="97" t="s">
        <v>1735</v>
      </c>
      <c r="C470" s="86" t="s">
        <v>1718</v>
      </c>
      <c r="D470" s="86" t="s">
        <v>1009</v>
      </c>
      <c r="E470" s="90" t="s">
        <v>1034</v>
      </c>
      <c r="F470" s="88" t="s">
        <v>1737</v>
      </c>
      <c r="G470" s="87" t="s">
        <v>1240</v>
      </c>
      <c r="H470" s="82"/>
    </row>
    <row r="471" spans="1:8" ht="16" x14ac:dyDescent="0.2">
      <c r="A471" s="85" t="s">
        <v>401</v>
      </c>
      <c r="B471" s="97" t="s">
        <v>1735</v>
      </c>
      <c r="C471" s="86" t="s">
        <v>1718</v>
      </c>
      <c r="D471" s="86" t="s">
        <v>1009</v>
      </c>
      <c r="E471" s="90" t="s">
        <v>1034</v>
      </c>
      <c r="F471" s="88" t="s">
        <v>1738</v>
      </c>
      <c r="G471" s="87" t="s">
        <v>1240</v>
      </c>
      <c r="H471" s="82"/>
    </row>
    <row r="472" spans="1:8" ht="16" x14ac:dyDescent="0.2">
      <c r="A472" s="85" t="s">
        <v>401</v>
      </c>
      <c r="B472" s="97" t="s">
        <v>1740</v>
      </c>
      <c r="C472" s="86" t="s">
        <v>1718</v>
      </c>
      <c r="D472" s="86" t="s">
        <v>1009</v>
      </c>
      <c r="E472" s="90" t="s">
        <v>1035</v>
      </c>
      <c r="F472" s="88" t="s">
        <v>1739</v>
      </c>
      <c r="G472" s="87" t="s">
        <v>1232</v>
      </c>
      <c r="H472" s="82"/>
    </row>
    <row r="473" spans="1:8" ht="16" x14ac:dyDescent="0.2">
      <c r="A473" s="85" t="s">
        <v>401</v>
      </c>
      <c r="B473" s="97" t="s">
        <v>1740</v>
      </c>
      <c r="C473" s="86" t="s">
        <v>1718</v>
      </c>
      <c r="D473" s="86" t="s">
        <v>1009</v>
      </c>
      <c r="E473" s="90" t="s">
        <v>1035</v>
      </c>
      <c r="F473" s="88" t="s">
        <v>396</v>
      </c>
      <c r="G473" s="87" t="s">
        <v>1232</v>
      </c>
      <c r="H473" s="82"/>
    </row>
    <row r="474" spans="1:8" ht="16" x14ac:dyDescent="0.2">
      <c r="A474" s="85" t="s">
        <v>401</v>
      </c>
      <c r="B474" s="97" t="s">
        <v>1740</v>
      </c>
      <c r="C474" s="86" t="s">
        <v>1718</v>
      </c>
      <c r="D474" s="86" t="s">
        <v>1009</v>
      </c>
      <c r="E474" s="90" t="s">
        <v>133</v>
      </c>
      <c r="F474" s="88" t="s">
        <v>396</v>
      </c>
      <c r="G474" s="87" t="s">
        <v>1232</v>
      </c>
      <c r="H474" s="82"/>
    </row>
    <row r="475" spans="1:8" ht="16" x14ac:dyDescent="0.2">
      <c r="A475" s="85" t="s">
        <v>401</v>
      </c>
      <c r="B475" s="97" t="s">
        <v>152</v>
      </c>
      <c r="C475" s="86" t="s">
        <v>1741</v>
      </c>
      <c r="D475" s="86" t="s">
        <v>1013</v>
      </c>
      <c r="E475" s="90" t="s">
        <v>149</v>
      </c>
      <c r="F475" s="88" t="s">
        <v>1742</v>
      </c>
      <c r="G475" s="87" t="s">
        <v>407</v>
      </c>
      <c r="H475" s="82"/>
    </row>
    <row r="476" spans="1:8" ht="16" x14ac:dyDescent="0.2">
      <c r="A476" s="85" t="s">
        <v>401</v>
      </c>
      <c r="B476" s="97" t="s">
        <v>152</v>
      </c>
      <c r="C476" s="86" t="s">
        <v>1741</v>
      </c>
      <c r="D476" s="86" t="s">
        <v>1013</v>
      </c>
      <c r="E476" s="90" t="s">
        <v>149</v>
      </c>
      <c r="F476" s="88" t="s">
        <v>1743</v>
      </c>
      <c r="G476" s="87" t="s">
        <v>407</v>
      </c>
      <c r="H476" s="82"/>
    </row>
    <row r="477" spans="1:8" ht="16" x14ac:dyDescent="0.2">
      <c r="A477" s="85" t="s">
        <v>401</v>
      </c>
      <c r="B477" s="97" t="s">
        <v>152</v>
      </c>
      <c r="C477" s="86" t="s">
        <v>1741</v>
      </c>
      <c r="D477" s="86" t="s">
        <v>1013</v>
      </c>
      <c r="E477" s="90" t="s">
        <v>149</v>
      </c>
      <c r="F477" s="88" t="s">
        <v>1728</v>
      </c>
      <c r="G477" s="87" t="s">
        <v>407</v>
      </c>
      <c r="H477" s="82"/>
    </row>
    <row r="478" spans="1:8" x14ac:dyDescent="0.2">
      <c r="A478" s="85" t="s">
        <v>401</v>
      </c>
      <c r="B478" s="89" t="s">
        <v>1585</v>
      </c>
      <c r="C478" s="86" t="s">
        <v>1718</v>
      </c>
      <c r="D478" s="86" t="s">
        <v>1009</v>
      </c>
      <c r="E478" s="90" t="s">
        <v>133</v>
      </c>
      <c r="F478" s="88" t="s">
        <v>1744</v>
      </c>
      <c r="G478" s="88" t="s">
        <v>1113</v>
      </c>
      <c r="H478" s="82"/>
    </row>
    <row r="479" spans="1:8" x14ac:dyDescent="0.2">
      <c r="A479" s="85" t="s">
        <v>401</v>
      </c>
      <c r="B479" s="89" t="s">
        <v>1585</v>
      </c>
      <c r="C479" s="86" t="s">
        <v>1718</v>
      </c>
      <c r="D479" s="86" t="s">
        <v>1009</v>
      </c>
      <c r="E479" s="90" t="s">
        <v>133</v>
      </c>
      <c r="F479" s="88" t="s">
        <v>1745</v>
      </c>
      <c r="G479" s="88" t="s">
        <v>1113</v>
      </c>
      <c r="H479" s="82"/>
    </row>
    <row r="480" spans="1:8" x14ac:dyDescent="0.2">
      <c r="A480" s="85" t="s">
        <v>401</v>
      </c>
      <c r="B480" s="89" t="s">
        <v>1585</v>
      </c>
      <c r="C480" s="86" t="s">
        <v>1718</v>
      </c>
      <c r="D480" s="86" t="s">
        <v>1009</v>
      </c>
      <c r="E480" s="90" t="s">
        <v>133</v>
      </c>
      <c r="F480" s="88" t="s">
        <v>1746</v>
      </c>
      <c r="G480" s="88" t="s">
        <v>1113</v>
      </c>
      <c r="H480" s="82"/>
    </row>
    <row r="481" spans="1:8" x14ac:dyDescent="0.2">
      <c r="A481" s="85" t="s">
        <v>401</v>
      </c>
      <c r="B481" s="89" t="s">
        <v>1585</v>
      </c>
      <c r="C481" s="86" t="s">
        <v>1718</v>
      </c>
      <c r="D481" s="86" t="s">
        <v>1009</v>
      </c>
      <c r="E481" s="90" t="s">
        <v>133</v>
      </c>
      <c r="F481" s="88" t="s">
        <v>1747</v>
      </c>
      <c r="G481" s="88" t="s">
        <v>1113</v>
      </c>
      <c r="H481" s="82"/>
    </row>
    <row r="482" spans="1:8" x14ac:dyDescent="0.2">
      <c r="A482" s="85" t="s">
        <v>401</v>
      </c>
      <c r="B482" s="89" t="s">
        <v>1585</v>
      </c>
      <c r="C482" s="86" t="s">
        <v>1718</v>
      </c>
      <c r="D482" s="86" t="s">
        <v>1009</v>
      </c>
      <c r="E482" s="90" t="s">
        <v>1034</v>
      </c>
      <c r="F482" s="88" t="s">
        <v>1744</v>
      </c>
      <c r="G482" s="88" t="s">
        <v>1113</v>
      </c>
      <c r="H482" s="82"/>
    </row>
    <row r="483" spans="1:8" x14ac:dyDescent="0.2">
      <c r="A483" s="85" t="s">
        <v>401</v>
      </c>
      <c r="B483" s="89" t="s">
        <v>1585</v>
      </c>
      <c r="C483" s="86" t="s">
        <v>1718</v>
      </c>
      <c r="D483" s="86" t="s">
        <v>1009</v>
      </c>
      <c r="E483" s="90" t="s">
        <v>1034</v>
      </c>
      <c r="F483" s="88" t="s">
        <v>1745</v>
      </c>
      <c r="G483" s="88" t="s">
        <v>1113</v>
      </c>
      <c r="H483" s="82"/>
    </row>
    <row r="484" spans="1:8" x14ac:dyDescent="0.2">
      <c r="A484" s="85" t="s">
        <v>401</v>
      </c>
      <c r="B484" s="89" t="s">
        <v>1585</v>
      </c>
      <c r="C484" s="86" t="s">
        <v>1718</v>
      </c>
      <c r="D484" s="86" t="s">
        <v>1009</v>
      </c>
      <c r="E484" s="90" t="s">
        <v>1034</v>
      </c>
      <c r="F484" s="88" t="s">
        <v>1746</v>
      </c>
      <c r="G484" s="88" t="s">
        <v>1113</v>
      </c>
      <c r="H484" s="82"/>
    </row>
    <row r="485" spans="1:8" x14ac:dyDescent="0.2">
      <c r="A485" s="85" t="s">
        <v>401</v>
      </c>
      <c r="B485" s="89" t="s">
        <v>1585</v>
      </c>
      <c r="C485" s="86" t="s">
        <v>1718</v>
      </c>
      <c r="D485" s="86" t="s">
        <v>1009</v>
      </c>
      <c r="E485" s="90" t="s">
        <v>1034</v>
      </c>
      <c r="F485" s="88" t="s">
        <v>1747</v>
      </c>
      <c r="G485" s="88" t="s">
        <v>1113</v>
      </c>
      <c r="H485" s="82"/>
    </row>
    <row r="486" spans="1:8" x14ac:dyDescent="0.2">
      <c r="A486" s="85" t="s">
        <v>401</v>
      </c>
      <c r="B486" s="89" t="s">
        <v>1585</v>
      </c>
      <c r="C486" s="86" t="s">
        <v>1741</v>
      </c>
      <c r="D486" s="86" t="s">
        <v>1013</v>
      </c>
      <c r="E486" s="90" t="s">
        <v>133</v>
      </c>
      <c r="F486" s="88" t="s">
        <v>1748</v>
      </c>
      <c r="G486" s="88" t="s">
        <v>1114</v>
      </c>
      <c r="H486" s="82"/>
    </row>
    <row r="487" spans="1:8" x14ac:dyDescent="0.2">
      <c r="A487" s="85" t="s">
        <v>401</v>
      </c>
      <c r="B487" s="89" t="s">
        <v>1585</v>
      </c>
      <c r="C487" s="86" t="s">
        <v>1741</v>
      </c>
      <c r="D487" s="86" t="s">
        <v>1013</v>
      </c>
      <c r="E487" s="90" t="s">
        <v>133</v>
      </c>
      <c r="F487" s="88" t="s">
        <v>1745</v>
      </c>
      <c r="G487" s="88" t="s">
        <v>1114</v>
      </c>
      <c r="H487" s="82"/>
    </row>
    <row r="488" spans="1:8" x14ac:dyDescent="0.2">
      <c r="A488" s="85" t="s">
        <v>401</v>
      </c>
      <c r="B488" s="89" t="s">
        <v>1585</v>
      </c>
      <c r="C488" s="86" t="s">
        <v>1741</v>
      </c>
      <c r="D488" s="86" t="s">
        <v>1013</v>
      </c>
      <c r="E488" s="90" t="s">
        <v>133</v>
      </c>
      <c r="F488" s="88" t="s">
        <v>1749</v>
      </c>
      <c r="G488" s="88" t="s">
        <v>1114</v>
      </c>
      <c r="H488" s="82"/>
    </row>
    <row r="489" spans="1:8" x14ac:dyDescent="0.2">
      <c r="A489" s="85" t="s">
        <v>401</v>
      </c>
      <c r="B489" s="89" t="s">
        <v>1585</v>
      </c>
      <c r="C489" s="86" t="s">
        <v>1741</v>
      </c>
      <c r="D489" s="86" t="s">
        <v>1013</v>
      </c>
      <c r="E489" s="90" t="s">
        <v>133</v>
      </c>
      <c r="F489" s="88" t="s">
        <v>1747</v>
      </c>
      <c r="G489" s="88" t="s">
        <v>1114</v>
      </c>
      <c r="H489" s="82"/>
    </row>
    <row r="490" spans="1:8" x14ac:dyDescent="0.2">
      <c r="A490" s="85" t="s">
        <v>401</v>
      </c>
      <c r="B490" s="89" t="s">
        <v>1585</v>
      </c>
      <c r="C490" s="86" t="s">
        <v>1741</v>
      </c>
      <c r="D490" s="86" t="s">
        <v>1013</v>
      </c>
      <c r="E490" s="90" t="s">
        <v>1034</v>
      </c>
      <c r="F490" s="88" t="s">
        <v>1748</v>
      </c>
      <c r="G490" s="88" t="s">
        <v>1114</v>
      </c>
      <c r="H490" s="82"/>
    </row>
    <row r="491" spans="1:8" x14ac:dyDescent="0.2">
      <c r="A491" s="85" t="s">
        <v>401</v>
      </c>
      <c r="B491" s="89" t="s">
        <v>1585</v>
      </c>
      <c r="C491" s="86" t="s">
        <v>1741</v>
      </c>
      <c r="D491" s="86" t="s">
        <v>1013</v>
      </c>
      <c r="E491" s="90" t="s">
        <v>1034</v>
      </c>
      <c r="F491" s="88" t="s">
        <v>1745</v>
      </c>
      <c r="G491" s="88" t="s">
        <v>1114</v>
      </c>
      <c r="H491" s="82"/>
    </row>
    <row r="492" spans="1:8" x14ac:dyDescent="0.2">
      <c r="A492" s="85" t="s">
        <v>401</v>
      </c>
      <c r="B492" s="89" t="s">
        <v>1585</v>
      </c>
      <c r="C492" s="86" t="s">
        <v>1741</v>
      </c>
      <c r="D492" s="86" t="s">
        <v>1013</v>
      </c>
      <c r="E492" s="90" t="s">
        <v>1034</v>
      </c>
      <c r="F492" s="88" t="s">
        <v>1749</v>
      </c>
      <c r="G492" s="88" t="s">
        <v>1114</v>
      </c>
      <c r="H492" s="82"/>
    </row>
    <row r="493" spans="1:8" x14ac:dyDescent="0.2">
      <c r="A493" s="85" t="s">
        <v>401</v>
      </c>
      <c r="B493" s="89" t="s">
        <v>1585</v>
      </c>
      <c r="C493" s="86" t="s">
        <v>1741</v>
      </c>
      <c r="D493" s="86" t="s">
        <v>1013</v>
      </c>
      <c r="E493" s="90" t="s">
        <v>1034</v>
      </c>
      <c r="F493" s="88" t="s">
        <v>1747</v>
      </c>
      <c r="G493" s="88" t="s">
        <v>1114</v>
      </c>
      <c r="H493" s="82"/>
    </row>
    <row r="494" spans="1:8" ht="16" x14ac:dyDescent="0.2">
      <c r="A494" s="85" t="s">
        <v>401</v>
      </c>
      <c r="B494" s="89" t="s">
        <v>1585</v>
      </c>
      <c r="C494" s="86" t="s">
        <v>1741</v>
      </c>
      <c r="D494" s="86" t="s">
        <v>1013</v>
      </c>
      <c r="E494" s="90" t="s">
        <v>133</v>
      </c>
      <c r="F494" s="88" t="s">
        <v>1750</v>
      </c>
      <c r="G494" s="87" t="s">
        <v>1168</v>
      </c>
      <c r="H494" s="82"/>
    </row>
    <row r="495" spans="1:8" ht="16" x14ac:dyDescent="0.2">
      <c r="A495" s="85" t="s">
        <v>401</v>
      </c>
      <c r="B495" s="89" t="s">
        <v>1585</v>
      </c>
      <c r="C495" s="86" t="s">
        <v>1741</v>
      </c>
      <c r="D495" s="86" t="s">
        <v>1013</v>
      </c>
      <c r="E495" s="90" t="s">
        <v>133</v>
      </c>
      <c r="F495" s="88" t="s">
        <v>1751</v>
      </c>
      <c r="G495" s="87" t="s">
        <v>1168</v>
      </c>
      <c r="H495" s="82"/>
    </row>
    <row r="496" spans="1:8" ht="16" x14ac:dyDescent="0.2">
      <c r="A496" s="85" t="s">
        <v>401</v>
      </c>
      <c r="B496" s="89" t="s">
        <v>1585</v>
      </c>
      <c r="C496" s="86" t="s">
        <v>1741</v>
      </c>
      <c r="D496" s="86" t="s">
        <v>1013</v>
      </c>
      <c r="E496" s="90" t="s">
        <v>133</v>
      </c>
      <c r="F496" s="88" t="s">
        <v>1752</v>
      </c>
      <c r="G496" s="87" t="s">
        <v>1168</v>
      </c>
      <c r="H496" s="82"/>
    </row>
    <row r="497" spans="1:8" ht="16" x14ac:dyDescent="0.2">
      <c r="A497" s="85" t="s">
        <v>401</v>
      </c>
      <c r="B497" s="89" t="s">
        <v>1585</v>
      </c>
      <c r="C497" s="86" t="s">
        <v>1741</v>
      </c>
      <c r="D497" s="86" t="s">
        <v>1013</v>
      </c>
      <c r="E497" s="90" t="s">
        <v>133</v>
      </c>
      <c r="F497" s="88" t="s">
        <v>1728</v>
      </c>
      <c r="G497" s="87" t="s">
        <v>1168</v>
      </c>
      <c r="H497" s="82"/>
    </row>
    <row r="498" spans="1:8" ht="16" x14ac:dyDescent="0.2">
      <c r="A498" s="85" t="s">
        <v>401</v>
      </c>
      <c r="B498" s="89" t="s">
        <v>1585</v>
      </c>
      <c r="C498" s="86" t="s">
        <v>1741</v>
      </c>
      <c r="D498" s="86" t="s">
        <v>1013</v>
      </c>
      <c r="E498" s="90" t="s">
        <v>133</v>
      </c>
      <c r="F498" s="88" t="s">
        <v>401</v>
      </c>
      <c r="G498" s="87" t="s">
        <v>1168</v>
      </c>
      <c r="H498" s="82"/>
    </row>
    <row r="499" spans="1:8" ht="16" x14ac:dyDescent="0.2">
      <c r="A499" s="85" t="s">
        <v>401</v>
      </c>
      <c r="B499" s="89" t="s">
        <v>1585</v>
      </c>
      <c r="C499" s="86" t="s">
        <v>1741</v>
      </c>
      <c r="D499" s="86" t="s">
        <v>1013</v>
      </c>
      <c r="E499" s="90" t="s">
        <v>133</v>
      </c>
      <c r="F499" s="88" t="s">
        <v>1753</v>
      </c>
      <c r="G499" s="87" t="s">
        <v>1168</v>
      </c>
      <c r="H499" s="82"/>
    </row>
    <row r="500" spans="1:8" ht="16" x14ac:dyDescent="0.2">
      <c r="A500" s="85" t="s">
        <v>401</v>
      </c>
      <c r="B500" s="89" t="s">
        <v>1585</v>
      </c>
      <c r="C500" s="86" t="s">
        <v>1741</v>
      </c>
      <c r="D500" s="86" t="s">
        <v>1013</v>
      </c>
      <c r="E500" s="90" t="s">
        <v>1034</v>
      </c>
      <c r="F500" s="88" t="s">
        <v>1750</v>
      </c>
      <c r="G500" s="87" t="s">
        <v>1168</v>
      </c>
      <c r="H500" s="82"/>
    </row>
    <row r="501" spans="1:8" ht="16" x14ac:dyDescent="0.2">
      <c r="A501" s="85" t="s">
        <v>401</v>
      </c>
      <c r="B501" s="89" t="s">
        <v>1585</v>
      </c>
      <c r="C501" s="86" t="s">
        <v>1741</v>
      </c>
      <c r="D501" s="86" t="s">
        <v>1013</v>
      </c>
      <c r="E501" s="90" t="s">
        <v>1034</v>
      </c>
      <c r="F501" s="88" t="s">
        <v>1751</v>
      </c>
      <c r="G501" s="87" t="s">
        <v>1168</v>
      </c>
      <c r="H501" s="82"/>
    </row>
    <row r="502" spans="1:8" ht="16" x14ac:dyDescent="0.2">
      <c r="A502" s="85" t="s">
        <v>401</v>
      </c>
      <c r="B502" s="89" t="s">
        <v>1585</v>
      </c>
      <c r="C502" s="86" t="s">
        <v>1741</v>
      </c>
      <c r="D502" s="86" t="s">
        <v>1013</v>
      </c>
      <c r="E502" s="90" t="s">
        <v>1034</v>
      </c>
      <c r="F502" s="88" t="s">
        <v>1752</v>
      </c>
      <c r="G502" s="87" t="s">
        <v>1168</v>
      </c>
      <c r="H502" s="82"/>
    </row>
    <row r="503" spans="1:8" ht="16" x14ac:dyDescent="0.2">
      <c r="A503" s="85" t="s">
        <v>401</v>
      </c>
      <c r="B503" s="89" t="s">
        <v>1585</v>
      </c>
      <c r="C503" s="86" t="s">
        <v>1741</v>
      </c>
      <c r="D503" s="86" t="s">
        <v>1013</v>
      </c>
      <c r="E503" s="90" t="s">
        <v>1034</v>
      </c>
      <c r="F503" s="88" t="s">
        <v>1728</v>
      </c>
      <c r="G503" s="87" t="s">
        <v>1168</v>
      </c>
      <c r="H503" s="82"/>
    </row>
    <row r="504" spans="1:8" ht="16" x14ac:dyDescent="0.2">
      <c r="A504" s="85" t="s">
        <v>401</v>
      </c>
      <c r="B504" s="89" t="s">
        <v>1585</v>
      </c>
      <c r="C504" s="86" t="s">
        <v>1741</v>
      </c>
      <c r="D504" s="86" t="s">
        <v>1013</v>
      </c>
      <c r="E504" s="90" t="s">
        <v>1034</v>
      </c>
      <c r="F504" s="88" t="s">
        <v>401</v>
      </c>
      <c r="G504" s="87" t="s">
        <v>1168</v>
      </c>
      <c r="H504" s="82"/>
    </row>
    <row r="505" spans="1:8" ht="16" x14ac:dyDescent="0.2">
      <c r="A505" s="85" t="s">
        <v>401</v>
      </c>
      <c r="B505" s="89" t="s">
        <v>1585</v>
      </c>
      <c r="C505" s="86" t="s">
        <v>1741</v>
      </c>
      <c r="D505" s="86" t="s">
        <v>1013</v>
      </c>
      <c r="E505" s="90" t="s">
        <v>1034</v>
      </c>
      <c r="F505" s="88" t="s">
        <v>1753</v>
      </c>
      <c r="G505" s="87" t="s">
        <v>1168</v>
      </c>
      <c r="H505" s="82"/>
    </row>
    <row r="506" spans="1:8" ht="16" x14ac:dyDescent="0.2">
      <c r="A506" s="85" t="s">
        <v>401</v>
      </c>
      <c r="B506" s="89" t="s">
        <v>1585</v>
      </c>
      <c r="C506" s="86" t="s">
        <v>1741</v>
      </c>
      <c r="D506" s="86" t="s">
        <v>1013</v>
      </c>
      <c r="E506" s="90" t="s">
        <v>117</v>
      </c>
      <c r="F506" s="88" t="s">
        <v>1750</v>
      </c>
      <c r="G506" s="87" t="s">
        <v>1167</v>
      </c>
      <c r="H506" s="82"/>
    </row>
    <row r="507" spans="1:8" ht="16" x14ac:dyDescent="0.2">
      <c r="A507" s="85" t="s">
        <v>401</v>
      </c>
      <c r="B507" s="89" t="s">
        <v>1585</v>
      </c>
      <c r="C507" s="86" t="s">
        <v>1741</v>
      </c>
      <c r="D507" s="86" t="s">
        <v>1013</v>
      </c>
      <c r="E507" s="90" t="s">
        <v>117</v>
      </c>
      <c r="F507" s="88" t="s">
        <v>1751</v>
      </c>
      <c r="G507" s="87" t="s">
        <v>1167</v>
      </c>
      <c r="H507" s="82"/>
    </row>
    <row r="508" spans="1:8" ht="16" x14ac:dyDescent="0.2">
      <c r="A508" s="85" t="s">
        <v>401</v>
      </c>
      <c r="B508" s="89" t="s">
        <v>1585</v>
      </c>
      <c r="C508" s="86" t="s">
        <v>1741</v>
      </c>
      <c r="D508" s="86" t="s">
        <v>1013</v>
      </c>
      <c r="E508" s="90" t="s">
        <v>117</v>
      </c>
      <c r="F508" s="88" t="s">
        <v>1752</v>
      </c>
      <c r="G508" s="87" t="s">
        <v>1167</v>
      </c>
      <c r="H508" s="82"/>
    </row>
    <row r="509" spans="1:8" ht="16" x14ac:dyDescent="0.2">
      <c r="A509" s="85" t="s">
        <v>401</v>
      </c>
      <c r="B509" s="89" t="s">
        <v>1585</v>
      </c>
      <c r="C509" s="86" t="s">
        <v>1741</v>
      </c>
      <c r="D509" s="86" t="s">
        <v>1013</v>
      </c>
      <c r="E509" s="90" t="s">
        <v>117</v>
      </c>
      <c r="F509" s="88" t="s">
        <v>1728</v>
      </c>
      <c r="G509" s="87" t="s">
        <v>1167</v>
      </c>
      <c r="H509" s="82"/>
    </row>
    <row r="510" spans="1:8" ht="16" x14ac:dyDescent="0.2">
      <c r="A510" s="85" t="s">
        <v>401</v>
      </c>
      <c r="B510" s="89" t="s">
        <v>1585</v>
      </c>
      <c r="C510" s="86" t="s">
        <v>1741</v>
      </c>
      <c r="D510" s="86" t="s">
        <v>1013</v>
      </c>
      <c r="E510" s="90" t="s">
        <v>117</v>
      </c>
      <c r="F510" s="88" t="s">
        <v>401</v>
      </c>
      <c r="G510" s="87" t="s">
        <v>1167</v>
      </c>
      <c r="H510" s="82"/>
    </row>
    <row r="511" spans="1:8" ht="16" x14ac:dyDescent="0.2">
      <c r="A511" s="85" t="s">
        <v>401</v>
      </c>
      <c r="B511" s="89" t="s">
        <v>1585</v>
      </c>
      <c r="C511" s="86" t="s">
        <v>1741</v>
      </c>
      <c r="D511" s="86" t="s">
        <v>1013</v>
      </c>
      <c r="E511" s="90" t="s">
        <v>117</v>
      </c>
      <c r="F511" s="88" t="s">
        <v>1753</v>
      </c>
      <c r="G511" s="87" t="s">
        <v>1167</v>
      </c>
      <c r="H511" s="82"/>
    </row>
    <row r="512" spans="1:8" ht="16" x14ac:dyDescent="0.2">
      <c r="A512" s="85" t="s">
        <v>401</v>
      </c>
      <c r="B512" s="89" t="s">
        <v>1585</v>
      </c>
      <c r="C512" s="86" t="s">
        <v>1718</v>
      </c>
      <c r="D512" s="86" t="s">
        <v>1009</v>
      </c>
      <c r="E512" s="90" t="s">
        <v>117</v>
      </c>
      <c r="F512" s="88" t="s">
        <v>1750</v>
      </c>
      <c r="G512" s="87" t="s">
        <v>1165</v>
      </c>
      <c r="H512" s="82"/>
    </row>
    <row r="513" spans="1:8" ht="16" x14ac:dyDescent="0.2">
      <c r="A513" s="85" t="s">
        <v>401</v>
      </c>
      <c r="B513" s="89" t="s">
        <v>1585</v>
      </c>
      <c r="C513" s="86" t="s">
        <v>1718</v>
      </c>
      <c r="D513" s="86" t="s">
        <v>1009</v>
      </c>
      <c r="E513" s="90" t="s">
        <v>117</v>
      </c>
      <c r="F513" s="88" t="s">
        <v>1751</v>
      </c>
      <c r="G513" s="87" t="s">
        <v>1165</v>
      </c>
      <c r="H513" s="82"/>
    </row>
    <row r="514" spans="1:8" ht="16" x14ac:dyDescent="0.2">
      <c r="A514" s="85" t="s">
        <v>401</v>
      </c>
      <c r="B514" s="89" t="s">
        <v>1585</v>
      </c>
      <c r="C514" s="86" t="s">
        <v>1718</v>
      </c>
      <c r="D514" s="86" t="s">
        <v>1009</v>
      </c>
      <c r="E514" s="90" t="s">
        <v>117</v>
      </c>
      <c r="F514" s="88" t="s">
        <v>1752</v>
      </c>
      <c r="G514" s="87" t="s">
        <v>1165</v>
      </c>
      <c r="H514" s="82"/>
    </row>
    <row r="515" spans="1:8" ht="16" x14ac:dyDescent="0.2">
      <c r="A515" s="85" t="s">
        <v>401</v>
      </c>
      <c r="B515" s="89" t="s">
        <v>1585</v>
      </c>
      <c r="C515" s="86" t="s">
        <v>1718</v>
      </c>
      <c r="D515" s="86" t="s">
        <v>1009</v>
      </c>
      <c r="E515" s="90" t="s">
        <v>117</v>
      </c>
      <c r="F515" s="88" t="s">
        <v>1728</v>
      </c>
      <c r="G515" s="87" t="s">
        <v>1165</v>
      </c>
      <c r="H515" s="82"/>
    </row>
    <row r="516" spans="1:8" ht="16" x14ac:dyDescent="0.2">
      <c r="A516" s="85" t="s">
        <v>401</v>
      </c>
      <c r="B516" s="89" t="s">
        <v>1585</v>
      </c>
      <c r="C516" s="86" t="s">
        <v>1718</v>
      </c>
      <c r="D516" s="86" t="s">
        <v>1009</v>
      </c>
      <c r="E516" s="90" t="s">
        <v>117</v>
      </c>
      <c r="F516" s="88" t="s">
        <v>401</v>
      </c>
      <c r="G516" s="87" t="s">
        <v>1165</v>
      </c>
      <c r="H516" s="82"/>
    </row>
    <row r="517" spans="1:8" ht="16" x14ac:dyDescent="0.2">
      <c r="A517" s="85" t="s">
        <v>401</v>
      </c>
      <c r="B517" s="89" t="s">
        <v>1585</v>
      </c>
      <c r="C517" s="86" t="s">
        <v>1718</v>
      </c>
      <c r="D517" s="86" t="s">
        <v>1009</v>
      </c>
      <c r="E517" s="90" t="s">
        <v>117</v>
      </c>
      <c r="F517" s="88" t="s">
        <v>1753</v>
      </c>
      <c r="G517" s="87" t="s">
        <v>1165</v>
      </c>
      <c r="H517" s="82"/>
    </row>
    <row r="518" spans="1:8" ht="16" x14ac:dyDescent="0.2">
      <c r="A518" s="85" t="s">
        <v>401</v>
      </c>
      <c r="B518" s="89" t="s">
        <v>1585</v>
      </c>
      <c r="C518" s="86" t="s">
        <v>1718</v>
      </c>
      <c r="D518" s="86" t="s">
        <v>1009</v>
      </c>
      <c r="E518" s="90" t="s">
        <v>133</v>
      </c>
      <c r="F518" s="88" t="s">
        <v>1754</v>
      </c>
      <c r="G518" s="87" t="s">
        <v>379</v>
      </c>
      <c r="H518" s="82"/>
    </row>
    <row r="519" spans="1:8" ht="16" x14ac:dyDescent="0.2">
      <c r="A519" s="85" t="s">
        <v>401</v>
      </c>
      <c r="B519" s="89" t="s">
        <v>1585</v>
      </c>
      <c r="C519" s="86" t="s">
        <v>1718</v>
      </c>
      <c r="D519" s="86" t="s">
        <v>1009</v>
      </c>
      <c r="E519" s="90" t="s">
        <v>149</v>
      </c>
      <c r="F519" s="88" t="s">
        <v>1754</v>
      </c>
      <c r="G519" s="87" t="s">
        <v>379</v>
      </c>
      <c r="H519" s="82"/>
    </row>
    <row r="520" spans="1:8" ht="16" x14ac:dyDescent="0.2">
      <c r="A520" s="85" t="s">
        <v>401</v>
      </c>
      <c r="B520" s="89" t="s">
        <v>1585</v>
      </c>
      <c r="C520" s="86" t="s">
        <v>1718</v>
      </c>
      <c r="D520" s="86" t="s">
        <v>1009</v>
      </c>
      <c r="E520" s="90" t="s">
        <v>133</v>
      </c>
      <c r="F520" s="88" t="s">
        <v>1755</v>
      </c>
      <c r="G520" s="87" t="s">
        <v>379</v>
      </c>
      <c r="H520" s="82"/>
    </row>
    <row r="521" spans="1:8" ht="16" x14ac:dyDescent="0.2">
      <c r="A521" s="85" t="s">
        <v>401</v>
      </c>
      <c r="B521" s="89" t="s">
        <v>1585</v>
      </c>
      <c r="C521" s="86" t="s">
        <v>1718</v>
      </c>
      <c r="D521" s="86" t="s">
        <v>1009</v>
      </c>
      <c r="E521" s="90" t="s">
        <v>149</v>
      </c>
      <c r="F521" s="88" t="s">
        <v>1755</v>
      </c>
      <c r="G521" s="87" t="s">
        <v>379</v>
      </c>
      <c r="H521" s="82"/>
    </row>
    <row r="522" spans="1:8" ht="16" x14ac:dyDescent="0.2">
      <c r="A522" s="85" t="s">
        <v>401</v>
      </c>
      <c r="B522" s="89" t="s">
        <v>1585</v>
      </c>
      <c r="C522" s="86" t="s">
        <v>1718</v>
      </c>
      <c r="D522" s="86" t="s">
        <v>1009</v>
      </c>
      <c r="E522" s="90" t="s">
        <v>133</v>
      </c>
      <c r="F522" s="88" t="s">
        <v>1728</v>
      </c>
      <c r="G522" s="87" t="s">
        <v>379</v>
      </c>
      <c r="H522" s="82"/>
    </row>
    <row r="523" spans="1:8" ht="16" x14ac:dyDescent="0.2">
      <c r="A523" s="85" t="s">
        <v>401</v>
      </c>
      <c r="B523" s="89" t="s">
        <v>1585</v>
      </c>
      <c r="C523" s="86" t="s">
        <v>1718</v>
      </c>
      <c r="D523" s="86" t="s">
        <v>1009</v>
      </c>
      <c r="E523" s="90" t="s">
        <v>149</v>
      </c>
      <c r="F523" s="88" t="s">
        <v>1728</v>
      </c>
      <c r="G523" s="87" t="s">
        <v>379</v>
      </c>
      <c r="H523" s="82"/>
    </row>
    <row r="524" spans="1:8" ht="16" x14ac:dyDescent="0.2">
      <c r="A524" s="85" t="s">
        <v>401</v>
      </c>
      <c r="B524" s="89" t="s">
        <v>1585</v>
      </c>
      <c r="C524" s="86" t="s">
        <v>1718</v>
      </c>
      <c r="D524" s="86" t="s">
        <v>1009</v>
      </c>
      <c r="E524" s="90" t="s">
        <v>133</v>
      </c>
      <c r="F524" s="88" t="s">
        <v>401</v>
      </c>
      <c r="G524" s="87" t="s">
        <v>379</v>
      </c>
      <c r="H524" s="82"/>
    </row>
    <row r="525" spans="1:8" ht="16" x14ac:dyDescent="0.2">
      <c r="A525" s="85" t="s">
        <v>401</v>
      </c>
      <c r="B525" s="89" t="s">
        <v>1585</v>
      </c>
      <c r="C525" s="86" t="s">
        <v>1718</v>
      </c>
      <c r="D525" s="86" t="s">
        <v>1009</v>
      </c>
      <c r="E525" s="90" t="s">
        <v>149</v>
      </c>
      <c r="F525" s="88" t="s">
        <v>401</v>
      </c>
      <c r="G525" s="87" t="s">
        <v>379</v>
      </c>
      <c r="H525" s="82"/>
    </row>
    <row r="526" spans="1:8" ht="16" x14ac:dyDescent="0.2">
      <c r="A526" s="85" t="s">
        <v>401</v>
      </c>
      <c r="B526" s="89" t="s">
        <v>1585</v>
      </c>
      <c r="C526" s="86" t="s">
        <v>1718</v>
      </c>
      <c r="D526" s="86" t="s">
        <v>1009</v>
      </c>
      <c r="E526" s="90" t="s">
        <v>133</v>
      </c>
      <c r="F526" s="88" t="s">
        <v>1753</v>
      </c>
      <c r="G526" s="87" t="s">
        <v>379</v>
      </c>
      <c r="H526" s="82"/>
    </row>
    <row r="527" spans="1:8" ht="16" x14ac:dyDescent="0.2">
      <c r="A527" s="85" t="s">
        <v>401</v>
      </c>
      <c r="B527" s="89" t="s">
        <v>1585</v>
      </c>
      <c r="C527" s="86" t="s">
        <v>1718</v>
      </c>
      <c r="D527" s="86" t="s">
        <v>1009</v>
      </c>
      <c r="E527" s="90" t="s">
        <v>149</v>
      </c>
      <c r="F527" s="88" t="s">
        <v>1753</v>
      </c>
      <c r="G527" s="87" t="s">
        <v>379</v>
      </c>
      <c r="H527" s="82"/>
    </row>
    <row r="528" spans="1:8" ht="16" x14ac:dyDescent="0.2">
      <c r="A528" s="85" t="s">
        <v>401</v>
      </c>
      <c r="B528" s="89" t="s">
        <v>1585</v>
      </c>
      <c r="C528" s="86" t="s">
        <v>1741</v>
      </c>
      <c r="D528" s="86" t="s">
        <v>1013</v>
      </c>
      <c r="E528" s="90" t="s">
        <v>140</v>
      </c>
      <c r="F528" s="88" t="s">
        <v>1725</v>
      </c>
      <c r="G528" s="87" t="s">
        <v>360</v>
      </c>
      <c r="H528" s="82"/>
    </row>
    <row r="529" spans="1:8" ht="16" x14ac:dyDescent="0.2">
      <c r="A529" s="85" t="s">
        <v>401</v>
      </c>
      <c r="B529" s="89" t="s">
        <v>1585</v>
      </c>
      <c r="C529" s="86" t="s">
        <v>1741</v>
      </c>
      <c r="D529" s="86" t="s">
        <v>1013</v>
      </c>
      <c r="E529" s="90" t="s">
        <v>140</v>
      </c>
      <c r="F529" s="88" t="s">
        <v>1756</v>
      </c>
      <c r="G529" s="87" t="s">
        <v>360</v>
      </c>
      <c r="H529" s="82"/>
    </row>
    <row r="530" spans="1:8" ht="16" x14ac:dyDescent="0.2">
      <c r="A530" s="85" t="s">
        <v>401</v>
      </c>
      <c r="B530" s="89" t="s">
        <v>1585</v>
      </c>
      <c r="C530" s="86" t="s">
        <v>1741</v>
      </c>
      <c r="D530" s="86" t="s">
        <v>1013</v>
      </c>
      <c r="E530" s="90" t="s">
        <v>140</v>
      </c>
      <c r="F530" s="88" t="s">
        <v>1728</v>
      </c>
      <c r="G530" s="87" t="s">
        <v>360</v>
      </c>
      <c r="H530" s="82"/>
    </row>
    <row r="531" spans="1:8" ht="16" x14ac:dyDescent="0.2">
      <c r="A531" s="85" t="s">
        <v>401</v>
      </c>
      <c r="B531" s="89" t="s">
        <v>1585</v>
      </c>
      <c r="C531" s="86" t="s">
        <v>1741</v>
      </c>
      <c r="D531" s="86" t="s">
        <v>1013</v>
      </c>
      <c r="E531" s="90" t="s">
        <v>140</v>
      </c>
      <c r="F531" s="88" t="s">
        <v>401</v>
      </c>
      <c r="G531" s="87" t="s">
        <v>360</v>
      </c>
      <c r="H531" s="82"/>
    </row>
    <row r="532" spans="1:8" ht="16" x14ac:dyDescent="0.2">
      <c r="A532" s="85" t="s">
        <v>401</v>
      </c>
      <c r="B532" s="89" t="s">
        <v>1585</v>
      </c>
      <c r="C532" s="86" t="s">
        <v>1741</v>
      </c>
      <c r="D532" s="86" t="s">
        <v>1013</v>
      </c>
      <c r="E532" s="90" t="s">
        <v>140</v>
      </c>
      <c r="F532" s="88" t="s">
        <v>1753</v>
      </c>
      <c r="G532" s="87" t="s">
        <v>360</v>
      </c>
      <c r="H532" s="82"/>
    </row>
    <row r="533" spans="1:8" x14ac:dyDescent="0.2">
      <c r="A533" s="85" t="s">
        <v>401</v>
      </c>
      <c r="B533" s="89" t="s">
        <v>1585</v>
      </c>
      <c r="C533" s="86" t="s">
        <v>1741</v>
      </c>
      <c r="D533" s="86" t="s">
        <v>1013</v>
      </c>
      <c r="E533" s="90" t="s">
        <v>133</v>
      </c>
      <c r="F533" s="88" t="s">
        <v>1757</v>
      </c>
      <c r="G533" s="88" t="s">
        <v>1169</v>
      </c>
      <c r="H533" s="82"/>
    </row>
    <row r="534" spans="1:8" x14ac:dyDescent="0.2">
      <c r="A534" s="85" t="s">
        <v>401</v>
      </c>
      <c r="B534" s="89" t="s">
        <v>1585</v>
      </c>
      <c r="C534" s="86" t="s">
        <v>1741</v>
      </c>
      <c r="D534" s="86" t="s">
        <v>1013</v>
      </c>
      <c r="E534" s="90" t="s">
        <v>133</v>
      </c>
      <c r="F534" s="88" t="s">
        <v>1758</v>
      </c>
      <c r="G534" s="88" t="s">
        <v>1169</v>
      </c>
      <c r="H534" s="82"/>
    </row>
    <row r="535" spans="1:8" x14ac:dyDescent="0.2">
      <c r="A535" s="85" t="s">
        <v>401</v>
      </c>
      <c r="B535" s="89" t="s">
        <v>1585</v>
      </c>
      <c r="C535" s="86" t="s">
        <v>1741</v>
      </c>
      <c r="D535" s="86" t="s">
        <v>1013</v>
      </c>
      <c r="E535" s="90" t="s">
        <v>133</v>
      </c>
      <c r="F535" s="88" t="s">
        <v>1759</v>
      </c>
      <c r="G535" s="88" t="s">
        <v>1169</v>
      </c>
      <c r="H535" s="82"/>
    </row>
    <row r="536" spans="1:8" x14ac:dyDescent="0.2">
      <c r="A536" s="85" t="s">
        <v>401</v>
      </c>
      <c r="B536" s="89" t="s">
        <v>1585</v>
      </c>
      <c r="C536" s="86" t="s">
        <v>1741</v>
      </c>
      <c r="D536" s="86" t="s">
        <v>1013</v>
      </c>
      <c r="E536" s="90" t="s">
        <v>133</v>
      </c>
      <c r="F536" s="88" t="s">
        <v>1760</v>
      </c>
      <c r="G536" s="88" t="s">
        <v>1169</v>
      </c>
      <c r="H536" s="82"/>
    </row>
    <row r="537" spans="1:8" x14ac:dyDescent="0.2">
      <c r="A537" s="85" t="s">
        <v>401</v>
      </c>
      <c r="B537" s="89" t="s">
        <v>1585</v>
      </c>
      <c r="C537" s="86" t="s">
        <v>1741</v>
      </c>
      <c r="D537" s="86" t="s">
        <v>1013</v>
      </c>
      <c r="E537" s="90" t="s">
        <v>133</v>
      </c>
      <c r="F537" s="88" t="s">
        <v>1733</v>
      </c>
      <c r="G537" s="88" t="s">
        <v>1169</v>
      </c>
      <c r="H537" s="82"/>
    </row>
    <row r="538" spans="1:8" x14ac:dyDescent="0.2">
      <c r="A538" s="85" t="s">
        <v>401</v>
      </c>
      <c r="B538" s="89" t="s">
        <v>1585</v>
      </c>
      <c r="C538" s="86" t="s">
        <v>1741</v>
      </c>
      <c r="D538" s="86" t="s">
        <v>1013</v>
      </c>
      <c r="E538" s="90" t="s">
        <v>133</v>
      </c>
      <c r="F538" s="88" t="s">
        <v>1731</v>
      </c>
      <c r="G538" s="88" t="s">
        <v>1169</v>
      </c>
      <c r="H538" s="82"/>
    </row>
    <row r="539" spans="1:8" x14ac:dyDescent="0.2">
      <c r="A539" s="85" t="s">
        <v>401</v>
      </c>
      <c r="B539" s="89" t="s">
        <v>1585</v>
      </c>
      <c r="C539" s="86" t="s">
        <v>1741</v>
      </c>
      <c r="D539" s="86" t="s">
        <v>1013</v>
      </c>
      <c r="E539" s="90" t="s">
        <v>1034</v>
      </c>
      <c r="F539" s="88" t="s">
        <v>1731</v>
      </c>
      <c r="G539" s="88" t="s">
        <v>1169</v>
      </c>
      <c r="H539" s="82"/>
    </row>
    <row r="540" spans="1:8" x14ac:dyDescent="0.2">
      <c r="A540" s="85" t="s">
        <v>401</v>
      </c>
      <c r="B540" s="89" t="s">
        <v>1585</v>
      </c>
      <c r="C540" s="86" t="s">
        <v>1741</v>
      </c>
      <c r="D540" s="86" t="s">
        <v>1013</v>
      </c>
      <c r="E540" s="90" t="s">
        <v>1034</v>
      </c>
      <c r="F540" s="88" t="s">
        <v>1757</v>
      </c>
      <c r="G540" s="88" t="s">
        <v>1169</v>
      </c>
      <c r="H540" s="82"/>
    </row>
    <row r="541" spans="1:8" x14ac:dyDescent="0.2">
      <c r="A541" s="85" t="s">
        <v>401</v>
      </c>
      <c r="B541" s="89" t="s">
        <v>1585</v>
      </c>
      <c r="C541" s="86" t="s">
        <v>1741</v>
      </c>
      <c r="D541" s="86" t="s">
        <v>1013</v>
      </c>
      <c r="E541" s="90" t="s">
        <v>1034</v>
      </c>
      <c r="F541" s="88" t="s">
        <v>1758</v>
      </c>
      <c r="G541" s="88" t="s">
        <v>1169</v>
      </c>
      <c r="H541" s="82"/>
    </row>
    <row r="542" spans="1:8" x14ac:dyDescent="0.2">
      <c r="A542" s="85" t="s">
        <v>401</v>
      </c>
      <c r="B542" s="89" t="s">
        <v>1585</v>
      </c>
      <c r="C542" s="86" t="s">
        <v>1741</v>
      </c>
      <c r="D542" s="86" t="s">
        <v>1013</v>
      </c>
      <c r="E542" s="90" t="s">
        <v>1034</v>
      </c>
      <c r="F542" s="88" t="s">
        <v>1759</v>
      </c>
      <c r="G542" s="88" t="s">
        <v>1169</v>
      </c>
      <c r="H542" s="82"/>
    </row>
    <row r="543" spans="1:8" x14ac:dyDescent="0.2">
      <c r="A543" s="85" t="s">
        <v>401</v>
      </c>
      <c r="B543" s="89" t="s">
        <v>1585</v>
      </c>
      <c r="C543" s="86" t="s">
        <v>1741</v>
      </c>
      <c r="D543" s="86" t="s">
        <v>1013</v>
      </c>
      <c r="E543" s="90" t="s">
        <v>1034</v>
      </c>
      <c r="F543" s="88" t="s">
        <v>1760</v>
      </c>
      <c r="G543" s="88" t="s">
        <v>1169</v>
      </c>
      <c r="H543" s="82"/>
    </row>
    <row r="544" spans="1:8" x14ac:dyDescent="0.2">
      <c r="A544" s="85" t="s">
        <v>401</v>
      </c>
      <c r="B544" s="89" t="s">
        <v>1585</v>
      </c>
      <c r="C544" s="86" t="s">
        <v>1741</v>
      </c>
      <c r="D544" s="86" t="s">
        <v>1013</v>
      </c>
      <c r="E544" s="90" t="s">
        <v>1034</v>
      </c>
      <c r="F544" s="88" t="s">
        <v>1733</v>
      </c>
      <c r="G544" s="88" t="s">
        <v>1169</v>
      </c>
      <c r="H544" s="82"/>
    </row>
    <row r="545" spans="1:8" x14ac:dyDescent="0.2">
      <c r="A545" s="85" t="s">
        <v>401</v>
      </c>
      <c r="B545" s="89" t="s">
        <v>1585</v>
      </c>
      <c r="C545" s="86" t="s">
        <v>1718</v>
      </c>
      <c r="D545" s="86" t="s">
        <v>1009</v>
      </c>
      <c r="E545" s="90" t="s">
        <v>133</v>
      </c>
      <c r="F545" s="88" t="s">
        <v>1761</v>
      </c>
      <c r="G545" s="88" t="s">
        <v>1166</v>
      </c>
      <c r="H545" s="82"/>
    </row>
    <row r="546" spans="1:8" x14ac:dyDescent="0.2">
      <c r="A546" s="85" t="s">
        <v>401</v>
      </c>
      <c r="B546" s="89" t="s">
        <v>1585</v>
      </c>
      <c r="C546" s="86" t="s">
        <v>1718</v>
      </c>
      <c r="D546" s="86" t="s">
        <v>1009</v>
      </c>
      <c r="E546" s="90" t="s">
        <v>133</v>
      </c>
      <c r="F546" s="88" t="s">
        <v>1762</v>
      </c>
      <c r="G546" s="88" t="s">
        <v>1166</v>
      </c>
      <c r="H546" s="82"/>
    </row>
    <row r="547" spans="1:8" x14ac:dyDescent="0.2">
      <c r="A547" s="85" t="s">
        <v>401</v>
      </c>
      <c r="B547" s="89" t="s">
        <v>1585</v>
      </c>
      <c r="C547" s="86" t="s">
        <v>1718</v>
      </c>
      <c r="D547" s="86" t="s">
        <v>1009</v>
      </c>
      <c r="E547" s="90" t="s">
        <v>133</v>
      </c>
      <c r="F547" s="88" t="s">
        <v>1733</v>
      </c>
      <c r="G547" s="88" t="s">
        <v>1166</v>
      </c>
      <c r="H547" s="82"/>
    </row>
    <row r="548" spans="1:8" x14ac:dyDescent="0.2">
      <c r="A548" s="85" t="s">
        <v>401</v>
      </c>
      <c r="B548" s="89" t="s">
        <v>1585</v>
      </c>
      <c r="C548" s="86" t="s">
        <v>1718</v>
      </c>
      <c r="D548" s="86" t="s">
        <v>1009</v>
      </c>
      <c r="E548" s="90" t="s">
        <v>133</v>
      </c>
      <c r="F548" s="88" t="s">
        <v>1760</v>
      </c>
      <c r="G548" s="88" t="s">
        <v>1166</v>
      </c>
      <c r="H548" s="82"/>
    </row>
    <row r="549" spans="1:8" x14ac:dyDescent="0.2">
      <c r="A549" s="85" t="s">
        <v>401</v>
      </c>
      <c r="B549" s="89" t="s">
        <v>1585</v>
      </c>
      <c r="C549" s="86" t="s">
        <v>1718</v>
      </c>
      <c r="D549" s="86" t="s">
        <v>1009</v>
      </c>
      <c r="E549" s="90" t="s">
        <v>133</v>
      </c>
      <c r="F549" s="88" t="s">
        <v>1763</v>
      </c>
      <c r="G549" s="88" t="s">
        <v>1166</v>
      </c>
      <c r="H549" s="82"/>
    </row>
    <row r="550" spans="1:8" x14ac:dyDescent="0.2">
      <c r="A550" s="85" t="s">
        <v>401</v>
      </c>
      <c r="B550" s="89" t="s">
        <v>1585</v>
      </c>
      <c r="C550" s="86" t="s">
        <v>1718</v>
      </c>
      <c r="D550" s="86" t="s">
        <v>1009</v>
      </c>
      <c r="E550" s="90" t="s">
        <v>133</v>
      </c>
      <c r="F550" s="88" t="s">
        <v>1731</v>
      </c>
      <c r="G550" s="88" t="s">
        <v>1166</v>
      </c>
      <c r="H550" s="82"/>
    </row>
    <row r="551" spans="1:8" x14ac:dyDescent="0.2">
      <c r="A551" s="85" t="s">
        <v>401</v>
      </c>
      <c r="B551" s="89" t="s">
        <v>1585</v>
      </c>
      <c r="C551" s="86" t="s">
        <v>1718</v>
      </c>
      <c r="D551" s="86" t="s">
        <v>1009</v>
      </c>
      <c r="E551" s="90" t="s">
        <v>133</v>
      </c>
      <c r="F551" s="88" t="s">
        <v>1759</v>
      </c>
      <c r="G551" s="88" t="s">
        <v>1166</v>
      </c>
      <c r="H551" s="82"/>
    </row>
    <row r="552" spans="1:8" x14ac:dyDescent="0.2">
      <c r="A552" s="85" t="s">
        <v>401</v>
      </c>
      <c r="B552" s="89" t="s">
        <v>1585</v>
      </c>
      <c r="C552" s="86" t="s">
        <v>1718</v>
      </c>
      <c r="D552" s="86" t="s">
        <v>1009</v>
      </c>
      <c r="E552" s="90" t="s">
        <v>133</v>
      </c>
      <c r="F552" s="88" t="s">
        <v>1764</v>
      </c>
      <c r="G552" s="88" t="s">
        <v>1166</v>
      </c>
      <c r="H552" s="82"/>
    </row>
    <row r="553" spans="1:8" ht="16" x14ac:dyDescent="0.2">
      <c r="A553" s="85" t="s">
        <v>401</v>
      </c>
      <c r="B553" s="89" t="s">
        <v>1585</v>
      </c>
      <c r="C553" s="86" t="s">
        <v>1718</v>
      </c>
      <c r="D553" s="86" t="s">
        <v>1009</v>
      </c>
      <c r="E553" s="90" t="s">
        <v>133</v>
      </c>
      <c r="F553" s="88" t="s">
        <v>1765</v>
      </c>
      <c r="G553" s="87" t="s">
        <v>1239</v>
      </c>
      <c r="H553" s="82"/>
    </row>
    <row r="554" spans="1:8" ht="16" x14ac:dyDescent="0.2">
      <c r="A554" s="85" t="s">
        <v>401</v>
      </c>
      <c r="B554" s="89" t="s">
        <v>1585</v>
      </c>
      <c r="C554" s="86" t="s">
        <v>1718</v>
      </c>
      <c r="D554" s="86" t="s">
        <v>1009</v>
      </c>
      <c r="E554" s="90" t="s">
        <v>1035</v>
      </c>
      <c r="F554" s="88" t="s">
        <v>1765</v>
      </c>
      <c r="G554" s="87" t="s">
        <v>1239</v>
      </c>
      <c r="H554" s="82"/>
    </row>
    <row r="555" spans="1:8" ht="16" x14ac:dyDescent="0.2">
      <c r="A555" s="85" t="s">
        <v>401</v>
      </c>
      <c r="B555" s="89" t="s">
        <v>1585</v>
      </c>
      <c r="C555" s="86" t="s">
        <v>1718</v>
      </c>
      <c r="D555" s="86" t="s">
        <v>1009</v>
      </c>
      <c r="E555" s="90" t="s">
        <v>133</v>
      </c>
      <c r="F555" s="88" t="s">
        <v>1766</v>
      </c>
      <c r="G555" s="87" t="s">
        <v>1239</v>
      </c>
      <c r="H555" s="82"/>
    </row>
    <row r="556" spans="1:8" ht="16" x14ac:dyDescent="0.2">
      <c r="A556" s="85" t="s">
        <v>401</v>
      </c>
      <c r="B556" s="89" t="s">
        <v>1585</v>
      </c>
      <c r="C556" s="86" t="s">
        <v>1718</v>
      </c>
      <c r="D556" s="86" t="s">
        <v>1009</v>
      </c>
      <c r="E556" s="90" t="s">
        <v>1035</v>
      </c>
      <c r="F556" s="88" t="s">
        <v>1766</v>
      </c>
      <c r="G556" s="87" t="s">
        <v>1239</v>
      </c>
      <c r="H556" s="82"/>
    </row>
    <row r="557" spans="1:8" ht="16" x14ac:dyDescent="0.2">
      <c r="A557" s="85" t="s">
        <v>401</v>
      </c>
      <c r="B557" s="89" t="s">
        <v>1585</v>
      </c>
      <c r="C557" s="86" t="s">
        <v>1718</v>
      </c>
      <c r="D557" s="86" t="s">
        <v>1009</v>
      </c>
      <c r="E557" s="90" t="s">
        <v>133</v>
      </c>
      <c r="F557" s="88" t="s">
        <v>1767</v>
      </c>
      <c r="G557" s="87" t="s">
        <v>1239</v>
      </c>
      <c r="H557" s="82"/>
    </row>
    <row r="558" spans="1:8" ht="16" x14ac:dyDescent="0.2">
      <c r="A558" s="85" t="s">
        <v>401</v>
      </c>
      <c r="B558" s="89" t="s">
        <v>1585</v>
      </c>
      <c r="C558" s="86" t="s">
        <v>1718</v>
      </c>
      <c r="D558" s="86" t="s">
        <v>1009</v>
      </c>
      <c r="E558" s="90" t="s">
        <v>1035</v>
      </c>
      <c r="F558" s="88" t="s">
        <v>1767</v>
      </c>
      <c r="G558" s="87" t="s">
        <v>1239</v>
      </c>
      <c r="H558" s="82"/>
    </row>
    <row r="559" spans="1:8" ht="16" x14ac:dyDescent="0.2">
      <c r="A559" s="85" t="s">
        <v>401</v>
      </c>
      <c r="B559" s="89" t="s">
        <v>1585</v>
      </c>
      <c r="C559" s="86" t="s">
        <v>1718</v>
      </c>
      <c r="D559" s="86" t="s">
        <v>1009</v>
      </c>
      <c r="E559" s="90" t="s">
        <v>1034</v>
      </c>
      <c r="F559" s="88" t="s">
        <v>1767</v>
      </c>
      <c r="G559" s="87" t="s">
        <v>1239</v>
      </c>
      <c r="H559" s="82"/>
    </row>
    <row r="560" spans="1:8" ht="16" x14ac:dyDescent="0.2">
      <c r="A560" s="85" t="s">
        <v>404</v>
      </c>
      <c r="B560" s="89" t="s">
        <v>1585</v>
      </c>
      <c r="C560" s="86" t="s">
        <v>1718</v>
      </c>
      <c r="D560" s="86" t="s">
        <v>1009</v>
      </c>
      <c r="E560" s="90" t="s">
        <v>140</v>
      </c>
      <c r="F560" s="88" t="s">
        <v>1768</v>
      </c>
      <c r="G560" s="87" t="s">
        <v>340</v>
      </c>
      <c r="H560" s="82"/>
    </row>
    <row r="561" spans="1:8" ht="16" x14ac:dyDescent="0.2">
      <c r="A561" s="85" t="s">
        <v>404</v>
      </c>
      <c r="B561" s="89" t="s">
        <v>1585</v>
      </c>
      <c r="C561" s="86" t="s">
        <v>1718</v>
      </c>
      <c r="D561" s="86" t="s">
        <v>1009</v>
      </c>
      <c r="E561" s="90" t="s">
        <v>140</v>
      </c>
      <c r="F561" s="88" t="s">
        <v>1769</v>
      </c>
      <c r="G561" s="87" t="s">
        <v>340</v>
      </c>
      <c r="H561" s="82"/>
    </row>
    <row r="562" spans="1:8" ht="16" x14ac:dyDescent="0.2">
      <c r="A562" s="85" t="s">
        <v>404</v>
      </c>
      <c r="B562" s="89" t="s">
        <v>1585</v>
      </c>
      <c r="C562" s="86" t="s">
        <v>1718</v>
      </c>
      <c r="D562" s="86" t="s">
        <v>1009</v>
      </c>
      <c r="E562" s="90" t="s">
        <v>140</v>
      </c>
      <c r="F562" s="88" t="s">
        <v>404</v>
      </c>
      <c r="G562" s="87" t="s">
        <v>340</v>
      </c>
      <c r="H562" s="82"/>
    </row>
    <row r="563" spans="1:8" ht="16" x14ac:dyDescent="0.2">
      <c r="A563" s="85" t="s">
        <v>404</v>
      </c>
      <c r="B563" s="89" t="s">
        <v>1585</v>
      </c>
      <c r="C563" s="86" t="s">
        <v>1741</v>
      </c>
      <c r="D563" s="86" t="s">
        <v>1013</v>
      </c>
      <c r="E563" s="90" t="s">
        <v>117</v>
      </c>
      <c r="F563" s="88" t="s">
        <v>1770</v>
      </c>
      <c r="G563" s="87" t="s">
        <v>351</v>
      </c>
      <c r="H563" s="82"/>
    </row>
    <row r="564" spans="1:8" ht="16" x14ac:dyDescent="0.2">
      <c r="A564" s="85" t="s">
        <v>404</v>
      </c>
      <c r="B564" s="89" t="s">
        <v>1585</v>
      </c>
      <c r="C564" s="86" t="s">
        <v>1741</v>
      </c>
      <c r="D564" s="86" t="s">
        <v>1013</v>
      </c>
      <c r="E564" s="90" t="s">
        <v>140</v>
      </c>
      <c r="F564" s="88" t="s">
        <v>1770</v>
      </c>
      <c r="G564" s="87" t="s">
        <v>351</v>
      </c>
      <c r="H564" s="82"/>
    </row>
    <row r="565" spans="1:8" ht="16" x14ac:dyDescent="0.2">
      <c r="A565" s="85" t="s">
        <v>404</v>
      </c>
      <c r="B565" s="89" t="s">
        <v>1585</v>
      </c>
      <c r="C565" s="86" t="s">
        <v>1741</v>
      </c>
      <c r="D565" s="86" t="s">
        <v>1013</v>
      </c>
      <c r="E565" s="90" t="s">
        <v>133</v>
      </c>
      <c r="F565" s="88" t="s">
        <v>1770</v>
      </c>
      <c r="G565" s="87" t="s">
        <v>351</v>
      </c>
      <c r="H565" s="82"/>
    </row>
    <row r="566" spans="1:8" ht="16" x14ac:dyDescent="0.2">
      <c r="A566" s="85" t="s">
        <v>404</v>
      </c>
      <c r="B566" s="89" t="s">
        <v>1585</v>
      </c>
      <c r="C566" s="86" t="s">
        <v>1741</v>
      </c>
      <c r="D566" s="86" t="s">
        <v>1013</v>
      </c>
      <c r="E566" s="90" t="s">
        <v>149</v>
      </c>
      <c r="F566" s="88" t="s">
        <v>1770</v>
      </c>
      <c r="G566" s="87" t="s">
        <v>351</v>
      </c>
      <c r="H566" s="82"/>
    </row>
    <row r="567" spans="1:8" ht="16" x14ac:dyDescent="0.2">
      <c r="A567" s="85" t="s">
        <v>404</v>
      </c>
      <c r="B567" s="89" t="s">
        <v>1585</v>
      </c>
      <c r="C567" s="86" t="s">
        <v>1741</v>
      </c>
      <c r="D567" s="86" t="s">
        <v>1013</v>
      </c>
      <c r="E567" s="90" t="s">
        <v>117</v>
      </c>
      <c r="F567" s="88" t="s">
        <v>1771</v>
      </c>
      <c r="G567" s="87" t="s">
        <v>351</v>
      </c>
      <c r="H567" s="82"/>
    </row>
    <row r="568" spans="1:8" ht="16" x14ac:dyDescent="0.2">
      <c r="A568" s="85" t="s">
        <v>404</v>
      </c>
      <c r="B568" s="89" t="s">
        <v>1585</v>
      </c>
      <c r="C568" s="86" t="s">
        <v>1741</v>
      </c>
      <c r="D568" s="86" t="s">
        <v>1013</v>
      </c>
      <c r="E568" s="90" t="s">
        <v>140</v>
      </c>
      <c r="F568" s="88" t="s">
        <v>1771</v>
      </c>
      <c r="G568" s="87" t="s">
        <v>351</v>
      </c>
      <c r="H568" s="82"/>
    </row>
    <row r="569" spans="1:8" ht="16" x14ac:dyDescent="0.2">
      <c r="A569" s="85" t="s">
        <v>404</v>
      </c>
      <c r="B569" s="89" t="s">
        <v>1585</v>
      </c>
      <c r="C569" s="86" t="s">
        <v>1741</v>
      </c>
      <c r="D569" s="86" t="s">
        <v>1013</v>
      </c>
      <c r="E569" s="90" t="s">
        <v>133</v>
      </c>
      <c r="F569" s="88" t="s">
        <v>1771</v>
      </c>
      <c r="G569" s="87" t="s">
        <v>351</v>
      </c>
      <c r="H569" s="82"/>
    </row>
    <row r="570" spans="1:8" ht="16" x14ac:dyDescent="0.2">
      <c r="A570" s="85" t="s">
        <v>404</v>
      </c>
      <c r="B570" s="89" t="s">
        <v>1585</v>
      </c>
      <c r="C570" s="86" t="s">
        <v>1741</v>
      </c>
      <c r="D570" s="86" t="s">
        <v>1013</v>
      </c>
      <c r="E570" s="90" t="s">
        <v>149</v>
      </c>
      <c r="F570" s="88" t="s">
        <v>1771</v>
      </c>
      <c r="G570" s="87" t="s">
        <v>351</v>
      </c>
      <c r="H570" s="82"/>
    </row>
    <row r="571" spans="1:8" ht="16" x14ac:dyDescent="0.2">
      <c r="A571" s="85" t="s">
        <v>404</v>
      </c>
      <c r="B571" s="89" t="s">
        <v>1585</v>
      </c>
      <c r="C571" s="86" t="s">
        <v>1741</v>
      </c>
      <c r="D571" s="86" t="s">
        <v>1013</v>
      </c>
      <c r="E571" s="90" t="s">
        <v>117</v>
      </c>
      <c r="F571" s="88" t="s">
        <v>1772</v>
      </c>
      <c r="G571" s="87" t="s">
        <v>351</v>
      </c>
      <c r="H571" s="82"/>
    </row>
    <row r="572" spans="1:8" ht="16" x14ac:dyDescent="0.2">
      <c r="A572" s="85" t="s">
        <v>404</v>
      </c>
      <c r="B572" s="89" t="s">
        <v>1585</v>
      </c>
      <c r="C572" s="86" t="s">
        <v>1741</v>
      </c>
      <c r="D572" s="86" t="s">
        <v>1013</v>
      </c>
      <c r="E572" s="90" t="s">
        <v>140</v>
      </c>
      <c r="F572" s="88" t="s">
        <v>1772</v>
      </c>
      <c r="G572" s="87" t="s">
        <v>351</v>
      </c>
      <c r="H572" s="82"/>
    </row>
    <row r="573" spans="1:8" ht="16" x14ac:dyDescent="0.2">
      <c r="A573" s="85" t="s">
        <v>404</v>
      </c>
      <c r="B573" s="89" t="s">
        <v>1585</v>
      </c>
      <c r="C573" s="86" t="s">
        <v>1741</v>
      </c>
      <c r="D573" s="86" t="s">
        <v>1013</v>
      </c>
      <c r="E573" s="90" t="s">
        <v>133</v>
      </c>
      <c r="F573" s="88" t="s">
        <v>1772</v>
      </c>
      <c r="G573" s="87" t="s">
        <v>351</v>
      </c>
      <c r="H573" s="82"/>
    </row>
    <row r="574" spans="1:8" ht="16" x14ac:dyDescent="0.2">
      <c r="A574" s="85" t="s">
        <v>404</v>
      </c>
      <c r="B574" s="89" t="s">
        <v>1585</v>
      </c>
      <c r="C574" s="86" t="s">
        <v>1741</v>
      </c>
      <c r="D574" s="86" t="s">
        <v>1013</v>
      </c>
      <c r="E574" s="90" t="s">
        <v>149</v>
      </c>
      <c r="F574" s="88" t="s">
        <v>1772</v>
      </c>
      <c r="G574" s="87" t="s">
        <v>351</v>
      </c>
      <c r="H574" s="82"/>
    </row>
    <row r="575" spans="1:8" ht="16" x14ac:dyDescent="0.2">
      <c r="A575" s="85" t="s">
        <v>404</v>
      </c>
      <c r="B575" s="89" t="s">
        <v>1585</v>
      </c>
      <c r="C575" s="86" t="s">
        <v>1741</v>
      </c>
      <c r="D575" s="86" t="s">
        <v>1013</v>
      </c>
      <c r="E575" s="90" t="s">
        <v>117</v>
      </c>
      <c r="F575" s="88" t="s">
        <v>404</v>
      </c>
      <c r="G575" s="87" t="s">
        <v>351</v>
      </c>
      <c r="H575" s="82"/>
    </row>
    <row r="576" spans="1:8" ht="16" x14ac:dyDescent="0.2">
      <c r="A576" s="85" t="s">
        <v>404</v>
      </c>
      <c r="B576" s="89" t="s">
        <v>1585</v>
      </c>
      <c r="C576" s="86" t="s">
        <v>1741</v>
      </c>
      <c r="D576" s="86" t="s">
        <v>1013</v>
      </c>
      <c r="E576" s="90" t="s">
        <v>140</v>
      </c>
      <c r="F576" s="88" t="s">
        <v>404</v>
      </c>
      <c r="G576" s="87" t="s">
        <v>351</v>
      </c>
      <c r="H576" s="82"/>
    </row>
    <row r="577" spans="1:8" ht="16" x14ac:dyDescent="0.2">
      <c r="A577" s="85" t="s">
        <v>404</v>
      </c>
      <c r="B577" s="89" t="s">
        <v>1585</v>
      </c>
      <c r="C577" s="86" t="s">
        <v>1741</v>
      </c>
      <c r="D577" s="86" t="s">
        <v>1013</v>
      </c>
      <c r="E577" s="90" t="s">
        <v>133</v>
      </c>
      <c r="F577" s="88" t="s">
        <v>404</v>
      </c>
      <c r="G577" s="87" t="s">
        <v>351</v>
      </c>
      <c r="H577" s="82"/>
    </row>
    <row r="578" spans="1:8" ht="16" x14ac:dyDescent="0.2">
      <c r="A578" s="85" t="s">
        <v>404</v>
      </c>
      <c r="B578" s="89" t="s">
        <v>1585</v>
      </c>
      <c r="C578" s="86" t="s">
        <v>1741</v>
      </c>
      <c r="D578" s="86" t="s">
        <v>1013</v>
      </c>
      <c r="E578" s="90" t="s">
        <v>149</v>
      </c>
      <c r="F578" s="88" t="s">
        <v>404</v>
      </c>
      <c r="G578" s="87" t="s">
        <v>351</v>
      </c>
      <c r="H578" s="82"/>
    </row>
    <row r="579" spans="1:8" ht="16" x14ac:dyDescent="0.2">
      <c r="A579" s="85" t="s">
        <v>404</v>
      </c>
      <c r="B579" s="89" t="s">
        <v>1585</v>
      </c>
      <c r="C579" s="86" t="s">
        <v>1741</v>
      </c>
      <c r="D579" s="86" t="s">
        <v>1013</v>
      </c>
      <c r="E579" s="90" t="s">
        <v>1034</v>
      </c>
      <c r="F579" s="88" t="s">
        <v>404</v>
      </c>
      <c r="G579" s="87" t="s">
        <v>351</v>
      </c>
      <c r="H579" s="82"/>
    </row>
    <row r="580" spans="1:8" ht="16" x14ac:dyDescent="0.2">
      <c r="A580" s="85" t="s">
        <v>404</v>
      </c>
      <c r="B580" s="89" t="s">
        <v>1585</v>
      </c>
      <c r="C580" s="86" t="s">
        <v>1741</v>
      </c>
      <c r="D580" s="86" t="s">
        <v>1013</v>
      </c>
      <c r="E580" s="90" t="s">
        <v>117</v>
      </c>
      <c r="F580" s="88" t="s">
        <v>1769</v>
      </c>
      <c r="G580" s="87" t="s">
        <v>351</v>
      </c>
      <c r="H580" s="82"/>
    </row>
    <row r="581" spans="1:8" ht="16" x14ac:dyDescent="0.2">
      <c r="A581" s="85" t="s">
        <v>404</v>
      </c>
      <c r="B581" s="89" t="s">
        <v>1585</v>
      </c>
      <c r="C581" s="86" t="s">
        <v>1741</v>
      </c>
      <c r="D581" s="86" t="s">
        <v>1013</v>
      </c>
      <c r="E581" s="90" t="s">
        <v>140</v>
      </c>
      <c r="F581" s="88" t="s">
        <v>1769</v>
      </c>
      <c r="G581" s="87" t="s">
        <v>351</v>
      </c>
      <c r="H581" s="82"/>
    </row>
    <row r="582" spans="1:8" ht="16" x14ac:dyDescent="0.2">
      <c r="A582" s="85" t="s">
        <v>404</v>
      </c>
      <c r="B582" s="89" t="s">
        <v>1585</v>
      </c>
      <c r="C582" s="86" t="s">
        <v>1741</v>
      </c>
      <c r="D582" s="86" t="s">
        <v>1013</v>
      </c>
      <c r="E582" s="90" t="s">
        <v>133</v>
      </c>
      <c r="F582" s="88" t="s">
        <v>1769</v>
      </c>
      <c r="G582" s="87" t="s">
        <v>351</v>
      </c>
      <c r="H582" s="82"/>
    </row>
    <row r="583" spans="1:8" ht="16" x14ac:dyDescent="0.2">
      <c r="A583" s="85" t="s">
        <v>404</v>
      </c>
      <c r="B583" s="89" t="s">
        <v>1585</v>
      </c>
      <c r="C583" s="86" t="s">
        <v>1741</v>
      </c>
      <c r="D583" s="86" t="s">
        <v>1013</v>
      </c>
      <c r="E583" s="90" t="s">
        <v>149</v>
      </c>
      <c r="F583" s="88" t="s">
        <v>1769</v>
      </c>
      <c r="G583" s="87" t="s">
        <v>351</v>
      </c>
      <c r="H583" s="82"/>
    </row>
    <row r="584" spans="1:8" x14ac:dyDescent="0.2">
      <c r="A584" s="85" t="s">
        <v>308</v>
      </c>
      <c r="B584" s="89" t="s">
        <v>1585</v>
      </c>
      <c r="C584" s="86" t="s">
        <v>1773</v>
      </c>
      <c r="D584" s="86" t="s">
        <v>1012</v>
      </c>
      <c r="E584" s="90" t="s">
        <v>126</v>
      </c>
      <c r="F584" s="88" t="s">
        <v>1640</v>
      </c>
      <c r="G584" s="88" t="s">
        <v>1248</v>
      </c>
      <c r="H584" s="82"/>
    </row>
    <row r="585" spans="1:8" x14ac:dyDescent="0.2">
      <c r="A585" s="85" t="s">
        <v>308</v>
      </c>
      <c r="B585" s="89" t="s">
        <v>1585</v>
      </c>
      <c r="C585" s="86" t="s">
        <v>1773</v>
      </c>
      <c r="D585" s="86" t="s">
        <v>1012</v>
      </c>
      <c r="E585" s="90" t="s">
        <v>126</v>
      </c>
      <c r="F585" s="88" t="s">
        <v>1641</v>
      </c>
      <c r="G585" s="88" t="s">
        <v>1248</v>
      </c>
      <c r="H585" s="82"/>
    </row>
    <row r="586" spans="1:8" x14ac:dyDescent="0.2">
      <c r="A586" s="85" t="s">
        <v>308</v>
      </c>
      <c r="B586" s="89" t="s">
        <v>1585</v>
      </c>
      <c r="C586" s="86" t="s">
        <v>1773</v>
      </c>
      <c r="D586" s="86" t="s">
        <v>1012</v>
      </c>
      <c r="E586" s="90" t="s">
        <v>126</v>
      </c>
      <c r="F586" s="88" t="s">
        <v>1715</v>
      </c>
      <c r="G586" s="88" t="s">
        <v>1248</v>
      </c>
      <c r="H586" s="82"/>
    </row>
    <row r="587" spans="1:8" x14ac:dyDescent="0.2">
      <c r="A587" s="85" t="s">
        <v>308</v>
      </c>
      <c r="B587" s="89" t="s">
        <v>1585</v>
      </c>
      <c r="C587" s="86" t="s">
        <v>1773</v>
      </c>
      <c r="D587" s="86" t="s">
        <v>1012</v>
      </c>
      <c r="E587" s="90" t="s">
        <v>126</v>
      </c>
      <c r="F587" s="88" t="s">
        <v>1716</v>
      </c>
      <c r="G587" s="88" t="s">
        <v>1248</v>
      </c>
      <c r="H587" s="82"/>
    </row>
    <row r="588" spans="1:8" x14ac:dyDescent="0.2">
      <c r="A588" s="85" t="s">
        <v>308</v>
      </c>
      <c r="B588" s="89" t="s">
        <v>1585</v>
      </c>
      <c r="C588" s="86" t="s">
        <v>1773</v>
      </c>
      <c r="D588" s="86" t="s">
        <v>1012</v>
      </c>
      <c r="E588" s="90" t="s">
        <v>126</v>
      </c>
      <c r="F588" s="88" t="s">
        <v>1774</v>
      </c>
      <c r="G588" s="88" t="s">
        <v>1247</v>
      </c>
      <c r="H588" s="82"/>
    </row>
    <row r="589" spans="1:8" x14ac:dyDescent="0.2">
      <c r="A589" s="85" t="s">
        <v>308</v>
      </c>
      <c r="B589" s="89" t="s">
        <v>1585</v>
      </c>
      <c r="C589" s="86" t="s">
        <v>1773</v>
      </c>
      <c r="D589" s="86" t="s">
        <v>1012</v>
      </c>
      <c r="E589" s="90" t="s">
        <v>126</v>
      </c>
      <c r="F589" s="88" t="s">
        <v>1775</v>
      </c>
      <c r="G589" s="88" t="s">
        <v>1247</v>
      </c>
      <c r="H589" s="82"/>
    </row>
    <row r="590" spans="1:8" x14ac:dyDescent="0.2">
      <c r="A590" s="85" t="s">
        <v>308</v>
      </c>
      <c r="B590" s="89" t="s">
        <v>1585</v>
      </c>
      <c r="C590" s="86" t="s">
        <v>1773</v>
      </c>
      <c r="D590" s="86" t="s">
        <v>1012</v>
      </c>
      <c r="E590" s="90" t="s">
        <v>126</v>
      </c>
      <c r="F590" s="88" t="s">
        <v>1776</v>
      </c>
      <c r="G590" s="88" t="s">
        <v>1247</v>
      </c>
      <c r="H590" s="82"/>
    </row>
    <row r="591" spans="1:8" x14ac:dyDescent="0.2">
      <c r="A591" s="85" t="s">
        <v>308</v>
      </c>
      <c r="B591" s="89" t="s">
        <v>1585</v>
      </c>
      <c r="C591" s="86" t="s">
        <v>1773</v>
      </c>
      <c r="D591" s="86" t="s">
        <v>1012</v>
      </c>
      <c r="E591" s="90" t="s">
        <v>126</v>
      </c>
      <c r="F591" s="88" t="s">
        <v>1777</v>
      </c>
      <c r="G591" s="88" t="s">
        <v>1247</v>
      </c>
      <c r="H591" s="82"/>
    </row>
    <row r="592" spans="1:8" ht="16" x14ac:dyDescent="0.2">
      <c r="A592" s="85" t="s">
        <v>308</v>
      </c>
      <c r="B592" s="89" t="s">
        <v>1585</v>
      </c>
      <c r="C592" s="86" t="s">
        <v>1773</v>
      </c>
      <c r="D592" s="86" t="s">
        <v>1012</v>
      </c>
      <c r="E592" s="90" t="s">
        <v>117</v>
      </c>
      <c r="F592" s="88" t="s">
        <v>308</v>
      </c>
      <c r="G592" s="87" t="s">
        <v>568</v>
      </c>
      <c r="H592" s="82"/>
    </row>
    <row r="593" spans="1:8" ht="16" x14ac:dyDescent="0.2">
      <c r="A593" s="85" t="s">
        <v>308</v>
      </c>
      <c r="B593" s="89" t="s">
        <v>1585</v>
      </c>
      <c r="C593" s="86" t="s">
        <v>1773</v>
      </c>
      <c r="D593" s="86" t="s">
        <v>1012</v>
      </c>
      <c r="E593" s="90" t="s">
        <v>117</v>
      </c>
      <c r="F593" s="88" t="s">
        <v>1637</v>
      </c>
      <c r="G593" s="87" t="s">
        <v>568</v>
      </c>
      <c r="H593" s="82"/>
    </row>
    <row r="594" spans="1:8" ht="16" x14ac:dyDescent="0.2">
      <c r="A594" s="85" t="s">
        <v>308</v>
      </c>
      <c r="B594" s="89" t="s">
        <v>1585</v>
      </c>
      <c r="C594" s="86" t="s">
        <v>1773</v>
      </c>
      <c r="D594" s="86" t="s">
        <v>1012</v>
      </c>
      <c r="E594" s="90" t="s">
        <v>117</v>
      </c>
      <c r="F594" s="88" t="s">
        <v>1638</v>
      </c>
      <c r="G594" s="87" t="s">
        <v>568</v>
      </c>
      <c r="H594" s="82"/>
    </row>
    <row r="595" spans="1:8" ht="16" x14ac:dyDescent="0.2">
      <c r="A595" s="85" t="s">
        <v>308</v>
      </c>
      <c r="B595" s="89" t="s">
        <v>1585</v>
      </c>
      <c r="C595" s="86" t="s">
        <v>1773</v>
      </c>
      <c r="D595" s="86" t="s">
        <v>1012</v>
      </c>
      <c r="E595" s="90" t="s">
        <v>117</v>
      </c>
      <c r="F595" s="88" t="s">
        <v>1639</v>
      </c>
      <c r="G595" s="87" t="s">
        <v>568</v>
      </c>
      <c r="H595" s="82"/>
    </row>
    <row r="596" spans="1:8" ht="16" x14ac:dyDescent="0.2">
      <c r="A596" s="85" t="s">
        <v>308</v>
      </c>
      <c r="B596" s="89" t="s">
        <v>1585</v>
      </c>
      <c r="C596" s="86" t="s">
        <v>1773</v>
      </c>
      <c r="D596" s="86" t="s">
        <v>1012</v>
      </c>
      <c r="E596" s="90" t="s">
        <v>126</v>
      </c>
      <c r="F596" s="88" t="s">
        <v>308</v>
      </c>
      <c r="G596" s="87" t="s">
        <v>566</v>
      </c>
      <c r="H596" s="82"/>
    </row>
    <row r="597" spans="1:8" ht="16" x14ac:dyDescent="0.2">
      <c r="A597" s="85" t="s">
        <v>308</v>
      </c>
      <c r="B597" s="89" t="s">
        <v>1585</v>
      </c>
      <c r="C597" s="86" t="s">
        <v>1773</v>
      </c>
      <c r="D597" s="86" t="s">
        <v>1012</v>
      </c>
      <c r="E597" s="90" t="s">
        <v>126</v>
      </c>
      <c r="F597" s="88" t="s">
        <v>1637</v>
      </c>
      <c r="G597" s="87" t="s">
        <v>566</v>
      </c>
      <c r="H597" s="82"/>
    </row>
    <row r="598" spans="1:8" ht="16" x14ac:dyDescent="0.2">
      <c r="A598" s="85" t="s">
        <v>308</v>
      </c>
      <c r="B598" s="89" t="s">
        <v>1585</v>
      </c>
      <c r="C598" s="86" t="s">
        <v>1773</v>
      </c>
      <c r="D598" s="86" t="s">
        <v>1012</v>
      </c>
      <c r="E598" s="90" t="s">
        <v>126</v>
      </c>
      <c r="F598" s="88" t="s">
        <v>1638</v>
      </c>
      <c r="G598" s="87" t="s">
        <v>566</v>
      </c>
      <c r="H598" s="82"/>
    </row>
    <row r="599" spans="1:8" ht="16" x14ac:dyDescent="0.2">
      <c r="A599" s="85" t="s">
        <v>308</v>
      </c>
      <c r="B599" s="89" t="s">
        <v>1585</v>
      </c>
      <c r="C599" s="86" t="s">
        <v>1773</v>
      </c>
      <c r="D599" s="86" t="s">
        <v>1012</v>
      </c>
      <c r="E599" s="90" t="s">
        <v>126</v>
      </c>
      <c r="F599" s="88" t="s">
        <v>1639</v>
      </c>
      <c r="G599" s="87" t="s">
        <v>566</v>
      </c>
      <c r="H599" s="82"/>
    </row>
    <row r="600" spans="1:8" ht="16" x14ac:dyDescent="0.2">
      <c r="A600" s="85" t="s">
        <v>308</v>
      </c>
      <c r="B600" s="89" t="s">
        <v>1585</v>
      </c>
      <c r="C600" s="86" t="s">
        <v>1773</v>
      </c>
      <c r="D600" s="86" t="s">
        <v>1012</v>
      </c>
      <c r="E600" s="90" t="s">
        <v>126</v>
      </c>
      <c r="F600" s="88" t="s">
        <v>1710</v>
      </c>
      <c r="G600" s="87" t="s">
        <v>566</v>
      </c>
      <c r="H600" s="82"/>
    </row>
    <row r="601" spans="1:8" ht="16" x14ac:dyDescent="0.2">
      <c r="A601" s="85" t="s">
        <v>308</v>
      </c>
      <c r="B601" s="89" t="s">
        <v>1585</v>
      </c>
      <c r="C601" s="86" t="s">
        <v>1773</v>
      </c>
      <c r="D601" s="86" t="s">
        <v>1012</v>
      </c>
      <c r="E601" s="90" t="s">
        <v>126</v>
      </c>
      <c r="F601" s="88" t="s">
        <v>1711</v>
      </c>
      <c r="G601" s="87" t="s">
        <v>566</v>
      </c>
      <c r="H601" s="82"/>
    </row>
    <row r="602" spans="1:8" ht="16" x14ac:dyDescent="0.2">
      <c r="A602" s="85" t="s">
        <v>308</v>
      </c>
      <c r="B602" s="89" t="s">
        <v>1585</v>
      </c>
      <c r="C602" s="86" t="s">
        <v>1773</v>
      </c>
      <c r="D602" s="86" t="s">
        <v>1012</v>
      </c>
      <c r="E602" s="90" t="s">
        <v>126</v>
      </c>
      <c r="F602" s="88" t="s">
        <v>1712</v>
      </c>
      <c r="G602" s="87" t="s">
        <v>566</v>
      </c>
      <c r="H602" s="82"/>
    </row>
    <row r="603" spans="1:8" ht="16" x14ac:dyDescent="0.2">
      <c r="A603" s="85" t="s">
        <v>308</v>
      </c>
      <c r="B603" s="89" t="s">
        <v>1585</v>
      </c>
      <c r="C603" s="86" t="s">
        <v>1773</v>
      </c>
      <c r="D603" s="86" t="s">
        <v>1012</v>
      </c>
      <c r="E603" s="90" t="s">
        <v>126</v>
      </c>
      <c r="F603" s="88" t="s">
        <v>1713</v>
      </c>
      <c r="G603" s="87" t="s">
        <v>566</v>
      </c>
      <c r="H603" s="82"/>
    </row>
    <row r="604" spans="1:8" ht="16" x14ac:dyDescent="0.2">
      <c r="A604" s="85" t="s">
        <v>308</v>
      </c>
      <c r="B604" s="89" t="s">
        <v>1585</v>
      </c>
      <c r="C604" s="86" t="s">
        <v>1773</v>
      </c>
      <c r="D604" s="86" t="s">
        <v>1012</v>
      </c>
      <c r="E604" s="90" t="s">
        <v>117</v>
      </c>
      <c r="F604" s="88" t="s">
        <v>313</v>
      </c>
      <c r="G604" s="87" t="s">
        <v>564</v>
      </c>
      <c r="H604" s="82"/>
    </row>
    <row r="605" spans="1:8" ht="16" x14ac:dyDescent="0.2">
      <c r="A605" s="85" t="s">
        <v>308</v>
      </c>
      <c r="B605" s="89" t="s">
        <v>1585</v>
      </c>
      <c r="C605" s="86" t="s">
        <v>1773</v>
      </c>
      <c r="D605" s="86" t="s">
        <v>1012</v>
      </c>
      <c r="E605" s="90" t="s">
        <v>117</v>
      </c>
      <c r="F605" s="88" t="s">
        <v>1778</v>
      </c>
      <c r="G605" s="87" t="s">
        <v>564</v>
      </c>
      <c r="H605" s="82"/>
    </row>
    <row r="606" spans="1:8" ht="16" x14ac:dyDescent="0.2">
      <c r="A606" s="85" t="s">
        <v>308</v>
      </c>
      <c r="B606" s="89" t="s">
        <v>1585</v>
      </c>
      <c r="C606" s="86" t="s">
        <v>1773</v>
      </c>
      <c r="D606" s="86" t="s">
        <v>1012</v>
      </c>
      <c r="E606" s="90" t="s">
        <v>117</v>
      </c>
      <c r="F606" s="88" t="s">
        <v>1779</v>
      </c>
      <c r="G606" s="87" t="s">
        <v>564</v>
      </c>
      <c r="H606" s="82"/>
    </row>
    <row r="607" spans="1:8" ht="16" x14ac:dyDescent="0.2">
      <c r="A607" s="85" t="s">
        <v>308</v>
      </c>
      <c r="B607" s="89" t="s">
        <v>1585</v>
      </c>
      <c r="C607" s="86" t="s">
        <v>1773</v>
      </c>
      <c r="D607" s="86" t="s">
        <v>1012</v>
      </c>
      <c r="E607" s="90" t="s">
        <v>117</v>
      </c>
      <c r="F607" s="88" t="s">
        <v>1780</v>
      </c>
      <c r="G607" s="87" t="s">
        <v>564</v>
      </c>
      <c r="H607" s="82"/>
    </row>
    <row r="608" spans="1:8" ht="16" x14ac:dyDescent="0.2">
      <c r="A608" s="85" t="s">
        <v>308</v>
      </c>
      <c r="B608" s="89" t="s">
        <v>1585</v>
      </c>
      <c r="C608" s="86" t="s">
        <v>1773</v>
      </c>
      <c r="D608" s="86" t="s">
        <v>1012</v>
      </c>
      <c r="E608" s="90" t="s">
        <v>126</v>
      </c>
      <c r="F608" s="88" t="s">
        <v>313</v>
      </c>
      <c r="G608" s="87" t="s">
        <v>563</v>
      </c>
      <c r="H608" s="82"/>
    </row>
    <row r="609" spans="1:8" ht="16" x14ac:dyDescent="0.2">
      <c r="A609" s="85" t="s">
        <v>308</v>
      </c>
      <c r="B609" s="89" t="s">
        <v>1585</v>
      </c>
      <c r="C609" s="86" t="s">
        <v>1773</v>
      </c>
      <c r="D609" s="86" t="s">
        <v>1012</v>
      </c>
      <c r="E609" s="90" t="s">
        <v>126</v>
      </c>
      <c r="F609" s="88" t="s">
        <v>1778</v>
      </c>
      <c r="G609" s="87" t="s">
        <v>563</v>
      </c>
      <c r="H609" s="82"/>
    </row>
    <row r="610" spans="1:8" ht="16" x14ac:dyDescent="0.2">
      <c r="A610" s="85" t="s">
        <v>308</v>
      </c>
      <c r="B610" s="89" t="s">
        <v>1585</v>
      </c>
      <c r="C610" s="86" t="s">
        <v>1773</v>
      </c>
      <c r="D610" s="86" t="s">
        <v>1012</v>
      </c>
      <c r="E610" s="90" t="s">
        <v>126</v>
      </c>
      <c r="F610" s="88" t="s">
        <v>1779</v>
      </c>
      <c r="G610" s="87" t="s">
        <v>563</v>
      </c>
      <c r="H610" s="82"/>
    </row>
    <row r="611" spans="1:8" ht="16" x14ac:dyDescent="0.2">
      <c r="A611" s="85" t="s">
        <v>308</v>
      </c>
      <c r="B611" s="89" t="s">
        <v>1585</v>
      </c>
      <c r="C611" s="86" t="s">
        <v>1773</v>
      </c>
      <c r="D611" s="86" t="s">
        <v>1012</v>
      </c>
      <c r="E611" s="90" t="s">
        <v>126</v>
      </c>
      <c r="F611" s="88" t="s">
        <v>1780</v>
      </c>
      <c r="G611" s="87" t="s">
        <v>563</v>
      </c>
      <c r="H611" s="82"/>
    </row>
    <row r="612" spans="1:8" ht="16" x14ac:dyDescent="0.2">
      <c r="A612" s="85" t="s">
        <v>308</v>
      </c>
      <c r="B612" s="89" t="s">
        <v>1585</v>
      </c>
      <c r="C612" s="86" t="s">
        <v>1773</v>
      </c>
      <c r="D612" s="86" t="s">
        <v>1012</v>
      </c>
      <c r="E612" s="90" t="s">
        <v>126</v>
      </c>
      <c r="F612" s="88" t="s">
        <v>1714</v>
      </c>
      <c r="G612" s="87" t="s">
        <v>563</v>
      </c>
      <c r="H612" s="82"/>
    </row>
    <row r="613" spans="1:8" ht="16" x14ac:dyDescent="0.2">
      <c r="A613" s="85" t="s">
        <v>308</v>
      </c>
      <c r="B613" s="89" t="s">
        <v>1585</v>
      </c>
      <c r="C613" s="86" t="s">
        <v>1773</v>
      </c>
      <c r="D613" s="86" t="s">
        <v>1012</v>
      </c>
      <c r="E613" s="90" t="s">
        <v>126</v>
      </c>
      <c r="F613" s="88" t="s">
        <v>1781</v>
      </c>
      <c r="G613" s="87" t="s">
        <v>563</v>
      </c>
      <c r="H613" s="82"/>
    </row>
    <row r="614" spans="1:8" ht="16" x14ac:dyDescent="0.2">
      <c r="A614" s="85" t="s">
        <v>308</v>
      </c>
      <c r="B614" s="89" t="s">
        <v>1585</v>
      </c>
      <c r="C614" s="86" t="s">
        <v>1773</v>
      </c>
      <c r="D614" s="86" t="s">
        <v>1012</v>
      </c>
      <c r="E614" s="90" t="s">
        <v>126</v>
      </c>
      <c r="F614" s="88" t="s">
        <v>1782</v>
      </c>
      <c r="G614" s="87" t="s">
        <v>563</v>
      </c>
      <c r="H614" s="82"/>
    </row>
    <row r="615" spans="1:8" ht="16" x14ac:dyDescent="0.2">
      <c r="A615" s="85" t="s">
        <v>308</v>
      </c>
      <c r="B615" s="89" t="s">
        <v>1585</v>
      </c>
      <c r="C615" s="86" t="s">
        <v>1773</v>
      </c>
      <c r="D615" s="86" t="s">
        <v>1012</v>
      </c>
      <c r="E615" s="90" t="s">
        <v>126</v>
      </c>
      <c r="F615" s="88" t="s">
        <v>1783</v>
      </c>
      <c r="G615" s="87" t="s">
        <v>563</v>
      </c>
      <c r="H615" s="82"/>
    </row>
    <row r="616" spans="1:8" x14ac:dyDescent="0.2">
      <c r="A616" s="85" t="s">
        <v>1337</v>
      </c>
      <c r="B616" s="89" t="s">
        <v>1585</v>
      </c>
      <c r="C616" s="86" t="s">
        <v>1773</v>
      </c>
      <c r="D616" s="86" t="s">
        <v>1012</v>
      </c>
      <c r="E616" s="90" t="s">
        <v>126</v>
      </c>
      <c r="F616" s="88" t="s">
        <v>1337</v>
      </c>
      <c r="G616" s="98" t="s">
        <v>1784</v>
      </c>
      <c r="H616" s="82"/>
    </row>
    <row r="617" spans="1:8" x14ac:dyDescent="0.2">
      <c r="A617" s="85" t="s">
        <v>1337</v>
      </c>
      <c r="B617" s="89" t="s">
        <v>1585</v>
      </c>
      <c r="C617" s="86" t="s">
        <v>1773</v>
      </c>
      <c r="D617" s="86" t="s">
        <v>1012</v>
      </c>
      <c r="E617" s="90" t="s">
        <v>126</v>
      </c>
      <c r="F617" s="88" t="s">
        <v>1337</v>
      </c>
      <c r="G617" s="98" t="s">
        <v>1784</v>
      </c>
      <c r="H617" s="82"/>
    </row>
    <row r="618" spans="1:8" ht="16" x14ac:dyDescent="0.2">
      <c r="A618" s="85" t="s">
        <v>120</v>
      </c>
      <c r="B618" s="97" t="s">
        <v>120</v>
      </c>
      <c r="C618" s="86" t="s">
        <v>1785</v>
      </c>
      <c r="D618" s="86" t="s">
        <v>1010</v>
      </c>
      <c r="E618" s="90" t="s">
        <v>120</v>
      </c>
      <c r="F618" s="88" t="s">
        <v>1786</v>
      </c>
      <c r="G618" s="87" t="s">
        <v>994</v>
      </c>
      <c r="H618" s="82"/>
    </row>
    <row r="619" spans="1:8" x14ac:dyDescent="0.2">
      <c r="A619" s="85" t="s">
        <v>390</v>
      </c>
      <c r="B619" s="89" t="s">
        <v>1585</v>
      </c>
      <c r="C619" s="86" t="s">
        <v>1785</v>
      </c>
      <c r="D619" s="86" t="s">
        <v>1010</v>
      </c>
      <c r="E619" s="90" t="s">
        <v>133</v>
      </c>
      <c r="F619" s="88" t="s">
        <v>390</v>
      </c>
      <c r="G619" s="98" t="s">
        <v>537</v>
      </c>
      <c r="H619" s="82"/>
    </row>
    <row r="620" spans="1:8" x14ac:dyDescent="0.2">
      <c r="A620" s="85" t="s">
        <v>390</v>
      </c>
      <c r="B620" s="89" t="s">
        <v>1585</v>
      </c>
      <c r="C620" s="86" t="s">
        <v>1785</v>
      </c>
      <c r="D620" s="86" t="s">
        <v>1010</v>
      </c>
      <c r="E620" s="90" t="s">
        <v>1034</v>
      </c>
      <c r="F620" s="88" t="s">
        <v>390</v>
      </c>
      <c r="G620" s="98" t="s">
        <v>537</v>
      </c>
      <c r="H620" s="82"/>
    </row>
    <row r="621" spans="1:8" x14ac:dyDescent="0.2">
      <c r="A621" s="85" t="s">
        <v>390</v>
      </c>
      <c r="B621" s="89" t="s">
        <v>1585</v>
      </c>
      <c r="C621" s="86" t="s">
        <v>1785</v>
      </c>
      <c r="D621" s="86" t="s">
        <v>1010</v>
      </c>
      <c r="E621" s="90" t="s">
        <v>133</v>
      </c>
      <c r="F621" s="88" t="s">
        <v>1787</v>
      </c>
      <c r="G621" s="98" t="s">
        <v>537</v>
      </c>
      <c r="H621" s="82"/>
    </row>
    <row r="622" spans="1:8" x14ac:dyDescent="0.2">
      <c r="A622" s="85" t="s">
        <v>390</v>
      </c>
      <c r="B622" s="89" t="s">
        <v>1585</v>
      </c>
      <c r="C622" s="86" t="s">
        <v>1785</v>
      </c>
      <c r="D622" s="86" t="s">
        <v>1010</v>
      </c>
      <c r="E622" s="90" t="s">
        <v>1034</v>
      </c>
      <c r="F622" s="88" t="s">
        <v>1787</v>
      </c>
      <c r="G622" s="98" t="s">
        <v>537</v>
      </c>
      <c r="H622" s="82"/>
    </row>
    <row r="623" spans="1:8" ht="16" x14ac:dyDescent="0.2">
      <c r="A623" s="85" t="s">
        <v>390</v>
      </c>
      <c r="B623" s="89" t="s">
        <v>1585</v>
      </c>
      <c r="C623" s="86" t="s">
        <v>1785</v>
      </c>
      <c r="D623" s="86" t="s">
        <v>1010</v>
      </c>
      <c r="E623" s="90" t="s">
        <v>133</v>
      </c>
      <c r="F623" s="88" t="s">
        <v>1788</v>
      </c>
      <c r="G623" s="87" t="s">
        <v>540</v>
      </c>
      <c r="H623" s="82"/>
    </row>
    <row r="624" spans="1:8" ht="16" x14ac:dyDescent="0.2">
      <c r="A624" s="85" t="s">
        <v>390</v>
      </c>
      <c r="B624" s="89" t="s">
        <v>1585</v>
      </c>
      <c r="C624" s="86" t="s">
        <v>1785</v>
      </c>
      <c r="D624" s="86" t="s">
        <v>1010</v>
      </c>
      <c r="E624" s="90" t="s">
        <v>1034</v>
      </c>
      <c r="F624" s="88" t="s">
        <v>1788</v>
      </c>
      <c r="G624" s="87" t="s">
        <v>540</v>
      </c>
      <c r="H624" s="82"/>
    </row>
    <row r="625" spans="1:8" ht="16" x14ac:dyDescent="0.2">
      <c r="A625" s="85" t="s">
        <v>390</v>
      </c>
      <c r="B625" s="89" t="s">
        <v>1585</v>
      </c>
      <c r="C625" s="86" t="s">
        <v>1785</v>
      </c>
      <c r="D625" s="86" t="s">
        <v>1010</v>
      </c>
      <c r="E625" s="90" t="s">
        <v>133</v>
      </c>
      <c r="F625" s="88" t="s">
        <v>1789</v>
      </c>
      <c r="G625" s="87" t="s">
        <v>540</v>
      </c>
      <c r="H625" s="82"/>
    </row>
    <row r="626" spans="1:8" ht="16" x14ac:dyDescent="0.2">
      <c r="A626" s="85" t="s">
        <v>390</v>
      </c>
      <c r="B626" s="89" t="s">
        <v>1585</v>
      </c>
      <c r="C626" s="86" t="s">
        <v>1785</v>
      </c>
      <c r="D626" s="86" t="s">
        <v>1010</v>
      </c>
      <c r="E626" s="90" t="s">
        <v>1034</v>
      </c>
      <c r="F626" s="88" t="s">
        <v>1789</v>
      </c>
      <c r="G626" s="87" t="s">
        <v>540</v>
      </c>
      <c r="H626" s="82"/>
    </row>
    <row r="627" spans="1:8" ht="16" x14ac:dyDescent="0.2">
      <c r="A627" s="85" t="s">
        <v>390</v>
      </c>
      <c r="B627" s="89" t="s">
        <v>1585</v>
      </c>
      <c r="C627" s="86" t="s">
        <v>1785</v>
      </c>
      <c r="D627" s="86" t="s">
        <v>1010</v>
      </c>
      <c r="E627" s="90" t="s">
        <v>133</v>
      </c>
      <c r="F627" s="88" t="s">
        <v>1790</v>
      </c>
      <c r="G627" s="87" t="s">
        <v>540</v>
      </c>
      <c r="H627" s="82"/>
    </row>
    <row r="628" spans="1:8" ht="16" x14ac:dyDescent="0.2">
      <c r="A628" s="85" t="s">
        <v>390</v>
      </c>
      <c r="B628" s="89" t="s">
        <v>1585</v>
      </c>
      <c r="C628" s="86" t="s">
        <v>1785</v>
      </c>
      <c r="D628" s="86" t="s">
        <v>1010</v>
      </c>
      <c r="E628" s="90" t="s">
        <v>1034</v>
      </c>
      <c r="F628" s="88" t="s">
        <v>1790</v>
      </c>
      <c r="G628" s="87" t="s">
        <v>540</v>
      </c>
      <c r="H628" s="82"/>
    </row>
    <row r="629" spans="1:8" ht="16" x14ac:dyDescent="0.2">
      <c r="A629" s="85" t="s">
        <v>390</v>
      </c>
      <c r="B629" s="89" t="s">
        <v>1585</v>
      </c>
      <c r="C629" s="86" t="s">
        <v>1785</v>
      </c>
      <c r="D629" s="86" t="s">
        <v>1010</v>
      </c>
      <c r="E629" s="90" t="s">
        <v>133</v>
      </c>
      <c r="F629" s="88" t="s">
        <v>1791</v>
      </c>
      <c r="G629" s="87" t="s">
        <v>540</v>
      </c>
      <c r="H629" s="82"/>
    </row>
    <row r="630" spans="1:8" ht="16" x14ac:dyDescent="0.2">
      <c r="A630" s="85" t="s">
        <v>390</v>
      </c>
      <c r="B630" s="89" t="s">
        <v>1585</v>
      </c>
      <c r="C630" s="86" t="s">
        <v>1785</v>
      </c>
      <c r="D630" s="86" t="s">
        <v>1010</v>
      </c>
      <c r="E630" s="90" t="s">
        <v>1034</v>
      </c>
      <c r="F630" s="88" t="s">
        <v>1791</v>
      </c>
      <c r="G630" s="87" t="s">
        <v>540</v>
      </c>
      <c r="H630" s="82"/>
    </row>
    <row r="631" spans="1:8" ht="16" x14ac:dyDescent="0.2">
      <c r="A631" s="85" t="s">
        <v>390</v>
      </c>
      <c r="B631" s="89" t="s">
        <v>1585</v>
      </c>
      <c r="C631" s="86" t="s">
        <v>1785</v>
      </c>
      <c r="D631" s="86" t="s">
        <v>1010</v>
      </c>
      <c r="E631" s="90" t="s">
        <v>133</v>
      </c>
      <c r="F631" s="88" t="s">
        <v>1792</v>
      </c>
      <c r="G631" s="87" t="s">
        <v>595</v>
      </c>
      <c r="H631" s="82"/>
    </row>
    <row r="632" spans="1:8" ht="16" x14ac:dyDescent="0.2">
      <c r="A632" s="85" t="s">
        <v>390</v>
      </c>
      <c r="B632" s="89" t="s">
        <v>1585</v>
      </c>
      <c r="C632" s="86" t="s">
        <v>1785</v>
      </c>
      <c r="D632" s="86" t="s">
        <v>1010</v>
      </c>
      <c r="E632" s="90" t="s">
        <v>1034</v>
      </c>
      <c r="F632" s="88" t="s">
        <v>1792</v>
      </c>
      <c r="G632" s="87" t="s">
        <v>595</v>
      </c>
      <c r="H632" s="82"/>
    </row>
    <row r="633" spans="1:8" ht="16" x14ac:dyDescent="0.2">
      <c r="A633" s="85" t="s">
        <v>390</v>
      </c>
      <c r="B633" s="89" t="s">
        <v>1585</v>
      </c>
      <c r="C633" s="86" t="s">
        <v>1785</v>
      </c>
      <c r="D633" s="86" t="s">
        <v>1010</v>
      </c>
      <c r="E633" s="90" t="s">
        <v>133</v>
      </c>
      <c r="F633" s="88" t="s">
        <v>1793</v>
      </c>
      <c r="G633" s="87" t="s">
        <v>597</v>
      </c>
      <c r="H633" s="82"/>
    </row>
    <row r="634" spans="1:8" ht="16" x14ac:dyDescent="0.2">
      <c r="A634" s="85" t="s">
        <v>390</v>
      </c>
      <c r="B634" s="89" t="s">
        <v>1585</v>
      </c>
      <c r="C634" s="86" t="s">
        <v>1785</v>
      </c>
      <c r="D634" s="86" t="s">
        <v>1010</v>
      </c>
      <c r="E634" s="90" t="s">
        <v>1034</v>
      </c>
      <c r="F634" s="88" t="s">
        <v>1793</v>
      </c>
      <c r="G634" s="87" t="s">
        <v>597</v>
      </c>
      <c r="H634" s="82"/>
    </row>
    <row r="635" spans="1:8" ht="16" x14ac:dyDescent="0.2">
      <c r="A635" s="85" t="s">
        <v>390</v>
      </c>
      <c r="B635" s="89" t="s">
        <v>1585</v>
      </c>
      <c r="C635" s="86" t="s">
        <v>1785</v>
      </c>
      <c r="D635" s="86" t="s">
        <v>1010</v>
      </c>
      <c r="E635" s="90" t="s">
        <v>133</v>
      </c>
      <c r="F635" s="88" t="s">
        <v>1794</v>
      </c>
      <c r="G635" s="87" t="s">
        <v>597</v>
      </c>
      <c r="H635" s="82"/>
    </row>
    <row r="636" spans="1:8" ht="16" x14ac:dyDescent="0.2">
      <c r="A636" s="85" t="s">
        <v>390</v>
      </c>
      <c r="B636" s="89" t="s">
        <v>1585</v>
      </c>
      <c r="C636" s="86" t="s">
        <v>1785</v>
      </c>
      <c r="D636" s="86" t="s">
        <v>1010</v>
      </c>
      <c r="E636" s="90" t="s">
        <v>1034</v>
      </c>
      <c r="F636" s="88" t="s">
        <v>1794</v>
      </c>
      <c r="G636" s="87" t="s">
        <v>597</v>
      </c>
      <c r="H636" s="82"/>
    </row>
    <row r="637" spans="1:8" ht="16" x14ac:dyDescent="0.2">
      <c r="A637" s="85" t="s">
        <v>390</v>
      </c>
      <c r="B637" s="89" t="s">
        <v>1585</v>
      </c>
      <c r="C637" s="86" t="s">
        <v>1785</v>
      </c>
      <c r="D637" s="86" t="s">
        <v>1010</v>
      </c>
      <c r="E637" s="90" t="s">
        <v>133</v>
      </c>
      <c r="F637" s="88" t="s">
        <v>1795</v>
      </c>
      <c r="G637" s="87" t="s">
        <v>384</v>
      </c>
      <c r="H637" s="82"/>
    </row>
    <row r="638" spans="1:8" ht="16" x14ac:dyDescent="0.2">
      <c r="A638" s="85" t="s">
        <v>390</v>
      </c>
      <c r="B638" s="89" t="s">
        <v>1585</v>
      </c>
      <c r="C638" s="86" t="s">
        <v>1785</v>
      </c>
      <c r="D638" s="86" t="s">
        <v>1010</v>
      </c>
      <c r="E638" s="90" t="s">
        <v>1034</v>
      </c>
      <c r="F638" s="88" t="s">
        <v>1795</v>
      </c>
      <c r="G638" s="87" t="s">
        <v>384</v>
      </c>
      <c r="H638" s="82"/>
    </row>
    <row r="639" spans="1:8" ht="16" x14ac:dyDescent="0.2">
      <c r="A639" s="85" t="s">
        <v>390</v>
      </c>
      <c r="B639" s="89" t="s">
        <v>1585</v>
      </c>
      <c r="C639" s="86" t="s">
        <v>1785</v>
      </c>
      <c r="D639" s="86" t="s">
        <v>1010</v>
      </c>
      <c r="E639" s="90" t="s">
        <v>133</v>
      </c>
      <c r="F639" s="88" t="s">
        <v>390</v>
      </c>
      <c r="G639" s="87" t="s">
        <v>384</v>
      </c>
      <c r="H639" s="82"/>
    </row>
    <row r="640" spans="1:8" ht="16" x14ac:dyDescent="0.2">
      <c r="A640" s="85" t="s">
        <v>390</v>
      </c>
      <c r="B640" s="89" t="s">
        <v>1585</v>
      </c>
      <c r="C640" s="86" t="s">
        <v>1785</v>
      </c>
      <c r="D640" s="86" t="s">
        <v>1010</v>
      </c>
      <c r="E640" s="90" t="s">
        <v>1034</v>
      </c>
      <c r="F640" s="88" t="s">
        <v>390</v>
      </c>
      <c r="G640" s="87" t="s">
        <v>384</v>
      </c>
      <c r="H640" s="82"/>
    </row>
    <row r="641" spans="1:8" ht="16" x14ac:dyDescent="0.2">
      <c r="A641" s="85" t="s">
        <v>390</v>
      </c>
      <c r="B641" s="89" t="s">
        <v>1585</v>
      </c>
      <c r="C641" s="86" t="s">
        <v>1785</v>
      </c>
      <c r="D641" s="86" t="s">
        <v>1010</v>
      </c>
      <c r="E641" s="90" t="s">
        <v>133</v>
      </c>
      <c r="F641" s="88" t="s">
        <v>1796</v>
      </c>
      <c r="G641" s="87" t="s">
        <v>388</v>
      </c>
      <c r="H641" s="82"/>
    </row>
    <row r="642" spans="1:8" ht="16" x14ac:dyDescent="0.2">
      <c r="A642" s="85" t="s">
        <v>390</v>
      </c>
      <c r="B642" s="89" t="s">
        <v>1585</v>
      </c>
      <c r="C642" s="86" t="s">
        <v>1785</v>
      </c>
      <c r="D642" s="86" t="s">
        <v>1010</v>
      </c>
      <c r="E642" s="90" t="s">
        <v>1034</v>
      </c>
      <c r="F642" s="88" t="s">
        <v>1796</v>
      </c>
      <c r="G642" s="87" t="s">
        <v>388</v>
      </c>
      <c r="H642" s="82"/>
    </row>
    <row r="643" spans="1:8" ht="16" x14ac:dyDescent="0.2">
      <c r="A643" s="85" t="s">
        <v>390</v>
      </c>
      <c r="B643" s="89" t="s">
        <v>1585</v>
      </c>
      <c r="C643" s="86" t="s">
        <v>1785</v>
      </c>
      <c r="D643" s="86" t="s">
        <v>1010</v>
      </c>
      <c r="E643" s="90" t="s">
        <v>133</v>
      </c>
      <c r="F643" s="88" t="s">
        <v>1788</v>
      </c>
      <c r="G643" s="87" t="s">
        <v>388</v>
      </c>
      <c r="H643" s="82"/>
    </row>
    <row r="644" spans="1:8" ht="16" x14ac:dyDescent="0.2">
      <c r="A644" s="85" t="s">
        <v>390</v>
      </c>
      <c r="B644" s="89" t="s">
        <v>1585</v>
      </c>
      <c r="C644" s="86" t="s">
        <v>1785</v>
      </c>
      <c r="D644" s="86" t="s">
        <v>1010</v>
      </c>
      <c r="E644" s="90" t="s">
        <v>1034</v>
      </c>
      <c r="F644" s="88" t="s">
        <v>1788</v>
      </c>
      <c r="G644" s="87" t="s">
        <v>388</v>
      </c>
      <c r="H644" s="82"/>
    </row>
    <row r="645" spans="1:8" ht="16" x14ac:dyDescent="0.2">
      <c r="A645" s="85" t="s">
        <v>390</v>
      </c>
      <c r="B645" s="89" t="s">
        <v>1585</v>
      </c>
      <c r="C645" s="86" t="s">
        <v>1785</v>
      </c>
      <c r="D645" s="86" t="s">
        <v>1010</v>
      </c>
      <c r="E645" s="90" t="s">
        <v>133</v>
      </c>
      <c r="F645" s="88" t="s">
        <v>1797</v>
      </c>
      <c r="G645" s="87" t="s">
        <v>388</v>
      </c>
      <c r="H645" s="82"/>
    </row>
    <row r="646" spans="1:8" ht="16" x14ac:dyDescent="0.2">
      <c r="A646" s="85" t="s">
        <v>390</v>
      </c>
      <c r="B646" s="89" t="s">
        <v>1585</v>
      </c>
      <c r="C646" s="86" t="s">
        <v>1785</v>
      </c>
      <c r="D646" s="86" t="s">
        <v>1010</v>
      </c>
      <c r="E646" s="90" t="s">
        <v>1034</v>
      </c>
      <c r="F646" s="88" t="s">
        <v>1797</v>
      </c>
      <c r="G646" s="87" t="s">
        <v>388</v>
      </c>
      <c r="H646" s="82"/>
    </row>
    <row r="647" spans="1:8" ht="16" x14ac:dyDescent="0.2">
      <c r="A647" s="85" t="s">
        <v>390</v>
      </c>
      <c r="B647" s="89" t="s">
        <v>1585</v>
      </c>
      <c r="C647" s="86" t="s">
        <v>1785</v>
      </c>
      <c r="D647" s="86" t="s">
        <v>1010</v>
      </c>
      <c r="E647" s="90" t="s">
        <v>133</v>
      </c>
      <c r="F647" s="88" t="s">
        <v>1790</v>
      </c>
      <c r="G647" s="87" t="s">
        <v>388</v>
      </c>
      <c r="H647" s="82"/>
    </row>
    <row r="648" spans="1:8" ht="16" x14ac:dyDescent="0.2">
      <c r="A648" s="85" t="s">
        <v>390</v>
      </c>
      <c r="B648" s="89" t="s">
        <v>1585</v>
      </c>
      <c r="C648" s="86" t="s">
        <v>1785</v>
      </c>
      <c r="D648" s="86" t="s">
        <v>1010</v>
      </c>
      <c r="E648" s="90" t="s">
        <v>1034</v>
      </c>
      <c r="F648" s="88" t="s">
        <v>1790</v>
      </c>
      <c r="G648" s="87" t="s">
        <v>388</v>
      </c>
      <c r="H648" s="82"/>
    </row>
    <row r="649" spans="1:8" x14ac:dyDescent="0.2">
      <c r="A649" s="85" t="s">
        <v>390</v>
      </c>
      <c r="B649" s="89" t="s">
        <v>1585</v>
      </c>
      <c r="C649" s="86" t="s">
        <v>1785</v>
      </c>
      <c r="D649" s="86" t="s">
        <v>1010</v>
      </c>
      <c r="E649" s="90" t="s">
        <v>133</v>
      </c>
      <c r="F649" s="88" t="s">
        <v>1798</v>
      </c>
      <c r="G649" s="88" t="s">
        <v>259</v>
      </c>
      <c r="H649" s="82"/>
    </row>
    <row r="650" spans="1:8" x14ac:dyDescent="0.2">
      <c r="A650" s="85" t="s">
        <v>390</v>
      </c>
      <c r="B650" s="89" t="s">
        <v>1585</v>
      </c>
      <c r="C650" s="86" t="s">
        <v>1785</v>
      </c>
      <c r="D650" s="86" t="s">
        <v>1010</v>
      </c>
      <c r="E650" s="90" t="s">
        <v>1034</v>
      </c>
      <c r="F650" s="88" t="s">
        <v>1798</v>
      </c>
      <c r="G650" s="88" t="s">
        <v>259</v>
      </c>
      <c r="H650" s="82"/>
    </row>
    <row r="651" spans="1:8" x14ac:dyDescent="0.2">
      <c r="A651" s="85" t="s">
        <v>390</v>
      </c>
      <c r="B651" s="89" t="s">
        <v>1585</v>
      </c>
      <c r="C651" s="86" t="s">
        <v>1785</v>
      </c>
      <c r="D651" s="86" t="s">
        <v>1010</v>
      </c>
      <c r="E651" s="90" t="s">
        <v>133</v>
      </c>
      <c r="F651" s="88" t="s">
        <v>1799</v>
      </c>
      <c r="G651" s="88" t="s">
        <v>1129</v>
      </c>
      <c r="H651" s="82"/>
    </row>
    <row r="652" spans="1:8" x14ac:dyDescent="0.2">
      <c r="A652" s="85" t="s">
        <v>390</v>
      </c>
      <c r="B652" s="89" t="s">
        <v>1585</v>
      </c>
      <c r="C652" s="86" t="s">
        <v>1785</v>
      </c>
      <c r="D652" s="86" t="s">
        <v>1010</v>
      </c>
      <c r="E652" s="90" t="s">
        <v>1034</v>
      </c>
      <c r="F652" s="88" t="s">
        <v>1799</v>
      </c>
      <c r="G652" s="88" t="s">
        <v>1129</v>
      </c>
      <c r="H652" s="82"/>
    </row>
    <row r="653" spans="1:8" x14ac:dyDescent="0.2">
      <c r="A653" s="85" t="s">
        <v>390</v>
      </c>
      <c r="B653" s="89" t="s">
        <v>1585</v>
      </c>
      <c r="C653" s="86" t="s">
        <v>1785</v>
      </c>
      <c r="D653" s="86" t="s">
        <v>1010</v>
      </c>
      <c r="E653" s="90" t="s">
        <v>133</v>
      </c>
      <c r="F653" s="88" t="s">
        <v>1800</v>
      </c>
      <c r="G653" s="88" t="s">
        <v>1129</v>
      </c>
      <c r="H653" s="82"/>
    </row>
    <row r="654" spans="1:8" x14ac:dyDescent="0.2">
      <c r="A654" s="85" t="s">
        <v>390</v>
      </c>
      <c r="B654" s="89" t="s">
        <v>1585</v>
      </c>
      <c r="C654" s="86" t="s">
        <v>1785</v>
      </c>
      <c r="D654" s="86" t="s">
        <v>1010</v>
      </c>
      <c r="E654" s="90" t="s">
        <v>1034</v>
      </c>
      <c r="F654" s="88" t="s">
        <v>1800</v>
      </c>
      <c r="G654" s="88" t="s">
        <v>1129</v>
      </c>
      <c r="H654" s="82"/>
    </row>
    <row r="655" spans="1:8" x14ac:dyDescent="0.2">
      <c r="A655" s="85" t="s">
        <v>404</v>
      </c>
      <c r="B655" s="97" t="s">
        <v>1801</v>
      </c>
      <c r="C655" s="86" t="s">
        <v>1785</v>
      </c>
      <c r="D655" s="86" t="s">
        <v>1010</v>
      </c>
      <c r="E655" s="90" t="s">
        <v>133</v>
      </c>
      <c r="F655" s="88" t="s">
        <v>404</v>
      </c>
      <c r="G655" s="98" t="s">
        <v>546</v>
      </c>
      <c r="H655" s="82"/>
    </row>
    <row r="656" spans="1:8" x14ac:dyDescent="0.2">
      <c r="A656" s="85" t="s">
        <v>404</v>
      </c>
      <c r="B656" s="97" t="s">
        <v>1726</v>
      </c>
      <c r="C656" s="86" t="s">
        <v>1785</v>
      </c>
      <c r="D656" s="86" t="s">
        <v>1010</v>
      </c>
      <c r="E656" s="90" t="s">
        <v>133</v>
      </c>
      <c r="F656" s="88" t="s">
        <v>404</v>
      </c>
      <c r="G656" s="98" t="s">
        <v>543</v>
      </c>
      <c r="H656" s="82"/>
    </row>
    <row r="657" spans="1:8" ht="16" x14ac:dyDescent="0.2">
      <c r="A657" s="85" t="s">
        <v>404</v>
      </c>
      <c r="B657" s="97" t="s">
        <v>1802</v>
      </c>
      <c r="C657" s="86" t="s">
        <v>1785</v>
      </c>
      <c r="D657" s="86" t="s">
        <v>1010</v>
      </c>
      <c r="E657" s="90" t="s">
        <v>149</v>
      </c>
      <c r="F657" s="88" t="s">
        <v>1770</v>
      </c>
      <c r="G657" s="87" t="s">
        <v>356</v>
      </c>
      <c r="H657" s="82"/>
    </row>
    <row r="658" spans="1:8" ht="16" x14ac:dyDescent="0.2">
      <c r="A658" s="85" t="s">
        <v>404</v>
      </c>
      <c r="B658" s="97" t="s">
        <v>1802</v>
      </c>
      <c r="C658" s="86" t="s">
        <v>1785</v>
      </c>
      <c r="D658" s="86" t="s">
        <v>1010</v>
      </c>
      <c r="E658" s="90" t="s">
        <v>149</v>
      </c>
      <c r="F658" s="88" t="s">
        <v>404</v>
      </c>
      <c r="G658" s="87" t="s">
        <v>356</v>
      </c>
      <c r="H658" s="82"/>
    </row>
    <row r="659" spans="1:8" x14ac:dyDescent="0.2">
      <c r="A659" s="85" t="s">
        <v>404</v>
      </c>
      <c r="B659" s="89" t="s">
        <v>1585</v>
      </c>
      <c r="C659" s="86" t="s">
        <v>1785</v>
      </c>
      <c r="D659" s="86" t="s">
        <v>1010</v>
      </c>
      <c r="E659" s="90" t="s">
        <v>133</v>
      </c>
      <c r="F659" s="88" t="s">
        <v>404</v>
      </c>
      <c r="G659" s="98" t="s">
        <v>549</v>
      </c>
      <c r="H659" s="82"/>
    </row>
    <row r="660" spans="1:8" x14ac:dyDescent="0.2">
      <c r="A660" s="85" t="s">
        <v>404</v>
      </c>
      <c r="B660" s="89" t="s">
        <v>1585</v>
      </c>
      <c r="C660" s="86" t="s">
        <v>1785</v>
      </c>
      <c r="D660" s="86" t="s">
        <v>1010</v>
      </c>
      <c r="E660" s="90" t="s">
        <v>1034</v>
      </c>
      <c r="F660" s="88" t="s">
        <v>404</v>
      </c>
      <c r="G660" s="98" t="s">
        <v>549</v>
      </c>
      <c r="H660" s="82"/>
    </row>
    <row r="661" spans="1:8" x14ac:dyDescent="0.2">
      <c r="A661" s="85" t="s">
        <v>404</v>
      </c>
      <c r="B661" s="89" t="s">
        <v>1585</v>
      </c>
      <c r="C661" s="86" t="s">
        <v>1785</v>
      </c>
      <c r="D661" s="86" t="s">
        <v>1010</v>
      </c>
      <c r="E661" s="90" t="s">
        <v>133</v>
      </c>
      <c r="F661" s="88" t="s">
        <v>1803</v>
      </c>
      <c r="G661" s="98" t="s">
        <v>549</v>
      </c>
      <c r="H661" s="82"/>
    </row>
    <row r="662" spans="1:8" x14ac:dyDescent="0.2">
      <c r="A662" s="85" t="s">
        <v>404</v>
      </c>
      <c r="B662" s="89" t="s">
        <v>1585</v>
      </c>
      <c r="C662" s="86" t="s">
        <v>1785</v>
      </c>
      <c r="D662" s="86" t="s">
        <v>1010</v>
      </c>
      <c r="E662" s="90" t="s">
        <v>1034</v>
      </c>
      <c r="F662" s="88" t="s">
        <v>1803</v>
      </c>
      <c r="G662" s="98" t="s">
        <v>549</v>
      </c>
      <c r="H662" s="82"/>
    </row>
    <row r="663" spans="1:8" x14ac:dyDescent="0.2">
      <c r="A663" s="85" t="s">
        <v>404</v>
      </c>
      <c r="B663" s="89" t="s">
        <v>1585</v>
      </c>
      <c r="C663" s="86" t="s">
        <v>1785</v>
      </c>
      <c r="D663" s="86" t="s">
        <v>1010</v>
      </c>
      <c r="E663" s="90" t="s">
        <v>117</v>
      </c>
      <c r="F663" s="88" t="s">
        <v>404</v>
      </c>
      <c r="G663" s="98" t="s">
        <v>1241</v>
      </c>
      <c r="H663" s="82"/>
    </row>
    <row r="664" spans="1:8" x14ac:dyDescent="0.2">
      <c r="A664" s="85" t="s">
        <v>404</v>
      </c>
      <c r="B664" s="89" t="s">
        <v>1585</v>
      </c>
      <c r="C664" s="86" t="s">
        <v>1785</v>
      </c>
      <c r="D664" s="86" t="s">
        <v>1010</v>
      </c>
      <c r="E664" s="90" t="s">
        <v>117</v>
      </c>
      <c r="F664" s="88" t="s">
        <v>1803</v>
      </c>
      <c r="G664" s="98" t="s">
        <v>1241</v>
      </c>
      <c r="H664" s="82"/>
    </row>
    <row r="665" spans="1:8" x14ac:dyDescent="0.2">
      <c r="A665" s="85" t="s">
        <v>404</v>
      </c>
      <c r="B665" s="89" t="s">
        <v>1585</v>
      </c>
      <c r="C665" s="86" t="s">
        <v>1785</v>
      </c>
      <c r="D665" s="86" t="s">
        <v>1010</v>
      </c>
      <c r="E665" s="90" t="s">
        <v>158</v>
      </c>
      <c r="F665" s="88" t="s">
        <v>404</v>
      </c>
      <c r="G665" s="98" t="s">
        <v>1241</v>
      </c>
      <c r="H665" s="82"/>
    </row>
    <row r="666" spans="1:8" x14ac:dyDescent="0.2">
      <c r="A666" s="85" t="s">
        <v>404</v>
      </c>
      <c r="B666" s="89" t="s">
        <v>1585</v>
      </c>
      <c r="C666" s="86" t="s">
        <v>1785</v>
      </c>
      <c r="D666" s="86" t="s">
        <v>1010</v>
      </c>
      <c r="E666" s="90" t="s">
        <v>158</v>
      </c>
      <c r="F666" s="88" t="s">
        <v>1803</v>
      </c>
      <c r="G666" s="98" t="s">
        <v>1241</v>
      </c>
      <c r="H666" s="82"/>
    </row>
    <row r="667" spans="1:8" x14ac:dyDescent="0.2">
      <c r="A667" s="85" t="s">
        <v>404</v>
      </c>
      <c r="B667" s="89" t="s">
        <v>1585</v>
      </c>
      <c r="C667" s="86" t="s">
        <v>1785</v>
      </c>
      <c r="D667" s="86" t="s">
        <v>1010</v>
      </c>
      <c r="E667" s="90" t="s">
        <v>140</v>
      </c>
      <c r="F667" s="88" t="s">
        <v>404</v>
      </c>
      <c r="G667" s="98" t="s">
        <v>1242</v>
      </c>
      <c r="H667" s="82"/>
    </row>
    <row r="668" spans="1:8" x14ac:dyDescent="0.2">
      <c r="A668" s="85" t="s">
        <v>404</v>
      </c>
      <c r="B668" s="89" t="s">
        <v>1585</v>
      </c>
      <c r="C668" s="86" t="s">
        <v>1785</v>
      </c>
      <c r="D668" s="86" t="s">
        <v>1010</v>
      </c>
      <c r="E668" s="90" t="s">
        <v>140</v>
      </c>
      <c r="F668" s="88" t="s">
        <v>1803</v>
      </c>
      <c r="G668" s="98" t="s">
        <v>1242</v>
      </c>
      <c r="H668" s="82"/>
    </row>
    <row r="669" spans="1:8" ht="16" x14ac:dyDescent="0.2">
      <c r="A669" s="85" t="s">
        <v>404</v>
      </c>
      <c r="B669" s="89" t="s">
        <v>1585</v>
      </c>
      <c r="C669" s="86" t="s">
        <v>1785</v>
      </c>
      <c r="D669" s="86" t="s">
        <v>1010</v>
      </c>
      <c r="E669" s="90" t="s">
        <v>133</v>
      </c>
      <c r="F669" s="88" t="s">
        <v>1804</v>
      </c>
      <c r="G669" s="87" t="s">
        <v>552</v>
      </c>
      <c r="H669" s="82"/>
    </row>
    <row r="670" spans="1:8" ht="16" x14ac:dyDescent="0.2">
      <c r="A670" s="85" t="s">
        <v>404</v>
      </c>
      <c r="B670" s="89" t="s">
        <v>1585</v>
      </c>
      <c r="C670" s="86" t="s">
        <v>1785</v>
      </c>
      <c r="D670" s="86" t="s">
        <v>1010</v>
      </c>
      <c r="E670" s="90" t="s">
        <v>1034</v>
      </c>
      <c r="F670" s="88" t="s">
        <v>1804</v>
      </c>
      <c r="G670" s="87" t="s">
        <v>552</v>
      </c>
      <c r="H670" s="82"/>
    </row>
    <row r="671" spans="1:8" ht="16" x14ac:dyDescent="0.2">
      <c r="A671" s="85" t="s">
        <v>404</v>
      </c>
      <c r="B671" s="89" t="s">
        <v>1585</v>
      </c>
      <c r="C671" s="86" t="s">
        <v>1785</v>
      </c>
      <c r="D671" s="86" t="s">
        <v>1010</v>
      </c>
      <c r="E671" s="90" t="s">
        <v>133</v>
      </c>
      <c r="F671" s="88" t="s">
        <v>1805</v>
      </c>
      <c r="G671" s="87" t="s">
        <v>552</v>
      </c>
      <c r="H671" s="82"/>
    </row>
    <row r="672" spans="1:8" ht="16" x14ac:dyDescent="0.2">
      <c r="A672" s="85" t="s">
        <v>404</v>
      </c>
      <c r="B672" s="89" t="s">
        <v>1585</v>
      </c>
      <c r="C672" s="86" t="s">
        <v>1785</v>
      </c>
      <c r="D672" s="86" t="s">
        <v>1010</v>
      </c>
      <c r="E672" s="90" t="s">
        <v>1034</v>
      </c>
      <c r="F672" s="88" t="s">
        <v>1805</v>
      </c>
      <c r="G672" s="87" t="s">
        <v>552</v>
      </c>
      <c r="H672" s="82"/>
    </row>
    <row r="673" spans="1:8" ht="16" x14ac:dyDescent="0.2">
      <c r="A673" s="85" t="s">
        <v>404</v>
      </c>
      <c r="B673" s="89" t="s">
        <v>1585</v>
      </c>
      <c r="C673" s="86" t="s">
        <v>1785</v>
      </c>
      <c r="D673" s="86" t="s">
        <v>1010</v>
      </c>
      <c r="E673" s="90" t="s">
        <v>133</v>
      </c>
      <c r="F673" s="88" t="s">
        <v>1806</v>
      </c>
      <c r="G673" s="87" t="s">
        <v>552</v>
      </c>
      <c r="H673" s="82"/>
    </row>
    <row r="674" spans="1:8" ht="16" x14ac:dyDescent="0.2">
      <c r="A674" s="85" t="s">
        <v>404</v>
      </c>
      <c r="B674" s="89" t="s">
        <v>1585</v>
      </c>
      <c r="C674" s="86" t="s">
        <v>1785</v>
      </c>
      <c r="D674" s="86" t="s">
        <v>1010</v>
      </c>
      <c r="E674" s="90" t="s">
        <v>1034</v>
      </c>
      <c r="F674" s="88" t="s">
        <v>1806</v>
      </c>
      <c r="G674" s="87" t="s">
        <v>552</v>
      </c>
      <c r="H674" s="82"/>
    </row>
    <row r="675" spans="1:8" ht="16" x14ac:dyDescent="0.2">
      <c r="A675" s="85" t="s">
        <v>404</v>
      </c>
      <c r="B675" s="89" t="s">
        <v>1585</v>
      </c>
      <c r="C675" s="86" t="s">
        <v>1785</v>
      </c>
      <c r="D675" s="86" t="s">
        <v>1010</v>
      </c>
      <c r="E675" s="90" t="s">
        <v>133</v>
      </c>
      <c r="F675" s="88" t="s">
        <v>1807</v>
      </c>
      <c r="G675" s="87" t="s">
        <v>552</v>
      </c>
      <c r="H675" s="82"/>
    </row>
    <row r="676" spans="1:8" ht="16" x14ac:dyDescent="0.2">
      <c r="A676" s="85" t="s">
        <v>404</v>
      </c>
      <c r="B676" s="89" t="s">
        <v>1585</v>
      </c>
      <c r="C676" s="86" t="s">
        <v>1785</v>
      </c>
      <c r="D676" s="86" t="s">
        <v>1010</v>
      </c>
      <c r="E676" s="90" t="s">
        <v>1034</v>
      </c>
      <c r="F676" s="88" t="s">
        <v>1807</v>
      </c>
      <c r="G676" s="87" t="s">
        <v>552</v>
      </c>
      <c r="H676" s="82"/>
    </row>
    <row r="677" spans="1:8" x14ac:dyDescent="0.2">
      <c r="A677" s="85" t="s">
        <v>404</v>
      </c>
      <c r="B677" s="89" t="s">
        <v>1585</v>
      </c>
      <c r="C677" s="86" t="s">
        <v>1785</v>
      </c>
      <c r="D677" s="86" t="s">
        <v>1010</v>
      </c>
      <c r="E677" s="90" t="s">
        <v>133</v>
      </c>
      <c r="F677" s="88" t="s">
        <v>1808</v>
      </c>
      <c r="G677" s="98" t="s">
        <v>1172</v>
      </c>
      <c r="H677" s="82"/>
    </row>
    <row r="678" spans="1:8" x14ac:dyDescent="0.2">
      <c r="A678" s="85" t="s">
        <v>404</v>
      </c>
      <c r="B678" s="89" t="s">
        <v>1585</v>
      </c>
      <c r="C678" s="86" t="s">
        <v>1785</v>
      </c>
      <c r="D678" s="86" t="s">
        <v>1010</v>
      </c>
      <c r="E678" s="90" t="s">
        <v>1034</v>
      </c>
      <c r="F678" s="88" t="s">
        <v>1808</v>
      </c>
      <c r="G678" s="98" t="s">
        <v>1172</v>
      </c>
      <c r="H678" s="82"/>
    </row>
    <row r="679" spans="1:8" ht="16" x14ac:dyDescent="0.2">
      <c r="A679" s="85" t="s">
        <v>404</v>
      </c>
      <c r="B679" s="89" t="s">
        <v>1585</v>
      </c>
      <c r="C679" s="86" t="s">
        <v>1785</v>
      </c>
      <c r="D679" s="86" t="s">
        <v>1010</v>
      </c>
      <c r="E679" s="90" t="s">
        <v>133</v>
      </c>
      <c r="F679" s="88" t="s">
        <v>1809</v>
      </c>
      <c r="G679" s="87" t="s">
        <v>599</v>
      </c>
      <c r="H679" s="82"/>
    </row>
    <row r="680" spans="1:8" ht="16" x14ac:dyDescent="0.2">
      <c r="A680" s="85" t="s">
        <v>404</v>
      </c>
      <c r="B680" s="89" t="s">
        <v>1585</v>
      </c>
      <c r="C680" s="86" t="s">
        <v>1785</v>
      </c>
      <c r="D680" s="86" t="s">
        <v>1010</v>
      </c>
      <c r="E680" s="90" t="s">
        <v>1034</v>
      </c>
      <c r="F680" s="88" t="s">
        <v>1809</v>
      </c>
      <c r="G680" s="87" t="s">
        <v>599</v>
      </c>
      <c r="H680" s="82"/>
    </row>
    <row r="681" spans="1:8" ht="16" x14ac:dyDescent="0.2">
      <c r="A681" s="85" t="s">
        <v>404</v>
      </c>
      <c r="B681" s="89" t="s">
        <v>1585</v>
      </c>
      <c r="C681" s="86" t="s">
        <v>1785</v>
      </c>
      <c r="D681" s="86" t="s">
        <v>1010</v>
      </c>
      <c r="E681" s="90" t="s">
        <v>133</v>
      </c>
      <c r="F681" s="88" t="s">
        <v>1810</v>
      </c>
      <c r="G681" s="87" t="s">
        <v>601</v>
      </c>
      <c r="H681" s="82"/>
    </row>
    <row r="682" spans="1:8" ht="16" x14ac:dyDescent="0.2">
      <c r="A682" s="85" t="s">
        <v>404</v>
      </c>
      <c r="B682" s="89" t="s">
        <v>1585</v>
      </c>
      <c r="C682" s="86" t="s">
        <v>1785</v>
      </c>
      <c r="D682" s="86" t="s">
        <v>1010</v>
      </c>
      <c r="E682" s="90" t="s">
        <v>1034</v>
      </c>
      <c r="F682" s="88" t="s">
        <v>1810</v>
      </c>
      <c r="G682" s="87" t="s">
        <v>601</v>
      </c>
      <c r="H682" s="82"/>
    </row>
    <row r="683" spans="1:8" ht="16" x14ac:dyDescent="0.2">
      <c r="A683" s="85" t="s">
        <v>404</v>
      </c>
      <c r="B683" s="89" t="s">
        <v>1585</v>
      </c>
      <c r="C683" s="86" t="s">
        <v>1785</v>
      </c>
      <c r="D683" s="86" t="s">
        <v>1010</v>
      </c>
      <c r="E683" s="90" t="s">
        <v>133</v>
      </c>
      <c r="F683" s="88" t="s">
        <v>1811</v>
      </c>
      <c r="G683" s="87" t="s">
        <v>601</v>
      </c>
      <c r="H683" s="82"/>
    </row>
    <row r="684" spans="1:8" ht="16" x14ac:dyDescent="0.2">
      <c r="A684" s="85" t="s">
        <v>404</v>
      </c>
      <c r="B684" s="89" t="s">
        <v>1585</v>
      </c>
      <c r="C684" s="86" t="s">
        <v>1785</v>
      </c>
      <c r="D684" s="86" t="s">
        <v>1010</v>
      </c>
      <c r="E684" s="90" t="s">
        <v>1034</v>
      </c>
      <c r="F684" s="88" t="s">
        <v>1811</v>
      </c>
      <c r="G684" s="87" t="s">
        <v>601</v>
      </c>
      <c r="H684" s="82"/>
    </row>
    <row r="685" spans="1:8" ht="16" x14ac:dyDescent="0.2">
      <c r="A685" s="85" t="s">
        <v>404</v>
      </c>
      <c r="B685" s="89" t="s">
        <v>1585</v>
      </c>
      <c r="C685" s="86" t="s">
        <v>1785</v>
      </c>
      <c r="D685" s="86" t="s">
        <v>1010</v>
      </c>
      <c r="E685" s="90" t="s">
        <v>133</v>
      </c>
      <c r="F685" s="88" t="s">
        <v>1812</v>
      </c>
      <c r="G685" s="87" t="s">
        <v>394</v>
      </c>
      <c r="H685" s="82"/>
    </row>
    <row r="686" spans="1:8" ht="16" x14ac:dyDescent="0.2">
      <c r="A686" s="85" t="s">
        <v>404</v>
      </c>
      <c r="B686" s="89" t="s">
        <v>1585</v>
      </c>
      <c r="C686" s="86" t="s">
        <v>1785</v>
      </c>
      <c r="D686" s="86" t="s">
        <v>1010</v>
      </c>
      <c r="E686" s="90" t="s">
        <v>1034</v>
      </c>
      <c r="F686" s="88" t="s">
        <v>1812</v>
      </c>
      <c r="G686" s="87" t="s">
        <v>394</v>
      </c>
      <c r="H686" s="82"/>
    </row>
    <row r="687" spans="1:8" ht="16" x14ac:dyDescent="0.2">
      <c r="A687" s="85" t="s">
        <v>404</v>
      </c>
      <c r="B687" s="89" t="s">
        <v>1585</v>
      </c>
      <c r="C687" s="86" t="s">
        <v>1785</v>
      </c>
      <c r="D687" s="86" t="s">
        <v>1010</v>
      </c>
      <c r="E687" s="90" t="s">
        <v>133</v>
      </c>
      <c r="F687" s="88" t="s">
        <v>1813</v>
      </c>
      <c r="G687" s="87" t="s">
        <v>399</v>
      </c>
      <c r="H687" s="82"/>
    </row>
    <row r="688" spans="1:8" ht="16" x14ac:dyDescent="0.2">
      <c r="A688" s="85" t="s">
        <v>404</v>
      </c>
      <c r="B688" s="89" t="s">
        <v>1585</v>
      </c>
      <c r="C688" s="86" t="s">
        <v>1785</v>
      </c>
      <c r="D688" s="86" t="s">
        <v>1010</v>
      </c>
      <c r="E688" s="90" t="s">
        <v>1034</v>
      </c>
      <c r="F688" s="88" t="s">
        <v>1813</v>
      </c>
      <c r="G688" s="87" t="s">
        <v>399</v>
      </c>
      <c r="H688" s="82"/>
    </row>
    <row r="689" spans="1:8" ht="16" x14ac:dyDescent="0.2">
      <c r="A689" s="85" t="s">
        <v>404</v>
      </c>
      <c r="B689" s="89" t="s">
        <v>1585</v>
      </c>
      <c r="C689" s="86" t="s">
        <v>1785</v>
      </c>
      <c r="D689" s="86" t="s">
        <v>1010</v>
      </c>
      <c r="E689" s="90" t="s">
        <v>133</v>
      </c>
      <c r="F689" s="88" t="s">
        <v>1814</v>
      </c>
      <c r="G689" s="87" t="s">
        <v>399</v>
      </c>
      <c r="H689" s="82"/>
    </row>
    <row r="690" spans="1:8" ht="16" x14ac:dyDescent="0.2">
      <c r="A690" s="85" t="s">
        <v>404</v>
      </c>
      <c r="B690" s="89" t="s">
        <v>1585</v>
      </c>
      <c r="C690" s="86" t="s">
        <v>1785</v>
      </c>
      <c r="D690" s="86" t="s">
        <v>1010</v>
      </c>
      <c r="E690" s="90" t="s">
        <v>1034</v>
      </c>
      <c r="F690" s="88" t="s">
        <v>1814</v>
      </c>
      <c r="G690" s="87" t="s">
        <v>399</v>
      </c>
      <c r="H690" s="82"/>
    </row>
    <row r="691" spans="1:8" ht="16" x14ac:dyDescent="0.2">
      <c r="A691" s="85" t="s">
        <v>404</v>
      </c>
      <c r="B691" s="89" t="s">
        <v>1585</v>
      </c>
      <c r="C691" s="86" t="s">
        <v>1785</v>
      </c>
      <c r="D691" s="86" t="s">
        <v>1010</v>
      </c>
      <c r="E691" s="90" t="s">
        <v>133</v>
      </c>
      <c r="F691" s="88" t="s">
        <v>1815</v>
      </c>
      <c r="G691" s="87" t="s">
        <v>264</v>
      </c>
      <c r="H691" s="82"/>
    </row>
    <row r="692" spans="1:8" ht="16" x14ac:dyDescent="0.2">
      <c r="A692" s="85" t="s">
        <v>404</v>
      </c>
      <c r="B692" s="89" t="s">
        <v>1585</v>
      </c>
      <c r="C692" s="86" t="s">
        <v>1785</v>
      </c>
      <c r="D692" s="86" t="s">
        <v>1010</v>
      </c>
      <c r="E692" s="90" t="s">
        <v>1034</v>
      </c>
      <c r="F692" s="88" t="s">
        <v>1815</v>
      </c>
      <c r="G692" s="87" t="s">
        <v>264</v>
      </c>
      <c r="H692" s="82"/>
    </row>
    <row r="693" spans="1:8" ht="16" x14ac:dyDescent="0.2">
      <c r="A693" s="85" t="s">
        <v>433</v>
      </c>
      <c r="B693" s="89" t="s">
        <v>1585</v>
      </c>
      <c r="C693" s="86" t="s">
        <v>1816</v>
      </c>
      <c r="D693" s="86" t="s">
        <v>1021</v>
      </c>
      <c r="E693" s="90" t="s">
        <v>126</v>
      </c>
      <c r="F693" s="88" t="s">
        <v>1817</v>
      </c>
      <c r="G693" s="100" t="s">
        <v>561</v>
      </c>
      <c r="H693" s="82"/>
    </row>
    <row r="694" spans="1:8" ht="16" x14ac:dyDescent="0.2">
      <c r="A694" s="85" t="s">
        <v>433</v>
      </c>
      <c r="B694" s="89" t="s">
        <v>1585</v>
      </c>
      <c r="C694" s="86" t="s">
        <v>1816</v>
      </c>
      <c r="D694" s="86" t="s">
        <v>1021</v>
      </c>
      <c r="E694" s="90" t="s">
        <v>126</v>
      </c>
      <c r="F694" s="88" t="s">
        <v>1817</v>
      </c>
      <c r="G694" s="100" t="s">
        <v>561</v>
      </c>
      <c r="H694" s="82"/>
    </row>
    <row r="695" spans="1:8" ht="16" x14ac:dyDescent="0.2">
      <c r="A695" s="85" t="s">
        <v>433</v>
      </c>
      <c r="B695" s="89" t="s">
        <v>1585</v>
      </c>
      <c r="C695" s="86" t="s">
        <v>1816</v>
      </c>
      <c r="D695" s="86" t="s">
        <v>1021</v>
      </c>
      <c r="E695" s="90" t="s">
        <v>126</v>
      </c>
      <c r="F695" s="88" t="s">
        <v>1818</v>
      </c>
      <c r="G695" s="100" t="s">
        <v>561</v>
      </c>
      <c r="H695" s="82"/>
    </row>
    <row r="696" spans="1:8" ht="16" x14ac:dyDescent="0.2">
      <c r="A696" s="85" t="s">
        <v>433</v>
      </c>
      <c r="B696" s="89" t="s">
        <v>1585</v>
      </c>
      <c r="C696" s="86" t="s">
        <v>1816</v>
      </c>
      <c r="D696" s="86" t="s">
        <v>1021</v>
      </c>
      <c r="E696" s="90" t="s">
        <v>126</v>
      </c>
      <c r="F696" s="88" t="s">
        <v>1818</v>
      </c>
      <c r="G696" s="100" t="s">
        <v>561</v>
      </c>
      <c r="H696" s="82"/>
    </row>
    <row r="697" spans="1:8" ht="16" x14ac:dyDescent="0.2">
      <c r="A697" s="85" t="s">
        <v>433</v>
      </c>
      <c r="B697" s="89" t="s">
        <v>1585</v>
      </c>
      <c r="C697" s="86" t="s">
        <v>1816</v>
      </c>
      <c r="D697" s="86" t="s">
        <v>1021</v>
      </c>
      <c r="E697" s="90" t="s">
        <v>126</v>
      </c>
      <c r="F697" s="88" t="s">
        <v>1819</v>
      </c>
      <c r="G697" s="100" t="s">
        <v>561</v>
      </c>
      <c r="H697" s="82"/>
    </row>
    <row r="698" spans="1:8" ht="16" x14ac:dyDescent="0.2">
      <c r="A698" s="85" t="s">
        <v>433</v>
      </c>
      <c r="B698" s="89" t="s">
        <v>1585</v>
      </c>
      <c r="C698" s="86" t="s">
        <v>1816</v>
      </c>
      <c r="D698" s="86" t="s">
        <v>1021</v>
      </c>
      <c r="E698" s="90" t="s">
        <v>126</v>
      </c>
      <c r="F698" s="88" t="s">
        <v>1819</v>
      </c>
      <c r="G698" s="100" t="s">
        <v>561</v>
      </c>
      <c r="H698" s="82"/>
    </row>
    <row r="699" spans="1:8" ht="16" x14ac:dyDescent="0.2">
      <c r="A699" s="85" t="s">
        <v>433</v>
      </c>
      <c r="B699" s="89" t="s">
        <v>1585</v>
      </c>
      <c r="C699" s="86" t="s">
        <v>1816</v>
      </c>
      <c r="D699" s="86" t="s">
        <v>1021</v>
      </c>
      <c r="E699" s="90" t="s">
        <v>126</v>
      </c>
      <c r="F699" s="88" t="s">
        <v>1820</v>
      </c>
      <c r="G699" s="100" t="s">
        <v>561</v>
      </c>
      <c r="H699" s="82"/>
    </row>
    <row r="700" spans="1:8" ht="16" x14ac:dyDescent="0.2">
      <c r="A700" s="85" t="s">
        <v>433</v>
      </c>
      <c r="B700" s="89" t="s">
        <v>1585</v>
      </c>
      <c r="C700" s="86" t="s">
        <v>1816</v>
      </c>
      <c r="D700" s="86" t="s">
        <v>1021</v>
      </c>
      <c r="E700" s="90" t="s">
        <v>126</v>
      </c>
      <c r="F700" s="88" t="s">
        <v>1820</v>
      </c>
      <c r="G700" s="100" t="s">
        <v>561</v>
      </c>
      <c r="H700" s="82"/>
    </row>
    <row r="701" spans="1:8" ht="16" x14ac:dyDescent="0.2">
      <c r="A701" s="85" t="s">
        <v>433</v>
      </c>
      <c r="B701" s="89" t="s">
        <v>1585</v>
      </c>
      <c r="C701" s="86" t="s">
        <v>1816</v>
      </c>
      <c r="D701" s="86" t="s">
        <v>1021</v>
      </c>
      <c r="E701" s="90" t="s">
        <v>126</v>
      </c>
      <c r="F701" s="88" t="s">
        <v>1821</v>
      </c>
      <c r="G701" s="100" t="s">
        <v>561</v>
      </c>
      <c r="H701" s="82"/>
    </row>
    <row r="702" spans="1:8" ht="16" x14ac:dyDescent="0.2">
      <c r="A702" s="85" t="s">
        <v>433</v>
      </c>
      <c r="B702" s="89" t="s">
        <v>1585</v>
      </c>
      <c r="C702" s="86" t="s">
        <v>1816</v>
      </c>
      <c r="D702" s="86" t="s">
        <v>1021</v>
      </c>
      <c r="E702" s="90" t="s">
        <v>126</v>
      </c>
      <c r="F702" s="88" t="s">
        <v>1821</v>
      </c>
      <c r="G702" s="100" t="s">
        <v>561</v>
      </c>
      <c r="H702" s="82"/>
    </row>
    <row r="703" spans="1:8" ht="16" x14ac:dyDescent="0.2">
      <c r="A703" s="85" t="s">
        <v>433</v>
      </c>
      <c r="B703" s="89" t="s">
        <v>1585</v>
      </c>
      <c r="C703" s="86" t="s">
        <v>1816</v>
      </c>
      <c r="D703" s="86" t="s">
        <v>1021</v>
      </c>
      <c r="E703" s="90" t="s">
        <v>126</v>
      </c>
      <c r="F703" s="88" t="s">
        <v>1822</v>
      </c>
      <c r="G703" s="100" t="s">
        <v>561</v>
      </c>
      <c r="H703" s="82"/>
    </row>
    <row r="704" spans="1:8" ht="16" x14ac:dyDescent="0.2">
      <c r="A704" s="85" t="s">
        <v>433</v>
      </c>
      <c r="B704" s="89" t="s">
        <v>1585</v>
      </c>
      <c r="C704" s="86" t="s">
        <v>1816</v>
      </c>
      <c r="D704" s="86" t="s">
        <v>1021</v>
      </c>
      <c r="E704" s="90" t="s">
        <v>126</v>
      </c>
      <c r="F704" s="88" t="s">
        <v>1822</v>
      </c>
      <c r="G704" s="100" t="s">
        <v>561</v>
      </c>
      <c r="H704" s="82"/>
    </row>
    <row r="705" spans="1:8" ht="16" x14ac:dyDescent="0.2">
      <c r="A705" s="85" t="s">
        <v>433</v>
      </c>
      <c r="B705" s="89" t="s">
        <v>1585</v>
      </c>
      <c r="C705" s="86" t="s">
        <v>1816</v>
      </c>
      <c r="D705" s="86" t="s">
        <v>1021</v>
      </c>
      <c r="E705" s="90" t="s">
        <v>126</v>
      </c>
      <c r="F705" s="88" t="s">
        <v>1823</v>
      </c>
      <c r="G705" s="100" t="s">
        <v>561</v>
      </c>
      <c r="H705" s="82"/>
    </row>
    <row r="706" spans="1:8" ht="16" x14ac:dyDescent="0.2">
      <c r="A706" s="85" t="s">
        <v>433</v>
      </c>
      <c r="B706" s="89" t="s">
        <v>1585</v>
      </c>
      <c r="C706" s="86" t="s">
        <v>1816</v>
      </c>
      <c r="D706" s="86" t="s">
        <v>1021</v>
      </c>
      <c r="E706" s="90" t="s">
        <v>1034</v>
      </c>
      <c r="F706" s="88" t="s">
        <v>433</v>
      </c>
      <c r="G706" s="87" t="s">
        <v>1264</v>
      </c>
      <c r="H706" s="82"/>
    </row>
    <row r="707" spans="1:8" ht="16" x14ac:dyDescent="0.2">
      <c r="A707" s="85" t="s">
        <v>433</v>
      </c>
      <c r="B707" s="89" t="s">
        <v>1585</v>
      </c>
      <c r="C707" s="86" t="s">
        <v>1816</v>
      </c>
      <c r="D707" s="86" t="s">
        <v>1021</v>
      </c>
      <c r="E707" s="90" t="s">
        <v>1034</v>
      </c>
      <c r="F707" s="88" t="s">
        <v>1824</v>
      </c>
      <c r="G707" s="87" t="s">
        <v>1264</v>
      </c>
      <c r="H707" s="82"/>
    </row>
    <row r="708" spans="1:8" ht="16" x14ac:dyDescent="0.2">
      <c r="A708" s="85" t="s">
        <v>433</v>
      </c>
      <c r="B708" s="89" t="s">
        <v>1585</v>
      </c>
      <c r="C708" s="86" t="s">
        <v>1816</v>
      </c>
      <c r="D708" s="86" t="s">
        <v>1021</v>
      </c>
      <c r="E708" s="90" t="s">
        <v>1034</v>
      </c>
      <c r="F708" s="88" t="s">
        <v>1825</v>
      </c>
      <c r="G708" s="87" t="s">
        <v>1264</v>
      </c>
      <c r="H708" s="82"/>
    </row>
    <row r="709" spans="1:8" ht="16" x14ac:dyDescent="0.2">
      <c r="A709" s="85" t="s">
        <v>433</v>
      </c>
      <c r="B709" s="89" t="s">
        <v>1585</v>
      </c>
      <c r="C709" s="86" t="s">
        <v>1816</v>
      </c>
      <c r="D709" s="86" t="s">
        <v>1021</v>
      </c>
      <c r="E709" s="90" t="s">
        <v>1034</v>
      </c>
      <c r="F709" s="88" t="s">
        <v>1826</v>
      </c>
      <c r="G709" s="87" t="s">
        <v>1264</v>
      </c>
      <c r="H709" s="82"/>
    </row>
    <row r="710" spans="1:8" ht="16" x14ac:dyDescent="0.2">
      <c r="A710" s="85" t="s">
        <v>433</v>
      </c>
      <c r="B710" s="89" t="s">
        <v>1585</v>
      </c>
      <c r="C710" s="86" t="s">
        <v>1816</v>
      </c>
      <c r="D710" s="86" t="s">
        <v>1021</v>
      </c>
      <c r="E710" s="90" t="s">
        <v>1034</v>
      </c>
      <c r="F710" s="88" t="s">
        <v>1827</v>
      </c>
      <c r="G710" s="87" t="s">
        <v>1264</v>
      </c>
      <c r="H710" s="82"/>
    </row>
    <row r="711" spans="1:8" ht="16" x14ac:dyDescent="0.2">
      <c r="A711" s="85" t="s">
        <v>433</v>
      </c>
      <c r="B711" s="89" t="s">
        <v>1585</v>
      </c>
      <c r="C711" s="86" t="s">
        <v>1816</v>
      </c>
      <c r="D711" s="86" t="s">
        <v>1021</v>
      </c>
      <c r="E711" s="90" t="s">
        <v>1034</v>
      </c>
      <c r="F711" s="88" t="s">
        <v>1828</v>
      </c>
      <c r="G711" s="87" t="s">
        <v>1264</v>
      </c>
      <c r="H711" s="82"/>
    </row>
    <row r="712" spans="1:8" ht="16" x14ac:dyDescent="0.2">
      <c r="A712" s="85" t="s">
        <v>433</v>
      </c>
      <c r="B712" s="89" t="s">
        <v>1585</v>
      </c>
      <c r="C712" s="86" t="s">
        <v>1816</v>
      </c>
      <c r="D712" s="86" t="s">
        <v>1021</v>
      </c>
      <c r="E712" s="90" t="s">
        <v>117</v>
      </c>
      <c r="F712" s="88" t="s">
        <v>433</v>
      </c>
      <c r="G712" s="87" t="s">
        <v>1265</v>
      </c>
      <c r="H712" s="82"/>
    </row>
    <row r="713" spans="1:8" ht="16" x14ac:dyDescent="0.2">
      <c r="A713" s="85" t="s">
        <v>433</v>
      </c>
      <c r="B713" s="89" t="s">
        <v>1585</v>
      </c>
      <c r="C713" s="86" t="s">
        <v>1816</v>
      </c>
      <c r="D713" s="86" t="s">
        <v>1021</v>
      </c>
      <c r="E713" s="90" t="s">
        <v>117</v>
      </c>
      <c r="F713" s="88" t="s">
        <v>1824</v>
      </c>
      <c r="G713" s="87" t="s">
        <v>1265</v>
      </c>
      <c r="H713" s="82"/>
    </row>
    <row r="714" spans="1:8" ht="16" x14ac:dyDescent="0.2">
      <c r="A714" s="85" t="s">
        <v>433</v>
      </c>
      <c r="B714" s="89" t="s">
        <v>1585</v>
      </c>
      <c r="C714" s="86" t="s">
        <v>1816</v>
      </c>
      <c r="D714" s="86" t="s">
        <v>1021</v>
      </c>
      <c r="E714" s="90" t="s">
        <v>117</v>
      </c>
      <c r="F714" s="88" t="s">
        <v>1825</v>
      </c>
      <c r="G714" s="87" t="s">
        <v>1265</v>
      </c>
      <c r="H714" s="82"/>
    </row>
    <row r="715" spans="1:8" ht="16" x14ac:dyDescent="0.2">
      <c r="A715" s="85" t="s">
        <v>433</v>
      </c>
      <c r="B715" s="89" t="s">
        <v>1585</v>
      </c>
      <c r="C715" s="86" t="s">
        <v>1816</v>
      </c>
      <c r="D715" s="86" t="s">
        <v>1021</v>
      </c>
      <c r="E715" s="90" t="s">
        <v>117</v>
      </c>
      <c r="F715" s="88" t="s">
        <v>1826</v>
      </c>
      <c r="G715" s="87" t="s">
        <v>1265</v>
      </c>
      <c r="H715" s="82"/>
    </row>
    <row r="716" spans="1:8" ht="16" x14ac:dyDescent="0.2">
      <c r="A716" s="85" t="s">
        <v>433</v>
      </c>
      <c r="B716" s="89" t="s">
        <v>1585</v>
      </c>
      <c r="C716" s="86" t="s">
        <v>1816</v>
      </c>
      <c r="D716" s="86" t="s">
        <v>1021</v>
      </c>
      <c r="E716" s="90" t="s">
        <v>117</v>
      </c>
      <c r="F716" s="88" t="s">
        <v>1827</v>
      </c>
      <c r="G716" s="87" t="s">
        <v>1265</v>
      </c>
      <c r="H716" s="82"/>
    </row>
    <row r="717" spans="1:8" ht="16" x14ac:dyDescent="0.2">
      <c r="A717" s="85" t="s">
        <v>433</v>
      </c>
      <c r="B717" s="89" t="s">
        <v>1585</v>
      </c>
      <c r="C717" s="86" t="s">
        <v>1816</v>
      </c>
      <c r="D717" s="86" t="s">
        <v>1021</v>
      </c>
      <c r="E717" s="90" t="s">
        <v>117</v>
      </c>
      <c r="F717" s="88" t="s">
        <v>1828</v>
      </c>
      <c r="G717" s="87" t="s">
        <v>1265</v>
      </c>
      <c r="H717" s="82"/>
    </row>
    <row r="718" spans="1:8" ht="16" x14ac:dyDescent="0.2">
      <c r="A718" s="85" t="s">
        <v>433</v>
      </c>
      <c r="B718" s="89" t="s">
        <v>1585</v>
      </c>
      <c r="C718" s="86" t="s">
        <v>1816</v>
      </c>
      <c r="D718" s="86" t="s">
        <v>1021</v>
      </c>
      <c r="E718" s="90" t="s">
        <v>158</v>
      </c>
      <c r="F718" s="88" t="s">
        <v>433</v>
      </c>
      <c r="G718" s="87" t="s">
        <v>1265</v>
      </c>
      <c r="H718" s="82"/>
    </row>
    <row r="719" spans="1:8" ht="16" x14ac:dyDescent="0.2">
      <c r="A719" s="85" t="s">
        <v>433</v>
      </c>
      <c r="B719" s="89" t="s">
        <v>1585</v>
      </c>
      <c r="C719" s="86" t="s">
        <v>1816</v>
      </c>
      <c r="D719" s="86" t="s">
        <v>1021</v>
      </c>
      <c r="E719" s="90" t="s">
        <v>158</v>
      </c>
      <c r="F719" s="88" t="s">
        <v>1824</v>
      </c>
      <c r="G719" s="87" t="s">
        <v>1265</v>
      </c>
      <c r="H719" s="82"/>
    </row>
    <row r="720" spans="1:8" ht="16" x14ac:dyDescent="0.2">
      <c r="A720" s="85" t="s">
        <v>433</v>
      </c>
      <c r="B720" s="89" t="s">
        <v>1585</v>
      </c>
      <c r="C720" s="86" t="s">
        <v>1816</v>
      </c>
      <c r="D720" s="86" t="s">
        <v>1021</v>
      </c>
      <c r="E720" s="90" t="s">
        <v>158</v>
      </c>
      <c r="F720" s="88" t="s">
        <v>1825</v>
      </c>
      <c r="G720" s="87" t="s">
        <v>1265</v>
      </c>
      <c r="H720" s="82"/>
    </row>
    <row r="721" spans="1:8" ht="16" x14ac:dyDescent="0.2">
      <c r="A721" s="85" t="s">
        <v>433</v>
      </c>
      <c r="B721" s="89" t="s">
        <v>1585</v>
      </c>
      <c r="C721" s="86" t="s">
        <v>1816</v>
      </c>
      <c r="D721" s="86" t="s">
        <v>1021</v>
      </c>
      <c r="E721" s="90" t="s">
        <v>158</v>
      </c>
      <c r="F721" s="88" t="s">
        <v>1826</v>
      </c>
      <c r="G721" s="87" t="s">
        <v>1265</v>
      </c>
      <c r="H721" s="82"/>
    </row>
    <row r="722" spans="1:8" ht="16" x14ac:dyDescent="0.2">
      <c r="A722" s="85" t="s">
        <v>433</v>
      </c>
      <c r="B722" s="89" t="s">
        <v>1585</v>
      </c>
      <c r="C722" s="86" t="s">
        <v>1816</v>
      </c>
      <c r="D722" s="86" t="s">
        <v>1021</v>
      </c>
      <c r="E722" s="90" t="s">
        <v>158</v>
      </c>
      <c r="F722" s="88" t="s">
        <v>1827</v>
      </c>
      <c r="G722" s="87" t="s">
        <v>1265</v>
      </c>
      <c r="H722" s="82"/>
    </row>
    <row r="723" spans="1:8" ht="16" x14ac:dyDescent="0.2">
      <c r="A723" s="85" t="s">
        <v>433</v>
      </c>
      <c r="B723" s="89" t="s">
        <v>1585</v>
      </c>
      <c r="C723" s="86" t="s">
        <v>1816</v>
      </c>
      <c r="D723" s="86" t="s">
        <v>1021</v>
      </c>
      <c r="E723" s="90" t="s">
        <v>158</v>
      </c>
      <c r="F723" s="88" t="s">
        <v>1828</v>
      </c>
      <c r="G723" s="87" t="s">
        <v>1265</v>
      </c>
      <c r="H723" s="82"/>
    </row>
    <row r="724" spans="1:8" x14ac:dyDescent="0.2">
      <c r="A724" s="85" t="s">
        <v>433</v>
      </c>
      <c r="B724" s="89" t="s">
        <v>1585</v>
      </c>
      <c r="C724" s="86" t="s">
        <v>1816</v>
      </c>
      <c r="D724" s="86" t="s">
        <v>1021</v>
      </c>
      <c r="E724" s="90" t="s">
        <v>117</v>
      </c>
      <c r="F724" s="88" t="s">
        <v>1829</v>
      </c>
      <c r="G724" s="88" t="s">
        <v>1266</v>
      </c>
      <c r="H724" s="82"/>
    </row>
    <row r="725" spans="1:8" x14ac:dyDescent="0.2">
      <c r="A725" s="85" t="s">
        <v>433</v>
      </c>
      <c r="B725" s="89" t="s">
        <v>1585</v>
      </c>
      <c r="C725" s="86" t="s">
        <v>1816</v>
      </c>
      <c r="D725" s="86" t="s">
        <v>1021</v>
      </c>
      <c r="E725" s="90" t="s">
        <v>117</v>
      </c>
      <c r="F725" s="88" t="s">
        <v>1830</v>
      </c>
      <c r="G725" s="88" t="s">
        <v>1266</v>
      </c>
      <c r="H725" s="82"/>
    </row>
    <row r="726" spans="1:8" x14ac:dyDescent="0.2">
      <c r="A726" s="85" t="s">
        <v>433</v>
      </c>
      <c r="B726" s="89" t="s">
        <v>1585</v>
      </c>
      <c r="C726" s="86" t="s">
        <v>1816</v>
      </c>
      <c r="D726" s="86" t="s">
        <v>1021</v>
      </c>
      <c r="E726" s="90" t="s">
        <v>117</v>
      </c>
      <c r="F726" s="88" t="s">
        <v>1831</v>
      </c>
      <c r="G726" s="88" t="s">
        <v>1266</v>
      </c>
      <c r="H726" s="82"/>
    </row>
    <row r="727" spans="1:8" x14ac:dyDescent="0.2">
      <c r="A727" s="85" t="s">
        <v>433</v>
      </c>
      <c r="B727" s="89" t="s">
        <v>1585</v>
      </c>
      <c r="C727" s="86" t="s">
        <v>1816</v>
      </c>
      <c r="D727" s="86" t="s">
        <v>1021</v>
      </c>
      <c r="E727" s="90" t="s">
        <v>117</v>
      </c>
      <c r="F727" s="88" t="s">
        <v>1832</v>
      </c>
      <c r="G727" s="88" t="s">
        <v>1266</v>
      </c>
      <c r="H727" s="82"/>
    </row>
    <row r="728" spans="1:8" x14ac:dyDescent="0.2">
      <c r="A728" s="85" t="s">
        <v>433</v>
      </c>
      <c r="B728" s="89" t="s">
        <v>1585</v>
      </c>
      <c r="C728" s="86" t="s">
        <v>1816</v>
      </c>
      <c r="D728" s="86" t="s">
        <v>1021</v>
      </c>
      <c r="E728" s="90" t="s">
        <v>117</v>
      </c>
      <c r="F728" s="88" t="s">
        <v>1833</v>
      </c>
      <c r="G728" s="88" t="s">
        <v>1266</v>
      </c>
      <c r="H728" s="82"/>
    </row>
    <row r="729" spans="1:8" x14ac:dyDescent="0.2">
      <c r="A729" s="85" t="s">
        <v>433</v>
      </c>
      <c r="B729" s="89" t="s">
        <v>1585</v>
      </c>
      <c r="C729" s="86" t="s">
        <v>1816</v>
      </c>
      <c r="D729" s="86" t="s">
        <v>1021</v>
      </c>
      <c r="E729" s="90" t="s">
        <v>117</v>
      </c>
      <c r="F729" s="88" t="s">
        <v>1834</v>
      </c>
      <c r="G729" s="88" t="s">
        <v>1266</v>
      </c>
      <c r="H729" s="82"/>
    </row>
    <row r="730" spans="1:8" x14ac:dyDescent="0.2">
      <c r="A730" s="85" t="s">
        <v>433</v>
      </c>
      <c r="B730" s="89" t="s">
        <v>1585</v>
      </c>
      <c r="C730" s="86" t="s">
        <v>1816</v>
      </c>
      <c r="D730" s="86" t="s">
        <v>1021</v>
      </c>
      <c r="E730" s="90" t="s">
        <v>117</v>
      </c>
      <c r="F730" s="88" t="s">
        <v>1835</v>
      </c>
      <c r="G730" s="88" t="s">
        <v>1266</v>
      </c>
      <c r="H730" s="82"/>
    </row>
    <row r="731" spans="1:8" x14ac:dyDescent="0.2">
      <c r="A731" s="85" t="s">
        <v>433</v>
      </c>
      <c r="B731" s="89" t="s">
        <v>1585</v>
      </c>
      <c r="C731" s="86" t="s">
        <v>1816</v>
      </c>
      <c r="D731" s="86" t="s">
        <v>1021</v>
      </c>
      <c r="E731" s="90" t="s">
        <v>117</v>
      </c>
      <c r="F731" s="88" t="s">
        <v>437</v>
      </c>
      <c r="G731" s="88" t="s">
        <v>1267</v>
      </c>
      <c r="H731" s="82"/>
    </row>
    <row r="732" spans="1:8" x14ac:dyDescent="0.2">
      <c r="A732" s="85" t="s">
        <v>433</v>
      </c>
      <c r="B732" s="89" t="s">
        <v>1585</v>
      </c>
      <c r="C732" s="86" t="s">
        <v>1816</v>
      </c>
      <c r="D732" s="86" t="s">
        <v>1021</v>
      </c>
      <c r="E732" s="90" t="s">
        <v>117</v>
      </c>
      <c r="F732" s="88" t="s">
        <v>1836</v>
      </c>
      <c r="G732" s="88" t="s">
        <v>1267</v>
      </c>
      <c r="H732" s="82"/>
    </row>
    <row r="733" spans="1:8" x14ac:dyDescent="0.2">
      <c r="A733" s="85" t="s">
        <v>433</v>
      </c>
      <c r="B733" s="89" t="s">
        <v>1585</v>
      </c>
      <c r="C733" s="86" t="s">
        <v>1816</v>
      </c>
      <c r="D733" s="86" t="s">
        <v>1021</v>
      </c>
      <c r="E733" s="90" t="s">
        <v>117</v>
      </c>
      <c r="F733" s="88" t="s">
        <v>1837</v>
      </c>
      <c r="G733" s="88" t="s">
        <v>1267</v>
      </c>
      <c r="H733" s="82"/>
    </row>
    <row r="734" spans="1:8" x14ac:dyDescent="0.2">
      <c r="A734" s="85" t="s">
        <v>433</v>
      </c>
      <c r="B734" s="89" t="s">
        <v>1585</v>
      </c>
      <c r="C734" s="86" t="s">
        <v>1816</v>
      </c>
      <c r="D734" s="86" t="s">
        <v>1021</v>
      </c>
      <c r="E734" s="90" t="s">
        <v>117</v>
      </c>
      <c r="F734" s="88" t="s">
        <v>1838</v>
      </c>
      <c r="G734" s="88" t="s">
        <v>1267</v>
      </c>
      <c r="H734" s="82"/>
    </row>
    <row r="735" spans="1:8" x14ac:dyDescent="0.2">
      <c r="A735" s="85" t="s">
        <v>433</v>
      </c>
      <c r="B735" s="89" t="s">
        <v>1585</v>
      </c>
      <c r="C735" s="86" t="s">
        <v>1816</v>
      </c>
      <c r="D735" s="86" t="s">
        <v>1021</v>
      </c>
      <c r="E735" s="90" t="s">
        <v>117</v>
      </c>
      <c r="F735" s="88" t="s">
        <v>1839</v>
      </c>
      <c r="G735" s="88" t="s">
        <v>1267</v>
      </c>
      <c r="H735" s="82"/>
    </row>
    <row r="736" spans="1:8" x14ac:dyDescent="0.2">
      <c r="A736" s="85" t="s">
        <v>433</v>
      </c>
      <c r="B736" s="89" t="s">
        <v>1585</v>
      </c>
      <c r="C736" s="86" t="s">
        <v>1816</v>
      </c>
      <c r="D736" s="86" t="s">
        <v>1021</v>
      </c>
      <c r="E736" s="90" t="s">
        <v>117</v>
      </c>
      <c r="F736" s="88" t="s">
        <v>1840</v>
      </c>
      <c r="G736" s="88" t="s">
        <v>1267</v>
      </c>
      <c r="H736" s="82"/>
    </row>
    <row r="737" spans="1:8" x14ac:dyDescent="0.2">
      <c r="A737" s="85" t="s">
        <v>433</v>
      </c>
      <c r="B737" s="89" t="s">
        <v>1585</v>
      </c>
      <c r="C737" s="86" t="s">
        <v>1816</v>
      </c>
      <c r="D737" s="86" t="s">
        <v>1021</v>
      </c>
      <c r="E737" s="90" t="s">
        <v>117</v>
      </c>
      <c r="F737" s="88" t="s">
        <v>1841</v>
      </c>
      <c r="G737" s="88" t="s">
        <v>1267</v>
      </c>
      <c r="H737" s="82"/>
    </row>
    <row r="738" spans="1:8" x14ac:dyDescent="0.2">
      <c r="A738" s="85" t="s">
        <v>433</v>
      </c>
      <c r="B738" s="89" t="s">
        <v>1585</v>
      </c>
      <c r="C738" s="86" t="s">
        <v>1816</v>
      </c>
      <c r="D738" s="86" t="s">
        <v>1021</v>
      </c>
      <c r="E738" s="90" t="s">
        <v>117</v>
      </c>
      <c r="F738" s="88" t="s">
        <v>1842</v>
      </c>
      <c r="G738" s="88" t="s">
        <v>1267</v>
      </c>
      <c r="H738" s="82"/>
    </row>
    <row r="739" spans="1:8" x14ac:dyDescent="0.2">
      <c r="A739" s="85" t="s">
        <v>433</v>
      </c>
      <c r="B739" s="89" t="s">
        <v>1585</v>
      </c>
      <c r="C739" s="86" t="s">
        <v>1816</v>
      </c>
      <c r="D739" s="86" t="s">
        <v>1021</v>
      </c>
      <c r="E739" s="90" t="s">
        <v>117</v>
      </c>
      <c r="F739" s="88" t="s">
        <v>1843</v>
      </c>
      <c r="G739" s="88" t="s">
        <v>1268</v>
      </c>
      <c r="H739" s="82"/>
    </row>
    <row r="740" spans="1:8" x14ac:dyDescent="0.2">
      <c r="A740" s="85" t="s">
        <v>433</v>
      </c>
      <c r="B740" s="89" t="s">
        <v>1585</v>
      </c>
      <c r="C740" s="86" t="s">
        <v>1816</v>
      </c>
      <c r="D740" s="86" t="s">
        <v>1021</v>
      </c>
      <c r="E740" s="90" t="s">
        <v>117</v>
      </c>
      <c r="F740" s="88" t="s">
        <v>1844</v>
      </c>
      <c r="G740" s="88" t="s">
        <v>1268</v>
      </c>
      <c r="H740" s="82"/>
    </row>
    <row r="741" spans="1:8" x14ac:dyDescent="0.2">
      <c r="A741" s="85" t="s">
        <v>433</v>
      </c>
      <c r="B741" s="89" t="s">
        <v>1585</v>
      </c>
      <c r="C741" s="86" t="s">
        <v>1816</v>
      </c>
      <c r="D741" s="86" t="s">
        <v>1021</v>
      </c>
      <c r="E741" s="90" t="s">
        <v>117</v>
      </c>
      <c r="F741" s="88" t="s">
        <v>1845</v>
      </c>
      <c r="G741" s="88" t="s">
        <v>1268</v>
      </c>
      <c r="H741" s="82"/>
    </row>
    <row r="742" spans="1:8" x14ac:dyDescent="0.2">
      <c r="A742" s="85" t="s">
        <v>433</v>
      </c>
      <c r="B742" s="89" t="s">
        <v>1585</v>
      </c>
      <c r="C742" s="86" t="s">
        <v>1816</v>
      </c>
      <c r="D742" s="86" t="s">
        <v>1021</v>
      </c>
      <c r="E742" s="90" t="s">
        <v>117</v>
      </c>
      <c r="F742" s="88" t="s">
        <v>1846</v>
      </c>
      <c r="G742" s="88" t="s">
        <v>1268</v>
      </c>
      <c r="H742" s="82"/>
    </row>
    <row r="743" spans="1:8" x14ac:dyDescent="0.2">
      <c r="A743" s="85" t="s">
        <v>433</v>
      </c>
      <c r="B743" s="89" t="s">
        <v>1585</v>
      </c>
      <c r="C743" s="86" t="s">
        <v>1816</v>
      </c>
      <c r="D743" s="86" t="s">
        <v>1021</v>
      </c>
      <c r="E743" s="90" t="s">
        <v>117</v>
      </c>
      <c r="F743" s="88" t="s">
        <v>1847</v>
      </c>
      <c r="G743" s="88" t="s">
        <v>1268</v>
      </c>
      <c r="H743" s="82"/>
    </row>
    <row r="744" spans="1:8" x14ac:dyDescent="0.2">
      <c r="A744" s="85" t="s">
        <v>433</v>
      </c>
      <c r="B744" s="89" t="s">
        <v>1585</v>
      </c>
      <c r="C744" s="86" t="s">
        <v>1816</v>
      </c>
      <c r="D744" s="86" t="s">
        <v>1021</v>
      </c>
      <c r="E744" s="90" t="s">
        <v>117</v>
      </c>
      <c r="F744" s="88" t="s">
        <v>1848</v>
      </c>
      <c r="G744" s="88" t="s">
        <v>1268</v>
      </c>
      <c r="H744" s="82"/>
    </row>
    <row r="745" spans="1:8" x14ac:dyDescent="0.2">
      <c r="A745" s="85" t="s">
        <v>433</v>
      </c>
      <c r="B745" s="89" t="s">
        <v>1585</v>
      </c>
      <c r="C745" s="86" t="s">
        <v>1816</v>
      </c>
      <c r="D745" s="86" t="s">
        <v>1021</v>
      </c>
      <c r="E745" s="90" t="s">
        <v>117</v>
      </c>
      <c r="F745" s="88" t="s">
        <v>1849</v>
      </c>
      <c r="G745" s="88" t="s">
        <v>1268</v>
      </c>
      <c r="H745" s="82"/>
    </row>
    <row r="746" spans="1:8" ht="16" x14ac:dyDescent="0.2">
      <c r="A746" s="85" t="s">
        <v>433</v>
      </c>
      <c r="B746" s="89" t="s">
        <v>1585</v>
      </c>
      <c r="C746" s="86" t="s">
        <v>1816</v>
      </c>
      <c r="D746" s="86" t="s">
        <v>1021</v>
      </c>
      <c r="E746" s="90" t="s">
        <v>140</v>
      </c>
      <c r="F746" s="88" t="s">
        <v>1850</v>
      </c>
      <c r="G746" s="87" t="s">
        <v>375</v>
      </c>
      <c r="H746" s="82"/>
    </row>
    <row r="747" spans="1:8" ht="16" x14ac:dyDescent="0.2">
      <c r="A747" s="85" t="s">
        <v>433</v>
      </c>
      <c r="B747" s="89" t="s">
        <v>1585</v>
      </c>
      <c r="C747" s="86" t="s">
        <v>1816</v>
      </c>
      <c r="D747" s="86" t="s">
        <v>1021</v>
      </c>
      <c r="E747" s="90" t="s">
        <v>140</v>
      </c>
      <c r="F747" s="88" t="s">
        <v>433</v>
      </c>
      <c r="G747" s="87" t="s">
        <v>375</v>
      </c>
      <c r="H747" s="82"/>
    </row>
    <row r="748" spans="1:8" ht="16" x14ac:dyDescent="0.2">
      <c r="A748" s="85" t="s">
        <v>433</v>
      </c>
      <c r="B748" s="89" t="s">
        <v>1585</v>
      </c>
      <c r="C748" s="86" t="s">
        <v>1816</v>
      </c>
      <c r="D748" s="86" t="s">
        <v>1021</v>
      </c>
      <c r="E748" s="90" t="s">
        <v>140</v>
      </c>
      <c r="F748" s="88" t="s">
        <v>1824</v>
      </c>
      <c r="G748" s="87" t="s">
        <v>375</v>
      </c>
      <c r="H748" s="82"/>
    </row>
    <row r="749" spans="1:8" ht="16" x14ac:dyDescent="0.2">
      <c r="A749" s="85" t="s">
        <v>433</v>
      </c>
      <c r="B749" s="89" t="s">
        <v>1585</v>
      </c>
      <c r="C749" s="86" t="s">
        <v>1816</v>
      </c>
      <c r="D749" s="86" t="s">
        <v>1021</v>
      </c>
      <c r="E749" s="90" t="s">
        <v>140</v>
      </c>
      <c r="F749" s="88" t="s">
        <v>1851</v>
      </c>
      <c r="G749" s="100" t="s">
        <v>366</v>
      </c>
      <c r="H749" s="82"/>
    </row>
    <row r="750" spans="1:8" ht="16" x14ac:dyDescent="0.2">
      <c r="A750" s="85" t="s">
        <v>433</v>
      </c>
      <c r="B750" s="89" t="s">
        <v>1585</v>
      </c>
      <c r="C750" s="86" t="s">
        <v>1816</v>
      </c>
      <c r="D750" s="86" t="s">
        <v>1021</v>
      </c>
      <c r="E750" s="90" t="s">
        <v>140</v>
      </c>
      <c r="F750" s="88" t="s">
        <v>1852</v>
      </c>
      <c r="G750" s="100" t="s">
        <v>366</v>
      </c>
      <c r="H750" s="82"/>
    </row>
    <row r="751" spans="1:8" x14ac:dyDescent="0.2">
      <c r="A751" s="85" t="s">
        <v>433</v>
      </c>
      <c r="B751" s="89" t="s">
        <v>1585</v>
      </c>
      <c r="C751" s="86" t="s">
        <v>1816</v>
      </c>
      <c r="D751" s="86" t="s">
        <v>1021</v>
      </c>
      <c r="E751" s="90" t="s">
        <v>117</v>
      </c>
      <c r="F751" s="88" t="s">
        <v>1853</v>
      </c>
      <c r="G751" s="88" t="s">
        <v>1257</v>
      </c>
      <c r="H751" s="82"/>
    </row>
    <row r="752" spans="1:8" ht="16" x14ac:dyDescent="0.2">
      <c r="A752" s="85" t="s">
        <v>433</v>
      </c>
      <c r="B752" s="89" t="s">
        <v>1585</v>
      </c>
      <c r="C752" s="86" t="s">
        <v>1816</v>
      </c>
      <c r="D752" s="86" t="s">
        <v>1021</v>
      </c>
      <c r="E752" s="90" t="s">
        <v>133</v>
      </c>
      <c r="F752" s="88" t="s">
        <v>1852</v>
      </c>
      <c r="G752" s="100" t="s">
        <v>570</v>
      </c>
      <c r="H752" s="82"/>
    </row>
    <row r="753" spans="1:8" ht="16" x14ac:dyDescent="0.2">
      <c r="A753" s="85" t="s">
        <v>1344</v>
      </c>
      <c r="B753" s="89" t="s">
        <v>1585</v>
      </c>
      <c r="C753" s="86" t="s">
        <v>1854</v>
      </c>
      <c r="D753" s="86" t="s">
        <v>1022</v>
      </c>
      <c r="E753" s="90" t="s">
        <v>117</v>
      </c>
      <c r="F753" s="88" t="s">
        <v>1344</v>
      </c>
      <c r="G753" s="87" t="s">
        <v>1274</v>
      </c>
      <c r="H753" s="82"/>
    </row>
    <row r="754" spans="1:8" x14ac:dyDescent="0.2">
      <c r="A754" s="85" t="s">
        <v>308</v>
      </c>
      <c r="B754" s="89" t="s">
        <v>1585</v>
      </c>
      <c r="C754" s="86" t="s">
        <v>1854</v>
      </c>
      <c r="D754" s="86" t="s">
        <v>1022</v>
      </c>
      <c r="E754" s="90" t="s">
        <v>117</v>
      </c>
      <c r="F754" s="88" t="s">
        <v>1855</v>
      </c>
      <c r="G754" s="82" t="s">
        <v>1275</v>
      </c>
      <c r="H754" s="82"/>
    </row>
    <row r="755" spans="1:8" x14ac:dyDescent="0.2">
      <c r="A755" s="85" t="s">
        <v>308</v>
      </c>
      <c r="B755" s="89" t="s">
        <v>1585</v>
      </c>
      <c r="C755" s="86" t="s">
        <v>1854</v>
      </c>
      <c r="D755" s="86" t="s">
        <v>1022</v>
      </c>
      <c r="E755" s="90" t="s">
        <v>117</v>
      </c>
      <c r="F755" s="88" t="s">
        <v>1856</v>
      </c>
      <c r="G755" s="82" t="s">
        <v>1275</v>
      </c>
      <c r="H755" s="82"/>
    </row>
    <row r="756" spans="1:8" x14ac:dyDescent="0.2">
      <c r="A756" s="85" t="s">
        <v>308</v>
      </c>
      <c r="B756" s="89" t="s">
        <v>1585</v>
      </c>
      <c r="C756" s="86" t="s">
        <v>1854</v>
      </c>
      <c r="D756" s="86" t="s">
        <v>1022</v>
      </c>
      <c r="E756" s="90" t="s">
        <v>158</v>
      </c>
      <c r="F756" s="88" t="s">
        <v>1855</v>
      </c>
      <c r="G756" s="82" t="s">
        <v>1275</v>
      </c>
      <c r="H756" s="82"/>
    </row>
    <row r="757" spans="1:8" x14ac:dyDescent="0.2">
      <c r="A757" s="85" t="s">
        <v>308</v>
      </c>
      <c r="B757" s="89" t="s">
        <v>1585</v>
      </c>
      <c r="C757" s="86" t="s">
        <v>1854</v>
      </c>
      <c r="D757" s="86" t="s">
        <v>1022</v>
      </c>
      <c r="E757" s="90" t="s">
        <v>158</v>
      </c>
      <c r="F757" s="88" t="s">
        <v>1856</v>
      </c>
      <c r="G757" s="82" t="s">
        <v>1275</v>
      </c>
      <c r="H757" s="82"/>
    </row>
    <row r="758" spans="1:8" x14ac:dyDescent="0.2">
      <c r="A758" s="85" t="s">
        <v>308</v>
      </c>
      <c r="B758" s="89" t="s">
        <v>1585</v>
      </c>
      <c r="C758" s="86" t="s">
        <v>1854</v>
      </c>
      <c r="D758" s="86" t="s">
        <v>1022</v>
      </c>
      <c r="E758" s="90" t="s">
        <v>117</v>
      </c>
      <c r="F758" s="88" t="s">
        <v>1857</v>
      </c>
      <c r="G758" s="82" t="s">
        <v>1275</v>
      </c>
      <c r="H758" s="82"/>
    </row>
    <row r="759" spans="1:8" x14ac:dyDescent="0.2">
      <c r="A759" s="85" t="s">
        <v>308</v>
      </c>
      <c r="B759" s="89" t="s">
        <v>1585</v>
      </c>
      <c r="C759" s="86" t="s">
        <v>1854</v>
      </c>
      <c r="D759" s="86" t="s">
        <v>1022</v>
      </c>
      <c r="E759" s="90" t="s">
        <v>117</v>
      </c>
      <c r="F759" s="88" t="s">
        <v>1858</v>
      </c>
      <c r="G759" s="82" t="s">
        <v>1275</v>
      </c>
      <c r="H759" s="82"/>
    </row>
    <row r="760" spans="1:8" x14ac:dyDescent="0.2">
      <c r="A760" s="85" t="s">
        <v>308</v>
      </c>
      <c r="B760" s="89" t="s">
        <v>1585</v>
      </c>
      <c r="C760" s="86" t="s">
        <v>1854</v>
      </c>
      <c r="D760" s="86" t="s">
        <v>1022</v>
      </c>
      <c r="E760" s="90" t="s">
        <v>158</v>
      </c>
      <c r="F760" s="88" t="s">
        <v>1857</v>
      </c>
      <c r="G760" s="82" t="s">
        <v>1275</v>
      </c>
      <c r="H760" s="82"/>
    </row>
    <row r="761" spans="1:8" x14ac:dyDescent="0.2">
      <c r="A761" s="85" t="s">
        <v>308</v>
      </c>
      <c r="B761" s="89" t="s">
        <v>1585</v>
      </c>
      <c r="C761" s="86" t="s">
        <v>1854</v>
      </c>
      <c r="D761" s="86" t="s">
        <v>1022</v>
      </c>
      <c r="E761" s="90" t="s">
        <v>158</v>
      </c>
      <c r="F761" s="88" t="s">
        <v>1858</v>
      </c>
      <c r="G761" s="82" t="s">
        <v>1275</v>
      </c>
      <c r="H761" s="82"/>
    </row>
    <row r="762" spans="1:8" x14ac:dyDescent="0.2">
      <c r="A762" s="85" t="s">
        <v>308</v>
      </c>
      <c r="B762" s="89" t="s">
        <v>1585</v>
      </c>
      <c r="C762" s="86" t="s">
        <v>1854</v>
      </c>
      <c r="D762" s="86" t="s">
        <v>1022</v>
      </c>
      <c r="E762" s="90" t="s">
        <v>117</v>
      </c>
      <c r="F762" s="88" t="s">
        <v>1859</v>
      </c>
      <c r="G762" s="82" t="s">
        <v>1271</v>
      </c>
      <c r="H762" s="82"/>
    </row>
    <row r="763" spans="1:8" x14ac:dyDescent="0.2">
      <c r="A763" s="85" t="s">
        <v>308</v>
      </c>
      <c r="B763" s="89" t="s">
        <v>1585</v>
      </c>
      <c r="C763" s="86" t="s">
        <v>1854</v>
      </c>
      <c r="D763" s="86" t="s">
        <v>1022</v>
      </c>
      <c r="E763" s="90" t="s">
        <v>117</v>
      </c>
      <c r="F763" s="88" t="s">
        <v>1860</v>
      </c>
      <c r="G763" s="82" t="s">
        <v>1271</v>
      </c>
      <c r="H763" s="82"/>
    </row>
    <row r="764" spans="1:8" x14ac:dyDescent="0.2">
      <c r="A764" s="85" t="s">
        <v>308</v>
      </c>
      <c r="B764" s="89" t="s">
        <v>1585</v>
      </c>
      <c r="C764" s="86" t="s">
        <v>1854</v>
      </c>
      <c r="D764" s="86" t="s">
        <v>1022</v>
      </c>
      <c r="E764" s="90" t="s">
        <v>158</v>
      </c>
      <c r="F764" s="88" t="s">
        <v>1859</v>
      </c>
      <c r="G764" s="82" t="s">
        <v>1271</v>
      </c>
      <c r="H764" s="82"/>
    </row>
    <row r="765" spans="1:8" x14ac:dyDescent="0.2">
      <c r="A765" s="85" t="s">
        <v>308</v>
      </c>
      <c r="B765" s="89" t="s">
        <v>1585</v>
      </c>
      <c r="C765" s="86" t="s">
        <v>1854</v>
      </c>
      <c r="D765" s="86" t="s">
        <v>1022</v>
      </c>
      <c r="E765" s="90" t="s">
        <v>158</v>
      </c>
      <c r="F765" s="88" t="s">
        <v>1860</v>
      </c>
      <c r="G765" s="82" t="s">
        <v>1271</v>
      </c>
      <c r="H765" s="82"/>
    </row>
    <row r="766" spans="1:8" x14ac:dyDescent="0.2">
      <c r="A766" s="85" t="s">
        <v>308</v>
      </c>
      <c r="B766" s="89" t="s">
        <v>1585</v>
      </c>
      <c r="C766" s="86" t="s">
        <v>1854</v>
      </c>
      <c r="D766" s="86" t="s">
        <v>1022</v>
      </c>
      <c r="E766" s="90" t="s">
        <v>117</v>
      </c>
      <c r="F766" s="88" t="s">
        <v>1861</v>
      </c>
      <c r="G766" s="82" t="s">
        <v>1271</v>
      </c>
      <c r="H766" s="82"/>
    </row>
    <row r="767" spans="1:8" x14ac:dyDescent="0.2">
      <c r="A767" s="85" t="s">
        <v>308</v>
      </c>
      <c r="B767" s="89" t="s">
        <v>1585</v>
      </c>
      <c r="C767" s="86" t="s">
        <v>1854</v>
      </c>
      <c r="D767" s="86" t="s">
        <v>1022</v>
      </c>
      <c r="E767" s="90" t="s">
        <v>117</v>
      </c>
      <c r="F767" s="88" t="s">
        <v>1862</v>
      </c>
      <c r="G767" s="82" t="s">
        <v>1271</v>
      </c>
      <c r="H767" s="82"/>
    </row>
    <row r="768" spans="1:8" x14ac:dyDescent="0.2">
      <c r="A768" s="85" t="s">
        <v>308</v>
      </c>
      <c r="B768" s="89" t="s">
        <v>1585</v>
      </c>
      <c r="C768" s="86" t="s">
        <v>1854</v>
      </c>
      <c r="D768" s="86" t="s">
        <v>1022</v>
      </c>
      <c r="E768" s="90" t="s">
        <v>158</v>
      </c>
      <c r="F768" s="88" t="s">
        <v>1861</v>
      </c>
      <c r="G768" s="82" t="s">
        <v>1271</v>
      </c>
      <c r="H768" s="82"/>
    </row>
    <row r="769" spans="1:8" x14ac:dyDescent="0.2">
      <c r="A769" s="85" t="s">
        <v>308</v>
      </c>
      <c r="B769" s="89" t="s">
        <v>1585</v>
      </c>
      <c r="C769" s="86" t="s">
        <v>1854</v>
      </c>
      <c r="D769" s="86" t="s">
        <v>1022</v>
      </c>
      <c r="E769" s="90" t="s">
        <v>158</v>
      </c>
      <c r="F769" s="88" t="s">
        <v>1862</v>
      </c>
      <c r="G769" s="82" t="s">
        <v>1271</v>
      </c>
      <c r="H769" s="82"/>
    </row>
    <row r="770" spans="1:8" x14ac:dyDescent="0.2">
      <c r="A770" s="85" t="s">
        <v>308</v>
      </c>
      <c r="B770" s="89" t="s">
        <v>1585</v>
      </c>
      <c r="C770" s="86" t="s">
        <v>1854</v>
      </c>
      <c r="D770" s="86" t="s">
        <v>1022</v>
      </c>
      <c r="E770" s="90" t="s">
        <v>140</v>
      </c>
      <c r="F770" s="88" t="s">
        <v>1856</v>
      </c>
      <c r="G770" s="82" t="s">
        <v>1276</v>
      </c>
      <c r="H770" s="82"/>
    </row>
    <row r="771" spans="1:8" x14ac:dyDescent="0.2">
      <c r="A771" s="85" t="s">
        <v>308</v>
      </c>
      <c r="B771" s="89" t="s">
        <v>1585</v>
      </c>
      <c r="C771" s="86" t="s">
        <v>1854</v>
      </c>
      <c r="D771" s="86" t="s">
        <v>1022</v>
      </c>
      <c r="E771" s="90" t="s">
        <v>140</v>
      </c>
      <c r="F771" s="88" t="s">
        <v>1855</v>
      </c>
      <c r="G771" s="82" t="s">
        <v>1276</v>
      </c>
      <c r="H771" s="82"/>
    </row>
    <row r="772" spans="1:8" x14ac:dyDescent="0.2">
      <c r="A772" s="85" t="s">
        <v>308</v>
      </c>
      <c r="B772" s="89" t="s">
        <v>1585</v>
      </c>
      <c r="C772" s="86" t="s">
        <v>1854</v>
      </c>
      <c r="D772" s="86" t="s">
        <v>1022</v>
      </c>
      <c r="E772" s="90" t="s">
        <v>140</v>
      </c>
      <c r="F772" s="88" t="s">
        <v>1858</v>
      </c>
      <c r="G772" s="82" t="s">
        <v>1276</v>
      </c>
      <c r="H772" s="82"/>
    </row>
    <row r="773" spans="1:8" x14ac:dyDescent="0.2">
      <c r="A773" s="85" t="s">
        <v>308</v>
      </c>
      <c r="B773" s="89" t="s">
        <v>1585</v>
      </c>
      <c r="C773" s="86" t="s">
        <v>1854</v>
      </c>
      <c r="D773" s="86" t="s">
        <v>1022</v>
      </c>
      <c r="E773" s="90" t="s">
        <v>140</v>
      </c>
      <c r="F773" s="88" t="s">
        <v>1857</v>
      </c>
      <c r="G773" s="82" t="s">
        <v>1276</v>
      </c>
      <c r="H773" s="82"/>
    </row>
    <row r="774" spans="1:8" ht="16" x14ac:dyDescent="0.2">
      <c r="A774" s="85" t="s">
        <v>1583</v>
      </c>
      <c r="B774" s="97" t="s">
        <v>1588</v>
      </c>
      <c r="C774" s="86" t="s">
        <v>1854</v>
      </c>
      <c r="D774" s="86" t="s">
        <v>1022</v>
      </c>
      <c r="E774" s="90" t="s">
        <v>117</v>
      </c>
      <c r="F774" s="88" t="s">
        <v>254</v>
      </c>
      <c r="G774" s="100" t="s">
        <v>619</v>
      </c>
      <c r="H774" s="82"/>
    </row>
    <row r="775" spans="1:8" x14ac:dyDescent="0.2">
      <c r="A775" s="85" t="s">
        <v>308</v>
      </c>
      <c r="B775" s="89" t="s">
        <v>1585</v>
      </c>
      <c r="C775" s="86" t="s">
        <v>1854</v>
      </c>
      <c r="D775" s="86" t="s">
        <v>1022</v>
      </c>
      <c r="E775" s="90" t="s">
        <v>117</v>
      </c>
      <c r="F775" s="88" t="s">
        <v>1640</v>
      </c>
      <c r="G775" s="88" t="s">
        <v>1269</v>
      </c>
      <c r="H775" s="82"/>
    </row>
    <row r="776" spans="1:8" x14ac:dyDescent="0.2">
      <c r="A776" s="85" t="s">
        <v>308</v>
      </c>
      <c r="B776" s="89" t="s">
        <v>1585</v>
      </c>
      <c r="C776" s="86" t="s">
        <v>1854</v>
      </c>
      <c r="D776" s="86" t="s">
        <v>1022</v>
      </c>
      <c r="E776" s="90" t="s">
        <v>158</v>
      </c>
      <c r="F776" s="88" t="s">
        <v>1640</v>
      </c>
      <c r="G776" s="88" t="s">
        <v>1269</v>
      </c>
      <c r="H776" s="82"/>
    </row>
    <row r="777" spans="1:8" x14ac:dyDescent="0.2">
      <c r="A777" s="85" t="s">
        <v>308</v>
      </c>
      <c r="B777" s="89" t="s">
        <v>1585</v>
      </c>
      <c r="C777" s="86" t="s">
        <v>1854</v>
      </c>
      <c r="D777" s="86" t="s">
        <v>1022</v>
      </c>
      <c r="E777" s="90" t="s">
        <v>117</v>
      </c>
      <c r="F777" s="88" t="s">
        <v>1641</v>
      </c>
      <c r="G777" s="88" t="s">
        <v>1269</v>
      </c>
      <c r="H777" s="82"/>
    </row>
    <row r="778" spans="1:8" x14ac:dyDescent="0.2">
      <c r="A778" s="85" t="s">
        <v>308</v>
      </c>
      <c r="B778" s="89" t="s">
        <v>1585</v>
      </c>
      <c r="C778" s="86" t="s">
        <v>1854</v>
      </c>
      <c r="D778" s="86" t="s">
        <v>1022</v>
      </c>
      <c r="E778" s="90" t="s">
        <v>158</v>
      </c>
      <c r="F778" s="88" t="s">
        <v>1641</v>
      </c>
      <c r="G778" s="88" t="s">
        <v>1269</v>
      </c>
      <c r="H778" s="82"/>
    </row>
    <row r="779" spans="1:8" x14ac:dyDescent="0.2">
      <c r="A779" s="85" t="s">
        <v>308</v>
      </c>
      <c r="B779" s="89" t="s">
        <v>1585</v>
      </c>
      <c r="C779" s="86" t="s">
        <v>1854</v>
      </c>
      <c r="D779" s="86" t="s">
        <v>1022</v>
      </c>
      <c r="E779" s="90" t="s">
        <v>140</v>
      </c>
      <c r="F779" s="88" t="s">
        <v>1640</v>
      </c>
      <c r="G779" s="88" t="s">
        <v>1270</v>
      </c>
      <c r="H779" s="82"/>
    </row>
    <row r="780" spans="1:8" x14ac:dyDescent="0.2">
      <c r="A780" s="85" t="s">
        <v>308</v>
      </c>
      <c r="B780" s="89" t="s">
        <v>1585</v>
      </c>
      <c r="C780" s="86" t="s">
        <v>1854</v>
      </c>
      <c r="D780" s="86" t="s">
        <v>1022</v>
      </c>
      <c r="E780" s="90" t="s">
        <v>140</v>
      </c>
      <c r="F780" s="88" t="s">
        <v>1641</v>
      </c>
      <c r="G780" s="88" t="s">
        <v>1270</v>
      </c>
      <c r="H780" s="82"/>
    </row>
    <row r="781" spans="1:8" ht="16" x14ac:dyDescent="0.2">
      <c r="A781" s="85" t="s">
        <v>308</v>
      </c>
      <c r="B781" s="89" t="s">
        <v>1585</v>
      </c>
      <c r="C781" s="86" t="s">
        <v>1854</v>
      </c>
      <c r="D781" s="86" t="s">
        <v>1022</v>
      </c>
      <c r="E781" s="90" t="s">
        <v>117</v>
      </c>
      <c r="F781" s="88" t="s">
        <v>1863</v>
      </c>
      <c r="G781" s="100" t="s">
        <v>1273</v>
      </c>
      <c r="H781" s="82"/>
    </row>
    <row r="782" spans="1:8" ht="16" x14ac:dyDescent="0.2">
      <c r="A782" s="85" t="s">
        <v>308</v>
      </c>
      <c r="B782" s="89" t="s">
        <v>1585</v>
      </c>
      <c r="C782" s="86" t="s">
        <v>1854</v>
      </c>
      <c r="D782" s="86" t="s">
        <v>1022</v>
      </c>
      <c r="E782" s="90" t="s">
        <v>117</v>
      </c>
      <c r="F782" s="88" t="s">
        <v>1864</v>
      </c>
      <c r="G782" s="100" t="s">
        <v>1273</v>
      </c>
      <c r="H782" s="82"/>
    </row>
    <row r="783" spans="1:8" ht="16" x14ac:dyDescent="0.2">
      <c r="A783" s="85" t="s">
        <v>308</v>
      </c>
      <c r="B783" s="89" t="s">
        <v>1585</v>
      </c>
      <c r="C783" s="86" t="s">
        <v>1854</v>
      </c>
      <c r="D783" s="86" t="s">
        <v>1022</v>
      </c>
      <c r="E783" s="90" t="s">
        <v>117</v>
      </c>
      <c r="F783" s="88" t="s">
        <v>1865</v>
      </c>
      <c r="G783" s="100" t="s">
        <v>1330</v>
      </c>
      <c r="H783" s="82"/>
    </row>
    <row r="784" spans="1:8" ht="16" x14ac:dyDescent="0.2">
      <c r="A784" s="85" t="s">
        <v>308</v>
      </c>
      <c r="B784" s="89" t="s">
        <v>1585</v>
      </c>
      <c r="C784" s="86" t="s">
        <v>1854</v>
      </c>
      <c r="D784" s="86" t="s">
        <v>1022</v>
      </c>
      <c r="E784" s="90" t="s">
        <v>117</v>
      </c>
      <c r="F784" s="88" t="s">
        <v>1866</v>
      </c>
      <c r="G784" s="100" t="s">
        <v>1330</v>
      </c>
      <c r="H784" s="82"/>
    </row>
    <row r="785" spans="1:8" ht="16" x14ac:dyDescent="0.2">
      <c r="A785" s="85" t="s">
        <v>308</v>
      </c>
      <c r="B785" s="89" t="s">
        <v>1585</v>
      </c>
      <c r="C785" s="86" t="s">
        <v>1854</v>
      </c>
      <c r="D785" s="86" t="s">
        <v>1022</v>
      </c>
      <c r="E785" s="90" t="s">
        <v>117</v>
      </c>
      <c r="F785" s="88" t="s">
        <v>308</v>
      </c>
      <c r="G785" s="100" t="s">
        <v>1272</v>
      </c>
      <c r="H785" s="82"/>
    </row>
    <row r="786" spans="1:8" ht="16" x14ac:dyDescent="0.2">
      <c r="A786" s="85" t="s">
        <v>308</v>
      </c>
      <c r="B786" s="89" t="s">
        <v>1585</v>
      </c>
      <c r="C786" s="86" t="s">
        <v>1854</v>
      </c>
      <c r="D786" s="86" t="s">
        <v>1022</v>
      </c>
      <c r="E786" s="90" t="s">
        <v>158</v>
      </c>
      <c r="F786" s="88" t="s">
        <v>308</v>
      </c>
      <c r="G786" s="100" t="s">
        <v>1272</v>
      </c>
      <c r="H786" s="82"/>
    </row>
    <row r="787" spans="1:8" ht="16" x14ac:dyDescent="0.2">
      <c r="A787" s="85" t="s">
        <v>308</v>
      </c>
      <c r="B787" s="89" t="s">
        <v>1585</v>
      </c>
      <c r="C787" s="86" t="s">
        <v>1854</v>
      </c>
      <c r="D787" s="86" t="s">
        <v>1022</v>
      </c>
      <c r="E787" s="90" t="s">
        <v>117</v>
      </c>
      <c r="F787" s="88" t="s">
        <v>313</v>
      </c>
      <c r="G787" s="100" t="s">
        <v>1272</v>
      </c>
      <c r="H787" s="82"/>
    </row>
    <row r="788" spans="1:8" ht="16" x14ac:dyDescent="0.2">
      <c r="A788" s="85" t="s">
        <v>308</v>
      </c>
      <c r="B788" s="89" t="s">
        <v>1585</v>
      </c>
      <c r="C788" s="86" t="s">
        <v>1854</v>
      </c>
      <c r="D788" s="86" t="s">
        <v>1022</v>
      </c>
      <c r="E788" s="90" t="s">
        <v>158</v>
      </c>
      <c r="F788" s="88" t="s">
        <v>313</v>
      </c>
      <c r="G788" s="100" t="s">
        <v>1272</v>
      </c>
      <c r="H788" s="82"/>
    </row>
    <row r="789" spans="1:8" ht="16" x14ac:dyDescent="0.2">
      <c r="A789" s="85" t="s">
        <v>308</v>
      </c>
      <c r="B789" s="89" t="s">
        <v>1585</v>
      </c>
      <c r="C789" s="86" t="s">
        <v>1854</v>
      </c>
      <c r="D789" s="86" t="s">
        <v>1022</v>
      </c>
      <c r="E789" s="90" t="s">
        <v>117</v>
      </c>
      <c r="F789" s="88" t="s">
        <v>1637</v>
      </c>
      <c r="G789" s="100" t="s">
        <v>1272</v>
      </c>
      <c r="H789" s="82"/>
    </row>
    <row r="790" spans="1:8" ht="16" x14ac:dyDescent="0.2">
      <c r="A790" s="85" t="s">
        <v>308</v>
      </c>
      <c r="B790" s="89" t="s">
        <v>1585</v>
      </c>
      <c r="C790" s="86" t="s">
        <v>1854</v>
      </c>
      <c r="D790" s="86" t="s">
        <v>1022</v>
      </c>
      <c r="E790" s="90" t="s">
        <v>158</v>
      </c>
      <c r="F790" s="88" t="s">
        <v>1637</v>
      </c>
      <c r="G790" s="100" t="s">
        <v>1272</v>
      </c>
      <c r="H790" s="82"/>
    </row>
    <row r="791" spans="1:8" ht="16" x14ac:dyDescent="0.2">
      <c r="A791" s="85" t="s">
        <v>308</v>
      </c>
      <c r="B791" s="89" t="s">
        <v>1585</v>
      </c>
      <c r="C791" s="86" t="s">
        <v>1854</v>
      </c>
      <c r="D791" s="86" t="s">
        <v>1022</v>
      </c>
      <c r="E791" s="90" t="s">
        <v>117</v>
      </c>
      <c r="F791" s="88" t="s">
        <v>1638</v>
      </c>
      <c r="G791" s="100" t="s">
        <v>1272</v>
      </c>
      <c r="H791" s="82"/>
    </row>
    <row r="792" spans="1:8" ht="16" x14ac:dyDescent="0.2">
      <c r="A792" s="85" t="s">
        <v>308</v>
      </c>
      <c r="B792" s="89" t="s">
        <v>1585</v>
      </c>
      <c r="C792" s="86" t="s">
        <v>1854</v>
      </c>
      <c r="D792" s="86" t="s">
        <v>1022</v>
      </c>
      <c r="E792" s="90" t="s">
        <v>158</v>
      </c>
      <c r="F792" s="88" t="s">
        <v>1638</v>
      </c>
      <c r="G792" s="100" t="s">
        <v>1272</v>
      </c>
      <c r="H792" s="82"/>
    </row>
    <row r="793" spans="1:8" ht="16" x14ac:dyDescent="0.2">
      <c r="A793" s="85" t="s">
        <v>308</v>
      </c>
      <c r="B793" s="89" t="s">
        <v>1585</v>
      </c>
      <c r="C793" s="86" t="s">
        <v>1854</v>
      </c>
      <c r="D793" s="86" t="s">
        <v>1022</v>
      </c>
      <c r="E793" s="90" t="s">
        <v>117</v>
      </c>
      <c r="F793" s="88" t="s">
        <v>1867</v>
      </c>
      <c r="G793" s="100" t="s">
        <v>1272</v>
      </c>
      <c r="H793" s="82"/>
    </row>
    <row r="794" spans="1:8" ht="16" x14ac:dyDescent="0.2">
      <c r="A794" s="85" t="s">
        <v>308</v>
      </c>
      <c r="B794" s="89" t="s">
        <v>1585</v>
      </c>
      <c r="C794" s="86" t="s">
        <v>1854</v>
      </c>
      <c r="D794" s="86" t="s">
        <v>1022</v>
      </c>
      <c r="E794" s="90" t="s">
        <v>158</v>
      </c>
      <c r="F794" s="88" t="s">
        <v>1867</v>
      </c>
      <c r="G794" s="100" t="s">
        <v>1272</v>
      </c>
      <c r="H794" s="82"/>
    </row>
    <row r="795" spans="1:8" ht="16" x14ac:dyDescent="0.2">
      <c r="A795" s="85" t="s">
        <v>308</v>
      </c>
      <c r="B795" s="89" t="s">
        <v>1585</v>
      </c>
      <c r="C795" s="86" t="s">
        <v>1854</v>
      </c>
      <c r="D795" s="86" t="s">
        <v>1022</v>
      </c>
      <c r="E795" s="90" t="s">
        <v>117</v>
      </c>
      <c r="F795" s="88" t="s">
        <v>1639</v>
      </c>
      <c r="G795" s="100" t="s">
        <v>1272</v>
      </c>
      <c r="H795" s="82"/>
    </row>
    <row r="796" spans="1:8" ht="16" x14ac:dyDescent="0.2">
      <c r="A796" s="85" t="s">
        <v>308</v>
      </c>
      <c r="B796" s="89" t="s">
        <v>1585</v>
      </c>
      <c r="C796" s="86" t="s">
        <v>1854</v>
      </c>
      <c r="D796" s="86" t="s">
        <v>1022</v>
      </c>
      <c r="E796" s="90" t="s">
        <v>158</v>
      </c>
      <c r="F796" s="88" t="s">
        <v>1639</v>
      </c>
      <c r="G796" s="100" t="s">
        <v>1272</v>
      </c>
      <c r="H796" s="82"/>
    </row>
    <row r="797" spans="1:8" ht="16" x14ac:dyDescent="0.2">
      <c r="A797" s="85" t="s">
        <v>308</v>
      </c>
      <c r="B797" s="97" t="s">
        <v>1868</v>
      </c>
      <c r="C797" s="86" t="s">
        <v>1854</v>
      </c>
      <c r="D797" s="86" t="s">
        <v>1022</v>
      </c>
      <c r="E797" s="90" t="s">
        <v>117</v>
      </c>
      <c r="F797" s="88" t="s">
        <v>308</v>
      </c>
      <c r="G797" s="100" t="s">
        <v>1304</v>
      </c>
      <c r="H797" s="82"/>
    </row>
    <row r="798" spans="1:8" ht="16" x14ac:dyDescent="0.2">
      <c r="A798" s="85" t="s">
        <v>308</v>
      </c>
      <c r="B798" s="97" t="s">
        <v>1868</v>
      </c>
      <c r="C798" s="86" t="s">
        <v>1854</v>
      </c>
      <c r="D798" s="86" t="s">
        <v>1022</v>
      </c>
      <c r="E798" s="90" t="s">
        <v>158</v>
      </c>
      <c r="F798" s="88" t="s">
        <v>308</v>
      </c>
      <c r="G798" s="100" t="s">
        <v>1304</v>
      </c>
      <c r="H798" s="82"/>
    </row>
    <row r="799" spans="1:8" ht="16" x14ac:dyDescent="0.2">
      <c r="A799" s="85" t="s">
        <v>308</v>
      </c>
      <c r="B799" s="97" t="s">
        <v>1868</v>
      </c>
      <c r="C799" s="86" t="s">
        <v>1854</v>
      </c>
      <c r="D799" s="86" t="s">
        <v>1022</v>
      </c>
      <c r="E799" s="90" t="s">
        <v>117</v>
      </c>
      <c r="F799" s="88" t="s">
        <v>313</v>
      </c>
      <c r="G799" s="100" t="s">
        <v>1304</v>
      </c>
      <c r="H799" s="82"/>
    </row>
    <row r="800" spans="1:8" ht="16" x14ac:dyDescent="0.2">
      <c r="A800" s="85" t="s">
        <v>308</v>
      </c>
      <c r="B800" s="97" t="s">
        <v>1868</v>
      </c>
      <c r="C800" s="86" t="s">
        <v>1854</v>
      </c>
      <c r="D800" s="86" t="s">
        <v>1022</v>
      </c>
      <c r="E800" s="90" t="s">
        <v>158</v>
      </c>
      <c r="F800" s="88" t="s">
        <v>313</v>
      </c>
      <c r="G800" s="100" t="s">
        <v>1304</v>
      </c>
      <c r="H800" s="82"/>
    </row>
    <row r="801" spans="1:8" ht="16" x14ac:dyDescent="0.2">
      <c r="A801" s="85" t="s">
        <v>308</v>
      </c>
      <c r="B801" s="97" t="s">
        <v>1868</v>
      </c>
      <c r="C801" s="86" t="s">
        <v>1854</v>
      </c>
      <c r="D801" s="86" t="s">
        <v>1022</v>
      </c>
      <c r="E801" s="90" t="s">
        <v>117</v>
      </c>
      <c r="F801" s="88" t="s">
        <v>1637</v>
      </c>
      <c r="G801" s="100" t="s">
        <v>1304</v>
      </c>
      <c r="H801" s="82"/>
    </row>
    <row r="802" spans="1:8" ht="16" x14ac:dyDescent="0.2">
      <c r="A802" s="85" t="s">
        <v>308</v>
      </c>
      <c r="B802" s="97" t="s">
        <v>1868</v>
      </c>
      <c r="C802" s="86" t="s">
        <v>1854</v>
      </c>
      <c r="D802" s="86" t="s">
        <v>1022</v>
      </c>
      <c r="E802" s="90" t="s">
        <v>158</v>
      </c>
      <c r="F802" s="88" t="s">
        <v>1637</v>
      </c>
      <c r="G802" s="100" t="s">
        <v>1304</v>
      </c>
      <c r="H802" s="82"/>
    </row>
    <row r="803" spans="1:8" ht="16" x14ac:dyDescent="0.2">
      <c r="A803" s="85" t="s">
        <v>308</v>
      </c>
      <c r="B803" s="97" t="s">
        <v>1868</v>
      </c>
      <c r="C803" s="86" t="s">
        <v>1854</v>
      </c>
      <c r="D803" s="86" t="s">
        <v>1022</v>
      </c>
      <c r="E803" s="90" t="s">
        <v>117</v>
      </c>
      <c r="F803" s="88" t="s">
        <v>1638</v>
      </c>
      <c r="G803" s="100" t="s">
        <v>1304</v>
      </c>
      <c r="H803" s="82"/>
    </row>
    <row r="804" spans="1:8" ht="16" x14ac:dyDescent="0.2">
      <c r="A804" s="85" t="s">
        <v>308</v>
      </c>
      <c r="B804" s="97" t="s">
        <v>1868</v>
      </c>
      <c r="C804" s="86" t="s">
        <v>1854</v>
      </c>
      <c r="D804" s="86" t="s">
        <v>1022</v>
      </c>
      <c r="E804" s="90" t="s">
        <v>158</v>
      </c>
      <c r="F804" s="88" t="s">
        <v>1638</v>
      </c>
      <c r="G804" s="100" t="s">
        <v>1304</v>
      </c>
      <c r="H804" s="82"/>
    </row>
    <row r="805" spans="1:8" ht="16" x14ac:dyDescent="0.2">
      <c r="A805" s="85" t="s">
        <v>308</v>
      </c>
      <c r="B805" s="97" t="s">
        <v>1868</v>
      </c>
      <c r="C805" s="86" t="s">
        <v>1854</v>
      </c>
      <c r="D805" s="86" t="s">
        <v>1022</v>
      </c>
      <c r="E805" s="90" t="s">
        <v>117</v>
      </c>
      <c r="F805" s="88" t="s">
        <v>1867</v>
      </c>
      <c r="G805" s="100" t="s">
        <v>1304</v>
      </c>
      <c r="H805" s="82"/>
    </row>
    <row r="806" spans="1:8" ht="16" x14ac:dyDescent="0.2">
      <c r="A806" s="85" t="s">
        <v>308</v>
      </c>
      <c r="B806" s="97" t="s">
        <v>1868</v>
      </c>
      <c r="C806" s="86" t="s">
        <v>1854</v>
      </c>
      <c r="D806" s="86" t="s">
        <v>1022</v>
      </c>
      <c r="E806" s="90" t="s">
        <v>158</v>
      </c>
      <c r="F806" s="88" t="s">
        <v>1867</v>
      </c>
      <c r="G806" s="100" t="s">
        <v>1304</v>
      </c>
      <c r="H806" s="82"/>
    </row>
    <row r="807" spans="1:8" ht="16" x14ac:dyDescent="0.2">
      <c r="A807" s="85" t="s">
        <v>308</v>
      </c>
      <c r="B807" s="97" t="s">
        <v>1868</v>
      </c>
      <c r="C807" s="86" t="s">
        <v>1854</v>
      </c>
      <c r="D807" s="86" t="s">
        <v>1022</v>
      </c>
      <c r="E807" s="90" t="s">
        <v>117</v>
      </c>
      <c r="F807" s="88" t="s">
        <v>1639</v>
      </c>
      <c r="G807" s="100" t="s">
        <v>1304</v>
      </c>
      <c r="H807" s="82"/>
    </row>
    <row r="808" spans="1:8" ht="16" x14ac:dyDescent="0.2">
      <c r="A808" s="85" t="s">
        <v>308</v>
      </c>
      <c r="B808" s="97" t="s">
        <v>1868</v>
      </c>
      <c r="C808" s="86" t="s">
        <v>1854</v>
      </c>
      <c r="D808" s="86" t="s">
        <v>1022</v>
      </c>
      <c r="E808" s="90" t="s">
        <v>158</v>
      </c>
      <c r="F808" s="88" t="s">
        <v>1639</v>
      </c>
      <c r="G808" s="100" t="s">
        <v>1304</v>
      </c>
      <c r="H808" s="82"/>
    </row>
    <row r="809" spans="1:8" ht="16" x14ac:dyDescent="0.2">
      <c r="A809" s="85" t="s">
        <v>433</v>
      </c>
      <c r="B809" s="89" t="s">
        <v>1585</v>
      </c>
      <c r="C809" s="86" t="s">
        <v>1854</v>
      </c>
      <c r="D809" s="86" t="s">
        <v>1022</v>
      </c>
      <c r="E809" s="90" t="s">
        <v>117</v>
      </c>
      <c r="F809" s="88" t="s">
        <v>1869</v>
      </c>
      <c r="G809" s="100" t="s">
        <v>1323</v>
      </c>
      <c r="H809" s="82"/>
    </row>
    <row r="810" spans="1:8" ht="16" x14ac:dyDescent="0.2">
      <c r="A810" s="85" t="s">
        <v>433</v>
      </c>
      <c r="B810" s="89" t="s">
        <v>1585</v>
      </c>
      <c r="C810" s="86" t="s">
        <v>1854</v>
      </c>
      <c r="D810" s="86" t="s">
        <v>1022</v>
      </c>
      <c r="E810" s="90" t="s">
        <v>117</v>
      </c>
      <c r="F810" s="88" t="s">
        <v>1870</v>
      </c>
      <c r="G810" s="100" t="s">
        <v>1323</v>
      </c>
      <c r="H810" s="82"/>
    </row>
    <row r="811" spans="1:8" ht="16" x14ac:dyDescent="0.2">
      <c r="A811" s="85" t="s">
        <v>433</v>
      </c>
      <c r="B811" s="89" t="s">
        <v>1585</v>
      </c>
      <c r="C811" s="86" t="s">
        <v>1854</v>
      </c>
      <c r="D811" s="86" t="s">
        <v>1022</v>
      </c>
      <c r="E811" s="90" t="s">
        <v>117</v>
      </c>
      <c r="F811" s="88" t="s">
        <v>1871</v>
      </c>
      <c r="G811" s="100" t="s">
        <v>1323</v>
      </c>
      <c r="H811" s="82"/>
    </row>
    <row r="812" spans="1:8" ht="16" x14ac:dyDescent="0.2">
      <c r="A812" s="85" t="s">
        <v>433</v>
      </c>
      <c r="B812" s="89" t="s">
        <v>1585</v>
      </c>
      <c r="C812" s="86" t="s">
        <v>1854</v>
      </c>
      <c r="D812" s="86" t="s">
        <v>1022</v>
      </c>
      <c r="E812" s="90" t="s">
        <v>117</v>
      </c>
      <c r="F812" s="88" t="s">
        <v>1872</v>
      </c>
      <c r="G812" s="100" t="s">
        <v>1323</v>
      </c>
      <c r="H812" s="82"/>
    </row>
    <row r="813" spans="1:8" x14ac:dyDescent="0.2">
      <c r="A813" s="85" t="s">
        <v>433</v>
      </c>
      <c r="B813" s="89" t="s">
        <v>1585</v>
      </c>
      <c r="C813" s="86" t="s">
        <v>1854</v>
      </c>
      <c r="D813" s="86" t="s">
        <v>1022</v>
      </c>
      <c r="E813" s="90" t="s">
        <v>117</v>
      </c>
      <c r="F813" s="88" t="s">
        <v>1873</v>
      </c>
      <c r="G813" s="88" t="s">
        <v>1324</v>
      </c>
      <c r="H813" s="82"/>
    </row>
    <row r="814" spans="1:8" x14ac:dyDescent="0.2">
      <c r="A814" s="85" t="s">
        <v>433</v>
      </c>
      <c r="B814" s="89" t="s">
        <v>1585</v>
      </c>
      <c r="C814" s="86" t="s">
        <v>1854</v>
      </c>
      <c r="D814" s="86" t="s">
        <v>1022</v>
      </c>
      <c r="E814" s="90" t="s">
        <v>117</v>
      </c>
      <c r="F814" s="88" t="s">
        <v>1874</v>
      </c>
      <c r="G814" s="88" t="s">
        <v>1324</v>
      </c>
      <c r="H814" s="82"/>
    </row>
    <row r="815" spans="1:8" x14ac:dyDescent="0.2">
      <c r="A815" s="85" t="s">
        <v>433</v>
      </c>
      <c r="B815" s="89" t="s">
        <v>1585</v>
      </c>
      <c r="C815" s="86" t="s">
        <v>1854</v>
      </c>
      <c r="D815" s="86" t="s">
        <v>1022</v>
      </c>
      <c r="E815" s="90" t="s">
        <v>117</v>
      </c>
      <c r="F815" s="88" t="s">
        <v>1875</v>
      </c>
      <c r="G815" s="88" t="s">
        <v>1324</v>
      </c>
      <c r="H815" s="82"/>
    </row>
    <row r="816" spans="1:8" x14ac:dyDescent="0.2">
      <c r="A816" s="85" t="s">
        <v>433</v>
      </c>
      <c r="B816" s="89" t="s">
        <v>1585</v>
      </c>
      <c r="C816" s="86" t="s">
        <v>1854</v>
      </c>
      <c r="D816" s="86" t="s">
        <v>1022</v>
      </c>
      <c r="E816" s="90" t="s">
        <v>117</v>
      </c>
      <c r="F816" s="88" t="s">
        <v>1876</v>
      </c>
      <c r="G816" s="88" t="s">
        <v>1324</v>
      </c>
      <c r="H816" s="82"/>
    </row>
    <row r="817" spans="1:8" ht="16" x14ac:dyDescent="0.2">
      <c r="A817" s="85" t="s">
        <v>433</v>
      </c>
      <c r="B817" s="89" t="s">
        <v>1585</v>
      </c>
      <c r="C817" s="86" t="s">
        <v>1854</v>
      </c>
      <c r="D817" s="86" t="s">
        <v>1022</v>
      </c>
      <c r="E817" s="90" t="s">
        <v>117</v>
      </c>
      <c r="F817" s="88" t="s">
        <v>1877</v>
      </c>
      <c r="G817" s="100" t="s">
        <v>1331</v>
      </c>
      <c r="H817" s="82"/>
    </row>
    <row r="818" spans="1:8" ht="16" x14ac:dyDescent="0.2">
      <c r="A818" s="85" t="s">
        <v>433</v>
      </c>
      <c r="B818" s="89" t="s">
        <v>1585</v>
      </c>
      <c r="C818" s="86" t="s">
        <v>1854</v>
      </c>
      <c r="D818" s="86" t="s">
        <v>1022</v>
      </c>
      <c r="E818" s="90" t="s">
        <v>117</v>
      </c>
      <c r="F818" s="88" t="s">
        <v>1878</v>
      </c>
      <c r="G818" s="100" t="s">
        <v>1331</v>
      </c>
      <c r="H818" s="82"/>
    </row>
    <row r="819" spans="1:8" ht="16" x14ac:dyDescent="0.2">
      <c r="A819" s="85" t="s">
        <v>433</v>
      </c>
      <c r="B819" s="89" t="s">
        <v>1585</v>
      </c>
      <c r="C819" s="86" t="s">
        <v>1854</v>
      </c>
      <c r="D819" s="86" t="s">
        <v>1022</v>
      </c>
      <c r="E819" s="90" t="s">
        <v>117</v>
      </c>
      <c r="F819" s="88" t="s">
        <v>1879</v>
      </c>
      <c r="G819" s="100" t="s">
        <v>1331</v>
      </c>
      <c r="H819" s="82"/>
    </row>
    <row r="820" spans="1:8" ht="16" x14ac:dyDescent="0.2">
      <c r="A820" s="85" t="s">
        <v>433</v>
      </c>
      <c r="B820" s="89" t="s">
        <v>1585</v>
      </c>
      <c r="C820" s="86" t="s">
        <v>1854</v>
      </c>
      <c r="D820" s="86" t="s">
        <v>1022</v>
      </c>
      <c r="E820" s="90" t="s">
        <v>117</v>
      </c>
      <c r="F820" s="88" t="s">
        <v>1880</v>
      </c>
      <c r="G820" s="100" t="s">
        <v>1331</v>
      </c>
      <c r="H820" s="82"/>
    </row>
    <row r="821" spans="1:8" x14ac:dyDescent="0.2">
      <c r="A821" s="85" t="s">
        <v>433</v>
      </c>
      <c r="B821" s="89" t="s">
        <v>1585</v>
      </c>
      <c r="C821" s="86" t="s">
        <v>1854</v>
      </c>
      <c r="D821" s="86" t="s">
        <v>1022</v>
      </c>
      <c r="E821" s="90" t="s">
        <v>117</v>
      </c>
      <c r="F821" s="88" t="s">
        <v>1881</v>
      </c>
      <c r="G821" s="88" t="s">
        <v>1332</v>
      </c>
      <c r="H821" s="82"/>
    </row>
    <row r="822" spans="1:8" x14ac:dyDescent="0.2">
      <c r="A822" s="85" t="s">
        <v>433</v>
      </c>
      <c r="B822" s="89" t="s">
        <v>1585</v>
      </c>
      <c r="C822" s="86" t="s">
        <v>1854</v>
      </c>
      <c r="D822" s="86" t="s">
        <v>1022</v>
      </c>
      <c r="E822" s="90" t="s">
        <v>117</v>
      </c>
      <c r="F822" s="88" t="s">
        <v>1882</v>
      </c>
      <c r="G822" s="88" t="s">
        <v>1332</v>
      </c>
      <c r="H822" s="82"/>
    </row>
    <row r="823" spans="1:8" x14ac:dyDescent="0.2">
      <c r="A823" s="85" t="s">
        <v>433</v>
      </c>
      <c r="B823" s="89" t="s">
        <v>1585</v>
      </c>
      <c r="C823" s="86" t="s">
        <v>1854</v>
      </c>
      <c r="D823" s="86" t="s">
        <v>1022</v>
      </c>
      <c r="E823" s="90" t="s">
        <v>117</v>
      </c>
      <c r="F823" s="88" t="s">
        <v>1883</v>
      </c>
      <c r="G823" s="88" t="s">
        <v>1332</v>
      </c>
      <c r="H823" s="82"/>
    </row>
    <row r="824" spans="1:8" x14ac:dyDescent="0.2">
      <c r="A824" s="85" t="s">
        <v>433</v>
      </c>
      <c r="B824" s="89" t="s">
        <v>1585</v>
      </c>
      <c r="C824" s="86" t="s">
        <v>1854</v>
      </c>
      <c r="D824" s="86" t="s">
        <v>1022</v>
      </c>
      <c r="E824" s="90" t="s">
        <v>117</v>
      </c>
      <c r="F824" s="88" t="s">
        <v>1884</v>
      </c>
      <c r="G824" s="88" t="s">
        <v>1332</v>
      </c>
      <c r="H824" s="82"/>
    </row>
    <row r="825" spans="1:8" ht="16" x14ac:dyDescent="0.2">
      <c r="A825" s="85" t="s">
        <v>433</v>
      </c>
      <c r="B825" s="97" t="s">
        <v>1868</v>
      </c>
      <c r="C825" s="86" t="s">
        <v>1854</v>
      </c>
      <c r="D825" s="86" t="s">
        <v>1022</v>
      </c>
      <c r="E825" s="90" t="s">
        <v>117</v>
      </c>
      <c r="F825" s="88" t="s">
        <v>433</v>
      </c>
      <c r="G825" s="100" t="s">
        <v>1305</v>
      </c>
      <c r="H825" s="82"/>
    </row>
    <row r="826" spans="1:8" ht="16" x14ac:dyDescent="0.2">
      <c r="A826" s="85" t="s">
        <v>433</v>
      </c>
      <c r="B826" s="97" t="s">
        <v>1868</v>
      </c>
      <c r="C826" s="86" t="s">
        <v>1854</v>
      </c>
      <c r="D826" s="86" t="s">
        <v>1022</v>
      </c>
      <c r="E826" s="90" t="s">
        <v>158</v>
      </c>
      <c r="F826" s="88" t="s">
        <v>433</v>
      </c>
      <c r="G826" s="100" t="s">
        <v>1305</v>
      </c>
      <c r="H826" s="82"/>
    </row>
    <row r="827" spans="1:8" ht="16" x14ac:dyDescent="0.2">
      <c r="A827" s="85" t="s">
        <v>433</v>
      </c>
      <c r="B827" s="97" t="s">
        <v>1868</v>
      </c>
      <c r="C827" s="86" t="s">
        <v>1854</v>
      </c>
      <c r="D827" s="86" t="s">
        <v>1022</v>
      </c>
      <c r="E827" s="90" t="s">
        <v>117</v>
      </c>
      <c r="F827" s="88" t="s">
        <v>1824</v>
      </c>
      <c r="G827" s="100" t="s">
        <v>1305</v>
      </c>
      <c r="H827" s="82"/>
    </row>
    <row r="828" spans="1:8" ht="16" x14ac:dyDescent="0.2">
      <c r="A828" s="85" t="s">
        <v>433</v>
      </c>
      <c r="B828" s="97" t="s">
        <v>1868</v>
      </c>
      <c r="C828" s="86" t="s">
        <v>1854</v>
      </c>
      <c r="D828" s="86" t="s">
        <v>1022</v>
      </c>
      <c r="E828" s="90" t="s">
        <v>158</v>
      </c>
      <c r="F828" s="88" t="s">
        <v>1824</v>
      </c>
      <c r="G828" s="100" t="s">
        <v>1305</v>
      </c>
      <c r="H828" s="82"/>
    </row>
    <row r="829" spans="1:8" ht="16" x14ac:dyDescent="0.2">
      <c r="A829" s="85" t="s">
        <v>433</v>
      </c>
      <c r="B829" s="97" t="s">
        <v>1868</v>
      </c>
      <c r="C829" s="86" t="s">
        <v>1854</v>
      </c>
      <c r="D829" s="86" t="s">
        <v>1022</v>
      </c>
      <c r="E829" s="90" t="s">
        <v>117</v>
      </c>
      <c r="F829" s="88" t="s">
        <v>1825</v>
      </c>
      <c r="G829" s="100" t="s">
        <v>1305</v>
      </c>
      <c r="H829" s="82"/>
    </row>
    <row r="830" spans="1:8" ht="16" x14ac:dyDescent="0.2">
      <c r="A830" s="85" t="s">
        <v>433</v>
      </c>
      <c r="B830" s="97" t="s">
        <v>1868</v>
      </c>
      <c r="C830" s="86" t="s">
        <v>1854</v>
      </c>
      <c r="D830" s="86" t="s">
        <v>1022</v>
      </c>
      <c r="E830" s="90" t="s">
        <v>158</v>
      </c>
      <c r="F830" s="88" t="s">
        <v>1825</v>
      </c>
      <c r="G830" s="100" t="s">
        <v>1305</v>
      </c>
      <c r="H830" s="82"/>
    </row>
    <row r="831" spans="1:8" ht="16" x14ac:dyDescent="0.2">
      <c r="A831" s="85" t="s">
        <v>433</v>
      </c>
      <c r="B831" s="97" t="s">
        <v>1868</v>
      </c>
      <c r="C831" s="86" t="s">
        <v>1854</v>
      </c>
      <c r="D831" s="86" t="s">
        <v>1022</v>
      </c>
      <c r="E831" s="90" t="s">
        <v>117</v>
      </c>
      <c r="F831" s="88" t="s">
        <v>1885</v>
      </c>
      <c r="G831" s="100" t="s">
        <v>1305</v>
      </c>
      <c r="H831" s="82"/>
    </row>
    <row r="832" spans="1:8" ht="16" x14ac:dyDescent="0.2">
      <c r="A832" s="85" t="s">
        <v>433</v>
      </c>
      <c r="B832" s="97" t="s">
        <v>1868</v>
      </c>
      <c r="C832" s="86" t="s">
        <v>1854</v>
      </c>
      <c r="D832" s="86" t="s">
        <v>1022</v>
      </c>
      <c r="E832" s="90" t="s">
        <v>158</v>
      </c>
      <c r="F832" s="88" t="s">
        <v>1885</v>
      </c>
      <c r="G832" s="100" t="s">
        <v>1305</v>
      </c>
      <c r="H832" s="82"/>
    </row>
    <row r="833" spans="1:8" ht="16" x14ac:dyDescent="0.2">
      <c r="A833" s="85" t="s">
        <v>433</v>
      </c>
      <c r="B833" s="97" t="s">
        <v>1868</v>
      </c>
      <c r="C833" s="86" t="s">
        <v>1854</v>
      </c>
      <c r="D833" s="86" t="s">
        <v>1022</v>
      </c>
      <c r="E833" s="90" t="s">
        <v>117</v>
      </c>
      <c r="F833" s="88" t="s">
        <v>1886</v>
      </c>
      <c r="G833" s="100" t="s">
        <v>1305</v>
      </c>
      <c r="H833" s="82"/>
    </row>
    <row r="834" spans="1:8" ht="16" x14ac:dyDescent="0.2">
      <c r="A834" s="85" t="s">
        <v>433</v>
      </c>
      <c r="B834" s="97" t="s">
        <v>1868</v>
      </c>
      <c r="C834" s="86" t="s">
        <v>1854</v>
      </c>
      <c r="D834" s="86" t="s">
        <v>1022</v>
      </c>
      <c r="E834" s="90" t="s">
        <v>158</v>
      </c>
      <c r="F834" s="88" t="s">
        <v>1886</v>
      </c>
      <c r="G834" s="100" t="s">
        <v>1305</v>
      </c>
      <c r="H834" s="82"/>
    </row>
    <row r="835" spans="1:8" ht="16" x14ac:dyDescent="0.2">
      <c r="A835" s="85" t="s">
        <v>433</v>
      </c>
      <c r="B835" s="97" t="s">
        <v>1868</v>
      </c>
      <c r="C835" s="86" t="s">
        <v>1854</v>
      </c>
      <c r="D835" s="86" t="s">
        <v>1022</v>
      </c>
      <c r="E835" s="90" t="s">
        <v>117</v>
      </c>
      <c r="F835" s="88" t="s">
        <v>1826</v>
      </c>
      <c r="G835" s="100" t="s">
        <v>1305</v>
      </c>
      <c r="H835" s="82"/>
    </row>
    <row r="836" spans="1:8" ht="16" x14ac:dyDescent="0.2">
      <c r="A836" s="85" t="s">
        <v>433</v>
      </c>
      <c r="B836" s="97" t="s">
        <v>1868</v>
      </c>
      <c r="C836" s="86" t="s">
        <v>1854</v>
      </c>
      <c r="D836" s="86" t="s">
        <v>1022</v>
      </c>
      <c r="E836" s="90" t="s">
        <v>158</v>
      </c>
      <c r="F836" s="88" t="s">
        <v>1826</v>
      </c>
      <c r="G836" s="100" t="s">
        <v>1305</v>
      </c>
      <c r="H836" s="82"/>
    </row>
    <row r="837" spans="1:8" ht="16" x14ac:dyDescent="0.2">
      <c r="A837" s="85" t="s">
        <v>433</v>
      </c>
      <c r="B837" s="97" t="s">
        <v>1868</v>
      </c>
      <c r="C837" s="86" t="s">
        <v>1854</v>
      </c>
      <c r="D837" s="86" t="s">
        <v>1022</v>
      </c>
      <c r="E837" s="90" t="s">
        <v>117</v>
      </c>
      <c r="F837" s="88" t="s">
        <v>1827</v>
      </c>
      <c r="G837" s="100" t="s">
        <v>1305</v>
      </c>
      <c r="H837" s="82"/>
    </row>
    <row r="838" spans="1:8" ht="16" x14ac:dyDescent="0.2">
      <c r="A838" s="85" t="s">
        <v>433</v>
      </c>
      <c r="B838" s="97" t="s">
        <v>1868</v>
      </c>
      <c r="C838" s="86" t="s">
        <v>1854</v>
      </c>
      <c r="D838" s="86" t="s">
        <v>1022</v>
      </c>
      <c r="E838" s="90" t="s">
        <v>158</v>
      </c>
      <c r="F838" s="88" t="s">
        <v>1827</v>
      </c>
      <c r="G838" s="100" t="s">
        <v>1305</v>
      </c>
      <c r="H838" s="82"/>
    </row>
    <row r="839" spans="1:8" ht="16" x14ac:dyDescent="0.2">
      <c r="A839" s="85" t="s">
        <v>433</v>
      </c>
      <c r="B839" s="97" t="s">
        <v>1868</v>
      </c>
      <c r="C839" s="86" t="s">
        <v>1854</v>
      </c>
      <c r="D839" s="86" t="s">
        <v>1022</v>
      </c>
      <c r="E839" s="90" t="s">
        <v>117</v>
      </c>
      <c r="F839" s="88" t="s">
        <v>1887</v>
      </c>
      <c r="G839" s="100" t="s">
        <v>1305</v>
      </c>
      <c r="H839" s="82"/>
    </row>
    <row r="840" spans="1:8" ht="16" x14ac:dyDescent="0.2">
      <c r="A840" s="85" t="s">
        <v>433</v>
      </c>
      <c r="B840" s="97" t="s">
        <v>1868</v>
      </c>
      <c r="C840" s="86" t="s">
        <v>1854</v>
      </c>
      <c r="D840" s="86" t="s">
        <v>1022</v>
      </c>
      <c r="E840" s="90" t="s">
        <v>158</v>
      </c>
      <c r="F840" s="88" t="s">
        <v>1887</v>
      </c>
      <c r="G840" s="100" t="s">
        <v>1305</v>
      </c>
      <c r="H840" s="82"/>
    </row>
    <row r="841" spans="1:8" ht="16" x14ac:dyDescent="0.2">
      <c r="A841" s="85" t="s">
        <v>433</v>
      </c>
      <c r="B841" s="97" t="s">
        <v>1868</v>
      </c>
      <c r="C841" s="86" t="s">
        <v>1854</v>
      </c>
      <c r="D841" s="86" t="s">
        <v>1022</v>
      </c>
      <c r="E841" s="90" t="s">
        <v>117</v>
      </c>
      <c r="F841" s="88" t="s">
        <v>1828</v>
      </c>
      <c r="G841" s="100" t="s">
        <v>1305</v>
      </c>
      <c r="H841" s="82"/>
    </row>
    <row r="842" spans="1:8" ht="16" x14ac:dyDescent="0.2">
      <c r="A842" s="85" t="s">
        <v>433</v>
      </c>
      <c r="B842" s="97" t="s">
        <v>1868</v>
      </c>
      <c r="C842" s="86" t="s">
        <v>1854</v>
      </c>
      <c r="D842" s="86" t="s">
        <v>1022</v>
      </c>
      <c r="E842" s="90" t="s">
        <v>158</v>
      </c>
      <c r="F842" s="88" t="s">
        <v>1828</v>
      </c>
      <c r="G842" s="100" t="s">
        <v>1305</v>
      </c>
      <c r="H842" s="82"/>
    </row>
    <row r="843" spans="1:8" ht="16" x14ac:dyDescent="0.2">
      <c r="A843" s="85" t="s">
        <v>433</v>
      </c>
      <c r="B843" s="97" t="s">
        <v>1868</v>
      </c>
      <c r="C843" s="86" t="s">
        <v>1854</v>
      </c>
      <c r="D843" s="86" t="s">
        <v>1022</v>
      </c>
      <c r="E843" s="90" t="s">
        <v>117</v>
      </c>
      <c r="F843" s="88" t="s">
        <v>442</v>
      </c>
      <c r="G843" s="100" t="s">
        <v>1305</v>
      </c>
      <c r="H843" s="82"/>
    </row>
    <row r="844" spans="1:8" ht="16" x14ac:dyDescent="0.2">
      <c r="A844" s="85" t="s">
        <v>433</v>
      </c>
      <c r="B844" s="97" t="s">
        <v>1868</v>
      </c>
      <c r="C844" s="86" t="s">
        <v>1854</v>
      </c>
      <c r="D844" s="86" t="s">
        <v>1022</v>
      </c>
      <c r="E844" s="90" t="s">
        <v>158</v>
      </c>
      <c r="F844" s="88" t="s">
        <v>442</v>
      </c>
      <c r="G844" s="100" t="s">
        <v>1305</v>
      </c>
      <c r="H844" s="82"/>
    </row>
    <row r="845" spans="1:8" ht="16" x14ac:dyDescent="0.2">
      <c r="A845" s="85" t="s">
        <v>433</v>
      </c>
      <c r="B845" s="97" t="s">
        <v>1868</v>
      </c>
      <c r="C845" s="86" t="s">
        <v>1854</v>
      </c>
      <c r="D845" s="86" t="s">
        <v>1022</v>
      </c>
      <c r="E845" s="90" t="s">
        <v>117</v>
      </c>
      <c r="F845" s="88" t="s">
        <v>1888</v>
      </c>
      <c r="G845" s="100" t="s">
        <v>1305</v>
      </c>
      <c r="H845" s="82"/>
    </row>
    <row r="846" spans="1:8" ht="16" x14ac:dyDescent="0.2">
      <c r="A846" s="85" t="s">
        <v>433</v>
      </c>
      <c r="B846" s="97" t="s">
        <v>1868</v>
      </c>
      <c r="C846" s="86" t="s">
        <v>1854</v>
      </c>
      <c r="D846" s="86" t="s">
        <v>1022</v>
      </c>
      <c r="E846" s="90" t="s">
        <v>158</v>
      </c>
      <c r="F846" s="88" t="s">
        <v>1888</v>
      </c>
      <c r="G846" s="100" t="s">
        <v>1305</v>
      </c>
      <c r="H846" s="82"/>
    </row>
    <row r="847" spans="1:8" ht="16" x14ac:dyDescent="0.2">
      <c r="A847" s="85" t="s">
        <v>433</v>
      </c>
      <c r="B847" s="97" t="s">
        <v>1868</v>
      </c>
      <c r="C847" s="86" t="s">
        <v>1854</v>
      </c>
      <c r="D847" s="86" t="s">
        <v>1022</v>
      </c>
      <c r="E847" s="90" t="s">
        <v>117</v>
      </c>
      <c r="F847" s="88" t="s">
        <v>447</v>
      </c>
      <c r="G847" s="100" t="s">
        <v>1305</v>
      </c>
      <c r="H847" s="82"/>
    </row>
    <row r="848" spans="1:8" ht="16" x14ac:dyDescent="0.2">
      <c r="A848" s="85" t="s">
        <v>433</v>
      </c>
      <c r="B848" s="97" t="s">
        <v>1868</v>
      </c>
      <c r="C848" s="86" t="s">
        <v>1854</v>
      </c>
      <c r="D848" s="86" t="s">
        <v>1022</v>
      </c>
      <c r="E848" s="90" t="s">
        <v>158</v>
      </c>
      <c r="F848" s="88" t="s">
        <v>447</v>
      </c>
      <c r="G848" s="100" t="s">
        <v>1305</v>
      </c>
      <c r="H848" s="82"/>
    </row>
    <row r="849" spans="1:8" ht="16" x14ac:dyDescent="0.2">
      <c r="A849" s="85" t="s">
        <v>433</v>
      </c>
      <c r="B849" s="97" t="s">
        <v>1868</v>
      </c>
      <c r="C849" s="86" t="s">
        <v>1854</v>
      </c>
      <c r="D849" s="86" t="s">
        <v>1022</v>
      </c>
      <c r="E849" s="90" t="s">
        <v>117</v>
      </c>
      <c r="F849" s="88" t="s">
        <v>1889</v>
      </c>
      <c r="G849" s="100" t="s">
        <v>1305</v>
      </c>
      <c r="H849" s="82"/>
    </row>
    <row r="850" spans="1:8" ht="16" x14ac:dyDescent="0.2">
      <c r="A850" s="85" t="s">
        <v>433</v>
      </c>
      <c r="B850" s="97" t="s">
        <v>1868</v>
      </c>
      <c r="C850" s="86" t="s">
        <v>1854</v>
      </c>
      <c r="D850" s="86" t="s">
        <v>1022</v>
      </c>
      <c r="E850" s="90" t="s">
        <v>158</v>
      </c>
      <c r="F850" s="88" t="s">
        <v>1889</v>
      </c>
      <c r="G850" s="100" t="s">
        <v>1305</v>
      </c>
      <c r="H850" s="82"/>
    </row>
    <row r="851" spans="1:8" x14ac:dyDescent="0.2">
      <c r="A851" s="85" t="s">
        <v>433</v>
      </c>
      <c r="B851" s="89" t="s">
        <v>1585</v>
      </c>
      <c r="C851" s="86" t="s">
        <v>1854</v>
      </c>
      <c r="D851" s="86" t="s">
        <v>1022</v>
      </c>
      <c r="E851" s="90" t="s">
        <v>117</v>
      </c>
      <c r="F851" s="88" t="s">
        <v>433</v>
      </c>
      <c r="G851" s="88" t="s">
        <v>1279</v>
      </c>
      <c r="H851" s="82"/>
    </row>
    <row r="852" spans="1:8" x14ac:dyDescent="0.2">
      <c r="A852" s="85" t="s">
        <v>433</v>
      </c>
      <c r="B852" s="89" t="s">
        <v>1585</v>
      </c>
      <c r="C852" s="86" t="s">
        <v>1854</v>
      </c>
      <c r="D852" s="86" t="s">
        <v>1022</v>
      </c>
      <c r="E852" s="90" t="s">
        <v>158</v>
      </c>
      <c r="F852" s="88" t="s">
        <v>433</v>
      </c>
      <c r="G852" s="88" t="s">
        <v>1279</v>
      </c>
      <c r="H852" s="82"/>
    </row>
    <row r="853" spans="1:8" x14ac:dyDescent="0.2">
      <c r="A853" s="85" t="s">
        <v>433</v>
      </c>
      <c r="B853" s="89" t="s">
        <v>1585</v>
      </c>
      <c r="C853" s="86" t="s">
        <v>1854</v>
      </c>
      <c r="D853" s="86" t="s">
        <v>1022</v>
      </c>
      <c r="E853" s="90" t="s">
        <v>117</v>
      </c>
      <c r="F853" s="88" t="s">
        <v>1824</v>
      </c>
      <c r="G853" s="88" t="s">
        <v>1279</v>
      </c>
      <c r="H853" s="82"/>
    </row>
    <row r="854" spans="1:8" x14ac:dyDescent="0.2">
      <c r="A854" s="85" t="s">
        <v>433</v>
      </c>
      <c r="B854" s="89" t="s">
        <v>1585</v>
      </c>
      <c r="C854" s="86" t="s">
        <v>1854</v>
      </c>
      <c r="D854" s="86" t="s">
        <v>1022</v>
      </c>
      <c r="E854" s="90" t="s">
        <v>158</v>
      </c>
      <c r="F854" s="88" t="s">
        <v>1824</v>
      </c>
      <c r="G854" s="88" t="s">
        <v>1279</v>
      </c>
      <c r="H854" s="82"/>
    </row>
    <row r="855" spans="1:8" x14ac:dyDescent="0.2">
      <c r="A855" s="85" t="s">
        <v>433</v>
      </c>
      <c r="B855" s="89" t="s">
        <v>1585</v>
      </c>
      <c r="C855" s="86" t="s">
        <v>1854</v>
      </c>
      <c r="D855" s="86" t="s">
        <v>1022</v>
      </c>
      <c r="E855" s="90" t="s">
        <v>117</v>
      </c>
      <c r="F855" s="88" t="s">
        <v>1825</v>
      </c>
      <c r="G855" s="88" t="s">
        <v>1279</v>
      </c>
      <c r="H855" s="82"/>
    </row>
    <row r="856" spans="1:8" x14ac:dyDescent="0.2">
      <c r="A856" s="85" t="s">
        <v>433</v>
      </c>
      <c r="B856" s="89" t="s">
        <v>1585</v>
      </c>
      <c r="C856" s="86" t="s">
        <v>1854</v>
      </c>
      <c r="D856" s="86" t="s">
        <v>1022</v>
      </c>
      <c r="E856" s="90" t="s">
        <v>158</v>
      </c>
      <c r="F856" s="88" t="s">
        <v>1825</v>
      </c>
      <c r="G856" s="88" t="s">
        <v>1279</v>
      </c>
      <c r="H856" s="82"/>
    </row>
    <row r="857" spans="1:8" x14ac:dyDescent="0.2">
      <c r="A857" s="85" t="s">
        <v>433</v>
      </c>
      <c r="B857" s="89" t="s">
        <v>1585</v>
      </c>
      <c r="C857" s="86" t="s">
        <v>1854</v>
      </c>
      <c r="D857" s="86" t="s">
        <v>1022</v>
      </c>
      <c r="E857" s="90" t="s">
        <v>117</v>
      </c>
      <c r="F857" s="88" t="s">
        <v>1885</v>
      </c>
      <c r="G857" s="88" t="s">
        <v>1279</v>
      </c>
      <c r="H857" s="82"/>
    </row>
    <row r="858" spans="1:8" x14ac:dyDescent="0.2">
      <c r="A858" s="85" t="s">
        <v>433</v>
      </c>
      <c r="B858" s="89" t="s">
        <v>1585</v>
      </c>
      <c r="C858" s="86" t="s">
        <v>1854</v>
      </c>
      <c r="D858" s="86" t="s">
        <v>1022</v>
      </c>
      <c r="E858" s="90" t="s">
        <v>158</v>
      </c>
      <c r="F858" s="88" t="s">
        <v>1885</v>
      </c>
      <c r="G858" s="88" t="s">
        <v>1279</v>
      </c>
      <c r="H858" s="82"/>
    </row>
    <row r="859" spans="1:8" x14ac:dyDescent="0.2">
      <c r="A859" s="85" t="s">
        <v>433</v>
      </c>
      <c r="B859" s="89" t="s">
        <v>1585</v>
      </c>
      <c r="C859" s="86" t="s">
        <v>1854</v>
      </c>
      <c r="D859" s="86" t="s">
        <v>1022</v>
      </c>
      <c r="E859" s="90" t="s">
        <v>117</v>
      </c>
      <c r="F859" s="88" t="s">
        <v>1886</v>
      </c>
      <c r="G859" s="88" t="s">
        <v>1279</v>
      </c>
      <c r="H859" s="82"/>
    </row>
    <row r="860" spans="1:8" x14ac:dyDescent="0.2">
      <c r="A860" s="85" t="s">
        <v>433</v>
      </c>
      <c r="B860" s="89" t="s">
        <v>1585</v>
      </c>
      <c r="C860" s="86" t="s">
        <v>1854</v>
      </c>
      <c r="D860" s="86" t="s">
        <v>1022</v>
      </c>
      <c r="E860" s="90" t="s">
        <v>158</v>
      </c>
      <c r="F860" s="88" t="s">
        <v>1886</v>
      </c>
      <c r="G860" s="88" t="s">
        <v>1279</v>
      </c>
      <c r="H860" s="82"/>
    </row>
    <row r="861" spans="1:8" x14ac:dyDescent="0.2">
      <c r="A861" s="85" t="s">
        <v>433</v>
      </c>
      <c r="B861" s="89" t="s">
        <v>1585</v>
      </c>
      <c r="C861" s="86" t="s">
        <v>1854</v>
      </c>
      <c r="D861" s="86" t="s">
        <v>1022</v>
      </c>
      <c r="E861" s="90" t="s">
        <v>117</v>
      </c>
      <c r="F861" s="88" t="s">
        <v>1827</v>
      </c>
      <c r="G861" s="88" t="s">
        <v>1279</v>
      </c>
      <c r="H861" s="82"/>
    </row>
    <row r="862" spans="1:8" x14ac:dyDescent="0.2">
      <c r="A862" s="85" t="s">
        <v>433</v>
      </c>
      <c r="B862" s="89" t="s">
        <v>1585</v>
      </c>
      <c r="C862" s="86" t="s">
        <v>1854</v>
      </c>
      <c r="D862" s="86" t="s">
        <v>1022</v>
      </c>
      <c r="E862" s="90" t="s">
        <v>158</v>
      </c>
      <c r="F862" s="88" t="s">
        <v>1827</v>
      </c>
      <c r="G862" s="88" t="s">
        <v>1279</v>
      </c>
      <c r="H862" s="82"/>
    </row>
    <row r="863" spans="1:8" x14ac:dyDescent="0.2">
      <c r="A863" s="85" t="s">
        <v>433</v>
      </c>
      <c r="B863" s="89" t="s">
        <v>1585</v>
      </c>
      <c r="C863" s="86" t="s">
        <v>1854</v>
      </c>
      <c r="D863" s="86" t="s">
        <v>1022</v>
      </c>
      <c r="E863" s="90" t="s">
        <v>117</v>
      </c>
      <c r="F863" s="88" t="s">
        <v>1887</v>
      </c>
      <c r="G863" s="88" t="s">
        <v>1279</v>
      </c>
      <c r="H863" s="82"/>
    </row>
    <row r="864" spans="1:8" x14ac:dyDescent="0.2">
      <c r="A864" s="85" t="s">
        <v>433</v>
      </c>
      <c r="B864" s="89" t="s">
        <v>1585</v>
      </c>
      <c r="C864" s="86" t="s">
        <v>1854</v>
      </c>
      <c r="D864" s="86" t="s">
        <v>1022</v>
      </c>
      <c r="E864" s="90" t="s">
        <v>158</v>
      </c>
      <c r="F864" s="88" t="s">
        <v>1887</v>
      </c>
      <c r="G864" s="88" t="s">
        <v>1279</v>
      </c>
      <c r="H864" s="82"/>
    </row>
    <row r="865" spans="1:8" x14ac:dyDescent="0.2">
      <c r="A865" s="85" t="s">
        <v>433</v>
      </c>
      <c r="B865" s="89" t="s">
        <v>1585</v>
      </c>
      <c r="C865" s="86" t="s">
        <v>1854</v>
      </c>
      <c r="D865" s="86" t="s">
        <v>1022</v>
      </c>
      <c r="E865" s="90" t="s">
        <v>117</v>
      </c>
      <c r="F865" s="88" t="s">
        <v>1828</v>
      </c>
      <c r="G865" s="88" t="s">
        <v>1279</v>
      </c>
      <c r="H865" s="82"/>
    </row>
    <row r="866" spans="1:8" x14ac:dyDescent="0.2">
      <c r="A866" s="85" t="s">
        <v>433</v>
      </c>
      <c r="B866" s="89" t="s">
        <v>1585</v>
      </c>
      <c r="C866" s="86" t="s">
        <v>1854</v>
      </c>
      <c r="D866" s="86" t="s">
        <v>1022</v>
      </c>
      <c r="E866" s="90" t="s">
        <v>158</v>
      </c>
      <c r="F866" s="88" t="s">
        <v>1828</v>
      </c>
      <c r="G866" s="88" t="s">
        <v>1279</v>
      </c>
      <c r="H866" s="82"/>
    </row>
    <row r="867" spans="1:8" x14ac:dyDescent="0.2">
      <c r="A867" s="85" t="s">
        <v>433</v>
      </c>
      <c r="B867" s="89" t="s">
        <v>1585</v>
      </c>
      <c r="C867" s="86" t="s">
        <v>1854</v>
      </c>
      <c r="D867" s="86" t="s">
        <v>1022</v>
      </c>
      <c r="E867" s="90" t="s">
        <v>117</v>
      </c>
      <c r="F867" s="88" t="s">
        <v>442</v>
      </c>
      <c r="G867" s="88" t="s">
        <v>1279</v>
      </c>
      <c r="H867" s="82"/>
    </row>
    <row r="868" spans="1:8" x14ac:dyDescent="0.2">
      <c r="A868" s="85" t="s">
        <v>433</v>
      </c>
      <c r="B868" s="89" t="s">
        <v>1585</v>
      </c>
      <c r="C868" s="86" t="s">
        <v>1854</v>
      </c>
      <c r="D868" s="86" t="s">
        <v>1022</v>
      </c>
      <c r="E868" s="90" t="s">
        <v>158</v>
      </c>
      <c r="F868" s="88" t="s">
        <v>442</v>
      </c>
      <c r="G868" s="88" t="s">
        <v>1279</v>
      </c>
      <c r="H868" s="82"/>
    </row>
    <row r="869" spans="1:8" x14ac:dyDescent="0.2">
      <c r="A869" s="85" t="s">
        <v>433</v>
      </c>
      <c r="B869" s="89" t="s">
        <v>1585</v>
      </c>
      <c r="C869" s="86" t="s">
        <v>1854</v>
      </c>
      <c r="D869" s="86" t="s">
        <v>1022</v>
      </c>
      <c r="E869" s="90" t="s">
        <v>117</v>
      </c>
      <c r="F869" s="88" t="s">
        <v>1888</v>
      </c>
      <c r="G869" s="88" t="s">
        <v>1279</v>
      </c>
      <c r="H869" s="82"/>
    </row>
    <row r="870" spans="1:8" x14ac:dyDescent="0.2">
      <c r="A870" s="85" t="s">
        <v>433</v>
      </c>
      <c r="B870" s="89" t="s">
        <v>1585</v>
      </c>
      <c r="C870" s="86" t="s">
        <v>1854</v>
      </c>
      <c r="D870" s="86" t="s">
        <v>1022</v>
      </c>
      <c r="E870" s="90" t="s">
        <v>158</v>
      </c>
      <c r="F870" s="88" t="s">
        <v>1888</v>
      </c>
      <c r="G870" s="88" t="s">
        <v>1279</v>
      </c>
      <c r="H870" s="82"/>
    </row>
    <row r="871" spans="1:8" x14ac:dyDescent="0.2">
      <c r="A871" s="85" t="s">
        <v>433</v>
      </c>
      <c r="B871" s="89" t="s">
        <v>1585</v>
      </c>
      <c r="C871" s="86" t="s">
        <v>1854</v>
      </c>
      <c r="D871" s="86" t="s">
        <v>1022</v>
      </c>
      <c r="E871" s="90" t="s">
        <v>117</v>
      </c>
      <c r="F871" s="88" t="s">
        <v>447</v>
      </c>
      <c r="G871" s="88" t="s">
        <v>1279</v>
      </c>
      <c r="H871" s="82"/>
    </row>
    <row r="872" spans="1:8" x14ac:dyDescent="0.2">
      <c r="A872" s="85" t="s">
        <v>433</v>
      </c>
      <c r="B872" s="89" t="s">
        <v>1585</v>
      </c>
      <c r="C872" s="86" t="s">
        <v>1854</v>
      </c>
      <c r="D872" s="86" t="s">
        <v>1022</v>
      </c>
      <c r="E872" s="90" t="s">
        <v>158</v>
      </c>
      <c r="F872" s="88" t="s">
        <v>447</v>
      </c>
      <c r="G872" s="88" t="s">
        <v>1279</v>
      </c>
      <c r="H872" s="82"/>
    </row>
    <row r="873" spans="1:8" x14ac:dyDescent="0.2">
      <c r="A873" s="85" t="s">
        <v>433</v>
      </c>
      <c r="B873" s="89" t="s">
        <v>1585</v>
      </c>
      <c r="C873" s="86" t="s">
        <v>1854</v>
      </c>
      <c r="D873" s="86" t="s">
        <v>1022</v>
      </c>
      <c r="E873" s="90" t="s">
        <v>117</v>
      </c>
      <c r="F873" s="88" t="s">
        <v>1889</v>
      </c>
      <c r="G873" s="88" t="s">
        <v>1279</v>
      </c>
      <c r="H873" s="82"/>
    </row>
    <row r="874" spans="1:8" x14ac:dyDescent="0.2">
      <c r="A874" s="85" t="s">
        <v>433</v>
      </c>
      <c r="B874" s="89" t="s">
        <v>1585</v>
      </c>
      <c r="C874" s="86" t="s">
        <v>1854</v>
      </c>
      <c r="D874" s="86" t="s">
        <v>1022</v>
      </c>
      <c r="E874" s="90" t="s">
        <v>158</v>
      </c>
      <c r="F874" s="88" t="s">
        <v>1889</v>
      </c>
      <c r="G874" s="88" t="s">
        <v>1279</v>
      </c>
      <c r="H874" s="82"/>
    </row>
    <row r="875" spans="1:8" x14ac:dyDescent="0.2">
      <c r="A875" s="85" t="s">
        <v>433</v>
      </c>
      <c r="B875" s="89" t="s">
        <v>1585</v>
      </c>
      <c r="C875" s="86" t="s">
        <v>1854</v>
      </c>
      <c r="D875" s="86" t="s">
        <v>1022</v>
      </c>
      <c r="E875" s="90" t="s">
        <v>140</v>
      </c>
      <c r="F875" s="88" t="s">
        <v>433</v>
      </c>
      <c r="G875" s="88" t="s">
        <v>1280</v>
      </c>
      <c r="H875" s="82"/>
    </row>
    <row r="876" spans="1:8" x14ac:dyDescent="0.2">
      <c r="A876" s="85" t="s">
        <v>433</v>
      </c>
      <c r="B876" s="89" t="s">
        <v>1585</v>
      </c>
      <c r="C876" s="86" t="s">
        <v>1854</v>
      </c>
      <c r="D876" s="86" t="s">
        <v>1022</v>
      </c>
      <c r="E876" s="90" t="s">
        <v>140</v>
      </c>
      <c r="F876" s="88" t="s">
        <v>1824</v>
      </c>
      <c r="G876" s="88" t="s">
        <v>1280</v>
      </c>
      <c r="H876" s="82"/>
    </row>
    <row r="877" spans="1:8" x14ac:dyDescent="0.2">
      <c r="A877" s="85" t="s">
        <v>433</v>
      </c>
      <c r="B877" s="89" t="s">
        <v>1585</v>
      </c>
      <c r="C877" s="86" t="s">
        <v>1854</v>
      </c>
      <c r="D877" s="86" t="s">
        <v>1022</v>
      </c>
      <c r="E877" s="90" t="s">
        <v>140</v>
      </c>
      <c r="F877" s="88" t="s">
        <v>1825</v>
      </c>
      <c r="G877" s="88" t="s">
        <v>1280</v>
      </c>
      <c r="H877" s="82"/>
    </row>
    <row r="878" spans="1:8" x14ac:dyDescent="0.2">
      <c r="A878" s="85" t="s">
        <v>433</v>
      </c>
      <c r="B878" s="89" t="s">
        <v>1585</v>
      </c>
      <c r="C878" s="86" t="s">
        <v>1854</v>
      </c>
      <c r="D878" s="86" t="s">
        <v>1022</v>
      </c>
      <c r="E878" s="90" t="s">
        <v>140</v>
      </c>
      <c r="F878" s="88" t="s">
        <v>1885</v>
      </c>
      <c r="G878" s="88" t="s">
        <v>1280</v>
      </c>
      <c r="H878" s="82"/>
    </row>
    <row r="879" spans="1:8" x14ac:dyDescent="0.2">
      <c r="A879" s="85" t="s">
        <v>433</v>
      </c>
      <c r="B879" s="89" t="s">
        <v>1585</v>
      </c>
      <c r="C879" s="86" t="s">
        <v>1854</v>
      </c>
      <c r="D879" s="86" t="s">
        <v>1022</v>
      </c>
      <c r="E879" s="90" t="s">
        <v>140</v>
      </c>
      <c r="F879" s="88" t="s">
        <v>1886</v>
      </c>
      <c r="G879" s="88" t="s">
        <v>1280</v>
      </c>
      <c r="H879" s="82"/>
    </row>
    <row r="880" spans="1:8" x14ac:dyDescent="0.2">
      <c r="A880" s="85" t="s">
        <v>433</v>
      </c>
      <c r="B880" s="89" t="s">
        <v>1585</v>
      </c>
      <c r="C880" s="86" t="s">
        <v>1854</v>
      </c>
      <c r="D880" s="86" t="s">
        <v>1022</v>
      </c>
      <c r="E880" s="90" t="s">
        <v>140</v>
      </c>
      <c r="F880" s="88" t="s">
        <v>1827</v>
      </c>
      <c r="G880" s="88" t="s">
        <v>1280</v>
      </c>
      <c r="H880" s="82"/>
    </row>
    <row r="881" spans="1:8" x14ac:dyDescent="0.2">
      <c r="A881" s="85" t="s">
        <v>433</v>
      </c>
      <c r="B881" s="89" t="s">
        <v>1585</v>
      </c>
      <c r="C881" s="86" t="s">
        <v>1854</v>
      </c>
      <c r="D881" s="86" t="s">
        <v>1022</v>
      </c>
      <c r="E881" s="90" t="s">
        <v>140</v>
      </c>
      <c r="F881" s="88" t="s">
        <v>1887</v>
      </c>
      <c r="G881" s="88" t="s">
        <v>1280</v>
      </c>
      <c r="H881" s="82"/>
    </row>
    <row r="882" spans="1:8" x14ac:dyDescent="0.2">
      <c r="A882" s="85" t="s">
        <v>433</v>
      </c>
      <c r="B882" s="89" t="s">
        <v>1585</v>
      </c>
      <c r="C882" s="86" t="s">
        <v>1854</v>
      </c>
      <c r="D882" s="86" t="s">
        <v>1022</v>
      </c>
      <c r="E882" s="90" t="s">
        <v>140</v>
      </c>
      <c r="F882" s="88" t="s">
        <v>1828</v>
      </c>
      <c r="G882" s="88" t="s">
        <v>1280</v>
      </c>
      <c r="H882" s="82"/>
    </row>
    <row r="883" spans="1:8" x14ac:dyDescent="0.2">
      <c r="A883" s="85" t="s">
        <v>433</v>
      </c>
      <c r="B883" s="89" t="s">
        <v>1585</v>
      </c>
      <c r="C883" s="86" t="s">
        <v>1854</v>
      </c>
      <c r="D883" s="86" t="s">
        <v>1022</v>
      </c>
      <c r="E883" s="90" t="s">
        <v>140</v>
      </c>
      <c r="F883" s="88" t="s">
        <v>442</v>
      </c>
      <c r="G883" s="88" t="s">
        <v>1280</v>
      </c>
      <c r="H883" s="82"/>
    </row>
    <row r="884" spans="1:8" x14ac:dyDescent="0.2">
      <c r="A884" s="85" t="s">
        <v>433</v>
      </c>
      <c r="B884" s="89" t="s">
        <v>1585</v>
      </c>
      <c r="C884" s="86" t="s">
        <v>1854</v>
      </c>
      <c r="D884" s="86" t="s">
        <v>1022</v>
      </c>
      <c r="E884" s="90" t="s">
        <v>140</v>
      </c>
      <c r="F884" s="88" t="s">
        <v>1888</v>
      </c>
      <c r="G884" s="88" t="s">
        <v>1280</v>
      </c>
      <c r="H884" s="82"/>
    </row>
    <row r="885" spans="1:8" x14ac:dyDescent="0.2">
      <c r="A885" s="85" t="s">
        <v>433</v>
      </c>
      <c r="B885" s="89" t="s">
        <v>1585</v>
      </c>
      <c r="C885" s="86" t="s">
        <v>1854</v>
      </c>
      <c r="D885" s="86" t="s">
        <v>1022</v>
      </c>
      <c r="E885" s="90" t="s">
        <v>140</v>
      </c>
      <c r="F885" s="88" t="s">
        <v>447</v>
      </c>
      <c r="G885" s="88" t="s">
        <v>1280</v>
      </c>
      <c r="H885" s="82"/>
    </row>
    <row r="886" spans="1:8" x14ac:dyDescent="0.2">
      <c r="A886" s="85" t="s">
        <v>433</v>
      </c>
      <c r="B886" s="89" t="s">
        <v>1585</v>
      </c>
      <c r="C886" s="86" t="s">
        <v>1854</v>
      </c>
      <c r="D886" s="86" t="s">
        <v>1022</v>
      </c>
      <c r="E886" s="90" t="s">
        <v>140</v>
      </c>
      <c r="F886" s="88" t="s">
        <v>1889</v>
      </c>
      <c r="G886" s="88" t="s">
        <v>1280</v>
      </c>
      <c r="H886" s="82"/>
    </row>
    <row r="887" spans="1:8" ht="16" x14ac:dyDescent="0.2">
      <c r="A887" s="85" t="s">
        <v>433</v>
      </c>
      <c r="B887" s="97" t="s">
        <v>1868</v>
      </c>
      <c r="C887" s="86" t="s">
        <v>1854</v>
      </c>
      <c r="D887" s="86" t="s">
        <v>1022</v>
      </c>
      <c r="E887" s="90" t="s">
        <v>117</v>
      </c>
      <c r="F887" s="88" t="s">
        <v>1829</v>
      </c>
      <c r="G887" s="100" t="s">
        <v>650</v>
      </c>
      <c r="H887" s="82"/>
    </row>
    <row r="888" spans="1:8" ht="16" x14ac:dyDescent="0.2">
      <c r="A888" s="85" t="s">
        <v>433</v>
      </c>
      <c r="B888" s="97" t="s">
        <v>1868</v>
      </c>
      <c r="C888" s="86" t="s">
        <v>1854</v>
      </c>
      <c r="D888" s="86" t="s">
        <v>1022</v>
      </c>
      <c r="E888" s="90" t="s">
        <v>117</v>
      </c>
      <c r="F888" s="88" t="s">
        <v>1830</v>
      </c>
      <c r="G888" s="100" t="s">
        <v>650</v>
      </c>
      <c r="H888" s="82"/>
    </row>
    <row r="889" spans="1:8" ht="16" x14ac:dyDescent="0.2">
      <c r="A889" s="85" t="s">
        <v>433</v>
      </c>
      <c r="B889" s="97" t="s">
        <v>1868</v>
      </c>
      <c r="C889" s="86" t="s">
        <v>1854</v>
      </c>
      <c r="D889" s="86" t="s">
        <v>1022</v>
      </c>
      <c r="E889" s="90" t="s">
        <v>117</v>
      </c>
      <c r="F889" s="88" t="s">
        <v>1831</v>
      </c>
      <c r="G889" s="100" t="s">
        <v>650</v>
      </c>
      <c r="H889" s="82"/>
    </row>
    <row r="890" spans="1:8" ht="16" x14ac:dyDescent="0.2">
      <c r="A890" s="85" t="s">
        <v>433</v>
      </c>
      <c r="B890" s="97" t="s">
        <v>1868</v>
      </c>
      <c r="C890" s="86" t="s">
        <v>1854</v>
      </c>
      <c r="D890" s="86" t="s">
        <v>1022</v>
      </c>
      <c r="E890" s="90" t="s">
        <v>117</v>
      </c>
      <c r="F890" s="88" t="s">
        <v>1832</v>
      </c>
      <c r="G890" s="100" t="s">
        <v>650</v>
      </c>
      <c r="H890" s="82"/>
    </row>
    <row r="891" spans="1:8" ht="16" x14ac:dyDescent="0.2">
      <c r="A891" s="85" t="s">
        <v>433</v>
      </c>
      <c r="B891" s="97" t="s">
        <v>1868</v>
      </c>
      <c r="C891" s="86" t="s">
        <v>1854</v>
      </c>
      <c r="D891" s="86" t="s">
        <v>1022</v>
      </c>
      <c r="E891" s="90" t="s">
        <v>117</v>
      </c>
      <c r="F891" s="88" t="s">
        <v>1833</v>
      </c>
      <c r="G891" s="100" t="s">
        <v>650</v>
      </c>
      <c r="H891" s="82"/>
    </row>
    <row r="892" spans="1:8" ht="16" x14ac:dyDescent="0.2">
      <c r="A892" s="85" t="s">
        <v>433</v>
      </c>
      <c r="B892" s="97" t="s">
        <v>1868</v>
      </c>
      <c r="C892" s="86" t="s">
        <v>1854</v>
      </c>
      <c r="D892" s="86" t="s">
        <v>1022</v>
      </c>
      <c r="E892" s="90" t="s">
        <v>117</v>
      </c>
      <c r="F892" s="88" t="s">
        <v>1834</v>
      </c>
      <c r="G892" s="100" t="s">
        <v>650</v>
      </c>
      <c r="H892" s="82"/>
    </row>
    <row r="893" spans="1:8" ht="16" x14ac:dyDescent="0.2">
      <c r="A893" s="85" t="s">
        <v>433</v>
      </c>
      <c r="B893" s="97" t="s">
        <v>1868</v>
      </c>
      <c r="C893" s="86" t="s">
        <v>1854</v>
      </c>
      <c r="D893" s="86" t="s">
        <v>1022</v>
      </c>
      <c r="E893" s="90" t="s">
        <v>117</v>
      </c>
      <c r="F893" s="88" t="s">
        <v>1890</v>
      </c>
      <c r="G893" s="100" t="s">
        <v>650</v>
      </c>
      <c r="H893" s="82"/>
    </row>
    <row r="894" spans="1:8" ht="16" x14ac:dyDescent="0.2">
      <c r="A894" s="85" t="s">
        <v>433</v>
      </c>
      <c r="B894" s="97" t="s">
        <v>1868</v>
      </c>
      <c r="C894" s="86" t="s">
        <v>1854</v>
      </c>
      <c r="D894" s="86" t="s">
        <v>1022</v>
      </c>
      <c r="E894" s="90" t="s">
        <v>117</v>
      </c>
      <c r="F894" s="88" t="s">
        <v>1891</v>
      </c>
      <c r="G894" s="100" t="s">
        <v>650</v>
      </c>
      <c r="H894" s="82"/>
    </row>
    <row r="895" spans="1:8" ht="16" x14ac:dyDescent="0.2">
      <c r="A895" s="85" t="s">
        <v>433</v>
      </c>
      <c r="B895" s="97" t="s">
        <v>1868</v>
      </c>
      <c r="C895" s="86" t="s">
        <v>1854</v>
      </c>
      <c r="D895" s="86" t="s">
        <v>1022</v>
      </c>
      <c r="E895" s="90" t="s">
        <v>117</v>
      </c>
      <c r="F895" s="88" t="s">
        <v>1892</v>
      </c>
      <c r="G895" s="100" t="s">
        <v>650</v>
      </c>
      <c r="H895" s="82"/>
    </row>
    <row r="896" spans="1:8" ht="16" x14ac:dyDescent="0.2">
      <c r="A896" s="85" t="s">
        <v>433</v>
      </c>
      <c r="B896" s="97" t="s">
        <v>1868</v>
      </c>
      <c r="C896" s="86" t="s">
        <v>1854</v>
      </c>
      <c r="D896" s="86" t="s">
        <v>1022</v>
      </c>
      <c r="E896" s="90" t="s">
        <v>117</v>
      </c>
      <c r="F896" s="88" t="s">
        <v>1893</v>
      </c>
      <c r="G896" s="100" t="s">
        <v>650</v>
      </c>
      <c r="H896" s="82"/>
    </row>
    <row r="897" spans="1:8" ht="16" x14ac:dyDescent="0.2">
      <c r="A897" s="85" t="s">
        <v>433</v>
      </c>
      <c r="B897" s="97" t="s">
        <v>1868</v>
      </c>
      <c r="C897" s="86" t="s">
        <v>1854</v>
      </c>
      <c r="D897" s="86" t="s">
        <v>1022</v>
      </c>
      <c r="E897" s="90" t="s">
        <v>117</v>
      </c>
      <c r="F897" s="88" t="s">
        <v>1894</v>
      </c>
      <c r="G897" s="100" t="s">
        <v>650</v>
      </c>
      <c r="H897" s="82"/>
    </row>
    <row r="898" spans="1:8" ht="16" x14ac:dyDescent="0.2">
      <c r="A898" s="85" t="s">
        <v>433</v>
      </c>
      <c r="B898" s="97" t="s">
        <v>1868</v>
      </c>
      <c r="C898" s="86" t="s">
        <v>1854</v>
      </c>
      <c r="D898" s="86" t="s">
        <v>1022</v>
      </c>
      <c r="E898" s="90" t="s">
        <v>117</v>
      </c>
      <c r="F898" s="88" t="s">
        <v>1895</v>
      </c>
      <c r="G898" s="100" t="s">
        <v>650</v>
      </c>
      <c r="H898" s="82"/>
    </row>
    <row r="899" spans="1:8" x14ac:dyDescent="0.2">
      <c r="A899" s="85" t="s">
        <v>433</v>
      </c>
      <c r="B899" s="89" t="s">
        <v>1585</v>
      </c>
      <c r="C899" s="86" t="s">
        <v>1854</v>
      </c>
      <c r="D899" s="86" t="s">
        <v>1022</v>
      </c>
      <c r="E899" s="90" t="s">
        <v>117</v>
      </c>
      <c r="F899" s="88" t="s">
        <v>1829</v>
      </c>
      <c r="G899" s="88" t="s">
        <v>1282</v>
      </c>
      <c r="H899" s="82"/>
    </row>
    <row r="900" spans="1:8" x14ac:dyDescent="0.2">
      <c r="A900" s="85" t="s">
        <v>433</v>
      </c>
      <c r="B900" s="89" t="s">
        <v>1585</v>
      </c>
      <c r="C900" s="86" t="s">
        <v>1854</v>
      </c>
      <c r="D900" s="86" t="s">
        <v>1022</v>
      </c>
      <c r="E900" s="90" t="s">
        <v>117</v>
      </c>
      <c r="F900" s="88" t="s">
        <v>1830</v>
      </c>
      <c r="G900" s="88" t="s">
        <v>1282</v>
      </c>
      <c r="H900" s="82"/>
    </row>
    <row r="901" spans="1:8" x14ac:dyDescent="0.2">
      <c r="A901" s="85" t="s">
        <v>433</v>
      </c>
      <c r="B901" s="89" t="s">
        <v>1585</v>
      </c>
      <c r="C901" s="86" t="s">
        <v>1854</v>
      </c>
      <c r="D901" s="86" t="s">
        <v>1022</v>
      </c>
      <c r="E901" s="90" t="s">
        <v>117</v>
      </c>
      <c r="F901" s="88" t="s">
        <v>1831</v>
      </c>
      <c r="G901" s="88" t="s">
        <v>1282</v>
      </c>
      <c r="H901" s="82"/>
    </row>
    <row r="902" spans="1:8" x14ac:dyDescent="0.2">
      <c r="A902" s="85" t="s">
        <v>433</v>
      </c>
      <c r="B902" s="89" t="s">
        <v>1585</v>
      </c>
      <c r="C902" s="86" t="s">
        <v>1854</v>
      </c>
      <c r="D902" s="86" t="s">
        <v>1022</v>
      </c>
      <c r="E902" s="90" t="s">
        <v>117</v>
      </c>
      <c r="F902" s="88" t="s">
        <v>1832</v>
      </c>
      <c r="G902" s="88" t="s">
        <v>1282</v>
      </c>
      <c r="H902" s="82"/>
    </row>
    <row r="903" spans="1:8" x14ac:dyDescent="0.2">
      <c r="A903" s="85" t="s">
        <v>433</v>
      </c>
      <c r="B903" s="89" t="s">
        <v>1585</v>
      </c>
      <c r="C903" s="86" t="s">
        <v>1854</v>
      </c>
      <c r="D903" s="86" t="s">
        <v>1022</v>
      </c>
      <c r="E903" s="90" t="s">
        <v>117</v>
      </c>
      <c r="F903" s="88" t="s">
        <v>1833</v>
      </c>
      <c r="G903" s="88" t="s">
        <v>1282</v>
      </c>
      <c r="H903" s="82"/>
    </row>
    <row r="904" spans="1:8" x14ac:dyDescent="0.2">
      <c r="A904" s="85" t="s">
        <v>433</v>
      </c>
      <c r="B904" s="89" t="s">
        <v>1585</v>
      </c>
      <c r="C904" s="86" t="s">
        <v>1854</v>
      </c>
      <c r="D904" s="86" t="s">
        <v>1022</v>
      </c>
      <c r="E904" s="90" t="s">
        <v>117</v>
      </c>
      <c r="F904" s="88" t="s">
        <v>1834</v>
      </c>
      <c r="G904" s="88" t="s">
        <v>1282</v>
      </c>
      <c r="H904" s="82"/>
    </row>
    <row r="905" spans="1:8" x14ac:dyDescent="0.2">
      <c r="A905" s="85" t="s">
        <v>433</v>
      </c>
      <c r="B905" s="89" t="s">
        <v>1585</v>
      </c>
      <c r="C905" s="86" t="s">
        <v>1854</v>
      </c>
      <c r="D905" s="86" t="s">
        <v>1022</v>
      </c>
      <c r="E905" s="90" t="s">
        <v>117</v>
      </c>
      <c r="F905" s="88" t="s">
        <v>1891</v>
      </c>
      <c r="G905" s="88" t="s">
        <v>1282</v>
      </c>
      <c r="H905" s="82"/>
    </row>
    <row r="906" spans="1:8" x14ac:dyDescent="0.2">
      <c r="A906" s="85" t="s">
        <v>433</v>
      </c>
      <c r="B906" s="89" t="s">
        <v>1585</v>
      </c>
      <c r="C906" s="86" t="s">
        <v>1854</v>
      </c>
      <c r="D906" s="86" t="s">
        <v>1022</v>
      </c>
      <c r="E906" s="90" t="s">
        <v>117</v>
      </c>
      <c r="F906" s="88" t="s">
        <v>1892</v>
      </c>
      <c r="G906" s="88" t="s">
        <v>1282</v>
      </c>
      <c r="H906" s="82"/>
    </row>
    <row r="907" spans="1:8" x14ac:dyDescent="0.2">
      <c r="A907" s="85" t="s">
        <v>433</v>
      </c>
      <c r="B907" s="89" t="s">
        <v>1585</v>
      </c>
      <c r="C907" s="86" t="s">
        <v>1854</v>
      </c>
      <c r="D907" s="86" t="s">
        <v>1022</v>
      </c>
      <c r="E907" s="90" t="s">
        <v>117</v>
      </c>
      <c r="F907" s="88" t="s">
        <v>1893</v>
      </c>
      <c r="G907" s="88" t="s">
        <v>1282</v>
      </c>
      <c r="H907" s="82"/>
    </row>
    <row r="908" spans="1:8" x14ac:dyDescent="0.2">
      <c r="A908" s="85" t="s">
        <v>433</v>
      </c>
      <c r="B908" s="89" t="s">
        <v>1585</v>
      </c>
      <c r="C908" s="86" t="s">
        <v>1854</v>
      </c>
      <c r="D908" s="86" t="s">
        <v>1022</v>
      </c>
      <c r="E908" s="90" t="s">
        <v>117</v>
      </c>
      <c r="F908" s="88" t="s">
        <v>1894</v>
      </c>
      <c r="G908" s="88" t="s">
        <v>1282</v>
      </c>
      <c r="H908" s="82"/>
    </row>
    <row r="909" spans="1:8" x14ac:dyDescent="0.2">
      <c r="A909" s="85" t="s">
        <v>433</v>
      </c>
      <c r="B909" s="89" t="s">
        <v>1585</v>
      </c>
      <c r="C909" s="86" t="s">
        <v>1854</v>
      </c>
      <c r="D909" s="86" t="s">
        <v>1022</v>
      </c>
      <c r="E909" s="90" t="s">
        <v>117</v>
      </c>
      <c r="F909" s="88" t="s">
        <v>1895</v>
      </c>
      <c r="G909" s="88" t="s">
        <v>1282</v>
      </c>
      <c r="H909" s="82"/>
    </row>
    <row r="910" spans="1:8" x14ac:dyDescent="0.2">
      <c r="A910" s="85" t="s">
        <v>433</v>
      </c>
      <c r="B910" s="89" t="s">
        <v>1585</v>
      </c>
      <c r="C910" s="86" t="s">
        <v>1854</v>
      </c>
      <c r="D910" s="86" t="s">
        <v>1022</v>
      </c>
      <c r="E910" s="90" t="s">
        <v>133</v>
      </c>
      <c r="F910" s="88" t="s">
        <v>1829</v>
      </c>
      <c r="G910" s="88" t="s">
        <v>1281</v>
      </c>
      <c r="H910" s="82"/>
    </row>
    <row r="911" spans="1:8" x14ac:dyDescent="0.2">
      <c r="A911" s="85" t="s">
        <v>433</v>
      </c>
      <c r="B911" s="89" t="s">
        <v>1585</v>
      </c>
      <c r="C911" s="86" t="s">
        <v>1854</v>
      </c>
      <c r="D911" s="86" t="s">
        <v>1022</v>
      </c>
      <c r="E911" s="90" t="s">
        <v>133</v>
      </c>
      <c r="F911" s="88" t="s">
        <v>1830</v>
      </c>
      <c r="G911" s="88" t="s">
        <v>1281</v>
      </c>
      <c r="H911" s="82"/>
    </row>
    <row r="912" spans="1:8" x14ac:dyDescent="0.2">
      <c r="A912" s="85" t="s">
        <v>433</v>
      </c>
      <c r="B912" s="89" t="s">
        <v>1585</v>
      </c>
      <c r="C912" s="86" t="s">
        <v>1854</v>
      </c>
      <c r="D912" s="86" t="s">
        <v>1022</v>
      </c>
      <c r="E912" s="90" t="s">
        <v>133</v>
      </c>
      <c r="F912" s="88" t="s">
        <v>1831</v>
      </c>
      <c r="G912" s="88" t="s">
        <v>1281</v>
      </c>
      <c r="H912" s="82"/>
    </row>
    <row r="913" spans="1:8" x14ac:dyDescent="0.2">
      <c r="A913" s="85" t="s">
        <v>433</v>
      </c>
      <c r="B913" s="89" t="s">
        <v>1585</v>
      </c>
      <c r="C913" s="86" t="s">
        <v>1854</v>
      </c>
      <c r="D913" s="86" t="s">
        <v>1022</v>
      </c>
      <c r="E913" s="90" t="s">
        <v>133</v>
      </c>
      <c r="F913" s="88" t="s">
        <v>1832</v>
      </c>
      <c r="G913" s="88" t="s">
        <v>1281</v>
      </c>
      <c r="H913" s="82"/>
    </row>
    <row r="914" spans="1:8" x14ac:dyDescent="0.2">
      <c r="A914" s="85" t="s">
        <v>433</v>
      </c>
      <c r="B914" s="89" t="s">
        <v>1585</v>
      </c>
      <c r="C914" s="86" t="s">
        <v>1854</v>
      </c>
      <c r="D914" s="86" t="s">
        <v>1022</v>
      </c>
      <c r="E914" s="90" t="s">
        <v>133</v>
      </c>
      <c r="F914" s="88" t="s">
        <v>1833</v>
      </c>
      <c r="G914" s="88" t="s">
        <v>1281</v>
      </c>
      <c r="H914" s="82"/>
    </row>
    <row r="915" spans="1:8" x14ac:dyDescent="0.2">
      <c r="A915" s="85" t="s">
        <v>433</v>
      </c>
      <c r="B915" s="89" t="s">
        <v>1585</v>
      </c>
      <c r="C915" s="86" t="s">
        <v>1854</v>
      </c>
      <c r="D915" s="86" t="s">
        <v>1022</v>
      </c>
      <c r="E915" s="90" t="s">
        <v>133</v>
      </c>
      <c r="F915" s="88" t="s">
        <v>1834</v>
      </c>
      <c r="G915" s="88" t="s">
        <v>1281</v>
      </c>
      <c r="H915" s="82"/>
    </row>
    <row r="916" spans="1:8" x14ac:dyDescent="0.2">
      <c r="A916" s="85" t="s">
        <v>433</v>
      </c>
      <c r="B916" s="89" t="s">
        <v>1585</v>
      </c>
      <c r="C916" s="86" t="s">
        <v>1854</v>
      </c>
      <c r="D916" s="86" t="s">
        <v>1022</v>
      </c>
      <c r="E916" s="90" t="s">
        <v>133</v>
      </c>
      <c r="F916" s="88" t="s">
        <v>1891</v>
      </c>
      <c r="G916" s="88" t="s">
        <v>1281</v>
      </c>
      <c r="H916" s="82"/>
    </row>
    <row r="917" spans="1:8" x14ac:dyDescent="0.2">
      <c r="A917" s="85" t="s">
        <v>433</v>
      </c>
      <c r="B917" s="89" t="s">
        <v>1585</v>
      </c>
      <c r="C917" s="86" t="s">
        <v>1854</v>
      </c>
      <c r="D917" s="86" t="s">
        <v>1022</v>
      </c>
      <c r="E917" s="90" t="s">
        <v>133</v>
      </c>
      <c r="F917" s="88" t="s">
        <v>1892</v>
      </c>
      <c r="G917" s="88" t="s">
        <v>1281</v>
      </c>
      <c r="H917" s="82"/>
    </row>
    <row r="918" spans="1:8" x14ac:dyDescent="0.2">
      <c r="A918" s="85" t="s">
        <v>433</v>
      </c>
      <c r="B918" s="89" t="s">
        <v>1585</v>
      </c>
      <c r="C918" s="86" t="s">
        <v>1854</v>
      </c>
      <c r="D918" s="86" t="s">
        <v>1022</v>
      </c>
      <c r="E918" s="90" t="s">
        <v>133</v>
      </c>
      <c r="F918" s="88" t="s">
        <v>1893</v>
      </c>
      <c r="G918" s="88" t="s">
        <v>1281</v>
      </c>
      <c r="H918" s="82"/>
    </row>
    <row r="919" spans="1:8" x14ac:dyDescent="0.2">
      <c r="A919" s="85" t="s">
        <v>433</v>
      </c>
      <c r="B919" s="89" t="s">
        <v>1585</v>
      </c>
      <c r="C919" s="86" t="s">
        <v>1854</v>
      </c>
      <c r="D919" s="86" t="s">
        <v>1022</v>
      </c>
      <c r="E919" s="90" t="s">
        <v>133</v>
      </c>
      <c r="F919" s="88" t="s">
        <v>1894</v>
      </c>
      <c r="G919" s="88" t="s">
        <v>1281</v>
      </c>
      <c r="H919" s="82"/>
    </row>
    <row r="920" spans="1:8" x14ac:dyDescent="0.2">
      <c r="A920" s="85" t="s">
        <v>433</v>
      </c>
      <c r="B920" s="89" t="s">
        <v>1585</v>
      </c>
      <c r="C920" s="86" t="s">
        <v>1854</v>
      </c>
      <c r="D920" s="86" t="s">
        <v>1022</v>
      </c>
      <c r="E920" s="90" t="s">
        <v>133</v>
      </c>
      <c r="F920" s="88" t="s">
        <v>1895</v>
      </c>
      <c r="G920" s="88" t="s">
        <v>1281</v>
      </c>
      <c r="H920" s="82"/>
    </row>
    <row r="921" spans="1:8" x14ac:dyDescent="0.2">
      <c r="A921" s="85" t="s">
        <v>433</v>
      </c>
      <c r="B921" s="89" t="s">
        <v>1585</v>
      </c>
      <c r="C921" s="86" t="s">
        <v>1854</v>
      </c>
      <c r="D921" s="86" t="s">
        <v>1022</v>
      </c>
      <c r="E921" s="90" t="s">
        <v>117</v>
      </c>
      <c r="F921" s="88" t="s">
        <v>437</v>
      </c>
      <c r="G921" s="88" t="s">
        <v>1283</v>
      </c>
      <c r="H921" s="82"/>
    </row>
    <row r="922" spans="1:8" x14ac:dyDescent="0.2">
      <c r="A922" s="85" t="s">
        <v>433</v>
      </c>
      <c r="B922" s="89" t="s">
        <v>1585</v>
      </c>
      <c r="C922" s="86" t="s">
        <v>1854</v>
      </c>
      <c r="D922" s="86" t="s">
        <v>1022</v>
      </c>
      <c r="E922" s="90" t="s">
        <v>117</v>
      </c>
      <c r="F922" s="88" t="s">
        <v>1836</v>
      </c>
      <c r="G922" s="88" t="s">
        <v>1283</v>
      </c>
      <c r="H922" s="82"/>
    </row>
    <row r="923" spans="1:8" x14ac:dyDescent="0.2">
      <c r="A923" s="85" t="s">
        <v>433</v>
      </c>
      <c r="B923" s="89" t="s">
        <v>1585</v>
      </c>
      <c r="C923" s="86" t="s">
        <v>1854</v>
      </c>
      <c r="D923" s="86" t="s">
        <v>1022</v>
      </c>
      <c r="E923" s="90" t="s">
        <v>117</v>
      </c>
      <c r="F923" s="88" t="s">
        <v>1837</v>
      </c>
      <c r="G923" s="88" t="s">
        <v>1283</v>
      </c>
      <c r="H923" s="82"/>
    </row>
    <row r="924" spans="1:8" x14ac:dyDescent="0.2">
      <c r="A924" s="85" t="s">
        <v>433</v>
      </c>
      <c r="B924" s="89" t="s">
        <v>1585</v>
      </c>
      <c r="C924" s="86" t="s">
        <v>1854</v>
      </c>
      <c r="D924" s="86" t="s">
        <v>1022</v>
      </c>
      <c r="E924" s="90" t="s">
        <v>117</v>
      </c>
      <c r="F924" s="88" t="s">
        <v>1838</v>
      </c>
      <c r="G924" s="88" t="s">
        <v>1283</v>
      </c>
      <c r="H924" s="82"/>
    </row>
    <row r="925" spans="1:8" x14ac:dyDescent="0.2">
      <c r="A925" s="85" t="s">
        <v>433</v>
      </c>
      <c r="B925" s="89" t="s">
        <v>1585</v>
      </c>
      <c r="C925" s="86" t="s">
        <v>1854</v>
      </c>
      <c r="D925" s="86" t="s">
        <v>1022</v>
      </c>
      <c r="E925" s="90" t="s">
        <v>117</v>
      </c>
      <c r="F925" s="88" t="s">
        <v>1839</v>
      </c>
      <c r="G925" s="88" t="s">
        <v>1283</v>
      </c>
      <c r="H925" s="82"/>
    </row>
    <row r="926" spans="1:8" x14ac:dyDescent="0.2">
      <c r="A926" s="85" t="s">
        <v>433</v>
      </c>
      <c r="B926" s="89" t="s">
        <v>1585</v>
      </c>
      <c r="C926" s="86" t="s">
        <v>1854</v>
      </c>
      <c r="D926" s="86" t="s">
        <v>1022</v>
      </c>
      <c r="E926" s="90" t="s">
        <v>117</v>
      </c>
      <c r="F926" s="88" t="s">
        <v>1841</v>
      </c>
      <c r="G926" s="88" t="s">
        <v>1283</v>
      </c>
      <c r="H926" s="82"/>
    </row>
    <row r="927" spans="1:8" x14ac:dyDescent="0.2">
      <c r="A927" s="85" t="s">
        <v>433</v>
      </c>
      <c r="B927" s="89" t="s">
        <v>1585</v>
      </c>
      <c r="C927" s="86" t="s">
        <v>1854</v>
      </c>
      <c r="D927" s="86" t="s">
        <v>1022</v>
      </c>
      <c r="E927" s="90" t="s">
        <v>117</v>
      </c>
      <c r="F927" s="88" t="s">
        <v>1842</v>
      </c>
      <c r="G927" s="88" t="s">
        <v>1283</v>
      </c>
      <c r="H927" s="82"/>
    </row>
    <row r="928" spans="1:8" x14ac:dyDescent="0.2">
      <c r="A928" s="85" t="s">
        <v>433</v>
      </c>
      <c r="B928" s="89" t="s">
        <v>1585</v>
      </c>
      <c r="C928" s="86" t="s">
        <v>1854</v>
      </c>
      <c r="D928" s="86" t="s">
        <v>1022</v>
      </c>
      <c r="E928" s="90" t="s">
        <v>117</v>
      </c>
      <c r="F928" s="88" t="s">
        <v>1896</v>
      </c>
      <c r="G928" s="88" t="s">
        <v>1283</v>
      </c>
      <c r="H928" s="82"/>
    </row>
    <row r="929" spans="1:8" x14ac:dyDescent="0.2">
      <c r="A929" s="85" t="s">
        <v>433</v>
      </c>
      <c r="B929" s="89" t="s">
        <v>1585</v>
      </c>
      <c r="C929" s="86" t="s">
        <v>1854</v>
      </c>
      <c r="D929" s="86" t="s">
        <v>1022</v>
      </c>
      <c r="E929" s="90" t="s">
        <v>117</v>
      </c>
      <c r="F929" s="88" t="s">
        <v>1897</v>
      </c>
      <c r="G929" s="88" t="s">
        <v>1283</v>
      </c>
      <c r="H929" s="82"/>
    </row>
    <row r="930" spans="1:8" x14ac:dyDescent="0.2">
      <c r="A930" s="85" t="s">
        <v>433</v>
      </c>
      <c r="B930" s="89" t="s">
        <v>1585</v>
      </c>
      <c r="C930" s="86" t="s">
        <v>1854</v>
      </c>
      <c r="D930" s="86" t="s">
        <v>1022</v>
      </c>
      <c r="E930" s="90" t="s">
        <v>117</v>
      </c>
      <c r="F930" s="88" t="s">
        <v>1898</v>
      </c>
      <c r="G930" s="88" t="s">
        <v>1283</v>
      </c>
      <c r="H930" s="82"/>
    </row>
    <row r="931" spans="1:8" x14ac:dyDescent="0.2">
      <c r="A931" s="85" t="s">
        <v>433</v>
      </c>
      <c r="B931" s="89" t="s">
        <v>1585</v>
      </c>
      <c r="C931" s="86" t="s">
        <v>1854</v>
      </c>
      <c r="D931" s="86" t="s">
        <v>1022</v>
      </c>
      <c r="E931" s="90" t="s">
        <v>117</v>
      </c>
      <c r="F931" s="88" t="s">
        <v>1899</v>
      </c>
      <c r="G931" s="88" t="s">
        <v>1283</v>
      </c>
      <c r="H931" s="82"/>
    </row>
    <row r="932" spans="1:8" x14ac:dyDescent="0.2">
      <c r="A932" s="85" t="s">
        <v>433</v>
      </c>
      <c r="B932" s="89" t="s">
        <v>1585</v>
      </c>
      <c r="C932" s="86" t="s">
        <v>1854</v>
      </c>
      <c r="D932" s="86" t="s">
        <v>1022</v>
      </c>
      <c r="E932" s="90" t="s">
        <v>117</v>
      </c>
      <c r="F932" s="88" t="s">
        <v>1900</v>
      </c>
      <c r="G932" s="88" t="s">
        <v>1283</v>
      </c>
      <c r="H932" s="82"/>
    </row>
    <row r="933" spans="1:8" x14ac:dyDescent="0.2">
      <c r="A933" s="85" t="s">
        <v>433</v>
      </c>
      <c r="B933" s="97" t="s">
        <v>1868</v>
      </c>
      <c r="C933" s="86" t="s">
        <v>1854</v>
      </c>
      <c r="D933" s="86" t="s">
        <v>1022</v>
      </c>
      <c r="E933" s="90" t="s">
        <v>117</v>
      </c>
      <c r="F933" s="88" t="s">
        <v>437</v>
      </c>
      <c r="G933" s="88" t="s">
        <v>1306</v>
      </c>
      <c r="H933" s="82"/>
    </row>
    <row r="934" spans="1:8" x14ac:dyDescent="0.2">
      <c r="A934" s="85" t="s">
        <v>433</v>
      </c>
      <c r="B934" s="97" t="s">
        <v>1868</v>
      </c>
      <c r="C934" s="86" t="s">
        <v>1854</v>
      </c>
      <c r="D934" s="86" t="s">
        <v>1022</v>
      </c>
      <c r="E934" s="90" t="s">
        <v>117</v>
      </c>
      <c r="F934" s="88" t="s">
        <v>1836</v>
      </c>
      <c r="G934" s="88" t="s">
        <v>1306</v>
      </c>
      <c r="H934" s="82"/>
    </row>
    <row r="935" spans="1:8" x14ac:dyDescent="0.2">
      <c r="A935" s="85" t="s">
        <v>433</v>
      </c>
      <c r="B935" s="97" t="s">
        <v>1868</v>
      </c>
      <c r="C935" s="86" t="s">
        <v>1854</v>
      </c>
      <c r="D935" s="86" t="s">
        <v>1022</v>
      </c>
      <c r="E935" s="90" t="s">
        <v>117</v>
      </c>
      <c r="F935" s="88" t="s">
        <v>1837</v>
      </c>
      <c r="G935" s="88" t="s">
        <v>1306</v>
      </c>
      <c r="H935" s="82"/>
    </row>
    <row r="936" spans="1:8" x14ac:dyDescent="0.2">
      <c r="A936" s="85" t="s">
        <v>433</v>
      </c>
      <c r="B936" s="97" t="s">
        <v>1868</v>
      </c>
      <c r="C936" s="86" t="s">
        <v>1854</v>
      </c>
      <c r="D936" s="86" t="s">
        <v>1022</v>
      </c>
      <c r="E936" s="90" t="s">
        <v>117</v>
      </c>
      <c r="F936" s="88" t="s">
        <v>1838</v>
      </c>
      <c r="G936" s="88" t="s">
        <v>1306</v>
      </c>
      <c r="H936" s="82"/>
    </row>
    <row r="937" spans="1:8" x14ac:dyDescent="0.2">
      <c r="A937" s="85" t="s">
        <v>433</v>
      </c>
      <c r="B937" s="97" t="s">
        <v>1868</v>
      </c>
      <c r="C937" s="86" t="s">
        <v>1854</v>
      </c>
      <c r="D937" s="86" t="s">
        <v>1022</v>
      </c>
      <c r="E937" s="90" t="s">
        <v>117</v>
      </c>
      <c r="F937" s="88" t="s">
        <v>1839</v>
      </c>
      <c r="G937" s="88" t="s">
        <v>1306</v>
      </c>
      <c r="H937" s="82"/>
    </row>
    <row r="938" spans="1:8" x14ac:dyDescent="0.2">
      <c r="A938" s="85" t="s">
        <v>433</v>
      </c>
      <c r="B938" s="97" t="s">
        <v>1868</v>
      </c>
      <c r="C938" s="86" t="s">
        <v>1854</v>
      </c>
      <c r="D938" s="86" t="s">
        <v>1022</v>
      </c>
      <c r="E938" s="90" t="s">
        <v>117</v>
      </c>
      <c r="F938" s="88" t="s">
        <v>1840</v>
      </c>
      <c r="G938" s="88" t="s">
        <v>1306</v>
      </c>
      <c r="H938" s="82"/>
    </row>
    <row r="939" spans="1:8" x14ac:dyDescent="0.2">
      <c r="A939" s="85" t="s">
        <v>433</v>
      </c>
      <c r="B939" s="97" t="s">
        <v>1868</v>
      </c>
      <c r="C939" s="86" t="s">
        <v>1854</v>
      </c>
      <c r="D939" s="86" t="s">
        <v>1022</v>
      </c>
      <c r="E939" s="90" t="s">
        <v>117</v>
      </c>
      <c r="F939" s="88" t="s">
        <v>1841</v>
      </c>
      <c r="G939" s="88" t="s">
        <v>1306</v>
      </c>
      <c r="H939" s="82"/>
    </row>
    <row r="940" spans="1:8" x14ac:dyDescent="0.2">
      <c r="A940" s="85" t="s">
        <v>433</v>
      </c>
      <c r="B940" s="97" t="s">
        <v>1868</v>
      </c>
      <c r="C940" s="86" t="s">
        <v>1854</v>
      </c>
      <c r="D940" s="86" t="s">
        <v>1022</v>
      </c>
      <c r="E940" s="90" t="s">
        <v>117</v>
      </c>
      <c r="F940" s="88" t="s">
        <v>1842</v>
      </c>
      <c r="G940" s="88" t="s">
        <v>1306</v>
      </c>
      <c r="H940" s="82"/>
    </row>
    <row r="941" spans="1:8" x14ac:dyDescent="0.2">
      <c r="A941" s="85" t="s">
        <v>433</v>
      </c>
      <c r="B941" s="97" t="s">
        <v>1868</v>
      </c>
      <c r="C941" s="86" t="s">
        <v>1854</v>
      </c>
      <c r="D941" s="86" t="s">
        <v>1022</v>
      </c>
      <c r="E941" s="90" t="s">
        <v>117</v>
      </c>
      <c r="F941" s="88" t="s">
        <v>1896</v>
      </c>
      <c r="G941" s="88" t="s">
        <v>1306</v>
      </c>
      <c r="H941" s="82"/>
    </row>
    <row r="942" spans="1:8" x14ac:dyDescent="0.2">
      <c r="A942" s="85" t="s">
        <v>433</v>
      </c>
      <c r="B942" s="97" t="s">
        <v>1868</v>
      </c>
      <c r="C942" s="86" t="s">
        <v>1854</v>
      </c>
      <c r="D942" s="86" t="s">
        <v>1022</v>
      </c>
      <c r="E942" s="90" t="s">
        <v>117</v>
      </c>
      <c r="F942" s="88" t="s">
        <v>1897</v>
      </c>
      <c r="G942" s="88" t="s">
        <v>1306</v>
      </c>
      <c r="H942" s="82"/>
    </row>
    <row r="943" spans="1:8" x14ac:dyDescent="0.2">
      <c r="A943" s="85" t="s">
        <v>433</v>
      </c>
      <c r="B943" s="97" t="s">
        <v>1868</v>
      </c>
      <c r="C943" s="86" t="s">
        <v>1854</v>
      </c>
      <c r="D943" s="86" t="s">
        <v>1022</v>
      </c>
      <c r="E943" s="90" t="s">
        <v>117</v>
      </c>
      <c r="F943" s="88" t="s">
        <v>1898</v>
      </c>
      <c r="G943" s="88" t="s">
        <v>1306</v>
      </c>
      <c r="H943" s="82"/>
    </row>
    <row r="944" spans="1:8" x14ac:dyDescent="0.2">
      <c r="A944" s="85" t="s">
        <v>433</v>
      </c>
      <c r="B944" s="97" t="s">
        <v>1868</v>
      </c>
      <c r="C944" s="86" t="s">
        <v>1854</v>
      </c>
      <c r="D944" s="86" t="s">
        <v>1022</v>
      </c>
      <c r="E944" s="90" t="s">
        <v>117</v>
      </c>
      <c r="F944" s="88" t="s">
        <v>1899</v>
      </c>
      <c r="G944" s="88" t="s">
        <v>1306</v>
      </c>
      <c r="H944" s="82"/>
    </row>
    <row r="945" spans="1:8" x14ac:dyDescent="0.2">
      <c r="A945" s="85" t="s">
        <v>433</v>
      </c>
      <c r="B945" s="97" t="s">
        <v>1868</v>
      </c>
      <c r="C945" s="86" t="s">
        <v>1854</v>
      </c>
      <c r="D945" s="86" t="s">
        <v>1022</v>
      </c>
      <c r="E945" s="90" t="s">
        <v>117</v>
      </c>
      <c r="F945" s="88" t="s">
        <v>1900</v>
      </c>
      <c r="G945" s="88" t="s">
        <v>1306</v>
      </c>
      <c r="H945" s="82"/>
    </row>
    <row r="946" spans="1:8" x14ac:dyDescent="0.2">
      <c r="A946" s="85" t="s">
        <v>433</v>
      </c>
      <c r="B946" s="89" t="s">
        <v>1585</v>
      </c>
      <c r="C946" s="86" t="s">
        <v>1854</v>
      </c>
      <c r="D946" s="86" t="s">
        <v>1022</v>
      </c>
      <c r="E946" s="90" t="s">
        <v>117</v>
      </c>
      <c r="F946" s="88" t="s">
        <v>1843</v>
      </c>
      <c r="G946" s="88" t="s">
        <v>1284</v>
      </c>
      <c r="H946" s="82"/>
    </row>
    <row r="947" spans="1:8" x14ac:dyDescent="0.2">
      <c r="A947" s="85" t="s">
        <v>433</v>
      </c>
      <c r="B947" s="89" t="s">
        <v>1585</v>
      </c>
      <c r="C947" s="86" t="s">
        <v>1854</v>
      </c>
      <c r="D947" s="86" t="s">
        <v>1022</v>
      </c>
      <c r="E947" s="90" t="s">
        <v>117</v>
      </c>
      <c r="F947" s="88" t="s">
        <v>1844</v>
      </c>
      <c r="G947" s="88" t="s">
        <v>1284</v>
      </c>
      <c r="H947" s="82"/>
    </row>
    <row r="948" spans="1:8" x14ac:dyDescent="0.2">
      <c r="A948" s="85" t="s">
        <v>433</v>
      </c>
      <c r="B948" s="89" t="s">
        <v>1585</v>
      </c>
      <c r="C948" s="86" t="s">
        <v>1854</v>
      </c>
      <c r="D948" s="86" t="s">
        <v>1022</v>
      </c>
      <c r="E948" s="90" t="s">
        <v>117</v>
      </c>
      <c r="F948" s="88" t="s">
        <v>1845</v>
      </c>
      <c r="G948" s="88" t="s">
        <v>1284</v>
      </c>
      <c r="H948" s="82"/>
    </row>
    <row r="949" spans="1:8" x14ac:dyDescent="0.2">
      <c r="A949" s="85" t="s">
        <v>433</v>
      </c>
      <c r="B949" s="89" t="s">
        <v>1585</v>
      </c>
      <c r="C949" s="86" t="s">
        <v>1854</v>
      </c>
      <c r="D949" s="86" t="s">
        <v>1022</v>
      </c>
      <c r="E949" s="90" t="s">
        <v>117</v>
      </c>
      <c r="F949" s="88" t="s">
        <v>1846</v>
      </c>
      <c r="G949" s="88" t="s">
        <v>1284</v>
      </c>
      <c r="H949" s="82"/>
    </row>
    <row r="950" spans="1:8" x14ac:dyDescent="0.2">
      <c r="A950" s="85" t="s">
        <v>433</v>
      </c>
      <c r="B950" s="89" t="s">
        <v>1585</v>
      </c>
      <c r="C950" s="86" t="s">
        <v>1854</v>
      </c>
      <c r="D950" s="86" t="s">
        <v>1022</v>
      </c>
      <c r="E950" s="90" t="s">
        <v>117</v>
      </c>
      <c r="F950" s="88" t="s">
        <v>1847</v>
      </c>
      <c r="G950" s="88" t="s">
        <v>1284</v>
      </c>
      <c r="H950" s="82"/>
    </row>
    <row r="951" spans="1:8" x14ac:dyDescent="0.2">
      <c r="A951" s="85" t="s">
        <v>433</v>
      </c>
      <c r="B951" s="89" t="s">
        <v>1585</v>
      </c>
      <c r="C951" s="86" t="s">
        <v>1854</v>
      </c>
      <c r="D951" s="86" t="s">
        <v>1022</v>
      </c>
      <c r="E951" s="90" t="s">
        <v>117</v>
      </c>
      <c r="F951" s="88" t="s">
        <v>1848</v>
      </c>
      <c r="G951" s="88" t="s">
        <v>1284</v>
      </c>
      <c r="H951" s="82"/>
    </row>
    <row r="952" spans="1:8" x14ac:dyDescent="0.2">
      <c r="A952" s="85" t="s">
        <v>433</v>
      </c>
      <c r="B952" s="89" t="s">
        <v>1585</v>
      </c>
      <c r="C952" s="86" t="s">
        <v>1854</v>
      </c>
      <c r="D952" s="86" t="s">
        <v>1022</v>
      </c>
      <c r="E952" s="90" t="s">
        <v>117</v>
      </c>
      <c r="F952" s="88" t="s">
        <v>1901</v>
      </c>
      <c r="G952" s="88" t="s">
        <v>1284</v>
      </c>
      <c r="H952" s="82"/>
    </row>
    <row r="953" spans="1:8" x14ac:dyDescent="0.2">
      <c r="A953" s="85" t="s">
        <v>433</v>
      </c>
      <c r="B953" s="89" t="s">
        <v>1585</v>
      </c>
      <c r="C953" s="86" t="s">
        <v>1854</v>
      </c>
      <c r="D953" s="86" t="s">
        <v>1022</v>
      </c>
      <c r="E953" s="90" t="s">
        <v>117</v>
      </c>
      <c r="F953" s="88" t="s">
        <v>1902</v>
      </c>
      <c r="G953" s="88" t="s">
        <v>1284</v>
      </c>
      <c r="H953" s="82"/>
    </row>
    <row r="954" spans="1:8" x14ac:dyDescent="0.2">
      <c r="A954" s="85" t="s">
        <v>433</v>
      </c>
      <c r="B954" s="89" t="s">
        <v>1585</v>
      </c>
      <c r="C954" s="86" t="s">
        <v>1854</v>
      </c>
      <c r="D954" s="86" t="s">
        <v>1022</v>
      </c>
      <c r="E954" s="90" t="s">
        <v>117</v>
      </c>
      <c r="F954" s="88" t="s">
        <v>1903</v>
      </c>
      <c r="G954" s="88" t="s">
        <v>1284</v>
      </c>
      <c r="H954" s="82"/>
    </row>
    <row r="955" spans="1:8" x14ac:dyDescent="0.2">
      <c r="A955" s="85" t="s">
        <v>433</v>
      </c>
      <c r="B955" s="89" t="s">
        <v>1585</v>
      </c>
      <c r="C955" s="86" t="s">
        <v>1854</v>
      </c>
      <c r="D955" s="86" t="s">
        <v>1022</v>
      </c>
      <c r="E955" s="90" t="s">
        <v>117</v>
      </c>
      <c r="F955" s="88" t="s">
        <v>1904</v>
      </c>
      <c r="G955" s="88" t="s">
        <v>1284</v>
      </c>
      <c r="H955" s="82"/>
    </row>
    <row r="956" spans="1:8" x14ac:dyDescent="0.2">
      <c r="A956" s="85" t="s">
        <v>433</v>
      </c>
      <c r="B956" s="89" t="s">
        <v>1585</v>
      </c>
      <c r="C956" s="86" t="s">
        <v>1854</v>
      </c>
      <c r="D956" s="86" t="s">
        <v>1022</v>
      </c>
      <c r="E956" s="90" t="s">
        <v>117</v>
      </c>
      <c r="F956" s="88" t="s">
        <v>1905</v>
      </c>
      <c r="G956" s="88" t="s">
        <v>1284</v>
      </c>
      <c r="H956" s="82"/>
    </row>
    <row r="957" spans="1:8" x14ac:dyDescent="0.2">
      <c r="A957" s="85" t="s">
        <v>433</v>
      </c>
      <c r="B957" s="97" t="s">
        <v>1868</v>
      </c>
      <c r="C957" s="86" t="s">
        <v>1854</v>
      </c>
      <c r="D957" s="86" t="s">
        <v>1022</v>
      </c>
      <c r="E957" s="90" t="s">
        <v>117</v>
      </c>
      <c r="F957" s="88" t="s">
        <v>1843</v>
      </c>
      <c r="G957" s="88" t="s">
        <v>1307</v>
      </c>
      <c r="H957" s="82"/>
    </row>
    <row r="958" spans="1:8" x14ac:dyDescent="0.2">
      <c r="A958" s="85" t="s">
        <v>433</v>
      </c>
      <c r="B958" s="97" t="s">
        <v>1868</v>
      </c>
      <c r="C958" s="86" t="s">
        <v>1854</v>
      </c>
      <c r="D958" s="86" t="s">
        <v>1022</v>
      </c>
      <c r="E958" s="90" t="s">
        <v>117</v>
      </c>
      <c r="F958" s="88" t="s">
        <v>1844</v>
      </c>
      <c r="G958" s="88" t="s">
        <v>1307</v>
      </c>
      <c r="H958" s="82"/>
    </row>
    <row r="959" spans="1:8" x14ac:dyDescent="0.2">
      <c r="A959" s="85" t="s">
        <v>433</v>
      </c>
      <c r="B959" s="97" t="s">
        <v>1868</v>
      </c>
      <c r="C959" s="86" t="s">
        <v>1854</v>
      </c>
      <c r="D959" s="86" t="s">
        <v>1022</v>
      </c>
      <c r="E959" s="90" t="s">
        <v>117</v>
      </c>
      <c r="F959" s="88" t="s">
        <v>1845</v>
      </c>
      <c r="G959" s="88" t="s">
        <v>1307</v>
      </c>
      <c r="H959" s="82"/>
    </row>
    <row r="960" spans="1:8" x14ac:dyDescent="0.2">
      <c r="A960" s="85" t="s">
        <v>433</v>
      </c>
      <c r="B960" s="97" t="s">
        <v>1868</v>
      </c>
      <c r="C960" s="86" t="s">
        <v>1854</v>
      </c>
      <c r="D960" s="86" t="s">
        <v>1022</v>
      </c>
      <c r="E960" s="90" t="s">
        <v>117</v>
      </c>
      <c r="F960" s="88" t="s">
        <v>1846</v>
      </c>
      <c r="G960" s="88" t="s">
        <v>1307</v>
      </c>
      <c r="H960" s="82"/>
    </row>
    <row r="961" spans="1:8" x14ac:dyDescent="0.2">
      <c r="A961" s="85" t="s">
        <v>433</v>
      </c>
      <c r="B961" s="97" t="s">
        <v>1868</v>
      </c>
      <c r="C961" s="86" t="s">
        <v>1854</v>
      </c>
      <c r="D961" s="86" t="s">
        <v>1022</v>
      </c>
      <c r="E961" s="90" t="s">
        <v>117</v>
      </c>
      <c r="F961" s="88" t="s">
        <v>1847</v>
      </c>
      <c r="G961" s="88" t="s">
        <v>1307</v>
      </c>
      <c r="H961" s="82"/>
    </row>
    <row r="962" spans="1:8" x14ac:dyDescent="0.2">
      <c r="A962" s="85" t="s">
        <v>433</v>
      </c>
      <c r="B962" s="97" t="s">
        <v>1868</v>
      </c>
      <c r="C962" s="86" t="s">
        <v>1854</v>
      </c>
      <c r="D962" s="86" t="s">
        <v>1022</v>
      </c>
      <c r="E962" s="90" t="s">
        <v>117</v>
      </c>
      <c r="F962" s="88" t="s">
        <v>1848</v>
      </c>
      <c r="G962" s="88" t="s">
        <v>1307</v>
      </c>
      <c r="H962" s="82"/>
    </row>
    <row r="963" spans="1:8" x14ac:dyDescent="0.2">
      <c r="A963" s="85" t="s">
        <v>433</v>
      </c>
      <c r="B963" s="97" t="s">
        <v>1868</v>
      </c>
      <c r="C963" s="86" t="s">
        <v>1854</v>
      </c>
      <c r="D963" s="86" t="s">
        <v>1022</v>
      </c>
      <c r="E963" s="90" t="s">
        <v>117</v>
      </c>
      <c r="F963" s="88" t="s">
        <v>1849</v>
      </c>
      <c r="G963" s="88" t="s">
        <v>1307</v>
      </c>
      <c r="H963" s="82"/>
    </row>
    <row r="964" spans="1:8" x14ac:dyDescent="0.2">
      <c r="A964" s="85" t="s">
        <v>433</v>
      </c>
      <c r="B964" s="97" t="s">
        <v>1868</v>
      </c>
      <c r="C964" s="86" t="s">
        <v>1854</v>
      </c>
      <c r="D964" s="86" t="s">
        <v>1022</v>
      </c>
      <c r="E964" s="90" t="s">
        <v>117</v>
      </c>
      <c r="F964" s="88" t="s">
        <v>1901</v>
      </c>
      <c r="G964" s="88" t="s">
        <v>1307</v>
      </c>
      <c r="H964" s="82"/>
    </row>
    <row r="965" spans="1:8" x14ac:dyDescent="0.2">
      <c r="A965" s="85" t="s">
        <v>433</v>
      </c>
      <c r="B965" s="97" t="s">
        <v>1868</v>
      </c>
      <c r="C965" s="86" t="s">
        <v>1854</v>
      </c>
      <c r="D965" s="86" t="s">
        <v>1022</v>
      </c>
      <c r="E965" s="90" t="s">
        <v>117</v>
      </c>
      <c r="F965" s="88" t="s">
        <v>1902</v>
      </c>
      <c r="G965" s="88" t="s">
        <v>1307</v>
      </c>
      <c r="H965" s="82"/>
    </row>
    <row r="966" spans="1:8" x14ac:dyDescent="0.2">
      <c r="A966" s="85" t="s">
        <v>433</v>
      </c>
      <c r="B966" s="97" t="s">
        <v>1868</v>
      </c>
      <c r="C966" s="86" t="s">
        <v>1854</v>
      </c>
      <c r="D966" s="86" t="s">
        <v>1022</v>
      </c>
      <c r="E966" s="90" t="s">
        <v>117</v>
      </c>
      <c r="F966" s="88" t="s">
        <v>1903</v>
      </c>
      <c r="G966" s="88" t="s">
        <v>1307</v>
      </c>
      <c r="H966" s="82"/>
    </row>
    <row r="967" spans="1:8" x14ac:dyDescent="0.2">
      <c r="A967" s="85" t="s">
        <v>433</v>
      </c>
      <c r="B967" s="97" t="s">
        <v>1868</v>
      </c>
      <c r="C967" s="86" t="s">
        <v>1854</v>
      </c>
      <c r="D967" s="86" t="s">
        <v>1022</v>
      </c>
      <c r="E967" s="90" t="s">
        <v>117</v>
      </c>
      <c r="F967" s="88" t="s">
        <v>1904</v>
      </c>
      <c r="G967" s="88" t="s">
        <v>1307</v>
      </c>
      <c r="H967" s="82"/>
    </row>
    <row r="968" spans="1:8" x14ac:dyDescent="0.2">
      <c r="A968" s="85" t="s">
        <v>433</v>
      </c>
      <c r="B968" s="97" t="s">
        <v>1868</v>
      </c>
      <c r="C968" s="86" t="s">
        <v>1854</v>
      </c>
      <c r="D968" s="86" t="s">
        <v>1022</v>
      </c>
      <c r="E968" s="90" t="s">
        <v>117</v>
      </c>
      <c r="F968" s="88" t="s">
        <v>1905</v>
      </c>
      <c r="G968" s="88" t="s">
        <v>1307</v>
      </c>
      <c r="H968" s="82"/>
    </row>
    <row r="969" spans="1:8" ht="16" x14ac:dyDescent="0.2">
      <c r="A969" s="85" t="s">
        <v>433</v>
      </c>
      <c r="B969" s="89" t="s">
        <v>1585</v>
      </c>
      <c r="C969" s="86" t="s">
        <v>1854</v>
      </c>
      <c r="D969" s="86" t="s">
        <v>1022</v>
      </c>
      <c r="E969" s="90" t="s">
        <v>140</v>
      </c>
      <c r="F969" s="88" t="s">
        <v>1851</v>
      </c>
      <c r="G969" s="100" t="s">
        <v>1164</v>
      </c>
      <c r="H969" s="82"/>
    </row>
    <row r="970" spans="1:8" ht="16" x14ac:dyDescent="0.2">
      <c r="A970" s="85" t="s">
        <v>433</v>
      </c>
      <c r="B970" s="89" t="s">
        <v>1585</v>
      </c>
      <c r="C970" s="86" t="s">
        <v>1854</v>
      </c>
      <c r="D970" s="86" t="s">
        <v>1022</v>
      </c>
      <c r="E970" s="90" t="s">
        <v>140</v>
      </c>
      <c r="F970" s="88" t="s">
        <v>1852</v>
      </c>
      <c r="G970" s="100" t="s">
        <v>1164</v>
      </c>
      <c r="H970" s="82"/>
    </row>
    <row r="971" spans="1:8" ht="16" x14ac:dyDescent="0.2">
      <c r="A971" s="85" t="s">
        <v>433</v>
      </c>
      <c r="B971" s="89" t="s">
        <v>1585</v>
      </c>
      <c r="C971" s="86" t="s">
        <v>1854</v>
      </c>
      <c r="D971" s="86" t="s">
        <v>1022</v>
      </c>
      <c r="E971" s="90" t="s">
        <v>140</v>
      </c>
      <c r="F971" s="88" t="s">
        <v>1906</v>
      </c>
      <c r="G971" s="100" t="s">
        <v>1164</v>
      </c>
      <c r="H971" s="82"/>
    </row>
    <row r="972" spans="1:8" ht="16" x14ac:dyDescent="0.2">
      <c r="A972" s="85" t="s">
        <v>433</v>
      </c>
      <c r="B972" s="97" t="s">
        <v>1868</v>
      </c>
      <c r="C972" s="86" t="s">
        <v>1854</v>
      </c>
      <c r="D972" s="86" t="s">
        <v>1022</v>
      </c>
      <c r="E972" s="90" t="s">
        <v>117</v>
      </c>
      <c r="F972" s="88" t="s">
        <v>1906</v>
      </c>
      <c r="G972" s="100" t="s">
        <v>647</v>
      </c>
      <c r="H972" s="82"/>
    </row>
    <row r="973" spans="1:8" ht="16" x14ac:dyDescent="0.2">
      <c r="A973" s="85" t="s">
        <v>433</v>
      </c>
      <c r="B973" s="97" t="s">
        <v>1868</v>
      </c>
      <c r="C973" s="86" t="s">
        <v>1854</v>
      </c>
      <c r="D973" s="86" t="s">
        <v>1022</v>
      </c>
      <c r="E973" s="90" t="s">
        <v>117</v>
      </c>
      <c r="F973" s="88" t="s">
        <v>1852</v>
      </c>
      <c r="G973" s="100" t="s">
        <v>647</v>
      </c>
      <c r="H973" s="82"/>
    </row>
    <row r="974" spans="1:8" ht="16" x14ac:dyDescent="0.2">
      <c r="A974" s="85" t="s">
        <v>433</v>
      </c>
      <c r="B974" s="97" t="s">
        <v>1868</v>
      </c>
      <c r="C974" s="86" t="s">
        <v>1854</v>
      </c>
      <c r="D974" s="86" t="s">
        <v>1022</v>
      </c>
      <c r="E974" s="90" t="s">
        <v>117</v>
      </c>
      <c r="F974" s="88" t="s">
        <v>1907</v>
      </c>
      <c r="G974" s="100" t="s">
        <v>647</v>
      </c>
      <c r="H974" s="82"/>
    </row>
    <row r="975" spans="1:8" ht="16" x14ac:dyDescent="0.2">
      <c r="A975" s="85" t="s">
        <v>433</v>
      </c>
      <c r="B975" s="89" t="s">
        <v>1585</v>
      </c>
      <c r="C975" s="86" t="s">
        <v>1854</v>
      </c>
      <c r="D975" s="86" t="s">
        <v>1022</v>
      </c>
      <c r="E975" s="90" t="s">
        <v>133</v>
      </c>
      <c r="F975" s="88" t="s">
        <v>1852</v>
      </c>
      <c r="G975" s="100" t="s">
        <v>1278</v>
      </c>
      <c r="H975" s="82"/>
    </row>
    <row r="976" spans="1:8" ht="16" x14ac:dyDescent="0.2">
      <c r="A976" s="85" t="s">
        <v>433</v>
      </c>
      <c r="B976" s="89" t="s">
        <v>1585</v>
      </c>
      <c r="C976" s="86" t="s">
        <v>1854</v>
      </c>
      <c r="D976" s="86" t="s">
        <v>1022</v>
      </c>
      <c r="E976" s="90" t="s">
        <v>133</v>
      </c>
      <c r="F976" s="88" t="s">
        <v>1906</v>
      </c>
      <c r="G976" s="100" t="s">
        <v>1278</v>
      </c>
      <c r="H976" s="82"/>
    </row>
    <row r="977" spans="1:8" ht="16" x14ac:dyDescent="0.2">
      <c r="A977" s="85" t="s">
        <v>433</v>
      </c>
      <c r="B977" s="89" t="s">
        <v>1585</v>
      </c>
      <c r="C977" s="86" t="s">
        <v>1854</v>
      </c>
      <c r="D977" s="86" t="s">
        <v>1022</v>
      </c>
      <c r="E977" s="90" t="s">
        <v>117</v>
      </c>
      <c r="F977" s="88" t="s">
        <v>1852</v>
      </c>
      <c r="G977" s="100" t="s">
        <v>1277</v>
      </c>
      <c r="H977" s="82"/>
    </row>
    <row r="978" spans="1:8" ht="16" x14ac:dyDescent="0.2">
      <c r="A978" s="85" t="s">
        <v>433</v>
      </c>
      <c r="B978" s="89" t="s">
        <v>1585</v>
      </c>
      <c r="C978" s="86" t="s">
        <v>1854</v>
      </c>
      <c r="D978" s="86" t="s">
        <v>1022</v>
      </c>
      <c r="E978" s="90" t="s">
        <v>117</v>
      </c>
      <c r="F978" s="88" t="s">
        <v>1906</v>
      </c>
      <c r="G978" s="100" t="s">
        <v>1277</v>
      </c>
      <c r="H978" s="82"/>
    </row>
    <row r="979" spans="1:8" ht="16" x14ac:dyDescent="0.2">
      <c r="A979" s="85" t="s">
        <v>433</v>
      </c>
      <c r="B979" s="89" t="s">
        <v>1585</v>
      </c>
      <c r="C979" s="86" t="s">
        <v>1854</v>
      </c>
      <c r="D979" s="86" t="s">
        <v>1022</v>
      </c>
      <c r="E979" s="90" t="s">
        <v>158</v>
      </c>
      <c r="F979" s="88" t="s">
        <v>1852</v>
      </c>
      <c r="G979" s="100" t="s">
        <v>1277</v>
      </c>
      <c r="H979" s="82"/>
    </row>
    <row r="980" spans="1:8" ht="16" x14ac:dyDescent="0.2">
      <c r="A980" s="85" t="s">
        <v>433</v>
      </c>
      <c r="B980" s="89" t="s">
        <v>1585</v>
      </c>
      <c r="C980" s="86" t="s">
        <v>1854</v>
      </c>
      <c r="D980" s="86" t="s">
        <v>1022</v>
      </c>
      <c r="E980" s="90" t="s">
        <v>158</v>
      </c>
      <c r="F980" s="88" t="s">
        <v>1906</v>
      </c>
      <c r="G980" s="100" t="s">
        <v>1277</v>
      </c>
      <c r="H980" s="82"/>
    </row>
    <row r="981" spans="1:8" ht="16" x14ac:dyDescent="0.2">
      <c r="A981" s="85" t="s">
        <v>1583</v>
      </c>
      <c r="B981" s="97" t="s">
        <v>1588</v>
      </c>
      <c r="C981" s="86" t="s">
        <v>1908</v>
      </c>
      <c r="D981" s="86" t="s">
        <v>1020</v>
      </c>
      <c r="E981" s="90" t="s">
        <v>117</v>
      </c>
      <c r="F981" s="88" t="s">
        <v>254</v>
      </c>
      <c r="G981" s="87" t="s">
        <v>615</v>
      </c>
      <c r="H981" s="82"/>
    </row>
    <row r="982" spans="1:8" ht="16" x14ac:dyDescent="0.2">
      <c r="A982" s="85" t="s">
        <v>433</v>
      </c>
      <c r="B982" s="89" t="s">
        <v>1585</v>
      </c>
      <c r="C982" s="86" t="s">
        <v>1908</v>
      </c>
      <c r="D982" s="86" t="s">
        <v>1020</v>
      </c>
      <c r="E982" s="90" t="s">
        <v>117</v>
      </c>
      <c r="F982" s="88" t="s">
        <v>433</v>
      </c>
      <c r="G982" s="87" t="s">
        <v>1260</v>
      </c>
      <c r="H982" s="82"/>
    </row>
    <row r="983" spans="1:8" ht="16" x14ac:dyDescent="0.2">
      <c r="A983" s="85" t="s">
        <v>433</v>
      </c>
      <c r="B983" s="89" t="s">
        <v>1585</v>
      </c>
      <c r="C983" s="86" t="s">
        <v>1908</v>
      </c>
      <c r="D983" s="86" t="s">
        <v>1020</v>
      </c>
      <c r="E983" s="90" t="s">
        <v>117</v>
      </c>
      <c r="F983" s="88" t="s">
        <v>1824</v>
      </c>
      <c r="G983" s="87" t="s">
        <v>1260</v>
      </c>
      <c r="H983" s="82"/>
    </row>
    <row r="984" spans="1:8" ht="16" x14ac:dyDescent="0.2">
      <c r="A984" s="85" t="s">
        <v>433</v>
      </c>
      <c r="B984" s="89" t="s">
        <v>1585</v>
      </c>
      <c r="C984" s="86" t="s">
        <v>1908</v>
      </c>
      <c r="D984" s="86" t="s">
        <v>1020</v>
      </c>
      <c r="E984" s="90" t="s">
        <v>117</v>
      </c>
      <c r="F984" s="88" t="s">
        <v>1825</v>
      </c>
      <c r="G984" s="87" t="s">
        <v>1260</v>
      </c>
      <c r="H984" s="82"/>
    </row>
    <row r="985" spans="1:8" ht="16" x14ac:dyDescent="0.2">
      <c r="A985" s="85" t="s">
        <v>433</v>
      </c>
      <c r="B985" s="89" t="s">
        <v>1585</v>
      </c>
      <c r="C985" s="86" t="s">
        <v>1908</v>
      </c>
      <c r="D985" s="86" t="s">
        <v>1020</v>
      </c>
      <c r="E985" s="90" t="s">
        <v>117</v>
      </c>
      <c r="F985" s="88" t="s">
        <v>1885</v>
      </c>
      <c r="G985" s="87" t="s">
        <v>1260</v>
      </c>
      <c r="H985" s="82"/>
    </row>
    <row r="986" spans="1:8" ht="16" x14ac:dyDescent="0.2">
      <c r="A986" s="85" t="s">
        <v>433</v>
      </c>
      <c r="B986" s="89" t="s">
        <v>1585</v>
      </c>
      <c r="C986" s="86" t="s">
        <v>1908</v>
      </c>
      <c r="D986" s="86" t="s">
        <v>1020</v>
      </c>
      <c r="E986" s="90" t="s">
        <v>117</v>
      </c>
      <c r="F986" s="88" t="s">
        <v>1886</v>
      </c>
      <c r="G986" s="87" t="s">
        <v>1260</v>
      </c>
      <c r="H986" s="82"/>
    </row>
    <row r="987" spans="1:8" ht="16" x14ac:dyDescent="0.2">
      <c r="A987" s="85" t="s">
        <v>433</v>
      </c>
      <c r="B987" s="89" t="s">
        <v>1585</v>
      </c>
      <c r="C987" s="86" t="s">
        <v>1908</v>
      </c>
      <c r="D987" s="86" t="s">
        <v>1020</v>
      </c>
      <c r="E987" s="90" t="s">
        <v>117</v>
      </c>
      <c r="F987" s="88" t="s">
        <v>1827</v>
      </c>
      <c r="G987" s="87" t="s">
        <v>1260</v>
      </c>
      <c r="H987" s="82"/>
    </row>
    <row r="988" spans="1:8" ht="16" x14ac:dyDescent="0.2">
      <c r="A988" s="85" t="s">
        <v>433</v>
      </c>
      <c r="B988" s="89" t="s">
        <v>1585</v>
      </c>
      <c r="C988" s="86" t="s">
        <v>1908</v>
      </c>
      <c r="D988" s="86" t="s">
        <v>1020</v>
      </c>
      <c r="E988" s="90" t="s">
        <v>117</v>
      </c>
      <c r="F988" s="88" t="s">
        <v>1887</v>
      </c>
      <c r="G988" s="87" t="s">
        <v>1260</v>
      </c>
      <c r="H988" s="82"/>
    </row>
    <row r="989" spans="1:8" x14ac:dyDescent="0.2">
      <c r="A989" s="85" t="s">
        <v>433</v>
      </c>
      <c r="B989" s="89" t="s">
        <v>1585</v>
      </c>
      <c r="C989" s="86" t="s">
        <v>1908</v>
      </c>
      <c r="D989" s="86" t="s">
        <v>1020</v>
      </c>
      <c r="E989" s="90" t="s">
        <v>117</v>
      </c>
      <c r="F989" s="88" t="s">
        <v>1829</v>
      </c>
      <c r="G989" s="88" t="s">
        <v>1261</v>
      </c>
      <c r="H989" s="82"/>
    </row>
    <row r="990" spans="1:8" x14ac:dyDescent="0.2">
      <c r="A990" s="85" t="s">
        <v>433</v>
      </c>
      <c r="B990" s="89" t="s">
        <v>1585</v>
      </c>
      <c r="C990" s="86" t="s">
        <v>1908</v>
      </c>
      <c r="D990" s="86" t="s">
        <v>1020</v>
      </c>
      <c r="E990" s="90" t="s">
        <v>117</v>
      </c>
      <c r="F990" s="88" t="s">
        <v>1891</v>
      </c>
      <c r="G990" s="88" t="s">
        <v>1261</v>
      </c>
      <c r="H990" s="82"/>
    </row>
    <row r="991" spans="1:8" x14ac:dyDescent="0.2">
      <c r="A991" s="85" t="s">
        <v>433</v>
      </c>
      <c r="B991" s="89" t="s">
        <v>1585</v>
      </c>
      <c r="C991" s="86" t="s">
        <v>1908</v>
      </c>
      <c r="D991" s="86" t="s">
        <v>1020</v>
      </c>
      <c r="E991" s="90" t="s">
        <v>117</v>
      </c>
      <c r="F991" s="88" t="s">
        <v>1830</v>
      </c>
      <c r="G991" s="88" t="s">
        <v>1261</v>
      </c>
      <c r="H991" s="82"/>
    </row>
    <row r="992" spans="1:8" x14ac:dyDescent="0.2">
      <c r="A992" s="85" t="s">
        <v>433</v>
      </c>
      <c r="B992" s="89" t="s">
        <v>1585</v>
      </c>
      <c r="C992" s="86" t="s">
        <v>1908</v>
      </c>
      <c r="D992" s="86" t="s">
        <v>1020</v>
      </c>
      <c r="E992" s="90" t="s">
        <v>117</v>
      </c>
      <c r="F992" s="88" t="s">
        <v>1831</v>
      </c>
      <c r="G992" s="88" t="s">
        <v>1261</v>
      </c>
      <c r="H992" s="82"/>
    </row>
    <row r="993" spans="1:8" x14ac:dyDescent="0.2">
      <c r="A993" s="85" t="s">
        <v>433</v>
      </c>
      <c r="B993" s="89" t="s">
        <v>1585</v>
      </c>
      <c r="C993" s="86" t="s">
        <v>1908</v>
      </c>
      <c r="D993" s="86" t="s">
        <v>1020</v>
      </c>
      <c r="E993" s="90" t="s">
        <v>117</v>
      </c>
      <c r="F993" s="88" t="s">
        <v>1832</v>
      </c>
      <c r="G993" s="88" t="s">
        <v>1261</v>
      </c>
      <c r="H993" s="82"/>
    </row>
    <row r="994" spans="1:8" x14ac:dyDescent="0.2">
      <c r="A994" s="85" t="s">
        <v>433</v>
      </c>
      <c r="B994" s="89" t="s">
        <v>1585</v>
      </c>
      <c r="C994" s="86" t="s">
        <v>1908</v>
      </c>
      <c r="D994" s="86" t="s">
        <v>1020</v>
      </c>
      <c r="E994" s="90" t="s">
        <v>117</v>
      </c>
      <c r="F994" s="88" t="s">
        <v>1833</v>
      </c>
      <c r="G994" s="88" t="s">
        <v>1261</v>
      </c>
      <c r="H994" s="82"/>
    </row>
    <row r="995" spans="1:8" x14ac:dyDescent="0.2">
      <c r="A995" s="85" t="s">
        <v>433</v>
      </c>
      <c r="B995" s="89" t="s">
        <v>1585</v>
      </c>
      <c r="C995" s="86" t="s">
        <v>1908</v>
      </c>
      <c r="D995" s="86" t="s">
        <v>1020</v>
      </c>
      <c r="E995" s="90" t="s">
        <v>117</v>
      </c>
      <c r="F995" s="88" t="s">
        <v>1834</v>
      </c>
      <c r="G995" s="88" t="s">
        <v>1261</v>
      </c>
      <c r="H995" s="82"/>
    </row>
    <row r="996" spans="1:8" x14ac:dyDescent="0.2">
      <c r="A996" s="85" t="s">
        <v>433</v>
      </c>
      <c r="B996" s="89" t="s">
        <v>1585</v>
      </c>
      <c r="C996" s="86" t="s">
        <v>1908</v>
      </c>
      <c r="D996" s="86" t="s">
        <v>1020</v>
      </c>
      <c r="E996" s="90" t="s">
        <v>117</v>
      </c>
      <c r="F996" s="88" t="s">
        <v>437</v>
      </c>
      <c r="G996" s="88" t="s">
        <v>1262</v>
      </c>
      <c r="H996" s="82"/>
    </row>
    <row r="997" spans="1:8" x14ac:dyDescent="0.2">
      <c r="A997" s="85" t="s">
        <v>433</v>
      </c>
      <c r="B997" s="89" t="s">
        <v>1585</v>
      </c>
      <c r="C997" s="86" t="s">
        <v>1908</v>
      </c>
      <c r="D997" s="86" t="s">
        <v>1020</v>
      </c>
      <c r="E997" s="90" t="s">
        <v>117</v>
      </c>
      <c r="F997" s="88" t="s">
        <v>1836</v>
      </c>
      <c r="G997" s="88" t="s">
        <v>1262</v>
      </c>
      <c r="H997" s="82"/>
    </row>
    <row r="998" spans="1:8" x14ac:dyDescent="0.2">
      <c r="A998" s="85" t="s">
        <v>433</v>
      </c>
      <c r="B998" s="89" t="s">
        <v>1585</v>
      </c>
      <c r="C998" s="86" t="s">
        <v>1908</v>
      </c>
      <c r="D998" s="86" t="s">
        <v>1020</v>
      </c>
      <c r="E998" s="90" t="s">
        <v>117</v>
      </c>
      <c r="F998" s="88" t="s">
        <v>1837</v>
      </c>
      <c r="G998" s="88" t="s">
        <v>1262</v>
      </c>
      <c r="H998" s="82"/>
    </row>
    <row r="999" spans="1:8" x14ac:dyDescent="0.2">
      <c r="A999" s="85" t="s">
        <v>433</v>
      </c>
      <c r="B999" s="89" t="s">
        <v>1585</v>
      </c>
      <c r="C999" s="86" t="s">
        <v>1908</v>
      </c>
      <c r="D999" s="86" t="s">
        <v>1020</v>
      </c>
      <c r="E999" s="90" t="s">
        <v>117</v>
      </c>
      <c r="F999" s="88" t="s">
        <v>1838</v>
      </c>
      <c r="G999" s="88" t="s">
        <v>1262</v>
      </c>
      <c r="H999" s="82"/>
    </row>
    <row r="1000" spans="1:8" x14ac:dyDescent="0.2">
      <c r="A1000" s="85" t="s">
        <v>433</v>
      </c>
      <c r="B1000" s="89" t="s">
        <v>1585</v>
      </c>
      <c r="C1000" s="86" t="s">
        <v>1908</v>
      </c>
      <c r="D1000" s="86" t="s">
        <v>1020</v>
      </c>
      <c r="E1000" s="90" t="s">
        <v>117</v>
      </c>
      <c r="F1000" s="88" t="s">
        <v>1839</v>
      </c>
      <c r="G1000" s="88" t="s">
        <v>1262</v>
      </c>
      <c r="H1000" s="82"/>
    </row>
    <row r="1001" spans="1:8" x14ac:dyDescent="0.2">
      <c r="A1001" s="85" t="s">
        <v>433</v>
      </c>
      <c r="B1001" s="89" t="s">
        <v>1585</v>
      </c>
      <c r="C1001" s="86" t="s">
        <v>1908</v>
      </c>
      <c r="D1001" s="86" t="s">
        <v>1020</v>
      </c>
      <c r="E1001" s="90" t="s">
        <v>117</v>
      </c>
      <c r="F1001" s="88" t="s">
        <v>1841</v>
      </c>
      <c r="G1001" s="88" t="s">
        <v>1262</v>
      </c>
      <c r="H1001" s="82"/>
    </row>
    <row r="1002" spans="1:8" x14ac:dyDescent="0.2">
      <c r="A1002" s="85" t="s">
        <v>433</v>
      </c>
      <c r="B1002" s="89" t="s">
        <v>1585</v>
      </c>
      <c r="C1002" s="86" t="s">
        <v>1908</v>
      </c>
      <c r="D1002" s="86" t="s">
        <v>1020</v>
      </c>
      <c r="E1002" s="90" t="s">
        <v>117</v>
      </c>
      <c r="F1002" s="88" t="s">
        <v>1896</v>
      </c>
      <c r="G1002" s="88" t="s">
        <v>1262</v>
      </c>
      <c r="H1002" s="82"/>
    </row>
    <row r="1003" spans="1:8" x14ac:dyDescent="0.2">
      <c r="A1003" s="85" t="s">
        <v>433</v>
      </c>
      <c r="B1003" s="89" t="s">
        <v>1585</v>
      </c>
      <c r="C1003" s="86" t="s">
        <v>1908</v>
      </c>
      <c r="D1003" s="86" t="s">
        <v>1020</v>
      </c>
      <c r="E1003" s="90" t="s">
        <v>117</v>
      </c>
      <c r="F1003" s="88" t="s">
        <v>1842</v>
      </c>
      <c r="G1003" s="88" t="s">
        <v>1262</v>
      </c>
      <c r="H1003" s="82"/>
    </row>
    <row r="1004" spans="1:8" x14ac:dyDescent="0.2">
      <c r="A1004" s="85" t="s">
        <v>433</v>
      </c>
      <c r="B1004" s="89" t="s">
        <v>1585</v>
      </c>
      <c r="C1004" s="86" t="s">
        <v>1908</v>
      </c>
      <c r="D1004" s="86" t="s">
        <v>1020</v>
      </c>
      <c r="E1004" s="90" t="s">
        <v>117</v>
      </c>
      <c r="F1004" s="88" t="s">
        <v>1843</v>
      </c>
      <c r="G1004" s="88" t="s">
        <v>1263</v>
      </c>
      <c r="H1004" s="82"/>
    </row>
    <row r="1005" spans="1:8" x14ac:dyDescent="0.2">
      <c r="A1005" s="85" t="s">
        <v>433</v>
      </c>
      <c r="B1005" s="89" t="s">
        <v>1585</v>
      </c>
      <c r="C1005" s="86" t="s">
        <v>1908</v>
      </c>
      <c r="D1005" s="86" t="s">
        <v>1020</v>
      </c>
      <c r="E1005" s="90" t="s">
        <v>117</v>
      </c>
      <c r="F1005" s="88" t="s">
        <v>1844</v>
      </c>
      <c r="G1005" s="88" t="s">
        <v>1263</v>
      </c>
      <c r="H1005" s="82"/>
    </row>
    <row r="1006" spans="1:8" x14ac:dyDescent="0.2">
      <c r="A1006" s="85" t="s">
        <v>433</v>
      </c>
      <c r="B1006" s="89" t="s">
        <v>1585</v>
      </c>
      <c r="C1006" s="86" t="s">
        <v>1908</v>
      </c>
      <c r="D1006" s="86" t="s">
        <v>1020</v>
      </c>
      <c r="E1006" s="90" t="s">
        <v>117</v>
      </c>
      <c r="F1006" s="88" t="s">
        <v>1845</v>
      </c>
      <c r="G1006" s="88" t="s">
        <v>1263</v>
      </c>
      <c r="H1006" s="82"/>
    </row>
    <row r="1007" spans="1:8" x14ac:dyDescent="0.2">
      <c r="A1007" s="85" t="s">
        <v>433</v>
      </c>
      <c r="B1007" s="89" t="s">
        <v>1585</v>
      </c>
      <c r="C1007" s="86" t="s">
        <v>1908</v>
      </c>
      <c r="D1007" s="86" t="s">
        <v>1020</v>
      </c>
      <c r="E1007" s="90" t="s">
        <v>117</v>
      </c>
      <c r="F1007" s="88" t="s">
        <v>1901</v>
      </c>
      <c r="G1007" s="88" t="s">
        <v>1263</v>
      </c>
      <c r="H1007" s="82"/>
    </row>
    <row r="1008" spans="1:8" x14ac:dyDescent="0.2">
      <c r="A1008" s="85" t="s">
        <v>433</v>
      </c>
      <c r="B1008" s="89" t="s">
        <v>1585</v>
      </c>
      <c r="C1008" s="86" t="s">
        <v>1908</v>
      </c>
      <c r="D1008" s="86" t="s">
        <v>1020</v>
      </c>
      <c r="E1008" s="90" t="s">
        <v>117</v>
      </c>
      <c r="F1008" s="88" t="s">
        <v>1846</v>
      </c>
      <c r="G1008" s="88" t="s">
        <v>1263</v>
      </c>
      <c r="H1008" s="82"/>
    </row>
    <row r="1009" spans="1:8" x14ac:dyDescent="0.2">
      <c r="A1009" s="85" t="s">
        <v>433</v>
      </c>
      <c r="B1009" s="89" t="s">
        <v>1585</v>
      </c>
      <c r="C1009" s="86" t="s">
        <v>1908</v>
      </c>
      <c r="D1009" s="86" t="s">
        <v>1020</v>
      </c>
      <c r="E1009" s="90" t="s">
        <v>117</v>
      </c>
      <c r="F1009" s="88" t="s">
        <v>1847</v>
      </c>
      <c r="G1009" s="88" t="s">
        <v>1263</v>
      </c>
      <c r="H1009" s="82"/>
    </row>
    <row r="1010" spans="1:8" x14ac:dyDescent="0.2">
      <c r="A1010" s="85" t="s">
        <v>433</v>
      </c>
      <c r="B1010" s="89" t="s">
        <v>1585</v>
      </c>
      <c r="C1010" s="86" t="s">
        <v>1908</v>
      </c>
      <c r="D1010" s="86" t="s">
        <v>1020</v>
      </c>
      <c r="E1010" s="90" t="s">
        <v>117</v>
      </c>
      <c r="F1010" s="88" t="s">
        <v>1848</v>
      </c>
      <c r="G1010" s="88" t="s">
        <v>1263</v>
      </c>
      <c r="H1010" s="82"/>
    </row>
    <row r="1011" spans="1:8" x14ac:dyDescent="0.2">
      <c r="A1011" s="85" t="s">
        <v>1583</v>
      </c>
      <c r="B1011" s="97" t="s">
        <v>1588</v>
      </c>
      <c r="C1011" s="86" t="s">
        <v>1909</v>
      </c>
      <c r="D1011" s="86" t="s">
        <v>1023</v>
      </c>
      <c r="E1011" s="90" t="s">
        <v>117</v>
      </c>
      <c r="F1011" s="88" t="s">
        <v>254</v>
      </c>
      <c r="G1011" s="101" t="s">
        <v>621</v>
      </c>
      <c r="H1011" s="82"/>
    </row>
    <row r="1012" spans="1:8" ht="16" x14ac:dyDescent="0.2">
      <c r="A1012" s="85" t="s">
        <v>308</v>
      </c>
      <c r="B1012" s="89" t="s">
        <v>1585</v>
      </c>
      <c r="C1012" s="86" t="s">
        <v>1909</v>
      </c>
      <c r="D1012" s="86" t="s">
        <v>1023</v>
      </c>
      <c r="E1012" s="90" t="s">
        <v>126</v>
      </c>
      <c r="F1012" s="88" t="s">
        <v>308</v>
      </c>
      <c r="G1012" s="87" t="s">
        <v>623</v>
      </c>
      <c r="H1012" s="82"/>
    </row>
    <row r="1013" spans="1:8" ht="16" x14ac:dyDescent="0.2">
      <c r="A1013" s="85" t="s">
        <v>308</v>
      </c>
      <c r="B1013" s="89" t="s">
        <v>1585</v>
      </c>
      <c r="C1013" s="86" t="s">
        <v>1909</v>
      </c>
      <c r="D1013" s="86" t="s">
        <v>1023</v>
      </c>
      <c r="E1013" s="90" t="s">
        <v>126</v>
      </c>
      <c r="F1013" s="88" t="s">
        <v>313</v>
      </c>
      <c r="G1013" s="87" t="s">
        <v>623</v>
      </c>
      <c r="H1013" s="82"/>
    </row>
    <row r="1014" spans="1:8" ht="16" x14ac:dyDescent="0.2">
      <c r="A1014" s="85" t="s">
        <v>308</v>
      </c>
      <c r="B1014" s="89" t="s">
        <v>1585</v>
      </c>
      <c r="C1014" s="86" t="s">
        <v>1909</v>
      </c>
      <c r="D1014" s="86" t="s">
        <v>1023</v>
      </c>
      <c r="E1014" s="90" t="s">
        <v>126</v>
      </c>
      <c r="F1014" s="88" t="s">
        <v>1637</v>
      </c>
      <c r="G1014" s="87" t="s">
        <v>623</v>
      </c>
      <c r="H1014" s="82"/>
    </row>
    <row r="1015" spans="1:8" ht="16" x14ac:dyDescent="0.2">
      <c r="A1015" s="85" t="s">
        <v>308</v>
      </c>
      <c r="B1015" s="89" t="s">
        <v>1585</v>
      </c>
      <c r="C1015" s="86" t="s">
        <v>1909</v>
      </c>
      <c r="D1015" s="86" t="s">
        <v>1023</v>
      </c>
      <c r="E1015" s="90" t="s">
        <v>126</v>
      </c>
      <c r="F1015" s="88" t="s">
        <v>1638</v>
      </c>
      <c r="G1015" s="87" t="s">
        <v>623</v>
      </c>
      <c r="H1015" s="82"/>
    </row>
    <row r="1016" spans="1:8" ht="16" x14ac:dyDescent="0.2">
      <c r="A1016" s="85" t="s">
        <v>308</v>
      </c>
      <c r="B1016" s="89" t="s">
        <v>1585</v>
      </c>
      <c r="C1016" s="86" t="s">
        <v>1909</v>
      </c>
      <c r="D1016" s="86" t="s">
        <v>1023</v>
      </c>
      <c r="E1016" s="90" t="s">
        <v>126</v>
      </c>
      <c r="F1016" s="88" t="s">
        <v>1639</v>
      </c>
      <c r="G1016" s="87" t="s">
        <v>623</v>
      </c>
      <c r="H1016" s="82"/>
    </row>
    <row r="1017" spans="1:8" ht="16" x14ac:dyDescent="0.2">
      <c r="A1017" s="85" t="s">
        <v>308</v>
      </c>
      <c r="B1017" s="89" t="s">
        <v>1585</v>
      </c>
      <c r="C1017" s="86" t="s">
        <v>1909</v>
      </c>
      <c r="D1017" s="86" t="s">
        <v>1023</v>
      </c>
      <c r="E1017" s="90" t="s">
        <v>126</v>
      </c>
      <c r="F1017" s="88" t="s">
        <v>1710</v>
      </c>
      <c r="G1017" s="87" t="s">
        <v>623</v>
      </c>
      <c r="H1017" s="82"/>
    </row>
    <row r="1018" spans="1:8" ht="16" x14ac:dyDescent="0.2">
      <c r="A1018" s="85" t="s">
        <v>308</v>
      </c>
      <c r="B1018" s="89" t="s">
        <v>1585</v>
      </c>
      <c r="C1018" s="86" t="s">
        <v>1909</v>
      </c>
      <c r="D1018" s="86" t="s">
        <v>1023</v>
      </c>
      <c r="E1018" s="90" t="s">
        <v>126</v>
      </c>
      <c r="F1018" s="88" t="s">
        <v>1711</v>
      </c>
      <c r="G1018" s="87" t="s">
        <v>623</v>
      </c>
      <c r="H1018" s="82"/>
    </row>
    <row r="1019" spans="1:8" ht="16" x14ac:dyDescent="0.2">
      <c r="A1019" s="85" t="s">
        <v>308</v>
      </c>
      <c r="B1019" s="89" t="s">
        <v>1585</v>
      </c>
      <c r="C1019" s="86" t="s">
        <v>1909</v>
      </c>
      <c r="D1019" s="86" t="s">
        <v>1023</v>
      </c>
      <c r="E1019" s="90" t="s">
        <v>126</v>
      </c>
      <c r="F1019" s="88" t="s">
        <v>1712</v>
      </c>
      <c r="G1019" s="87" t="s">
        <v>623</v>
      </c>
      <c r="H1019" s="82"/>
    </row>
    <row r="1020" spans="1:8" ht="16" x14ac:dyDescent="0.2">
      <c r="A1020" s="85" t="s">
        <v>308</v>
      </c>
      <c r="B1020" s="89" t="s">
        <v>1585</v>
      </c>
      <c r="C1020" s="86" t="s">
        <v>1909</v>
      </c>
      <c r="D1020" s="86" t="s">
        <v>1023</v>
      </c>
      <c r="E1020" s="90" t="s">
        <v>126</v>
      </c>
      <c r="F1020" s="88" t="s">
        <v>1713</v>
      </c>
      <c r="G1020" s="87" t="s">
        <v>623</v>
      </c>
      <c r="H1020" s="82"/>
    </row>
    <row r="1021" spans="1:8" ht="16" x14ac:dyDescent="0.2">
      <c r="A1021" s="85" t="s">
        <v>308</v>
      </c>
      <c r="B1021" s="89" t="s">
        <v>1585</v>
      </c>
      <c r="C1021" s="86" t="s">
        <v>1909</v>
      </c>
      <c r="D1021" s="86" t="s">
        <v>1023</v>
      </c>
      <c r="E1021" s="90" t="s">
        <v>126</v>
      </c>
      <c r="F1021" s="88" t="s">
        <v>1640</v>
      </c>
      <c r="G1021" s="87" t="s">
        <v>1286</v>
      </c>
      <c r="H1021" s="82"/>
    </row>
    <row r="1022" spans="1:8" ht="16" x14ac:dyDescent="0.2">
      <c r="A1022" s="85" t="s">
        <v>308</v>
      </c>
      <c r="B1022" s="89" t="s">
        <v>1585</v>
      </c>
      <c r="C1022" s="86" t="s">
        <v>1909</v>
      </c>
      <c r="D1022" s="86" t="s">
        <v>1023</v>
      </c>
      <c r="E1022" s="90" t="s">
        <v>126</v>
      </c>
      <c r="F1022" s="88" t="s">
        <v>1641</v>
      </c>
      <c r="G1022" s="87" t="s">
        <v>1286</v>
      </c>
      <c r="H1022" s="82"/>
    </row>
    <row r="1023" spans="1:8" ht="16" x14ac:dyDescent="0.2">
      <c r="A1023" s="85" t="s">
        <v>308</v>
      </c>
      <c r="B1023" s="89" t="s">
        <v>1585</v>
      </c>
      <c r="C1023" s="86" t="s">
        <v>1909</v>
      </c>
      <c r="D1023" s="86" t="s">
        <v>1023</v>
      </c>
      <c r="E1023" s="90" t="s">
        <v>126</v>
      </c>
      <c r="F1023" s="88" t="s">
        <v>1717</v>
      </c>
      <c r="G1023" s="87" t="s">
        <v>1286</v>
      </c>
      <c r="H1023" s="82"/>
    </row>
    <row r="1024" spans="1:8" ht="16" x14ac:dyDescent="0.2">
      <c r="A1024" s="85" t="s">
        <v>308</v>
      </c>
      <c r="B1024" s="89" t="s">
        <v>1585</v>
      </c>
      <c r="C1024" s="86" t="s">
        <v>1909</v>
      </c>
      <c r="D1024" s="86" t="s">
        <v>1023</v>
      </c>
      <c r="E1024" s="90" t="s">
        <v>126</v>
      </c>
      <c r="F1024" s="88" t="s">
        <v>1715</v>
      </c>
      <c r="G1024" s="87" t="s">
        <v>1286</v>
      </c>
      <c r="H1024" s="82"/>
    </row>
    <row r="1025" spans="1:8" ht="16" x14ac:dyDescent="0.2">
      <c r="A1025" s="85" t="s">
        <v>308</v>
      </c>
      <c r="B1025" s="89" t="s">
        <v>1585</v>
      </c>
      <c r="C1025" s="86" t="s">
        <v>1909</v>
      </c>
      <c r="D1025" s="86" t="s">
        <v>1023</v>
      </c>
      <c r="E1025" s="90" t="s">
        <v>126</v>
      </c>
      <c r="F1025" s="88" t="s">
        <v>1716</v>
      </c>
      <c r="G1025" s="87" t="s">
        <v>1286</v>
      </c>
      <c r="H1025" s="82"/>
    </row>
    <row r="1026" spans="1:8" ht="16" x14ac:dyDescent="0.2">
      <c r="A1026" s="85" t="s">
        <v>308</v>
      </c>
      <c r="B1026" s="89" t="s">
        <v>1585</v>
      </c>
      <c r="C1026" s="86" t="s">
        <v>1909</v>
      </c>
      <c r="D1026" s="86" t="s">
        <v>1023</v>
      </c>
      <c r="E1026" s="90" t="s">
        <v>126</v>
      </c>
      <c r="F1026" s="88" t="s">
        <v>1910</v>
      </c>
      <c r="G1026" s="87" t="s">
        <v>1286</v>
      </c>
      <c r="H1026" s="82"/>
    </row>
    <row r="1027" spans="1:8" ht="16" x14ac:dyDescent="0.2">
      <c r="A1027" s="85" t="s">
        <v>308</v>
      </c>
      <c r="B1027" s="89" t="s">
        <v>1585</v>
      </c>
      <c r="C1027" s="86" t="s">
        <v>1909</v>
      </c>
      <c r="D1027" s="86" t="s">
        <v>1023</v>
      </c>
      <c r="E1027" s="90" t="s">
        <v>117</v>
      </c>
      <c r="F1027" s="88" t="s">
        <v>308</v>
      </c>
      <c r="G1027" s="87" t="s">
        <v>1288</v>
      </c>
      <c r="H1027" s="82"/>
    </row>
    <row r="1028" spans="1:8" ht="16" x14ac:dyDescent="0.2">
      <c r="A1028" s="85" t="s">
        <v>308</v>
      </c>
      <c r="B1028" s="89" t="s">
        <v>1585</v>
      </c>
      <c r="C1028" s="86" t="s">
        <v>1909</v>
      </c>
      <c r="D1028" s="86" t="s">
        <v>1023</v>
      </c>
      <c r="E1028" s="90" t="s">
        <v>117</v>
      </c>
      <c r="F1028" s="88" t="s">
        <v>313</v>
      </c>
      <c r="G1028" s="87" t="s">
        <v>1288</v>
      </c>
      <c r="H1028" s="82"/>
    </row>
    <row r="1029" spans="1:8" ht="16" x14ac:dyDescent="0.2">
      <c r="A1029" s="85" t="s">
        <v>308</v>
      </c>
      <c r="B1029" s="89" t="s">
        <v>1585</v>
      </c>
      <c r="C1029" s="86" t="s">
        <v>1909</v>
      </c>
      <c r="D1029" s="86" t="s">
        <v>1023</v>
      </c>
      <c r="E1029" s="90" t="s">
        <v>117</v>
      </c>
      <c r="F1029" s="88" t="s">
        <v>1637</v>
      </c>
      <c r="G1029" s="87" t="s">
        <v>1288</v>
      </c>
      <c r="H1029" s="82"/>
    </row>
    <row r="1030" spans="1:8" ht="16" x14ac:dyDescent="0.2">
      <c r="A1030" s="85" t="s">
        <v>308</v>
      </c>
      <c r="B1030" s="89" t="s">
        <v>1585</v>
      </c>
      <c r="C1030" s="86" t="s">
        <v>1909</v>
      </c>
      <c r="D1030" s="86" t="s">
        <v>1023</v>
      </c>
      <c r="E1030" s="90" t="s">
        <v>117</v>
      </c>
      <c r="F1030" s="88" t="s">
        <v>1638</v>
      </c>
      <c r="G1030" s="87" t="s">
        <v>1288</v>
      </c>
      <c r="H1030" s="82"/>
    </row>
    <row r="1031" spans="1:8" ht="16" x14ac:dyDescent="0.2">
      <c r="A1031" s="85" t="s">
        <v>308</v>
      </c>
      <c r="B1031" s="89" t="s">
        <v>1585</v>
      </c>
      <c r="C1031" s="86" t="s">
        <v>1909</v>
      </c>
      <c r="D1031" s="86" t="s">
        <v>1023</v>
      </c>
      <c r="E1031" s="90" t="s">
        <v>117</v>
      </c>
      <c r="F1031" s="88" t="s">
        <v>1639</v>
      </c>
      <c r="G1031" s="87" t="s">
        <v>1288</v>
      </c>
      <c r="H1031" s="82"/>
    </row>
    <row r="1032" spans="1:8" ht="16" x14ac:dyDescent="0.2">
      <c r="A1032" s="85" t="s">
        <v>308</v>
      </c>
      <c r="B1032" s="89" t="s">
        <v>1585</v>
      </c>
      <c r="C1032" s="86" t="s">
        <v>1909</v>
      </c>
      <c r="D1032" s="86" t="s">
        <v>1023</v>
      </c>
      <c r="E1032" s="90" t="s">
        <v>158</v>
      </c>
      <c r="F1032" s="88" t="s">
        <v>308</v>
      </c>
      <c r="G1032" s="87" t="s">
        <v>1288</v>
      </c>
      <c r="H1032" s="82"/>
    </row>
    <row r="1033" spans="1:8" ht="16" x14ac:dyDescent="0.2">
      <c r="A1033" s="85" t="s">
        <v>308</v>
      </c>
      <c r="B1033" s="89" t="s">
        <v>1585</v>
      </c>
      <c r="C1033" s="86" t="s">
        <v>1909</v>
      </c>
      <c r="D1033" s="86" t="s">
        <v>1023</v>
      </c>
      <c r="E1033" s="90" t="s">
        <v>158</v>
      </c>
      <c r="F1033" s="88" t="s">
        <v>313</v>
      </c>
      <c r="G1033" s="87" t="s">
        <v>1288</v>
      </c>
      <c r="H1033" s="82"/>
    </row>
    <row r="1034" spans="1:8" ht="16" x14ac:dyDescent="0.2">
      <c r="A1034" s="85" t="s">
        <v>308</v>
      </c>
      <c r="B1034" s="89" t="s">
        <v>1585</v>
      </c>
      <c r="C1034" s="86" t="s">
        <v>1909</v>
      </c>
      <c r="D1034" s="86" t="s">
        <v>1023</v>
      </c>
      <c r="E1034" s="90" t="s">
        <v>158</v>
      </c>
      <c r="F1034" s="88" t="s">
        <v>1637</v>
      </c>
      <c r="G1034" s="87" t="s">
        <v>1288</v>
      </c>
      <c r="H1034" s="82"/>
    </row>
    <row r="1035" spans="1:8" ht="16" x14ac:dyDescent="0.2">
      <c r="A1035" s="85" t="s">
        <v>308</v>
      </c>
      <c r="B1035" s="89" t="s">
        <v>1585</v>
      </c>
      <c r="C1035" s="86" t="s">
        <v>1909</v>
      </c>
      <c r="D1035" s="86" t="s">
        <v>1023</v>
      </c>
      <c r="E1035" s="90" t="s">
        <v>158</v>
      </c>
      <c r="F1035" s="88" t="s">
        <v>1638</v>
      </c>
      <c r="G1035" s="87" t="s">
        <v>1288</v>
      </c>
      <c r="H1035" s="82"/>
    </row>
    <row r="1036" spans="1:8" ht="16" x14ac:dyDescent="0.2">
      <c r="A1036" s="85" t="s">
        <v>308</v>
      </c>
      <c r="B1036" s="89" t="s">
        <v>1585</v>
      </c>
      <c r="C1036" s="86" t="s">
        <v>1909</v>
      </c>
      <c r="D1036" s="86" t="s">
        <v>1023</v>
      </c>
      <c r="E1036" s="90" t="s">
        <v>158</v>
      </c>
      <c r="F1036" s="88" t="s">
        <v>1639</v>
      </c>
      <c r="G1036" s="87" t="s">
        <v>1288</v>
      </c>
      <c r="H1036" s="82"/>
    </row>
    <row r="1037" spans="1:8" ht="16" x14ac:dyDescent="0.2">
      <c r="A1037" s="85" t="s">
        <v>308</v>
      </c>
      <c r="B1037" s="97" t="s">
        <v>1868</v>
      </c>
      <c r="C1037" s="86" t="s">
        <v>1909</v>
      </c>
      <c r="D1037" s="86" t="s">
        <v>1023</v>
      </c>
      <c r="E1037" s="90" t="s">
        <v>117</v>
      </c>
      <c r="F1037" s="88" t="s">
        <v>308</v>
      </c>
      <c r="G1037" s="87" t="s">
        <v>1308</v>
      </c>
      <c r="H1037" s="82"/>
    </row>
    <row r="1038" spans="1:8" ht="16" x14ac:dyDescent="0.2">
      <c r="A1038" s="85" t="s">
        <v>308</v>
      </c>
      <c r="B1038" s="97" t="s">
        <v>1868</v>
      </c>
      <c r="C1038" s="86" t="s">
        <v>1909</v>
      </c>
      <c r="D1038" s="86" t="s">
        <v>1023</v>
      </c>
      <c r="E1038" s="90" t="s">
        <v>117</v>
      </c>
      <c r="F1038" s="88" t="s">
        <v>313</v>
      </c>
      <c r="G1038" s="87" t="s">
        <v>1308</v>
      </c>
      <c r="H1038" s="82"/>
    </row>
    <row r="1039" spans="1:8" ht="16" x14ac:dyDescent="0.2">
      <c r="A1039" s="85" t="s">
        <v>308</v>
      </c>
      <c r="B1039" s="97" t="s">
        <v>1868</v>
      </c>
      <c r="C1039" s="86" t="s">
        <v>1909</v>
      </c>
      <c r="D1039" s="86" t="s">
        <v>1023</v>
      </c>
      <c r="E1039" s="90" t="s">
        <v>117</v>
      </c>
      <c r="F1039" s="88" t="s">
        <v>1867</v>
      </c>
      <c r="G1039" s="87" t="s">
        <v>1308</v>
      </c>
      <c r="H1039" s="82"/>
    </row>
    <row r="1040" spans="1:8" ht="16" x14ac:dyDescent="0.2">
      <c r="A1040" s="85" t="s">
        <v>308</v>
      </c>
      <c r="B1040" s="97" t="s">
        <v>1868</v>
      </c>
      <c r="C1040" s="86" t="s">
        <v>1909</v>
      </c>
      <c r="D1040" s="86" t="s">
        <v>1023</v>
      </c>
      <c r="E1040" s="90" t="s">
        <v>117</v>
      </c>
      <c r="F1040" s="88" t="s">
        <v>1911</v>
      </c>
      <c r="G1040" s="87" t="s">
        <v>1308</v>
      </c>
      <c r="H1040" s="82"/>
    </row>
    <row r="1041" spans="1:8" ht="16" x14ac:dyDescent="0.2">
      <c r="A1041" s="85" t="s">
        <v>308</v>
      </c>
      <c r="B1041" s="97" t="s">
        <v>1868</v>
      </c>
      <c r="C1041" s="86" t="s">
        <v>1909</v>
      </c>
      <c r="D1041" s="86" t="s">
        <v>1023</v>
      </c>
      <c r="E1041" s="90" t="s">
        <v>117</v>
      </c>
      <c r="F1041" s="88" t="s">
        <v>1639</v>
      </c>
      <c r="G1041" s="87" t="s">
        <v>1308</v>
      </c>
      <c r="H1041" s="82"/>
    </row>
    <row r="1042" spans="1:8" ht="16" x14ac:dyDescent="0.2">
      <c r="A1042" s="85" t="s">
        <v>308</v>
      </c>
      <c r="B1042" s="97" t="s">
        <v>1868</v>
      </c>
      <c r="C1042" s="86" t="s">
        <v>1909</v>
      </c>
      <c r="D1042" s="86" t="s">
        <v>1023</v>
      </c>
      <c r="E1042" s="90" t="s">
        <v>158</v>
      </c>
      <c r="F1042" s="88" t="s">
        <v>308</v>
      </c>
      <c r="G1042" s="87" t="s">
        <v>1308</v>
      </c>
      <c r="H1042" s="82"/>
    </row>
    <row r="1043" spans="1:8" ht="16" x14ac:dyDescent="0.2">
      <c r="A1043" s="85" t="s">
        <v>308</v>
      </c>
      <c r="B1043" s="97" t="s">
        <v>1868</v>
      </c>
      <c r="C1043" s="86" t="s">
        <v>1909</v>
      </c>
      <c r="D1043" s="86" t="s">
        <v>1023</v>
      </c>
      <c r="E1043" s="90" t="s">
        <v>158</v>
      </c>
      <c r="F1043" s="88" t="s">
        <v>313</v>
      </c>
      <c r="G1043" s="87" t="s">
        <v>1308</v>
      </c>
      <c r="H1043" s="82"/>
    </row>
    <row r="1044" spans="1:8" ht="16" x14ac:dyDescent="0.2">
      <c r="A1044" s="85" t="s">
        <v>308</v>
      </c>
      <c r="B1044" s="97" t="s">
        <v>1868</v>
      </c>
      <c r="C1044" s="86" t="s">
        <v>1909</v>
      </c>
      <c r="D1044" s="86" t="s">
        <v>1023</v>
      </c>
      <c r="E1044" s="90" t="s">
        <v>158</v>
      </c>
      <c r="F1044" s="88" t="s">
        <v>1867</v>
      </c>
      <c r="G1044" s="87" t="s">
        <v>1308</v>
      </c>
      <c r="H1044" s="82"/>
    </row>
    <row r="1045" spans="1:8" ht="16" x14ac:dyDescent="0.2">
      <c r="A1045" s="85" t="s">
        <v>308</v>
      </c>
      <c r="B1045" s="97" t="s">
        <v>1868</v>
      </c>
      <c r="C1045" s="86" t="s">
        <v>1909</v>
      </c>
      <c r="D1045" s="86" t="s">
        <v>1023</v>
      </c>
      <c r="E1045" s="90" t="s">
        <v>158</v>
      </c>
      <c r="F1045" s="88" t="s">
        <v>1911</v>
      </c>
      <c r="G1045" s="87" t="s">
        <v>1308</v>
      </c>
      <c r="H1045" s="82"/>
    </row>
    <row r="1046" spans="1:8" ht="16" x14ac:dyDescent="0.2">
      <c r="A1046" s="85" t="s">
        <v>308</v>
      </c>
      <c r="B1046" s="97" t="s">
        <v>1868</v>
      </c>
      <c r="C1046" s="86" t="s">
        <v>1909</v>
      </c>
      <c r="D1046" s="86" t="s">
        <v>1023</v>
      </c>
      <c r="E1046" s="90" t="s">
        <v>158</v>
      </c>
      <c r="F1046" s="88" t="s">
        <v>1639</v>
      </c>
      <c r="G1046" s="87" t="s">
        <v>1308</v>
      </c>
      <c r="H1046" s="82"/>
    </row>
    <row r="1047" spans="1:8" ht="16" x14ac:dyDescent="0.2">
      <c r="A1047" s="85" t="s">
        <v>308</v>
      </c>
      <c r="B1047" s="89" t="s">
        <v>1585</v>
      </c>
      <c r="C1047" s="86" t="s">
        <v>1909</v>
      </c>
      <c r="D1047" s="86" t="s">
        <v>1023</v>
      </c>
      <c r="E1047" s="90" t="s">
        <v>117</v>
      </c>
      <c r="F1047" s="88" t="s">
        <v>1640</v>
      </c>
      <c r="G1047" s="87" t="s">
        <v>1287</v>
      </c>
      <c r="H1047" s="82"/>
    </row>
    <row r="1048" spans="1:8" ht="16" x14ac:dyDescent="0.2">
      <c r="A1048" s="85" t="s">
        <v>308</v>
      </c>
      <c r="B1048" s="89" t="s">
        <v>1585</v>
      </c>
      <c r="C1048" s="86" t="s">
        <v>1909</v>
      </c>
      <c r="D1048" s="86" t="s">
        <v>1023</v>
      </c>
      <c r="E1048" s="90" t="s">
        <v>117</v>
      </c>
      <c r="F1048" s="88" t="s">
        <v>1717</v>
      </c>
      <c r="G1048" s="87" t="s">
        <v>1287</v>
      </c>
      <c r="H1048" s="82"/>
    </row>
    <row r="1049" spans="1:8" ht="16" x14ac:dyDescent="0.2">
      <c r="A1049" s="85" t="s">
        <v>308</v>
      </c>
      <c r="B1049" s="89" t="s">
        <v>1585</v>
      </c>
      <c r="C1049" s="86" t="s">
        <v>1909</v>
      </c>
      <c r="D1049" s="86" t="s">
        <v>1023</v>
      </c>
      <c r="E1049" s="90" t="s">
        <v>117</v>
      </c>
      <c r="F1049" s="88" t="s">
        <v>1641</v>
      </c>
      <c r="G1049" s="87" t="s">
        <v>1287</v>
      </c>
      <c r="H1049" s="82"/>
    </row>
    <row r="1050" spans="1:8" ht="16" x14ac:dyDescent="0.2">
      <c r="A1050" s="85" t="s">
        <v>308</v>
      </c>
      <c r="B1050" s="89" t="s">
        <v>1585</v>
      </c>
      <c r="C1050" s="86" t="s">
        <v>1909</v>
      </c>
      <c r="D1050" s="86" t="s">
        <v>1023</v>
      </c>
      <c r="E1050" s="90" t="s">
        <v>117</v>
      </c>
      <c r="F1050" s="88" t="s">
        <v>1640</v>
      </c>
      <c r="G1050" s="87" t="s">
        <v>1287</v>
      </c>
      <c r="H1050" s="82"/>
    </row>
    <row r="1051" spans="1:8" ht="16" x14ac:dyDescent="0.2">
      <c r="A1051" s="85" t="s">
        <v>308</v>
      </c>
      <c r="B1051" s="89" t="s">
        <v>1585</v>
      </c>
      <c r="C1051" s="86" t="s">
        <v>1909</v>
      </c>
      <c r="D1051" s="86" t="s">
        <v>1023</v>
      </c>
      <c r="E1051" s="90" t="s">
        <v>117</v>
      </c>
      <c r="F1051" s="88" t="s">
        <v>1717</v>
      </c>
      <c r="G1051" s="87" t="s">
        <v>1287</v>
      </c>
      <c r="H1051" s="82"/>
    </row>
    <row r="1052" spans="1:8" ht="16" x14ac:dyDescent="0.2">
      <c r="A1052" s="85" t="s">
        <v>308</v>
      </c>
      <c r="B1052" s="89" t="s">
        <v>1585</v>
      </c>
      <c r="C1052" s="86" t="s">
        <v>1909</v>
      </c>
      <c r="D1052" s="86" t="s">
        <v>1023</v>
      </c>
      <c r="E1052" s="90" t="s">
        <v>117</v>
      </c>
      <c r="F1052" s="88" t="s">
        <v>1641</v>
      </c>
      <c r="G1052" s="87" t="s">
        <v>1287</v>
      </c>
      <c r="H1052" s="82"/>
    </row>
    <row r="1053" spans="1:8" ht="16" x14ac:dyDescent="0.2">
      <c r="A1053" s="85" t="s">
        <v>308</v>
      </c>
      <c r="B1053" s="89" t="s">
        <v>1585</v>
      </c>
      <c r="C1053" s="86" t="s">
        <v>1909</v>
      </c>
      <c r="D1053" s="86" t="s">
        <v>1023</v>
      </c>
      <c r="E1053" s="90" t="s">
        <v>117</v>
      </c>
      <c r="F1053" s="88" t="s">
        <v>1863</v>
      </c>
      <c r="G1053" s="87" t="s">
        <v>1289</v>
      </c>
      <c r="H1053" s="82"/>
    </row>
    <row r="1054" spans="1:8" ht="16" x14ac:dyDescent="0.2">
      <c r="A1054" s="85" t="s">
        <v>308</v>
      </c>
      <c r="B1054" s="89" t="s">
        <v>1585</v>
      </c>
      <c r="C1054" s="86" t="s">
        <v>1909</v>
      </c>
      <c r="D1054" s="86" t="s">
        <v>1023</v>
      </c>
      <c r="E1054" s="90" t="s">
        <v>117</v>
      </c>
      <c r="F1054" s="88" t="s">
        <v>1864</v>
      </c>
      <c r="G1054" s="87" t="s">
        <v>1289</v>
      </c>
      <c r="H1054" s="82"/>
    </row>
    <row r="1055" spans="1:8" ht="16" x14ac:dyDescent="0.2">
      <c r="A1055" s="85" t="s">
        <v>308</v>
      </c>
      <c r="B1055" s="89" t="s">
        <v>1585</v>
      </c>
      <c r="C1055" s="86" t="s">
        <v>1909</v>
      </c>
      <c r="D1055" s="86" t="s">
        <v>1023</v>
      </c>
      <c r="E1055" s="90" t="s">
        <v>117</v>
      </c>
      <c r="F1055" s="88" t="s">
        <v>1865</v>
      </c>
      <c r="G1055" s="87" t="s">
        <v>1333</v>
      </c>
      <c r="H1055" s="82"/>
    </row>
    <row r="1056" spans="1:8" ht="16" x14ac:dyDescent="0.2">
      <c r="A1056" s="85" t="s">
        <v>308</v>
      </c>
      <c r="B1056" s="89" t="s">
        <v>1585</v>
      </c>
      <c r="C1056" s="86" t="s">
        <v>1909</v>
      </c>
      <c r="D1056" s="86" t="s">
        <v>1023</v>
      </c>
      <c r="E1056" s="90" t="s">
        <v>117</v>
      </c>
      <c r="F1056" s="88" t="s">
        <v>1866</v>
      </c>
      <c r="G1056" s="87" t="s">
        <v>1333</v>
      </c>
      <c r="H1056" s="82"/>
    </row>
    <row r="1057" spans="1:8" ht="16" x14ac:dyDescent="0.2">
      <c r="A1057" s="85" t="s">
        <v>433</v>
      </c>
      <c r="B1057" s="89" t="s">
        <v>1585</v>
      </c>
      <c r="C1057" s="86" t="s">
        <v>1909</v>
      </c>
      <c r="D1057" s="86" t="s">
        <v>1023</v>
      </c>
      <c r="E1057" s="90" t="s">
        <v>126</v>
      </c>
      <c r="F1057" s="88" t="s">
        <v>1817</v>
      </c>
      <c r="G1057" s="87" t="s">
        <v>1285</v>
      </c>
      <c r="H1057" s="82"/>
    </row>
    <row r="1058" spans="1:8" ht="16" x14ac:dyDescent="0.2">
      <c r="A1058" s="85" t="s">
        <v>433</v>
      </c>
      <c r="B1058" s="89" t="s">
        <v>1585</v>
      </c>
      <c r="C1058" s="86" t="s">
        <v>1909</v>
      </c>
      <c r="D1058" s="86" t="s">
        <v>1023</v>
      </c>
      <c r="E1058" s="90" t="s">
        <v>126</v>
      </c>
      <c r="F1058" s="88" t="s">
        <v>1819</v>
      </c>
      <c r="G1058" s="87" t="s">
        <v>1285</v>
      </c>
      <c r="H1058" s="82"/>
    </row>
    <row r="1059" spans="1:8" ht="16" x14ac:dyDescent="0.2">
      <c r="A1059" s="85" t="s">
        <v>433</v>
      </c>
      <c r="B1059" s="89" t="s">
        <v>1585</v>
      </c>
      <c r="C1059" s="86" t="s">
        <v>1909</v>
      </c>
      <c r="D1059" s="86" t="s">
        <v>1023</v>
      </c>
      <c r="E1059" s="90" t="s">
        <v>126</v>
      </c>
      <c r="F1059" s="88" t="s">
        <v>1818</v>
      </c>
      <c r="G1059" s="87" t="s">
        <v>1285</v>
      </c>
      <c r="H1059" s="82"/>
    </row>
    <row r="1060" spans="1:8" ht="16" x14ac:dyDescent="0.2">
      <c r="A1060" s="85" t="s">
        <v>433</v>
      </c>
      <c r="B1060" s="89" t="s">
        <v>1585</v>
      </c>
      <c r="C1060" s="86" t="s">
        <v>1909</v>
      </c>
      <c r="D1060" s="86" t="s">
        <v>1023</v>
      </c>
      <c r="E1060" s="90" t="s">
        <v>126</v>
      </c>
      <c r="F1060" s="88" t="s">
        <v>1912</v>
      </c>
      <c r="G1060" s="87" t="s">
        <v>1285</v>
      </c>
      <c r="H1060" s="82"/>
    </row>
    <row r="1061" spans="1:8" ht="16" x14ac:dyDescent="0.2">
      <c r="A1061" s="85" t="s">
        <v>433</v>
      </c>
      <c r="B1061" s="89" t="s">
        <v>1585</v>
      </c>
      <c r="C1061" s="86" t="s">
        <v>1909</v>
      </c>
      <c r="D1061" s="86" t="s">
        <v>1023</v>
      </c>
      <c r="E1061" s="90" t="s">
        <v>126</v>
      </c>
      <c r="F1061" s="88" t="s">
        <v>1820</v>
      </c>
      <c r="G1061" s="87" t="s">
        <v>1285</v>
      </c>
      <c r="H1061" s="82"/>
    </row>
    <row r="1062" spans="1:8" ht="16" x14ac:dyDescent="0.2">
      <c r="A1062" s="85" t="s">
        <v>433</v>
      </c>
      <c r="B1062" s="89" t="s">
        <v>1585</v>
      </c>
      <c r="C1062" s="86" t="s">
        <v>1909</v>
      </c>
      <c r="D1062" s="86" t="s">
        <v>1023</v>
      </c>
      <c r="E1062" s="90" t="s">
        <v>126</v>
      </c>
      <c r="F1062" s="88" t="s">
        <v>1821</v>
      </c>
      <c r="G1062" s="87" t="s">
        <v>1285</v>
      </c>
      <c r="H1062" s="82"/>
    </row>
    <row r="1063" spans="1:8" ht="16" x14ac:dyDescent="0.2">
      <c r="A1063" s="85" t="s">
        <v>433</v>
      </c>
      <c r="B1063" s="89" t="s">
        <v>1585</v>
      </c>
      <c r="C1063" s="86" t="s">
        <v>1909</v>
      </c>
      <c r="D1063" s="86" t="s">
        <v>1023</v>
      </c>
      <c r="E1063" s="90" t="s">
        <v>126</v>
      </c>
      <c r="F1063" s="88" t="s">
        <v>1822</v>
      </c>
      <c r="G1063" s="87" t="s">
        <v>1285</v>
      </c>
      <c r="H1063" s="82"/>
    </row>
    <row r="1064" spans="1:8" ht="16" x14ac:dyDescent="0.2">
      <c r="A1064" s="85" t="s">
        <v>433</v>
      </c>
      <c r="B1064" s="89" t="s">
        <v>1585</v>
      </c>
      <c r="C1064" s="86" t="s">
        <v>1909</v>
      </c>
      <c r="D1064" s="86" t="s">
        <v>1023</v>
      </c>
      <c r="E1064" s="90" t="s">
        <v>126</v>
      </c>
      <c r="F1064" s="88" t="s">
        <v>1823</v>
      </c>
      <c r="G1064" s="87" t="s">
        <v>1285</v>
      </c>
      <c r="H1064" s="82"/>
    </row>
    <row r="1065" spans="1:8" ht="16" x14ac:dyDescent="0.2">
      <c r="A1065" s="85" t="s">
        <v>433</v>
      </c>
      <c r="B1065" s="89" t="s">
        <v>1585</v>
      </c>
      <c r="C1065" s="86" t="s">
        <v>1909</v>
      </c>
      <c r="D1065" s="86" t="s">
        <v>1023</v>
      </c>
      <c r="E1065" s="90" t="s">
        <v>126</v>
      </c>
      <c r="F1065" s="88" t="s">
        <v>1817</v>
      </c>
      <c r="G1065" s="87" t="s">
        <v>1285</v>
      </c>
      <c r="H1065" s="82"/>
    </row>
    <row r="1066" spans="1:8" ht="16" x14ac:dyDescent="0.2">
      <c r="A1066" s="85" t="s">
        <v>433</v>
      </c>
      <c r="B1066" s="89" t="s">
        <v>1585</v>
      </c>
      <c r="C1066" s="86" t="s">
        <v>1909</v>
      </c>
      <c r="D1066" s="86" t="s">
        <v>1023</v>
      </c>
      <c r="E1066" s="90" t="s">
        <v>126</v>
      </c>
      <c r="F1066" s="88" t="s">
        <v>1819</v>
      </c>
      <c r="G1066" s="87" t="s">
        <v>1285</v>
      </c>
      <c r="H1066" s="82"/>
    </row>
    <row r="1067" spans="1:8" ht="16" x14ac:dyDescent="0.2">
      <c r="A1067" s="85" t="s">
        <v>433</v>
      </c>
      <c r="B1067" s="89" t="s">
        <v>1585</v>
      </c>
      <c r="C1067" s="86" t="s">
        <v>1909</v>
      </c>
      <c r="D1067" s="86" t="s">
        <v>1023</v>
      </c>
      <c r="E1067" s="90" t="s">
        <v>126</v>
      </c>
      <c r="F1067" s="88" t="s">
        <v>1818</v>
      </c>
      <c r="G1067" s="87" t="s">
        <v>1285</v>
      </c>
      <c r="H1067" s="82"/>
    </row>
    <row r="1068" spans="1:8" ht="16" x14ac:dyDescent="0.2">
      <c r="A1068" s="85" t="s">
        <v>433</v>
      </c>
      <c r="B1068" s="89" t="s">
        <v>1585</v>
      </c>
      <c r="C1068" s="86" t="s">
        <v>1909</v>
      </c>
      <c r="D1068" s="86" t="s">
        <v>1023</v>
      </c>
      <c r="E1068" s="90" t="s">
        <v>126</v>
      </c>
      <c r="F1068" s="88" t="s">
        <v>1912</v>
      </c>
      <c r="G1068" s="87" t="s">
        <v>1285</v>
      </c>
      <c r="H1068" s="82"/>
    </row>
    <row r="1069" spans="1:8" ht="16" x14ac:dyDescent="0.2">
      <c r="A1069" s="85" t="s">
        <v>433</v>
      </c>
      <c r="B1069" s="89" t="s">
        <v>1585</v>
      </c>
      <c r="C1069" s="86" t="s">
        <v>1909</v>
      </c>
      <c r="D1069" s="86" t="s">
        <v>1023</v>
      </c>
      <c r="E1069" s="90" t="s">
        <v>126</v>
      </c>
      <c r="F1069" s="88" t="s">
        <v>1820</v>
      </c>
      <c r="G1069" s="87" t="s">
        <v>1285</v>
      </c>
      <c r="H1069" s="82"/>
    </row>
    <row r="1070" spans="1:8" ht="16" x14ac:dyDescent="0.2">
      <c r="A1070" s="85" t="s">
        <v>433</v>
      </c>
      <c r="B1070" s="89" t="s">
        <v>1585</v>
      </c>
      <c r="C1070" s="86" t="s">
        <v>1909</v>
      </c>
      <c r="D1070" s="86" t="s">
        <v>1023</v>
      </c>
      <c r="E1070" s="90" t="s">
        <v>126</v>
      </c>
      <c r="F1070" s="88" t="s">
        <v>1821</v>
      </c>
      <c r="G1070" s="87" t="s">
        <v>1285</v>
      </c>
      <c r="H1070" s="82"/>
    </row>
    <row r="1071" spans="1:8" ht="16" x14ac:dyDescent="0.2">
      <c r="A1071" s="85" t="s">
        <v>433</v>
      </c>
      <c r="B1071" s="89" t="s">
        <v>1585</v>
      </c>
      <c r="C1071" s="86" t="s">
        <v>1909</v>
      </c>
      <c r="D1071" s="86" t="s">
        <v>1023</v>
      </c>
      <c r="E1071" s="90" t="s">
        <v>126</v>
      </c>
      <c r="F1071" s="88" t="s">
        <v>1822</v>
      </c>
      <c r="G1071" s="87" t="s">
        <v>1285</v>
      </c>
      <c r="H1071" s="82"/>
    </row>
    <row r="1072" spans="1:8" ht="16" x14ac:dyDescent="0.2">
      <c r="A1072" s="85" t="s">
        <v>433</v>
      </c>
      <c r="B1072" s="89" t="s">
        <v>1585</v>
      </c>
      <c r="C1072" s="86" t="s">
        <v>1909</v>
      </c>
      <c r="D1072" s="86" t="s">
        <v>1023</v>
      </c>
      <c r="E1072" s="90" t="s">
        <v>126</v>
      </c>
      <c r="F1072" s="88" t="s">
        <v>1823</v>
      </c>
      <c r="G1072" s="87" t="s">
        <v>1285</v>
      </c>
      <c r="H1072" s="82"/>
    </row>
    <row r="1073" spans="1:8" ht="16" x14ac:dyDescent="0.2">
      <c r="A1073" s="85" t="s">
        <v>433</v>
      </c>
      <c r="B1073" s="89" t="s">
        <v>1585</v>
      </c>
      <c r="C1073" s="86" t="s">
        <v>1909</v>
      </c>
      <c r="D1073" s="86" t="s">
        <v>1023</v>
      </c>
      <c r="E1073" s="90" t="s">
        <v>117</v>
      </c>
      <c r="F1073" s="88" t="s">
        <v>1869</v>
      </c>
      <c r="G1073" s="87" t="s">
        <v>1325</v>
      </c>
      <c r="H1073" s="82"/>
    </row>
    <row r="1074" spans="1:8" ht="16" x14ac:dyDescent="0.2">
      <c r="A1074" s="85" t="s">
        <v>433</v>
      </c>
      <c r="B1074" s="89" t="s">
        <v>1585</v>
      </c>
      <c r="C1074" s="86" t="s">
        <v>1909</v>
      </c>
      <c r="D1074" s="86" t="s">
        <v>1023</v>
      </c>
      <c r="E1074" s="90" t="s">
        <v>117</v>
      </c>
      <c r="F1074" s="88" t="s">
        <v>1877</v>
      </c>
      <c r="G1074" s="87" t="s">
        <v>1334</v>
      </c>
      <c r="H1074" s="82"/>
    </row>
    <row r="1075" spans="1:8" ht="16" x14ac:dyDescent="0.2">
      <c r="A1075" s="85" t="s">
        <v>433</v>
      </c>
      <c r="B1075" s="89" t="s">
        <v>1585</v>
      </c>
      <c r="C1075" s="86" t="s">
        <v>1909</v>
      </c>
      <c r="D1075" s="86" t="s">
        <v>1023</v>
      </c>
      <c r="E1075" s="90" t="s">
        <v>117</v>
      </c>
      <c r="F1075" s="88" t="s">
        <v>1870</v>
      </c>
      <c r="G1075" s="87" t="s">
        <v>1325</v>
      </c>
      <c r="H1075" s="82"/>
    </row>
    <row r="1076" spans="1:8" ht="16" x14ac:dyDescent="0.2">
      <c r="A1076" s="85" t="s">
        <v>433</v>
      </c>
      <c r="B1076" s="89" t="s">
        <v>1585</v>
      </c>
      <c r="C1076" s="86" t="s">
        <v>1909</v>
      </c>
      <c r="D1076" s="86" t="s">
        <v>1023</v>
      </c>
      <c r="E1076" s="90" t="s">
        <v>117</v>
      </c>
      <c r="F1076" s="88" t="s">
        <v>1878</v>
      </c>
      <c r="G1076" s="87" t="s">
        <v>1334</v>
      </c>
      <c r="H1076" s="82"/>
    </row>
    <row r="1077" spans="1:8" ht="16" x14ac:dyDescent="0.2">
      <c r="A1077" s="85" t="s">
        <v>433</v>
      </c>
      <c r="B1077" s="89" t="s">
        <v>1585</v>
      </c>
      <c r="C1077" s="86" t="s">
        <v>1909</v>
      </c>
      <c r="D1077" s="86" t="s">
        <v>1023</v>
      </c>
      <c r="E1077" s="90" t="s">
        <v>117</v>
      </c>
      <c r="F1077" s="88" t="s">
        <v>1873</v>
      </c>
      <c r="G1077" s="87" t="s">
        <v>1326</v>
      </c>
      <c r="H1077" s="82"/>
    </row>
    <row r="1078" spans="1:8" ht="16" x14ac:dyDescent="0.2">
      <c r="A1078" s="85" t="s">
        <v>433</v>
      </c>
      <c r="B1078" s="89" t="s">
        <v>1585</v>
      </c>
      <c r="C1078" s="86" t="s">
        <v>1909</v>
      </c>
      <c r="D1078" s="86" t="s">
        <v>1023</v>
      </c>
      <c r="E1078" s="90" t="s">
        <v>117</v>
      </c>
      <c r="F1078" s="88" t="s">
        <v>1881</v>
      </c>
      <c r="G1078" s="87" t="s">
        <v>1335</v>
      </c>
      <c r="H1078" s="82"/>
    </row>
    <row r="1079" spans="1:8" ht="16" x14ac:dyDescent="0.2">
      <c r="A1079" s="85" t="s">
        <v>433</v>
      </c>
      <c r="B1079" s="89" t="s">
        <v>1585</v>
      </c>
      <c r="C1079" s="86" t="s">
        <v>1909</v>
      </c>
      <c r="D1079" s="86" t="s">
        <v>1023</v>
      </c>
      <c r="E1079" s="90" t="s">
        <v>117</v>
      </c>
      <c r="F1079" s="88" t="s">
        <v>1874</v>
      </c>
      <c r="G1079" s="87" t="s">
        <v>1326</v>
      </c>
      <c r="H1079" s="82"/>
    </row>
    <row r="1080" spans="1:8" ht="16" x14ac:dyDescent="0.2">
      <c r="A1080" s="85" t="s">
        <v>433</v>
      </c>
      <c r="B1080" s="89" t="s">
        <v>1585</v>
      </c>
      <c r="C1080" s="86" t="s">
        <v>1909</v>
      </c>
      <c r="D1080" s="86" t="s">
        <v>1023</v>
      </c>
      <c r="E1080" s="90" t="s">
        <v>117</v>
      </c>
      <c r="F1080" s="88" t="s">
        <v>1882</v>
      </c>
      <c r="G1080" s="87" t="s">
        <v>1335</v>
      </c>
      <c r="H1080" s="82"/>
    </row>
    <row r="1081" spans="1:8" ht="16" x14ac:dyDescent="0.2">
      <c r="A1081" s="85" t="s">
        <v>433</v>
      </c>
      <c r="B1081" s="89" t="s">
        <v>1585</v>
      </c>
      <c r="C1081" s="86" t="s">
        <v>1909</v>
      </c>
      <c r="D1081" s="86" t="s">
        <v>1023</v>
      </c>
      <c r="E1081" s="90" t="s">
        <v>117</v>
      </c>
      <c r="F1081" s="88" t="s">
        <v>1875</v>
      </c>
      <c r="G1081" s="87" t="s">
        <v>1326</v>
      </c>
      <c r="H1081" s="82"/>
    </row>
    <row r="1082" spans="1:8" ht="16" x14ac:dyDescent="0.2">
      <c r="A1082" s="85" t="s">
        <v>433</v>
      </c>
      <c r="B1082" s="89" t="s">
        <v>1585</v>
      </c>
      <c r="C1082" s="86" t="s">
        <v>1909</v>
      </c>
      <c r="D1082" s="86" t="s">
        <v>1023</v>
      </c>
      <c r="E1082" s="90" t="s">
        <v>117</v>
      </c>
      <c r="F1082" s="88" t="s">
        <v>1883</v>
      </c>
      <c r="G1082" s="87" t="s">
        <v>1335</v>
      </c>
      <c r="H1082" s="82"/>
    </row>
    <row r="1083" spans="1:8" ht="16" x14ac:dyDescent="0.2">
      <c r="A1083" s="85" t="s">
        <v>433</v>
      </c>
      <c r="B1083" s="89" t="s">
        <v>1585</v>
      </c>
      <c r="C1083" s="86" t="s">
        <v>1909</v>
      </c>
      <c r="D1083" s="86" t="s">
        <v>1023</v>
      </c>
      <c r="E1083" s="90" t="s">
        <v>117</v>
      </c>
      <c r="F1083" s="88" t="s">
        <v>1872</v>
      </c>
      <c r="G1083" s="87" t="s">
        <v>1325</v>
      </c>
      <c r="H1083" s="82"/>
    </row>
    <row r="1084" spans="1:8" ht="16" x14ac:dyDescent="0.2">
      <c r="A1084" s="85" t="s">
        <v>433</v>
      </c>
      <c r="B1084" s="89" t="s">
        <v>1585</v>
      </c>
      <c r="C1084" s="86" t="s">
        <v>1909</v>
      </c>
      <c r="D1084" s="86" t="s">
        <v>1023</v>
      </c>
      <c r="E1084" s="90" t="s">
        <v>117</v>
      </c>
      <c r="F1084" s="88" t="s">
        <v>1880</v>
      </c>
      <c r="G1084" s="87" t="s">
        <v>1334</v>
      </c>
      <c r="H1084" s="82"/>
    </row>
    <row r="1085" spans="1:8" ht="16" x14ac:dyDescent="0.2">
      <c r="A1085" s="85" t="s">
        <v>433</v>
      </c>
      <c r="B1085" s="89" t="s">
        <v>1585</v>
      </c>
      <c r="C1085" s="86" t="s">
        <v>1909</v>
      </c>
      <c r="D1085" s="86" t="s">
        <v>1023</v>
      </c>
      <c r="E1085" s="90" t="s">
        <v>117</v>
      </c>
      <c r="F1085" s="88" t="s">
        <v>1876</v>
      </c>
      <c r="G1085" s="87" t="s">
        <v>1326</v>
      </c>
      <c r="H1085" s="82"/>
    </row>
    <row r="1086" spans="1:8" ht="16" x14ac:dyDescent="0.2">
      <c r="A1086" s="85" t="s">
        <v>433</v>
      </c>
      <c r="B1086" s="89" t="s">
        <v>1585</v>
      </c>
      <c r="C1086" s="86" t="s">
        <v>1909</v>
      </c>
      <c r="D1086" s="86" t="s">
        <v>1023</v>
      </c>
      <c r="E1086" s="90" t="s">
        <v>117</v>
      </c>
      <c r="F1086" s="88" t="s">
        <v>1884</v>
      </c>
      <c r="G1086" s="87" t="s">
        <v>1335</v>
      </c>
      <c r="H1086" s="82"/>
    </row>
    <row r="1087" spans="1:8" ht="16" x14ac:dyDescent="0.2">
      <c r="A1087" s="85" t="s">
        <v>433</v>
      </c>
      <c r="B1087" s="89" t="s">
        <v>1585</v>
      </c>
      <c r="C1087" s="86" t="s">
        <v>1909</v>
      </c>
      <c r="D1087" s="86" t="s">
        <v>1023</v>
      </c>
      <c r="E1087" s="90" t="s">
        <v>117</v>
      </c>
      <c r="F1087" s="88" t="s">
        <v>1871</v>
      </c>
      <c r="G1087" s="87" t="s">
        <v>1325</v>
      </c>
      <c r="H1087" s="82"/>
    </row>
    <row r="1088" spans="1:8" ht="16" x14ac:dyDescent="0.2">
      <c r="A1088" s="85" t="s">
        <v>433</v>
      </c>
      <c r="B1088" s="89" t="s">
        <v>1585</v>
      </c>
      <c r="C1088" s="86" t="s">
        <v>1909</v>
      </c>
      <c r="D1088" s="86" t="s">
        <v>1023</v>
      </c>
      <c r="E1088" s="90" t="s">
        <v>117</v>
      </c>
      <c r="F1088" s="88" t="s">
        <v>1879</v>
      </c>
      <c r="G1088" s="87" t="s">
        <v>1334</v>
      </c>
      <c r="H1088" s="82"/>
    </row>
    <row r="1089" spans="1:8" ht="16" x14ac:dyDescent="0.2">
      <c r="A1089" s="85" t="s">
        <v>433</v>
      </c>
      <c r="B1089" s="97" t="s">
        <v>1913</v>
      </c>
      <c r="C1089" s="86" t="s">
        <v>1909</v>
      </c>
      <c r="D1089" s="86" t="s">
        <v>1023</v>
      </c>
      <c r="E1089" s="90" t="s">
        <v>117</v>
      </c>
      <c r="F1089" s="88" t="s">
        <v>433</v>
      </c>
      <c r="G1089" s="87" t="s">
        <v>637</v>
      </c>
      <c r="H1089" s="82"/>
    </row>
    <row r="1090" spans="1:8" ht="16" x14ac:dyDescent="0.2">
      <c r="A1090" s="85" t="s">
        <v>433</v>
      </c>
      <c r="B1090" s="97" t="s">
        <v>1913</v>
      </c>
      <c r="C1090" s="86" t="s">
        <v>1909</v>
      </c>
      <c r="D1090" s="86" t="s">
        <v>1023</v>
      </c>
      <c r="E1090" s="90" t="s">
        <v>117</v>
      </c>
      <c r="F1090" s="88" t="s">
        <v>1824</v>
      </c>
      <c r="G1090" s="87" t="s">
        <v>637</v>
      </c>
      <c r="H1090" s="82"/>
    </row>
    <row r="1091" spans="1:8" ht="16" x14ac:dyDescent="0.2">
      <c r="A1091" s="85" t="s">
        <v>433</v>
      </c>
      <c r="B1091" s="97" t="s">
        <v>1913</v>
      </c>
      <c r="C1091" s="86" t="s">
        <v>1909</v>
      </c>
      <c r="D1091" s="86" t="s">
        <v>1023</v>
      </c>
      <c r="E1091" s="90" t="s">
        <v>117</v>
      </c>
      <c r="F1091" s="88" t="s">
        <v>1914</v>
      </c>
      <c r="G1091" s="87" t="s">
        <v>637</v>
      </c>
      <c r="H1091" s="82"/>
    </row>
    <row r="1092" spans="1:8" ht="16" x14ac:dyDescent="0.2">
      <c r="A1092" s="85" t="s">
        <v>433</v>
      </c>
      <c r="B1092" s="97" t="s">
        <v>1913</v>
      </c>
      <c r="C1092" s="86" t="s">
        <v>1909</v>
      </c>
      <c r="D1092" s="86" t="s">
        <v>1023</v>
      </c>
      <c r="E1092" s="90" t="s">
        <v>117</v>
      </c>
      <c r="F1092" s="88" t="s">
        <v>1825</v>
      </c>
      <c r="G1092" s="87" t="s">
        <v>637</v>
      </c>
      <c r="H1092" s="82"/>
    </row>
    <row r="1093" spans="1:8" ht="16" x14ac:dyDescent="0.2">
      <c r="A1093" s="85" t="s">
        <v>433</v>
      </c>
      <c r="B1093" s="97" t="s">
        <v>1913</v>
      </c>
      <c r="C1093" s="86" t="s">
        <v>1909</v>
      </c>
      <c r="D1093" s="86" t="s">
        <v>1023</v>
      </c>
      <c r="E1093" s="90" t="s">
        <v>117</v>
      </c>
      <c r="F1093" s="88" t="s">
        <v>1885</v>
      </c>
      <c r="G1093" s="87" t="s">
        <v>637</v>
      </c>
      <c r="H1093" s="82"/>
    </row>
    <row r="1094" spans="1:8" ht="16" x14ac:dyDescent="0.2">
      <c r="A1094" s="85" t="s">
        <v>433</v>
      </c>
      <c r="B1094" s="97" t="s">
        <v>1913</v>
      </c>
      <c r="C1094" s="86" t="s">
        <v>1909</v>
      </c>
      <c r="D1094" s="86" t="s">
        <v>1023</v>
      </c>
      <c r="E1094" s="90" t="s">
        <v>117</v>
      </c>
      <c r="F1094" s="88" t="s">
        <v>1886</v>
      </c>
      <c r="G1094" s="87" t="s">
        <v>637</v>
      </c>
      <c r="H1094" s="82"/>
    </row>
    <row r="1095" spans="1:8" ht="16" x14ac:dyDescent="0.2">
      <c r="A1095" s="85" t="s">
        <v>433</v>
      </c>
      <c r="B1095" s="97" t="s">
        <v>1913</v>
      </c>
      <c r="C1095" s="86" t="s">
        <v>1909</v>
      </c>
      <c r="D1095" s="86" t="s">
        <v>1023</v>
      </c>
      <c r="E1095" s="90" t="s">
        <v>117</v>
      </c>
      <c r="F1095" s="88" t="s">
        <v>1827</v>
      </c>
      <c r="G1095" s="87" t="s">
        <v>637</v>
      </c>
      <c r="H1095" s="82"/>
    </row>
    <row r="1096" spans="1:8" ht="16" x14ac:dyDescent="0.2">
      <c r="A1096" s="85" t="s">
        <v>433</v>
      </c>
      <c r="B1096" s="97" t="s">
        <v>1913</v>
      </c>
      <c r="C1096" s="86" t="s">
        <v>1909</v>
      </c>
      <c r="D1096" s="86" t="s">
        <v>1023</v>
      </c>
      <c r="E1096" s="90" t="s">
        <v>117</v>
      </c>
      <c r="F1096" s="88" t="s">
        <v>1887</v>
      </c>
      <c r="G1096" s="87" t="s">
        <v>637</v>
      </c>
      <c r="H1096" s="82"/>
    </row>
    <row r="1097" spans="1:8" ht="16" x14ac:dyDescent="0.2">
      <c r="A1097" s="85" t="s">
        <v>433</v>
      </c>
      <c r="B1097" s="97" t="s">
        <v>1913</v>
      </c>
      <c r="C1097" s="86" t="s">
        <v>1909</v>
      </c>
      <c r="D1097" s="86" t="s">
        <v>1023</v>
      </c>
      <c r="E1097" s="90" t="s">
        <v>117</v>
      </c>
      <c r="F1097" s="88" t="s">
        <v>1828</v>
      </c>
      <c r="G1097" s="87" t="s">
        <v>637</v>
      </c>
      <c r="H1097" s="82"/>
    </row>
    <row r="1098" spans="1:8" ht="16" x14ac:dyDescent="0.2">
      <c r="A1098" s="85" t="s">
        <v>433</v>
      </c>
      <c r="B1098" s="97" t="s">
        <v>1913</v>
      </c>
      <c r="C1098" s="86" t="s">
        <v>1909</v>
      </c>
      <c r="D1098" s="86" t="s">
        <v>1023</v>
      </c>
      <c r="E1098" s="90" t="s">
        <v>117</v>
      </c>
      <c r="F1098" s="88" t="s">
        <v>442</v>
      </c>
      <c r="G1098" s="87" t="s">
        <v>637</v>
      </c>
      <c r="H1098" s="82"/>
    </row>
    <row r="1099" spans="1:8" ht="16" x14ac:dyDescent="0.2">
      <c r="A1099" s="85" t="s">
        <v>433</v>
      </c>
      <c r="B1099" s="97" t="s">
        <v>1913</v>
      </c>
      <c r="C1099" s="86" t="s">
        <v>1909</v>
      </c>
      <c r="D1099" s="86" t="s">
        <v>1023</v>
      </c>
      <c r="E1099" s="90" t="s">
        <v>117</v>
      </c>
      <c r="F1099" s="88" t="s">
        <v>1888</v>
      </c>
      <c r="G1099" s="87" t="s">
        <v>637</v>
      </c>
      <c r="H1099" s="82"/>
    </row>
    <row r="1100" spans="1:8" ht="16" x14ac:dyDescent="0.2">
      <c r="A1100" s="85" t="s">
        <v>433</v>
      </c>
      <c r="B1100" s="97" t="s">
        <v>1913</v>
      </c>
      <c r="C1100" s="86" t="s">
        <v>1909</v>
      </c>
      <c r="D1100" s="86" t="s">
        <v>1023</v>
      </c>
      <c r="E1100" s="90" t="s">
        <v>117</v>
      </c>
      <c r="F1100" s="88" t="s">
        <v>447</v>
      </c>
      <c r="G1100" s="87" t="s">
        <v>637</v>
      </c>
      <c r="H1100" s="82"/>
    </row>
    <row r="1101" spans="1:8" ht="16" x14ac:dyDescent="0.2">
      <c r="A1101" s="85" t="s">
        <v>433</v>
      </c>
      <c r="B1101" s="97" t="s">
        <v>1913</v>
      </c>
      <c r="C1101" s="86" t="s">
        <v>1909</v>
      </c>
      <c r="D1101" s="86" t="s">
        <v>1023</v>
      </c>
      <c r="E1101" s="90" t="s">
        <v>117</v>
      </c>
      <c r="F1101" s="88" t="s">
        <v>1889</v>
      </c>
      <c r="G1101" s="87" t="s">
        <v>637</v>
      </c>
      <c r="H1101" s="82"/>
    </row>
    <row r="1102" spans="1:8" x14ac:dyDescent="0.2">
      <c r="A1102" s="85" t="s">
        <v>433</v>
      </c>
      <c r="B1102" s="97" t="s">
        <v>1915</v>
      </c>
      <c r="C1102" s="86" t="s">
        <v>1909</v>
      </c>
      <c r="D1102" s="86" t="s">
        <v>1023</v>
      </c>
      <c r="E1102" s="90" t="s">
        <v>117</v>
      </c>
      <c r="F1102" s="88" t="s">
        <v>433</v>
      </c>
      <c r="G1102" s="88" t="s">
        <v>1298</v>
      </c>
      <c r="H1102" s="82"/>
    </row>
    <row r="1103" spans="1:8" x14ac:dyDescent="0.2">
      <c r="A1103" s="85" t="s">
        <v>433</v>
      </c>
      <c r="B1103" s="97" t="s">
        <v>1915</v>
      </c>
      <c r="C1103" s="86" t="s">
        <v>1909</v>
      </c>
      <c r="D1103" s="86" t="s">
        <v>1023</v>
      </c>
      <c r="E1103" s="90" t="s">
        <v>117</v>
      </c>
      <c r="F1103" s="88" t="s">
        <v>1824</v>
      </c>
      <c r="G1103" s="88" t="s">
        <v>1298</v>
      </c>
      <c r="H1103" s="82"/>
    </row>
    <row r="1104" spans="1:8" x14ac:dyDescent="0.2">
      <c r="A1104" s="85" t="s">
        <v>433</v>
      </c>
      <c r="B1104" s="97" t="s">
        <v>1915</v>
      </c>
      <c r="C1104" s="86" t="s">
        <v>1909</v>
      </c>
      <c r="D1104" s="86" t="s">
        <v>1023</v>
      </c>
      <c r="E1104" s="90" t="s">
        <v>117</v>
      </c>
      <c r="F1104" s="88" t="s">
        <v>1914</v>
      </c>
      <c r="G1104" s="88" t="s">
        <v>1298</v>
      </c>
      <c r="H1104" s="82"/>
    </row>
    <row r="1105" spans="1:8" x14ac:dyDescent="0.2">
      <c r="A1105" s="85" t="s">
        <v>433</v>
      </c>
      <c r="B1105" s="97" t="s">
        <v>1915</v>
      </c>
      <c r="C1105" s="86" t="s">
        <v>1909</v>
      </c>
      <c r="D1105" s="86" t="s">
        <v>1023</v>
      </c>
      <c r="E1105" s="90" t="s">
        <v>117</v>
      </c>
      <c r="F1105" s="88" t="s">
        <v>1825</v>
      </c>
      <c r="G1105" s="88" t="s">
        <v>1298</v>
      </c>
      <c r="H1105" s="82"/>
    </row>
    <row r="1106" spans="1:8" x14ac:dyDescent="0.2">
      <c r="A1106" s="85" t="s">
        <v>433</v>
      </c>
      <c r="B1106" s="97" t="s">
        <v>1915</v>
      </c>
      <c r="C1106" s="86" t="s">
        <v>1909</v>
      </c>
      <c r="D1106" s="86" t="s">
        <v>1023</v>
      </c>
      <c r="E1106" s="90" t="s">
        <v>117</v>
      </c>
      <c r="F1106" s="88" t="s">
        <v>1885</v>
      </c>
      <c r="G1106" s="88" t="s">
        <v>1298</v>
      </c>
      <c r="H1106" s="82"/>
    </row>
    <row r="1107" spans="1:8" x14ac:dyDescent="0.2">
      <c r="A1107" s="85" t="s">
        <v>433</v>
      </c>
      <c r="B1107" s="97" t="s">
        <v>1915</v>
      </c>
      <c r="C1107" s="86" t="s">
        <v>1909</v>
      </c>
      <c r="D1107" s="86" t="s">
        <v>1023</v>
      </c>
      <c r="E1107" s="90" t="s">
        <v>117</v>
      </c>
      <c r="F1107" s="88" t="s">
        <v>1886</v>
      </c>
      <c r="G1107" s="88" t="s">
        <v>1298</v>
      </c>
      <c r="H1107" s="82"/>
    </row>
    <row r="1108" spans="1:8" x14ac:dyDescent="0.2">
      <c r="A1108" s="85" t="s">
        <v>433</v>
      </c>
      <c r="B1108" s="97" t="s">
        <v>1915</v>
      </c>
      <c r="C1108" s="86" t="s">
        <v>1909</v>
      </c>
      <c r="D1108" s="86" t="s">
        <v>1023</v>
      </c>
      <c r="E1108" s="90" t="s">
        <v>117</v>
      </c>
      <c r="F1108" s="88" t="s">
        <v>1827</v>
      </c>
      <c r="G1108" s="88" t="s">
        <v>1298</v>
      </c>
      <c r="H1108" s="82"/>
    </row>
    <row r="1109" spans="1:8" x14ac:dyDescent="0.2">
      <c r="A1109" s="85" t="s">
        <v>433</v>
      </c>
      <c r="B1109" s="97" t="s">
        <v>1915</v>
      </c>
      <c r="C1109" s="86" t="s">
        <v>1909</v>
      </c>
      <c r="D1109" s="86" t="s">
        <v>1023</v>
      </c>
      <c r="E1109" s="90" t="s">
        <v>117</v>
      </c>
      <c r="F1109" s="88" t="s">
        <v>1887</v>
      </c>
      <c r="G1109" s="88" t="s">
        <v>1298</v>
      </c>
      <c r="H1109" s="82"/>
    </row>
    <row r="1110" spans="1:8" x14ac:dyDescent="0.2">
      <c r="A1110" s="85" t="s">
        <v>433</v>
      </c>
      <c r="B1110" s="97" t="s">
        <v>1915</v>
      </c>
      <c r="C1110" s="86" t="s">
        <v>1909</v>
      </c>
      <c r="D1110" s="86" t="s">
        <v>1023</v>
      </c>
      <c r="E1110" s="90" t="s">
        <v>117</v>
      </c>
      <c r="F1110" s="88" t="s">
        <v>1828</v>
      </c>
      <c r="G1110" s="88" t="s">
        <v>1298</v>
      </c>
      <c r="H1110" s="82"/>
    </row>
    <row r="1111" spans="1:8" x14ac:dyDescent="0.2">
      <c r="A1111" s="85" t="s">
        <v>433</v>
      </c>
      <c r="B1111" s="97" t="s">
        <v>1915</v>
      </c>
      <c r="C1111" s="86" t="s">
        <v>1909</v>
      </c>
      <c r="D1111" s="86" t="s">
        <v>1023</v>
      </c>
      <c r="E1111" s="90" t="s">
        <v>117</v>
      </c>
      <c r="F1111" s="88" t="s">
        <v>442</v>
      </c>
      <c r="G1111" s="88" t="s">
        <v>1298</v>
      </c>
      <c r="H1111" s="82"/>
    </row>
    <row r="1112" spans="1:8" x14ac:dyDescent="0.2">
      <c r="A1112" s="85" t="s">
        <v>433</v>
      </c>
      <c r="B1112" s="97" t="s">
        <v>1915</v>
      </c>
      <c r="C1112" s="86" t="s">
        <v>1909</v>
      </c>
      <c r="D1112" s="86" t="s">
        <v>1023</v>
      </c>
      <c r="E1112" s="90" t="s">
        <v>117</v>
      </c>
      <c r="F1112" s="88" t="s">
        <v>1888</v>
      </c>
      <c r="G1112" s="88" t="s">
        <v>1298</v>
      </c>
      <c r="H1112" s="82"/>
    </row>
    <row r="1113" spans="1:8" x14ac:dyDescent="0.2">
      <c r="A1113" s="85" t="s">
        <v>433</v>
      </c>
      <c r="B1113" s="97" t="s">
        <v>1915</v>
      </c>
      <c r="C1113" s="86" t="s">
        <v>1909</v>
      </c>
      <c r="D1113" s="86" t="s">
        <v>1023</v>
      </c>
      <c r="E1113" s="90" t="s">
        <v>117</v>
      </c>
      <c r="F1113" s="88" t="s">
        <v>447</v>
      </c>
      <c r="G1113" s="88" t="s">
        <v>1298</v>
      </c>
      <c r="H1113" s="82"/>
    </row>
    <row r="1114" spans="1:8" x14ac:dyDescent="0.2">
      <c r="A1114" s="85" t="s">
        <v>433</v>
      </c>
      <c r="B1114" s="97" t="s">
        <v>1915</v>
      </c>
      <c r="C1114" s="86" t="s">
        <v>1909</v>
      </c>
      <c r="D1114" s="86" t="s">
        <v>1023</v>
      </c>
      <c r="E1114" s="90" t="s">
        <v>117</v>
      </c>
      <c r="F1114" s="88" t="s">
        <v>1889</v>
      </c>
      <c r="G1114" s="88" t="s">
        <v>1298</v>
      </c>
      <c r="H1114" s="82"/>
    </row>
    <row r="1115" spans="1:8" ht="16" x14ac:dyDescent="0.2">
      <c r="A1115" s="85" t="s">
        <v>433</v>
      </c>
      <c r="B1115" s="97" t="s">
        <v>1916</v>
      </c>
      <c r="C1115" s="86" t="s">
        <v>1909</v>
      </c>
      <c r="D1115" s="86" t="s">
        <v>1023</v>
      </c>
      <c r="E1115" s="90" t="s">
        <v>117</v>
      </c>
      <c r="F1115" s="88" t="s">
        <v>1829</v>
      </c>
      <c r="G1115" s="87" t="s">
        <v>639</v>
      </c>
      <c r="H1115" s="82"/>
    </row>
    <row r="1116" spans="1:8" ht="16" x14ac:dyDescent="0.2">
      <c r="A1116" s="85" t="s">
        <v>433</v>
      </c>
      <c r="B1116" s="97" t="s">
        <v>1916</v>
      </c>
      <c r="C1116" s="86" t="s">
        <v>1909</v>
      </c>
      <c r="D1116" s="86" t="s">
        <v>1023</v>
      </c>
      <c r="E1116" s="90" t="s">
        <v>117</v>
      </c>
      <c r="F1116" s="88" t="s">
        <v>1917</v>
      </c>
      <c r="G1116" s="87" t="s">
        <v>639</v>
      </c>
      <c r="H1116" s="82"/>
    </row>
    <row r="1117" spans="1:8" ht="16" x14ac:dyDescent="0.2">
      <c r="A1117" s="85" t="s">
        <v>433</v>
      </c>
      <c r="B1117" s="97" t="s">
        <v>1916</v>
      </c>
      <c r="C1117" s="86" t="s">
        <v>1909</v>
      </c>
      <c r="D1117" s="86" t="s">
        <v>1023</v>
      </c>
      <c r="E1117" s="90" t="s">
        <v>117</v>
      </c>
      <c r="F1117" s="88" t="s">
        <v>1832</v>
      </c>
      <c r="G1117" s="87" t="s">
        <v>639</v>
      </c>
      <c r="H1117" s="82"/>
    </row>
    <row r="1118" spans="1:8" ht="16" x14ac:dyDescent="0.2">
      <c r="A1118" s="85" t="s">
        <v>433</v>
      </c>
      <c r="B1118" s="97" t="s">
        <v>1916</v>
      </c>
      <c r="C1118" s="86" t="s">
        <v>1909</v>
      </c>
      <c r="D1118" s="86" t="s">
        <v>1023</v>
      </c>
      <c r="E1118" s="90" t="s">
        <v>117</v>
      </c>
      <c r="F1118" s="88" t="s">
        <v>1833</v>
      </c>
      <c r="G1118" s="87" t="s">
        <v>639</v>
      </c>
      <c r="H1118" s="82"/>
    </row>
    <row r="1119" spans="1:8" ht="16" x14ac:dyDescent="0.2">
      <c r="A1119" s="85" t="s">
        <v>433</v>
      </c>
      <c r="B1119" s="97" t="s">
        <v>1916</v>
      </c>
      <c r="C1119" s="86" t="s">
        <v>1909</v>
      </c>
      <c r="D1119" s="86" t="s">
        <v>1023</v>
      </c>
      <c r="E1119" s="90" t="s">
        <v>117</v>
      </c>
      <c r="F1119" s="88" t="s">
        <v>1834</v>
      </c>
      <c r="G1119" s="87" t="s">
        <v>639</v>
      </c>
      <c r="H1119" s="82"/>
    </row>
    <row r="1120" spans="1:8" ht="16" x14ac:dyDescent="0.2">
      <c r="A1120" s="85" t="s">
        <v>433</v>
      </c>
      <c r="B1120" s="97" t="s">
        <v>1916</v>
      </c>
      <c r="C1120" s="86" t="s">
        <v>1909</v>
      </c>
      <c r="D1120" s="86" t="s">
        <v>1023</v>
      </c>
      <c r="E1120" s="90" t="s">
        <v>117</v>
      </c>
      <c r="F1120" s="88" t="s">
        <v>1891</v>
      </c>
      <c r="G1120" s="87" t="s">
        <v>639</v>
      </c>
      <c r="H1120" s="82"/>
    </row>
    <row r="1121" spans="1:8" ht="16" x14ac:dyDescent="0.2">
      <c r="A1121" s="85" t="s">
        <v>433</v>
      </c>
      <c r="B1121" s="97" t="s">
        <v>1916</v>
      </c>
      <c r="C1121" s="86" t="s">
        <v>1909</v>
      </c>
      <c r="D1121" s="86" t="s">
        <v>1023</v>
      </c>
      <c r="E1121" s="90" t="s">
        <v>117</v>
      </c>
      <c r="F1121" s="88" t="s">
        <v>1830</v>
      </c>
      <c r="G1121" s="87" t="s">
        <v>639</v>
      </c>
      <c r="H1121" s="82"/>
    </row>
    <row r="1122" spans="1:8" ht="16" x14ac:dyDescent="0.2">
      <c r="A1122" s="85" t="s">
        <v>433</v>
      </c>
      <c r="B1122" s="97" t="s">
        <v>1916</v>
      </c>
      <c r="C1122" s="86" t="s">
        <v>1909</v>
      </c>
      <c r="D1122" s="86" t="s">
        <v>1023</v>
      </c>
      <c r="E1122" s="90" t="s">
        <v>117</v>
      </c>
      <c r="F1122" s="88" t="s">
        <v>1831</v>
      </c>
      <c r="G1122" s="87" t="s">
        <v>639</v>
      </c>
      <c r="H1122" s="82"/>
    </row>
    <row r="1123" spans="1:8" ht="16" x14ac:dyDescent="0.2">
      <c r="A1123" s="85" t="s">
        <v>433</v>
      </c>
      <c r="B1123" s="97" t="s">
        <v>1916</v>
      </c>
      <c r="C1123" s="86" t="s">
        <v>1909</v>
      </c>
      <c r="D1123" s="86" t="s">
        <v>1023</v>
      </c>
      <c r="E1123" s="90" t="s">
        <v>117</v>
      </c>
      <c r="F1123" s="88" t="s">
        <v>1892</v>
      </c>
      <c r="G1123" s="87" t="s">
        <v>639</v>
      </c>
      <c r="H1123" s="82"/>
    </row>
    <row r="1124" spans="1:8" ht="16" x14ac:dyDescent="0.2">
      <c r="A1124" s="85" t="s">
        <v>433</v>
      </c>
      <c r="B1124" s="97" t="s">
        <v>1916</v>
      </c>
      <c r="C1124" s="86" t="s">
        <v>1909</v>
      </c>
      <c r="D1124" s="86" t="s">
        <v>1023</v>
      </c>
      <c r="E1124" s="90" t="s">
        <v>117</v>
      </c>
      <c r="F1124" s="88" t="s">
        <v>1893</v>
      </c>
      <c r="G1124" s="87" t="s">
        <v>639</v>
      </c>
      <c r="H1124" s="82"/>
    </row>
    <row r="1125" spans="1:8" ht="16" x14ac:dyDescent="0.2">
      <c r="A1125" s="85" t="s">
        <v>433</v>
      </c>
      <c r="B1125" s="97" t="s">
        <v>1916</v>
      </c>
      <c r="C1125" s="86" t="s">
        <v>1909</v>
      </c>
      <c r="D1125" s="86" t="s">
        <v>1023</v>
      </c>
      <c r="E1125" s="90" t="s">
        <v>117</v>
      </c>
      <c r="F1125" s="88" t="s">
        <v>1894</v>
      </c>
      <c r="G1125" s="87" t="s">
        <v>639</v>
      </c>
      <c r="H1125" s="82"/>
    </row>
    <row r="1126" spans="1:8" ht="16" x14ac:dyDescent="0.2">
      <c r="A1126" s="85" t="s">
        <v>433</v>
      </c>
      <c r="B1126" s="97" t="s">
        <v>1916</v>
      </c>
      <c r="C1126" s="86" t="s">
        <v>1909</v>
      </c>
      <c r="D1126" s="86" t="s">
        <v>1023</v>
      </c>
      <c r="E1126" s="90" t="s">
        <v>117</v>
      </c>
      <c r="F1126" s="88" t="s">
        <v>1895</v>
      </c>
      <c r="G1126" s="87" t="s">
        <v>639</v>
      </c>
      <c r="H1126" s="82"/>
    </row>
    <row r="1127" spans="1:8" x14ac:dyDescent="0.2">
      <c r="A1127" s="85" t="s">
        <v>433</v>
      </c>
      <c r="B1127" s="97" t="s">
        <v>1913</v>
      </c>
      <c r="C1127" s="86" t="s">
        <v>1909</v>
      </c>
      <c r="D1127" s="86" t="s">
        <v>1023</v>
      </c>
      <c r="E1127" s="90" t="s">
        <v>117</v>
      </c>
      <c r="F1127" s="88" t="s">
        <v>437</v>
      </c>
      <c r="G1127" s="88" t="s">
        <v>1300</v>
      </c>
      <c r="H1127" s="82"/>
    </row>
    <row r="1128" spans="1:8" x14ac:dyDescent="0.2">
      <c r="A1128" s="85" t="s">
        <v>433</v>
      </c>
      <c r="B1128" s="97" t="s">
        <v>1913</v>
      </c>
      <c r="C1128" s="86" t="s">
        <v>1909</v>
      </c>
      <c r="D1128" s="86" t="s">
        <v>1023</v>
      </c>
      <c r="E1128" s="90" t="s">
        <v>117</v>
      </c>
      <c r="F1128" s="88" t="s">
        <v>1836</v>
      </c>
      <c r="G1128" s="88" t="s">
        <v>1300</v>
      </c>
      <c r="H1128" s="82"/>
    </row>
    <row r="1129" spans="1:8" x14ac:dyDescent="0.2">
      <c r="A1129" s="85" t="s">
        <v>433</v>
      </c>
      <c r="B1129" s="97" t="s">
        <v>1913</v>
      </c>
      <c r="C1129" s="86" t="s">
        <v>1909</v>
      </c>
      <c r="D1129" s="86" t="s">
        <v>1023</v>
      </c>
      <c r="E1129" s="90" t="s">
        <v>117</v>
      </c>
      <c r="F1129" s="88" t="s">
        <v>1918</v>
      </c>
      <c r="G1129" s="88" t="s">
        <v>1300</v>
      </c>
      <c r="H1129" s="82"/>
    </row>
    <row r="1130" spans="1:8" x14ac:dyDescent="0.2">
      <c r="A1130" s="85" t="s">
        <v>433</v>
      </c>
      <c r="B1130" s="97" t="s">
        <v>1913</v>
      </c>
      <c r="C1130" s="86" t="s">
        <v>1909</v>
      </c>
      <c r="D1130" s="86" t="s">
        <v>1023</v>
      </c>
      <c r="E1130" s="90" t="s">
        <v>117</v>
      </c>
      <c r="F1130" s="88" t="s">
        <v>1837</v>
      </c>
      <c r="G1130" s="88" t="s">
        <v>1300</v>
      </c>
      <c r="H1130" s="82"/>
    </row>
    <row r="1131" spans="1:8" x14ac:dyDescent="0.2">
      <c r="A1131" s="85" t="s">
        <v>433</v>
      </c>
      <c r="B1131" s="97" t="s">
        <v>1913</v>
      </c>
      <c r="C1131" s="86" t="s">
        <v>1909</v>
      </c>
      <c r="D1131" s="86" t="s">
        <v>1023</v>
      </c>
      <c r="E1131" s="90" t="s">
        <v>117</v>
      </c>
      <c r="F1131" s="88" t="s">
        <v>1838</v>
      </c>
      <c r="G1131" s="88" t="s">
        <v>1300</v>
      </c>
      <c r="H1131" s="82"/>
    </row>
    <row r="1132" spans="1:8" x14ac:dyDescent="0.2">
      <c r="A1132" s="85" t="s">
        <v>433</v>
      </c>
      <c r="B1132" s="97" t="s">
        <v>1913</v>
      </c>
      <c r="C1132" s="86" t="s">
        <v>1909</v>
      </c>
      <c r="D1132" s="86" t="s">
        <v>1023</v>
      </c>
      <c r="E1132" s="90" t="s">
        <v>117</v>
      </c>
      <c r="F1132" s="88" t="s">
        <v>1839</v>
      </c>
      <c r="G1132" s="88" t="s">
        <v>1300</v>
      </c>
      <c r="H1132" s="82"/>
    </row>
    <row r="1133" spans="1:8" x14ac:dyDescent="0.2">
      <c r="A1133" s="85" t="s">
        <v>433</v>
      </c>
      <c r="B1133" s="97" t="s">
        <v>1913</v>
      </c>
      <c r="C1133" s="86" t="s">
        <v>1909</v>
      </c>
      <c r="D1133" s="86" t="s">
        <v>1023</v>
      </c>
      <c r="E1133" s="90" t="s">
        <v>117</v>
      </c>
      <c r="F1133" s="88" t="s">
        <v>1841</v>
      </c>
      <c r="G1133" s="88" t="s">
        <v>1300</v>
      </c>
      <c r="H1133" s="82"/>
    </row>
    <row r="1134" spans="1:8" x14ac:dyDescent="0.2">
      <c r="A1134" s="85" t="s">
        <v>433</v>
      </c>
      <c r="B1134" s="97" t="s">
        <v>1913</v>
      </c>
      <c r="C1134" s="86" t="s">
        <v>1909</v>
      </c>
      <c r="D1134" s="86" t="s">
        <v>1023</v>
      </c>
      <c r="E1134" s="90" t="s">
        <v>117</v>
      </c>
      <c r="F1134" s="88" t="s">
        <v>1896</v>
      </c>
      <c r="G1134" s="88" t="s">
        <v>1300</v>
      </c>
      <c r="H1134" s="82"/>
    </row>
    <row r="1135" spans="1:8" x14ac:dyDescent="0.2">
      <c r="A1135" s="85" t="s">
        <v>433</v>
      </c>
      <c r="B1135" s="97" t="s">
        <v>1913</v>
      </c>
      <c r="C1135" s="86" t="s">
        <v>1909</v>
      </c>
      <c r="D1135" s="86" t="s">
        <v>1023</v>
      </c>
      <c r="E1135" s="90" t="s">
        <v>117</v>
      </c>
      <c r="F1135" s="88" t="s">
        <v>1842</v>
      </c>
      <c r="G1135" s="88" t="s">
        <v>1300</v>
      </c>
      <c r="H1135" s="82"/>
    </row>
    <row r="1136" spans="1:8" x14ac:dyDescent="0.2">
      <c r="A1136" s="85" t="s">
        <v>433</v>
      </c>
      <c r="B1136" s="97" t="s">
        <v>1913</v>
      </c>
      <c r="C1136" s="86" t="s">
        <v>1909</v>
      </c>
      <c r="D1136" s="86" t="s">
        <v>1023</v>
      </c>
      <c r="E1136" s="90" t="s">
        <v>117</v>
      </c>
      <c r="F1136" s="88" t="s">
        <v>1897</v>
      </c>
      <c r="G1136" s="88" t="s">
        <v>1300</v>
      </c>
      <c r="H1136" s="82"/>
    </row>
    <row r="1137" spans="1:8" x14ac:dyDescent="0.2">
      <c r="A1137" s="85" t="s">
        <v>433</v>
      </c>
      <c r="B1137" s="97" t="s">
        <v>1913</v>
      </c>
      <c r="C1137" s="86" t="s">
        <v>1909</v>
      </c>
      <c r="D1137" s="86" t="s">
        <v>1023</v>
      </c>
      <c r="E1137" s="90" t="s">
        <v>117</v>
      </c>
      <c r="F1137" s="88" t="s">
        <v>1898</v>
      </c>
      <c r="G1137" s="88" t="s">
        <v>1300</v>
      </c>
      <c r="H1137" s="82"/>
    </row>
    <row r="1138" spans="1:8" x14ac:dyDescent="0.2">
      <c r="A1138" s="85" t="s">
        <v>433</v>
      </c>
      <c r="B1138" s="97" t="s">
        <v>1913</v>
      </c>
      <c r="C1138" s="86" t="s">
        <v>1909</v>
      </c>
      <c r="D1138" s="86" t="s">
        <v>1023</v>
      </c>
      <c r="E1138" s="90" t="s">
        <v>117</v>
      </c>
      <c r="F1138" s="88" t="s">
        <v>1899</v>
      </c>
      <c r="G1138" s="88" t="s">
        <v>1300</v>
      </c>
      <c r="H1138" s="82"/>
    </row>
    <row r="1139" spans="1:8" x14ac:dyDescent="0.2">
      <c r="A1139" s="85" t="s">
        <v>433</v>
      </c>
      <c r="B1139" s="97" t="s">
        <v>1913</v>
      </c>
      <c r="C1139" s="86" t="s">
        <v>1909</v>
      </c>
      <c r="D1139" s="86" t="s">
        <v>1023</v>
      </c>
      <c r="E1139" s="90" t="s">
        <v>117</v>
      </c>
      <c r="F1139" s="88" t="s">
        <v>1900</v>
      </c>
      <c r="G1139" s="88" t="s">
        <v>1300</v>
      </c>
      <c r="H1139" s="82"/>
    </row>
    <row r="1140" spans="1:8" x14ac:dyDescent="0.2">
      <c r="A1140" s="85" t="s">
        <v>433</v>
      </c>
      <c r="B1140" s="97" t="s">
        <v>1915</v>
      </c>
      <c r="C1140" s="86" t="s">
        <v>1909</v>
      </c>
      <c r="D1140" s="86" t="s">
        <v>1023</v>
      </c>
      <c r="E1140" s="90" t="s">
        <v>117</v>
      </c>
      <c r="F1140" s="88" t="s">
        <v>437</v>
      </c>
      <c r="G1140" s="88" t="s">
        <v>1299</v>
      </c>
      <c r="H1140" s="82"/>
    </row>
    <row r="1141" spans="1:8" x14ac:dyDescent="0.2">
      <c r="A1141" s="85" t="s">
        <v>433</v>
      </c>
      <c r="B1141" s="97" t="s">
        <v>1915</v>
      </c>
      <c r="C1141" s="86" t="s">
        <v>1909</v>
      </c>
      <c r="D1141" s="86" t="s">
        <v>1023</v>
      </c>
      <c r="E1141" s="90" t="s">
        <v>117</v>
      </c>
      <c r="F1141" s="88" t="s">
        <v>1836</v>
      </c>
      <c r="G1141" s="88" t="s">
        <v>1299</v>
      </c>
      <c r="H1141" s="82"/>
    </row>
    <row r="1142" spans="1:8" x14ac:dyDescent="0.2">
      <c r="A1142" s="85" t="s">
        <v>433</v>
      </c>
      <c r="B1142" s="97" t="s">
        <v>1915</v>
      </c>
      <c r="C1142" s="86" t="s">
        <v>1909</v>
      </c>
      <c r="D1142" s="86" t="s">
        <v>1023</v>
      </c>
      <c r="E1142" s="90" t="s">
        <v>117</v>
      </c>
      <c r="F1142" s="88" t="s">
        <v>1918</v>
      </c>
      <c r="G1142" s="88" t="s">
        <v>1299</v>
      </c>
      <c r="H1142" s="82"/>
    </row>
    <row r="1143" spans="1:8" x14ac:dyDescent="0.2">
      <c r="A1143" s="85" t="s">
        <v>433</v>
      </c>
      <c r="B1143" s="97" t="s">
        <v>1915</v>
      </c>
      <c r="C1143" s="86" t="s">
        <v>1909</v>
      </c>
      <c r="D1143" s="86" t="s">
        <v>1023</v>
      </c>
      <c r="E1143" s="90" t="s">
        <v>117</v>
      </c>
      <c r="F1143" s="88" t="s">
        <v>1837</v>
      </c>
      <c r="G1143" s="88" t="s">
        <v>1299</v>
      </c>
      <c r="H1143" s="82"/>
    </row>
    <row r="1144" spans="1:8" x14ac:dyDescent="0.2">
      <c r="A1144" s="85" t="s">
        <v>433</v>
      </c>
      <c r="B1144" s="97" t="s">
        <v>1915</v>
      </c>
      <c r="C1144" s="86" t="s">
        <v>1909</v>
      </c>
      <c r="D1144" s="86" t="s">
        <v>1023</v>
      </c>
      <c r="E1144" s="90" t="s">
        <v>117</v>
      </c>
      <c r="F1144" s="88" t="s">
        <v>1838</v>
      </c>
      <c r="G1144" s="88" t="s">
        <v>1299</v>
      </c>
      <c r="H1144" s="82"/>
    </row>
    <row r="1145" spans="1:8" x14ac:dyDescent="0.2">
      <c r="A1145" s="85" t="s">
        <v>433</v>
      </c>
      <c r="B1145" s="97" t="s">
        <v>1915</v>
      </c>
      <c r="C1145" s="86" t="s">
        <v>1909</v>
      </c>
      <c r="D1145" s="86" t="s">
        <v>1023</v>
      </c>
      <c r="E1145" s="90" t="s">
        <v>117</v>
      </c>
      <c r="F1145" s="88" t="s">
        <v>1839</v>
      </c>
      <c r="G1145" s="88" t="s">
        <v>1299</v>
      </c>
      <c r="H1145" s="82"/>
    </row>
    <row r="1146" spans="1:8" x14ac:dyDescent="0.2">
      <c r="A1146" s="85" t="s">
        <v>433</v>
      </c>
      <c r="B1146" s="97" t="s">
        <v>1915</v>
      </c>
      <c r="C1146" s="86" t="s">
        <v>1909</v>
      </c>
      <c r="D1146" s="86" t="s">
        <v>1023</v>
      </c>
      <c r="E1146" s="90" t="s">
        <v>117</v>
      </c>
      <c r="F1146" s="88" t="s">
        <v>1841</v>
      </c>
      <c r="G1146" s="88" t="s">
        <v>1299</v>
      </c>
      <c r="H1146" s="82"/>
    </row>
    <row r="1147" spans="1:8" x14ac:dyDescent="0.2">
      <c r="A1147" s="85" t="s">
        <v>433</v>
      </c>
      <c r="B1147" s="97" t="s">
        <v>1915</v>
      </c>
      <c r="C1147" s="86" t="s">
        <v>1909</v>
      </c>
      <c r="D1147" s="86" t="s">
        <v>1023</v>
      </c>
      <c r="E1147" s="90" t="s">
        <v>117</v>
      </c>
      <c r="F1147" s="88" t="s">
        <v>1896</v>
      </c>
      <c r="G1147" s="88" t="s">
        <v>1299</v>
      </c>
      <c r="H1147" s="82"/>
    </row>
    <row r="1148" spans="1:8" x14ac:dyDescent="0.2">
      <c r="A1148" s="85" t="s">
        <v>433</v>
      </c>
      <c r="B1148" s="97" t="s">
        <v>1915</v>
      </c>
      <c r="C1148" s="86" t="s">
        <v>1909</v>
      </c>
      <c r="D1148" s="86" t="s">
        <v>1023</v>
      </c>
      <c r="E1148" s="90" t="s">
        <v>117</v>
      </c>
      <c r="F1148" s="88" t="s">
        <v>1842</v>
      </c>
      <c r="G1148" s="88" t="s">
        <v>1299</v>
      </c>
      <c r="H1148" s="82"/>
    </row>
    <row r="1149" spans="1:8" x14ac:dyDescent="0.2">
      <c r="A1149" s="85" t="s">
        <v>433</v>
      </c>
      <c r="B1149" s="97" t="s">
        <v>1915</v>
      </c>
      <c r="C1149" s="86" t="s">
        <v>1909</v>
      </c>
      <c r="D1149" s="86" t="s">
        <v>1023</v>
      </c>
      <c r="E1149" s="90" t="s">
        <v>117</v>
      </c>
      <c r="F1149" s="88" t="s">
        <v>1897</v>
      </c>
      <c r="G1149" s="88" t="s">
        <v>1299</v>
      </c>
      <c r="H1149" s="82"/>
    </row>
    <row r="1150" spans="1:8" x14ac:dyDescent="0.2">
      <c r="A1150" s="85" t="s">
        <v>433</v>
      </c>
      <c r="B1150" s="97" t="s">
        <v>1915</v>
      </c>
      <c r="C1150" s="86" t="s">
        <v>1909</v>
      </c>
      <c r="D1150" s="86" t="s">
        <v>1023</v>
      </c>
      <c r="E1150" s="90" t="s">
        <v>117</v>
      </c>
      <c r="F1150" s="88" t="s">
        <v>1898</v>
      </c>
      <c r="G1150" s="88" t="s">
        <v>1299</v>
      </c>
      <c r="H1150" s="82"/>
    </row>
    <row r="1151" spans="1:8" x14ac:dyDescent="0.2">
      <c r="A1151" s="85" t="s">
        <v>433</v>
      </c>
      <c r="B1151" s="97" t="s">
        <v>1915</v>
      </c>
      <c r="C1151" s="86" t="s">
        <v>1909</v>
      </c>
      <c r="D1151" s="86" t="s">
        <v>1023</v>
      </c>
      <c r="E1151" s="90" t="s">
        <v>117</v>
      </c>
      <c r="F1151" s="88" t="s">
        <v>1899</v>
      </c>
      <c r="G1151" s="88" t="s">
        <v>1299</v>
      </c>
      <c r="H1151" s="82"/>
    </row>
    <row r="1152" spans="1:8" x14ac:dyDescent="0.2">
      <c r="A1152" s="85" t="s">
        <v>433</v>
      </c>
      <c r="B1152" s="97" t="s">
        <v>1915</v>
      </c>
      <c r="C1152" s="86" t="s">
        <v>1909</v>
      </c>
      <c r="D1152" s="86" t="s">
        <v>1023</v>
      </c>
      <c r="E1152" s="90" t="s">
        <v>117</v>
      </c>
      <c r="F1152" s="88" t="s">
        <v>1900</v>
      </c>
      <c r="G1152" s="88" t="s">
        <v>1299</v>
      </c>
      <c r="H1152" s="82"/>
    </row>
    <row r="1153" spans="1:8" x14ac:dyDescent="0.2">
      <c r="A1153" s="85" t="s">
        <v>433</v>
      </c>
      <c r="B1153" s="97" t="s">
        <v>1916</v>
      </c>
      <c r="C1153" s="86" t="s">
        <v>1909</v>
      </c>
      <c r="D1153" s="86" t="s">
        <v>1023</v>
      </c>
      <c r="E1153" s="90" t="s">
        <v>117</v>
      </c>
      <c r="F1153" s="88" t="s">
        <v>1843</v>
      </c>
      <c r="G1153" s="88" t="s">
        <v>1301</v>
      </c>
      <c r="H1153" s="82"/>
    </row>
    <row r="1154" spans="1:8" x14ac:dyDescent="0.2">
      <c r="A1154" s="85" t="s">
        <v>433</v>
      </c>
      <c r="B1154" s="97" t="s">
        <v>1916</v>
      </c>
      <c r="C1154" s="86" t="s">
        <v>1909</v>
      </c>
      <c r="D1154" s="86" t="s">
        <v>1023</v>
      </c>
      <c r="E1154" s="90" t="s">
        <v>117</v>
      </c>
      <c r="F1154" s="88" t="s">
        <v>1919</v>
      </c>
      <c r="G1154" s="88" t="s">
        <v>1301</v>
      </c>
      <c r="H1154" s="82"/>
    </row>
    <row r="1155" spans="1:8" x14ac:dyDescent="0.2">
      <c r="A1155" s="85" t="s">
        <v>433</v>
      </c>
      <c r="B1155" s="97" t="s">
        <v>1916</v>
      </c>
      <c r="C1155" s="86" t="s">
        <v>1909</v>
      </c>
      <c r="D1155" s="86" t="s">
        <v>1023</v>
      </c>
      <c r="E1155" s="90" t="s">
        <v>117</v>
      </c>
      <c r="F1155" s="88" t="s">
        <v>1846</v>
      </c>
      <c r="G1155" s="88" t="s">
        <v>1301</v>
      </c>
      <c r="H1155" s="82"/>
    </row>
    <row r="1156" spans="1:8" x14ac:dyDescent="0.2">
      <c r="A1156" s="85" t="s">
        <v>433</v>
      </c>
      <c r="B1156" s="97" t="s">
        <v>1916</v>
      </c>
      <c r="C1156" s="86" t="s">
        <v>1909</v>
      </c>
      <c r="D1156" s="86" t="s">
        <v>1023</v>
      </c>
      <c r="E1156" s="90" t="s">
        <v>117</v>
      </c>
      <c r="F1156" s="88" t="s">
        <v>1847</v>
      </c>
      <c r="G1156" s="88" t="s">
        <v>1301</v>
      </c>
      <c r="H1156" s="82"/>
    </row>
    <row r="1157" spans="1:8" x14ac:dyDescent="0.2">
      <c r="A1157" s="85" t="s">
        <v>433</v>
      </c>
      <c r="B1157" s="97" t="s">
        <v>1916</v>
      </c>
      <c r="C1157" s="86" t="s">
        <v>1909</v>
      </c>
      <c r="D1157" s="86" t="s">
        <v>1023</v>
      </c>
      <c r="E1157" s="90" t="s">
        <v>117</v>
      </c>
      <c r="F1157" s="88" t="s">
        <v>1848</v>
      </c>
      <c r="G1157" s="88" t="s">
        <v>1301</v>
      </c>
      <c r="H1157" s="82"/>
    </row>
    <row r="1158" spans="1:8" x14ac:dyDescent="0.2">
      <c r="A1158" s="85" t="s">
        <v>433</v>
      </c>
      <c r="B1158" s="97" t="s">
        <v>1916</v>
      </c>
      <c r="C1158" s="86" t="s">
        <v>1909</v>
      </c>
      <c r="D1158" s="86" t="s">
        <v>1023</v>
      </c>
      <c r="E1158" s="90" t="s">
        <v>117</v>
      </c>
      <c r="F1158" s="88" t="s">
        <v>1901</v>
      </c>
      <c r="G1158" s="88" t="s">
        <v>1301</v>
      </c>
      <c r="H1158" s="82"/>
    </row>
    <row r="1159" spans="1:8" x14ac:dyDescent="0.2">
      <c r="A1159" s="85" t="s">
        <v>433</v>
      </c>
      <c r="B1159" s="97" t="s">
        <v>1916</v>
      </c>
      <c r="C1159" s="86" t="s">
        <v>1909</v>
      </c>
      <c r="D1159" s="86" t="s">
        <v>1023</v>
      </c>
      <c r="E1159" s="90" t="s">
        <v>117</v>
      </c>
      <c r="F1159" s="88" t="s">
        <v>1844</v>
      </c>
      <c r="G1159" s="88" t="s">
        <v>1301</v>
      </c>
      <c r="H1159" s="82"/>
    </row>
    <row r="1160" spans="1:8" x14ac:dyDescent="0.2">
      <c r="A1160" s="85" t="s">
        <v>433</v>
      </c>
      <c r="B1160" s="97" t="s">
        <v>1916</v>
      </c>
      <c r="C1160" s="86" t="s">
        <v>1909</v>
      </c>
      <c r="D1160" s="86" t="s">
        <v>1023</v>
      </c>
      <c r="E1160" s="90" t="s">
        <v>117</v>
      </c>
      <c r="F1160" s="88" t="s">
        <v>1845</v>
      </c>
      <c r="G1160" s="88" t="s">
        <v>1301</v>
      </c>
      <c r="H1160" s="82"/>
    </row>
    <row r="1161" spans="1:8" x14ac:dyDescent="0.2">
      <c r="A1161" s="85" t="s">
        <v>433</v>
      </c>
      <c r="B1161" s="97" t="s">
        <v>1916</v>
      </c>
      <c r="C1161" s="86" t="s">
        <v>1909</v>
      </c>
      <c r="D1161" s="86" t="s">
        <v>1023</v>
      </c>
      <c r="E1161" s="90" t="s">
        <v>117</v>
      </c>
      <c r="F1161" s="88" t="s">
        <v>1902</v>
      </c>
      <c r="G1161" s="88" t="s">
        <v>1301</v>
      </c>
      <c r="H1161" s="82"/>
    </row>
    <row r="1162" spans="1:8" x14ac:dyDescent="0.2">
      <c r="A1162" s="85" t="s">
        <v>433</v>
      </c>
      <c r="B1162" s="97" t="s">
        <v>1916</v>
      </c>
      <c r="C1162" s="86" t="s">
        <v>1909</v>
      </c>
      <c r="D1162" s="86" t="s">
        <v>1023</v>
      </c>
      <c r="E1162" s="90" t="s">
        <v>117</v>
      </c>
      <c r="F1162" s="88" t="s">
        <v>1903</v>
      </c>
      <c r="G1162" s="88" t="s">
        <v>1301</v>
      </c>
      <c r="H1162" s="82"/>
    </row>
    <row r="1163" spans="1:8" x14ac:dyDescent="0.2">
      <c r="A1163" s="85" t="s">
        <v>433</v>
      </c>
      <c r="B1163" s="97" t="s">
        <v>1916</v>
      </c>
      <c r="C1163" s="86" t="s">
        <v>1909</v>
      </c>
      <c r="D1163" s="86" t="s">
        <v>1023</v>
      </c>
      <c r="E1163" s="90" t="s">
        <v>117</v>
      </c>
      <c r="F1163" s="88" t="s">
        <v>1904</v>
      </c>
      <c r="G1163" s="88" t="s">
        <v>1301</v>
      </c>
      <c r="H1163" s="82"/>
    </row>
    <row r="1164" spans="1:8" x14ac:dyDescent="0.2">
      <c r="A1164" s="85" t="s">
        <v>433</v>
      </c>
      <c r="B1164" s="97" t="s">
        <v>1916</v>
      </c>
      <c r="C1164" s="86" t="s">
        <v>1909</v>
      </c>
      <c r="D1164" s="86" t="s">
        <v>1023</v>
      </c>
      <c r="E1164" s="90" t="s">
        <v>117</v>
      </c>
      <c r="F1164" s="88" t="s">
        <v>1905</v>
      </c>
      <c r="G1164" s="88" t="s">
        <v>1301</v>
      </c>
      <c r="H1164" s="82"/>
    </row>
    <row r="1165" spans="1:8" ht="16" x14ac:dyDescent="0.2">
      <c r="A1165" s="85" t="s">
        <v>433</v>
      </c>
      <c r="B1165" s="97" t="s">
        <v>1920</v>
      </c>
      <c r="C1165" s="86" t="s">
        <v>1909</v>
      </c>
      <c r="D1165" s="86" t="s">
        <v>1023</v>
      </c>
      <c r="E1165" s="90" t="s">
        <v>117</v>
      </c>
      <c r="F1165" s="88" t="s">
        <v>433</v>
      </c>
      <c r="G1165" s="87" t="s">
        <v>1309</v>
      </c>
      <c r="H1165" s="82"/>
    </row>
    <row r="1166" spans="1:8" ht="16" x14ac:dyDescent="0.2">
      <c r="A1166" s="85" t="s">
        <v>433</v>
      </c>
      <c r="B1166" s="97" t="s">
        <v>1920</v>
      </c>
      <c r="C1166" s="86" t="s">
        <v>1909</v>
      </c>
      <c r="D1166" s="86" t="s">
        <v>1023</v>
      </c>
      <c r="E1166" s="90" t="s">
        <v>117</v>
      </c>
      <c r="F1166" s="88" t="s">
        <v>1824</v>
      </c>
      <c r="G1166" s="87" t="s">
        <v>1309</v>
      </c>
      <c r="H1166" s="82"/>
    </row>
    <row r="1167" spans="1:8" ht="16" x14ac:dyDescent="0.2">
      <c r="A1167" s="85" t="s">
        <v>433</v>
      </c>
      <c r="B1167" s="97" t="s">
        <v>1920</v>
      </c>
      <c r="C1167" s="86" t="s">
        <v>1909</v>
      </c>
      <c r="D1167" s="86" t="s">
        <v>1023</v>
      </c>
      <c r="E1167" s="90" t="s">
        <v>117</v>
      </c>
      <c r="F1167" s="88" t="s">
        <v>1825</v>
      </c>
      <c r="G1167" s="87" t="s">
        <v>1309</v>
      </c>
      <c r="H1167" s="82"/>
    </row>
    <row r="1168" spans="1:8" ht="16" x14ac:dyDescent="0.2">
      <c r="A1168" s="85" t="s">
        <v>433</v>
      </c>
      <c r="B1168" s="97" t="s">
        <v>1920</v>
      </c>
      <c r="C1168" s="86" t="s">
        <v>1909</v>
      </c>
      <c r="D1168" s="86" t="s">
        <v>1023</v>
      </c>
      <c r="E1168" s="90" t="s">
        <v>117</v>
      </c>
      <c r="F1168" s="88" t="s">
        <v>1885</v>
      </c>
      <c r="G1168" s="87" t="s">
        <v>1309</v>
      </c>
      <c r="H1168" s="82"/>
    </row>
    <row r="1169" spans="1:8" ht="16" x14ac:dyDescent="0.2">
      <c r="A1169" s="85" t="s">
        <v>433</v>
      </c>
      <c r="B1169" s="97" t="s">
        <v>1920</v>
      </c>
      <c r="C1169" s="86" t="s">
        <v>1909</v>
      </c>
      <c r="D1169" s="86" t="s">
        <v>1023</v>
      </c>
      <c r="E1169" s="90" t="s">
        <v>117</v>
      </c>
      <c r="F1169" s="88" t="s">
        <v>1886</v>
      </c>
      <c r="G1169" s="87" t="s">
        <v>1309</v>
      </c>
      <c r="H1169" s="82"/>
    </row>
    <row r="1170" spans="1:8" ht="16" x14ac:dyDescent="0.2">
      <c r="A1170" s="85" t="s">
        <v>433</v>
      </c>
      <c r="B1170" s="97" t="s">
        <v>1920</v>
      </c>
      <c r="C1170" s="86" t="s">
        <v>1909</v>
      </c>
      <c r="D1170" s="86" t="s">
        <v>1023</v>
      </c>
      <c r="E1170" s="90" t="s">
        <v>117</v>
      </c>
      <c r="F1170" s="88" t="s">
        <v>1826</v>
      </c>
      <c r="G1170" s="87" t="s">
        <v>1309</v>
      </c>
      <c r="H1170" s="82"/>
    </row>
    <row r="1171" spans="1:8" ht="16" x14ac:dyDescent="0.2">
      <c r="A1171" s="85" t="s">
        <v>433</v>
      </c>
      <c r="B1171" s="97" t="s">
        <v>1920</v>
      </c>
      <c r="C1171" s="86" t="s">
        <v>1909</v>
      </c>
      <c r="D1171" s="86" t="s">
        <v>1023</v>
      </c>
      <c r="E1171" s="90" t="s">
        <v>117</v>
      </c>
      <c r="F1171" s="88" t="s">
        <v>1827</v>
      </c>
      <c r="G1171" s="87" t="s">
        <v>1309</v>
      </c>
      <c r="H1171" s="82"/>
    </row>
    <row r="1172" spans="1:8" ht="16" x14ac:dyDescent="0.2">
      <c r="A1172" s="85" t="s">
        <v>433</v>
      </c>
      <c r="B1172" s="97" t="s">
        <v>1920</v>
      </c>
      <c r="C1172" s="86" t="s">
        <v>1909</v>
      </c>
      <c r="D1172" s="86" t="s">
        <v>1023</v>
      </c>
      <c r="E1172" s="90" t="s">
        <v>117</v>
      </c>
      <c r="F1172" s="88" t="s">
        <v>1887</v>
      </c>
      <c r="G1172" s="87" t="s">
        <v>1309</v>
      </c>
      <c r="H1172" s="82"/>
    </row>
    <row r="1173" spans="1:8" ht="16" x14ac:dyDescent="0.2">
      <c r="A1173" s="85" t="s">
        <v>433</v>
      </c>
      <c r="B1173" s="97" t="s">
        <v>1920</v>
      </c>
      <c r="C1173" s="86" t="s">
        <v>1909</v>
      </c>
      <c r="D1173" s="86" t="s">
        <v>1023</v>
      </c>
      <c r="E1173" s="90" t="s">
        <v>117</v>
      </c>
      <c r="F1173" s="88" t="s">
        <v>1828</v>
      </c>
      <c r="G1173" s="87" t="s">
        <v>1309</v>
      </c>
      <c r="H1173" s="82"/>
    </row>
    <row r="1174" spans="1:8" ht="16" x14ac:dyDescent="0.2">
      <c r="A1174" s="85" t="s">
        <v>433</v>
      </c>
      <c r="B1174" s="97" t="s">
        <v>1920</v>
      </c>
      <c r="C1174" s="86" t="s">
        <v>1909</v>
      </c>
      <c r="D1174" s="86" t="s">
        <v>1023</v>
      </c>
      <c r="E1174" s="90" t="s">
        <v>117</v>
      </c>
      <c r="F1174" s="88" t="s">
        <v>442</v>
      </c>
      <c r="G1174" s="87" t="s">
        <v>1309</v>
      </c>
      <c r="H1174" s="82"/>
    </row>
    <row r="1175" spans="1:8" ht="16" x14ac:dyDescent="0.2">
      <c r="A1175" s="85" t="s">
        <v>433</v>
      </c>
      <c r="B1175" s="97" t="s">
        <v>1920</v>
      </c>
      <c r="C1175" s="86" t="s">
        <v>1909</v>
      </c>
      <c r="D1175" s="86" t="s">
        <v>1023</v>
      </c>
      <c r="E1175" s="90" t="s">
        <v>117</v>
      </c>
      <c r="F1175" s="88" t="s">
        <v>1888</v>
      </c>
      <c r="G1175" s="87" t="s">
        <v>1309</v>
      </c>
      <c r="H1175" s="82"/>
    </row>
    <row r="1176" spans="1:8" ht="16" x14ac:dyDescent="0.2">
      <c r="A1176" s="85" t="s">
        <v>433</v>
      </c>
      <c r="B1176" s="97" t="s">
        <v>1920</v>
      </c>
      <c r="C1176" s="86" t="s">
        <v>1909</v>
      </c>
      <c r="D1176" s="86" t="s">
        <v>1023</v>
      </c>
      <c r="E1176" s="90" t="s">
        <v>117</v>
      </c>
      <c r="F1176" s="88" t="s">
        <v>447</v>
      </c>
      <c r="G1176" s="87" t="s">
        <v>1309</v>
      </c>
      <c r="H1176" s="82"/>
    </row>
    <row r="1177" spans="1:8" ht="16" x14ac:dyDescent="0.2">
      <c r="A1177" s="85" t="s">
        <v>433</v>
      </c>
      <c r="B1177" s="97" t="s">
        <v>1920</v>
      </c>
      <c r="C1177" s="86" t="s">
        <v>1909</v>
      </c>
      <c r="D1177" s="86" t="s">
        <v>1023</v>
      </c>
      <c r="E1177" s="90" t="s">
        <v>117</v>
      </c>
      <c r="F1177" s="88" t="s">
        <v>1889</v>
      </c>
      <c r="G1177" s="87" t="s">
        <v>1309</v>
      </c>
      <c r="H1177" s="82"/>
    </row>
    <row r="1178" spans="1:8" x14ac:dyDescent="0.2">
      <c r="A1178" s="85" t="s">
        <v>433</v>
      </c>
      <c r="B1178" s="89" t="s">
        <v>1585</v>
      </c>
      <c r="C1178" s="86" t="s">
        <v>1909</v>
      </c>
      <c r="D1178" s="86" t="s">
        <v>1023</v>
      </c>
      <c r="E1178" s="90" t="s">
        <v>117</v>
      </c>
      <c r="F1178" s="88" t="s">
        <v>433</v>
      </c>
      <c r="G1178" s="88" t="s">
        <v>1290</v>
      </c>
      <c r="H1178" s="82"/>
    </row>
    <row r="1179" spans="1:8" x14ac:dyDescent="0.2">
      <c r="A1179" s="85" t="s">
        <v>433</v>
      </c>
      <c r="B1179" s="89" t="s">
        <v>1585</v>
      </c>
      <c r="C1179" s="86" t="s">
        <v>1909</v>
      </c>
      <c r="D1179" s="86" t="s">
        <v>1023</v>
      </c>
      <c r="E1179" s="90" t="s">
        <v>117</v>
      </c>
      <c r="F1179" s="88" t="s">
        <v>1824</v>
      </c>
      <c r="G1179" s="88" t="s">
        <v>1290</v>
      </c>
      <c r="H1179" s="82"/>
    </row>
    <row r="1180" spans="1:8" x14ac:dyDescent="0.2">
      <c r="A1180" s="85" t="s">
        <v>433</v>
      </c>
      <c r="B1180" s="89" t="s">
        <v>1585</v>
      </c>
      <c r="C1180" s="86" t="s">
        <v>1909</v>
      </c>
      <c r="D1180" s="86" t="s">
        <v>1023</v>
      </c>
      <c r="E1180" s="90" t="s">
        <v>117</v>
      </c>
      <c r="F1180" s="88" t="s">
        <v>1825</v>
      </c>
      <c r="G1180" s="88" t="s">
        <v>1290</v>
      </c>
      <c r="H1180" s="82"/>
    </row>
    <row r="1181" spans="1:8" x14ac:dyDescent="0.2">
      <c r="A1181" s="85" t="s">
        <v>433</v>
      </c>
      <c r="B1181" s="89" t="s">
        <v>1585</v>
      </c>
      <c r="C1181" s="86" t="s">
        <v>1909</v>
      </c>
      <c r="D1181" s="86" t="s">
        <v>1023</v>
      </c>
      <c r="E1181" s="90" t="s">
        <v>117</v>
      </c>
      <c r="F1181" s="88" t="s">
        <v>1885</v>
      </c>
      <c r="G1181" s="88" t="s">
        <v>1290</v>
      </c>
      <c r="H1181" s="82"/>
    </row>
    <row r="1182" spans="1:8" x14ac:dyDescent="0.2">
      <c r="A1182" s="85" t="s">
        <v>433</v>
      </c>
      <c r="B1182" s="89" t="s">
        <v>1585</v>
      </c>
      <c r="C1182" s="86" t="s">
        <v>1909</v>
      </c>
      <c r="D1182" s="86" t="s">
        <v>1023</v>
      </c>
      <c r="E1182" s="90" t="s">
        <v>117</v>
      </c>
      <c r="F1182" s="88" t="s">
        <v>1886</v>
      </c>
      <c r="G1182" s="88" t="s">
        <v>1290</v>
      </c>
      <c r="H1182" s="82"/>
    </row>
    <row r="1183" spans="1:8" x14ac:dyDescent="0.2">
      <c r="A1183" s="85" t="s">
        <v>433</v>
      </c>
      <c r="B1183" s="89" t="s">
        <v>1585</v>
      </c>
      <c r="C1183" s="86" t="s">
        <v>1909</v>
      </c>
      <c r="D1183" s="86" t="s">
        <v>1023</v>
      </c>
      <c r="E1183" s="90" t="s">
        <v>117</v>
      </c>
      <c r="F1183" s="88" t="s">
        <v>1827</v>
      </c>
      <c r="G1183" s="88" t="s">
        <v>1290</v>
      </c>
      <c r="H1183" s="82"/>
    </row>
    <row r="1184" spans="1:8" x14ac:dyDescent="0.2">
      <c r="A1184" s="85" t="s">
        <v>433</v>
      </c>
      <c r="B1184" s="89" t="s">
        <v>1585</v>
      </c>
      <c r="C1184" s="86" t="s">
        <v>1909</v>
      </c>
      <c r="D1184" s="86" t="s">
        <v>1023</v>
      </c>
      <c r="E1184" s="90" t="s">
        <v>117</v>
      </c>
      <c r="F1184" s="88" t="s">
        <v>1887</v>
      </c>
      <c r="G1184" s="88" t="s">
        <v>1290</v>
      </c>
      <c r="H1184" s="82"/>
    </row>
    <row r="1185" spans="1:8" x14ac:dyDescent="0.2">
      <c r="A1185" s="85" t="s">
        <v>433</v>
      </c>
      <c r="B1185" s="89" t="s">
        <v>1585</v>
      </c>
      <c r="C1185" s="86" t="s">
        <v>1909</v>
      </c>
      <c r="D1185" s="86" t="s">
        <v>1023</v>
      </c>
      <c r="E1185" s="90" t="s">
        <v>117</v>
      </c>
      <c r="F1185" s="88" t="s">
        <v>1828</v>
      </c>
      <c r="G1185" s="88" t="s">
        <v>1290</v>
      </c>
      <c r="H1185" s="82"/>
    </row>
    <row r="1186" spans="1:8" x14ac:dyDescent="0.2">
      <c r="A1186" s="85" t="s">
        <v>433</v>
      </c>
      <c r="B1186" s="89" t="s">
        <v>1585</v>
      </c>
      <c r="C1186" s="86" t="s">
        <v>1909</v>
      </c>
      <c r="D1186" s="86" t="s">
        <v>1023</v>
      </c>
      <c r="E1186" s="90" t="s">
        <v>117</v>
      </c>
      <c r="F1186" s="88" t="s">
        <v>442</v>
      </c>
      <c r="G1186" s="88" t="s">
        <v>1290</v>
      </c>
      <c r="H1186" s="82"/>
    </row>
    <row r="1187" spans="1:8" x14ac:dyDescent="0.2">
      <c r="A1187" s="85" t="s">
        <v>433</v>
      </c>
      <c r="B1187" s="89" t="s">
        <v>1585</v>
      </c>
      <c r="C1187" s="86" t="s">
        <v>1909</v>
      </c>
      <c r="D1187" s="86" t="s">
        <v>1023</v>
      </c>
      <c r="E1187" s="90" t="s">
        <v>117</v>
      </c>
      <c r="F1187" s="88" t="s">
        <v>1888</v>
      </c>
      <c r="G1187" s="88" t="s">
        <v>1290</v>
      </c>
      <c r="H1187" s="82"/>
    </row>
    <row r="1188" spans="1:8" x14ac:dyDescent="0.2">
      <c r="A1188" s="85" t="s">
        <v>433</v>
      </c>
      <c r="B1188" s="89" t="s">
        <v>1585</v>
      </c>
      <c r="C1188" s="86" t="s">
        <v>1909</v>
      </c>
      <c r="D1188" s="86" t="s">
        <v>1023</v>
      </c>
      <c r="E1188" s="90" t="s">
        <v>117</v>
      </c>
      <c r="F1188" s="88" t="s">
        <v>447</v>
      </c>
      <c r="G1188" s="88" t="s">
        <v>1290</v>
      </c>
      <c r="H1188" s="82"/>
    </row>
    <row r="1189" spans="1:8" x14ac:dyDescent="0.2">
      <c r="A1189" s="85" t="s">
        <v>433</v>
      </c>
      <c r="B1189" s="89" t="s">
        <v>1585</v>
      </c>
      <c r="C1189" s="86" t="s">
        <v>1909</v>
      </c>
      <c r="D1189" s="86" t="s">
        <v>1023</v>
      </c>
      <c r="E1189" s="90" t="s">
        <v>117</v>
      </c>
      <c r="F1189" s="88" t="s">
        <v>1889</v>
      </c>
      <c r="G1189" s="88" t="s">
        <v>1290</v>
      </c>
      <c r="H1189" s="82"/>
    </row>
    <row r="1190" spans="1:8" ht="16" x14ac:dyDescent="0.2">
      <c r="A1190" s="85" t="s">
        <v>433</v>
      </c>
      <c r="B1190" s="97" t="s">
        <v>1921</v>
      </c>
      <c r="C1190" s="86" t="s">
        <v>1909</v>
      </c>
      <c r="D1190" s="86" t="s">
        <v>1023</v>
      </c>
      <c r="E1190" s="90" t="s">
        <v>117</v>
      </c>
      <c r="F1190" s="88" t="s">
        <v>1829</v>
      </c>
      <c r="G1190" s="87" t="s">
        <v>628</v>
      </c>
      <c r="H1190" s="82"/>
    </row>
    <row r="1191" spans="1:8" ht="16" x14ac:dyDescent="0.2">
      <c r="A1191" s="85" t="s">
        <v>433</v>
      </c>
      <c r="B1191" s="97" t="s">
        <v>1921</v>
      </c>
      <c r="C1191" s="86" t="s">
        <v>1909</v>
      </c>
      <c r="D1191" s="86" t="s">
        <v>1023</v>
      </c>
      <c r="E1191" s="90" t="s">
        <v>117</v>
      </c>
      <c r="F1191" s="88" t="s">
        <v>1832</v>
      </c>
      <c r="G1191" s="87" t="s">
        <v>628</v>
      </c>
      <c r="H1191" s="82"/>
    </row>
    <row r="1192" spans="1:8" ht="16" x14ac:dyDescent="0.2">
      <c r="A1192" s="85" t="s">
        <v>433</v>
      </c>
      <c r="B1192" s="97" t="s">
        <v>1921</v>
      </c>
      <c r="C1192" s="86" t="s">
        <v>1909</v>
      </c>
      <c r="D1192" s="86" t="s">
        <v>1023</v>
      </c>
      <c r="E1192" s="90" t="s">
        <v>117</v>
      </c>
      <c r="F1192" s="88" t="s">
        <v>1833</v>
      </c>
      <c r="G1192" s="87" t="s">
        <v>628</v>
      </c>
      <c r="H1192" s="82"/>
    </row>
    <row r="1193" spans="1:8" ht="16" x14ac:dyDescent="0.2">
      <c r="A1193" s="85" t="s">
        <v>433</v>
      </c>
      <c r="B1193" s="97" t="s">
        <v>1921</v>
      </c>
      <c r="C1193" s="86" t="s">
        <v>1909</v>
      </c>
      <c r="D1193" s="86" t="s">
        <v>1023</v>
      </c>
      <c r="E1193" s="90" t="s">
        <v>117</v>
      </c>
      <c r="F1193" s="88" t="s">
        <v>1834</v>
      </c>
      <c r="G1193" s="87" t="s">
        <v>628</v>
      </c>
      <c r="H1193" s="82"/>
    </row>
    <row r="1194" spans="1:8" ht="16" x14ac:dyDescent="0.2">
      <c r="A1194" s="85" t="s">
        <v>433</v>
      </c>
      <c r="B1194" s="97" t="s">
        <v>1921</v>
      </c>
      <c r="C1194" s="86" t="s">
        <v>1909</v>
      </c>
      <c r="D1194" s="86" t="s">
        <v>1023</v>
      </c>
      <c r="E1194" s="90" t="s">
        <v>117</v>
      </c>
      <c r="F1194" s="88" t="s">
        <v>1891</v>
      </c>
      <c r="G1194" s="87" t="s">
        <v>628</v>
      </c>
      <c r="H1194" s="82"/>
    </row>
    <row r="1195" spans="1:8" ht="16" x14ac:dyDescent="0.2">
      <c r="A1195" s="85" t="s">
        <v>433</v>
      </c>
      <c r="B1195" s="97" t="s">
        <v>1921</v>
      </c>
      <c r="C1195" s="86" t="s">
        <v>1909</v>
      </c>
      <c r="D1195" s="86" t="s">
        <v>1023</v>
      </c>
      <c r="E1195" s="90" t="s">
        <v>117</v>
      </c>
      <c r="F1195" s="88" t="s">
        <v>1830</v>
      </c>
      <c r="G1195" s="87" t="s">
        <v>628</v>
      </c>
      <c r="H1195" s="82"/>
    </row>
    <row r="1196" spans="1:8" ht="16" x14ac:dyDescent="0.2">
      <c r="A1196" s="85" t="s">
        <v>433</v>
      </c>
      <c r="B1196" s="97" t="s">
        <v>1921</v>
      </c>
      <c r="C1196" s="86" t="s">
        <v>1909</v>
      </c>
      <c r="D1196" s="86" t="s">
        <v>1023</v>
      </c>
      <c r="E1196" s="90" t="s">
        <v>117</v>
      </c>
      <c r="F1196" s="88" t="s">
        <v>1831</v>
      </c>
      <c r="G1196" s="87" t="s">
        <v>628</v>
      </c>
      <c r="H1196" s="82"/>
    </row>
    <row r="1197" spans="1:8" ht="16" x14ac:dyDescent="0.2">
      <c r="A1197" s="85" t="s">
        <v>433</v>
      </c>
      <c r="B1197" s="97" t="s">
        <v>1921</v>
      </c>
      <c r="C1197" s="86" t="s">
        <v>1909</v>
      </c>
      <c r="D1197" s="86" t="s">
        <v>1023</v>
      </c>
      <c r="E1197" s="90" t="s">
        <v>117</v>
      </c>
      <c r="F1197" s="88" t="s">
        <v>1892</v>
      </c>
      <c r="G1197" s="87" t="s">
        <v>628</v>
      </c>
      <c r="H1197" s="82"/>
    </row>
    <row r="1198" spans="1:8" ht="16" x14ac:dyDescent="0.2">
      <c r="A1198" s="85" t="s">
        <v>433</v>
      </c>
      <c r="B1198" s="97" t="s">
        <v>1921</v>
      </c>
      <c r="C1198" s="86" t="s">
        <v>1909</v>
      </c>
      <c r="D1198" s="86" t="s">
        <v>1023</v>
      </c>
      <c r="E1198" s="90" t="s">
        <v>117</v>
      </c>
      <c r="F1198" s="88" t="s">
        <v>1893</v>
      </c>
      <c r="G1198" s="87" t="s">
        <v>628</v>
      </c>
      <c r="H1198" s="82"/>
    </row>
    <row r="1199" spans="1:8" ht="16" x14ac:dyDescent="0.2">
      <c r="A1199" s="85" t="s">
        <v>433</v>
      </c>
      <c r="B1199" s="97" t="s">
        <v>1921</v>
      </c>
      <c r="C1199" s="86" t="s">
        <v>1909</v>
      </c>
      <c r="D1199" s="86" t="s">
        <v>1023</v>
      </c>
      <c r="E1199" s="90" t="s">
        <v>117</v>
      </c>
      <c r="F1199" s="88" t="s">
        <v>1894</v>
      </c>
      <c r="G1199" s="87" t="s">
        <v>628</v>
      </c>
      <c r="H1199" s="82"/>
    </row>
    <row r="1200" spans="1:8" ht="16" x14ac:dyDescent="0.2">
      <c r="A1200" s="85" t="s">
        <v>433</v>
      </c>
      <c r="B1200" s="97" t="s">
        <v>1921</v>
      </c>
      <c r="C1200" s="86" t="s">
        <v>1909</v>
      </c>
      <c r="D1200" s="86" t="s">
        <v>1023</v>
      </c>
      <c r="E1200" s="90" t="s">
        <v>117</v>
      </c>
      <c r="F1200" s="88" t="s">
        <v>1895</v>
      </c>
      <c r="G1200" s="87" t="s">
        <v>628</v>
      </c>
      <c r="H1200" s="82"/>
    </row>
    <row r="1201" spans="1:8" ht="16" x14ac:dyDescent="0.2">
      <c r="A1201" s="85" t="s">
        <v>433</v>
      </c>
      <c r="B1201" s="97" t="s">
        <v>1922</v>
      </c>
      <c r="C1201" s="86" t="s">
        <v>1909</v>
      </c>
      <c r="D1201" s="86" t="s">
        <v>1023</v>
      </c>
      <c r="E1201" s="90" t="s">
        <v>117</v>
      </c>
      <c r="F1201" s="88" t="s">
        <v>1829</v>
      </c>
      <c r="G1201" s="87" t="s">
        <v>1310</v>
      </c>
      <c r="H1201" s="82"/>
    </row>
    <row r="1202" spans="1:8" ht="16" x14ac:dyDescent="0.2">
      <c r="A1202" s="85" t="s">
        <v>433</v>
      </c>
      <c r="B1202" s="97" t="s">
        <v>1922</v>
      </c>
      <c r="C1202" s="86" t="s">
        <v>1909</v>
      </c>
      <c r="D1202" s="86" t="s">
        <v>1023</v>
      </c>
      <c r="E1202" s="90" t="s">
        <v>117</v>
      </c>
      <c r="F1202" s="88" t="s">
        <v>1832</v>
      </c>
      <c r="G1202" s="87" t="s">
        <v>1310</v>
      </c>
      <c r="H1202" s="82"/>
    </row>
    <row r="1203" spans="1:8" ht="16" x14ac:dyDescent="0.2">
      <c r="A1203" s="85" t="s">
        <v>433</v>
      </c>
      <c r="B1203" s="97" t="s">
        <v>1922</v>
      </c>
      <c r="C1203" s="86" t="s">
        <v>1909</v>
      </c>
      <c r="D1203" s="86" t="s">
        <v>1023</v>
      </c>
      <c r="E1203" s="90" t="s">
        <v>117</v>
      </c>
      <c r="F1203" s="88" t="s">
        <v>1833</v>
      </c>
      <c r="G1203" s="87" t="s">
        <v>1310</v>
      </c>
      <c r="H1203" s="82"/>
    </row>
    <row r="1204" spans="1:8" ht="16" x14ac:dyDescent="0.2">
      <c r="A1204" s="85" t="s">
        <v>433</v>
      </c>
      <c r="B1204" s="97" t="s">
        <v>1922</v>
      </c>
      <c r="C1204" s="86" t="s">
        <v>1909</v>
      </c>
      <c r="D1204" s="86" t="s">
        <v>1023</v>
      </c>
      <c r="E1204" s="90" t="s">
        <v>117</v>
      </c>
      <c r="F1204" s="88" t="s">
        <v>1834</v>
      </c>
      <c r="G1204" s="87" t="s">
        <v>1310</v>
      </c>
      <c r="H1204" s="82"/>
    </row>
    <row r="1205" spans="1:8" ht="16" x14ac:dyDescent="0.2">
      <c r="A1205" s="85" t="s">
        <v>433</v>
      </c>
      <c r="B1205" s="97" t="s">
        <v>1922</v>
      </c>
      <c r="C1205" s="86" t="s">
        <v>1909</v>
      </c>
      <c r="D1205" s="86" t="s">
        <v>1023</v>
      </c>
      <c r="E1205" s="90" t="s">
        <v>117</v>
      </c>
      <c r="F1205" s="88" t="s">
        <v>1890</v>
      </c>
      <c r="G1205" s="87" t="s">
        <v>1310</v>
      </c>
      <c r="H1205" s="82"/>
    </row>
    <row r="1206" spans="1:8" ht="16" x14ac:dyDescent="0.2">
      <c r="A1206" s="85" t="s">
        <v>433</v>
      </c>
      <c r="B1206" s="97" t="s">
        <v>1922</v>
      </c>
      <c r="C1206" s="86" t="s">
        <v>1909</v>
      </c>
      <c r="D1206" s="86" t="s">
        <v>1023</v>
      </c>
      <c r="E1206" s="90" t="s">
        <v>117</v>
      </c>
      <c r="F1206" s="88" t="s">
        <v>1891</v>
      </c>
      <c r="G1206" s="87" t="s">
        <v>1310</v>
      </c>
      <c r="H1206" s="82"/>
    </row>
    <row r="1207" spans="1:8" ht="16" x14ac:dyDescent="0.2">
      <c r="A1207" s="85" t="s">
        <v>433</v>
      </c>
      <c r="B1207" s="97" t="s">
        <v>1922</v>
      </c>
      <c r="C1207" s="86" t="s">
        <v>1909</v>
      </c>
      <c r="D1207" s="86" t="s">
        <v>1023</v>
      </c>
      <c r="E1207" s="90" t="s">
        <v>117</v>
      </c>
      <c r="F1207" s="88" t="s">
        <v>1830</v>
      </c>
      <c r="G1207" s="87" t="s">
        <v>1310</v>
      </c>
      <c r="H1207" s="82"/>
    </row>
    <row r="1208" spans="1:8" ht="16" x14ac:dyDescent="0.2">
      <c r="A1208" s="85" t="s">
        <v>433</v>
      </c>
      <c r="B1208" s="97" t="s">
        <v>1922</v>
      </c>
      <c r="C1208" s="86" t="s">
        <v>1909</v>
      </c>
      <c r="D1208" s="86" t="s">
        <v>1023</v>
      </c>
      <c r="E1208" s="90" t="s">
        <v>117</v>
      </c>
      <c r="F1208" s="88" t="s">
        <v>1831</v>
      </c>
      <c r="G1208" s="87" t="s">
        <v>1310</v>
      </c>
      <c r="H1208" s="82"/>
    </row>
    <row r="1209" spans="1:8" ht="16" x14ac:dyDescent="0.2">
      <c r="A1209" s="85" t="s">
        <v>433</v>
      </c>
      <c r="B1209" s="97" t="s">
        <v>1922</v>
      </c>
      <c r="C1209" s="86" t="s">
        <v>1909</v>
      </c>
      <c r="D1209" s="86" t="s">
        <v>1023</v>
      </c>
      <c r="E1209" s="90" t="s">
        <v>117</v>
      </c>
      <c r="F1209" s="88" t="s">
        <v>1892</v>
      </c>
      <c r="G1209" s="87" t="s">
        <v>1310</v>
      </c>
      <c r="H1209" s="82"/>
    </row>
    <row r="1210" spans="1:8" ht="16" x14ac:dyDescent="0.2">
      <c r="A1210" s="85" t="s">
        <v>433</v>
      </c>
      <c r="B1210" s="97" t="s">
        <v>1922</v>
      </c>
      <c r="C1210" s="86" t="s">
        <v>1909</v>
      </c>
      <c r="D1210" s="86" t="s">
        <v>1023</v>
      </c>
      <c r="E1210" s="90" t="s">
        <v>117</v>
      </c>
      <c r="F1210" s="88" t="s">
        <v>1893</v>
      </c>
      <c r="G1210" s="87" t="s">
        <v>1310</v>
      </c>
      <c r="H1210" s="82"/>
    </row>
    <row r="1211" spans="1:8" ht="16" x14ac:dyDescent="0.2">
      <c r="A1211" s="85" t="s">
        <v>433</v>
      </c>
      <c r="B1211" s="97" t="s">
        <v>1922</v>
      </c>
      <c r="C1211" s="86" t="s">
        <v>1909</v>
      </c>
      <c r="D1211" s="86" t="s">
        <v>1023</v>
      </c>
      <c r="E1211" s="90" t="s">
        <v>117</v>
      </c>
      <c r="F1211" s="88" t="s">
        <v>1894</v>
      </c>
      <c r="G1211" s="87" t="s">
        <v>1310</v>
      </c>
      <c r="H1211" s="82"/>
    </row>
    <row r="1212" spans="1:8" ht="16" x14ac:dyDescent="0.2">
      <c r="A1212" s="85" t="s">
        <v>433</v>
      </c>
      <c r="B1212" s="97" t="s">
        <v>1922</v>
      </c>
      <c r="C1212" s="86" t="s">
        <v>1909</v>
      </c>
      <c r="D1212" s="86" t="s">
        <v>1023</v>
      </c>
      <c r="E1212" s="90" t="s">
        <v>117</v>
      </c>
      <c r="F1212" s="88" t="s">
        <v>1895</v>
      </c>
      <c r="G1212" s="87" t="s">
        <v>1310</v>
      </c>
      <c r="H1212" s="82"/>
    </row>
    <row r="1213" spans="1:8" x14ac:dyDescent="0.2">
      <c r="A1213" s="85" t="s">
        <v>433</v>
      </c>
      <c r="B1213" s="89" t="s">
        <v>1585</v>
      </c>
      <c r="C1213" s="86" t="s">
        <v>1909</v>
      </c>
      <c r="D1213" s="86" t="s">
        <v>1023</v>
      </c>
      <c r="E1213" s="90" t="s">
        <v>117</v>
      </c>
      <c r="F1213" s="88" t="s">
        <v>1829</v>
      </c>
      <c r="G1213" s="88" t="s">
        <v>1291</v>
      </c>
      <c r="H1213" s="82"/>
    </row>
    <row r="1214" spans="1:8" x14ac:dyDescent="0.2">
      <c r="A1214" s="85" t="s">
        <v>433</v>
      </c>
      <c r="B1214" s="89" t="s">
        <v>1585</v>
      </c>
      <c r="C1214" s="86" t="s">
        <v>1909</v>
      </c>
      <c r="D1214" s="86" t="s">
        <v>1023</v>
      </c>
      <c r="E1214" s="90" t="s">
        <v>117</v>
      </c>
      <c r="F1214" s="88" t="s">
        <v>1832</v>
      </c>
      <c r="G1214" s="88" t="s">
        <v>1291</v>
      </c>
      <c r="H1214" s="82"/>
    </row>
    <row r="1215" spans="1:8" x14ac:dyDescent="0.2">
      <c r="A1215" s="85" t="s">
        <v>433</v>
      </c>
      <c r="B1215" s="89" t="s">
        <v>1585</v>
      </c>
      <c r="C1215" s="86" t="s">
        <v>1909</v>
      </c>
      <c r="D1215" s="86" t="s">
        <v>1023</v>
      </c>
      <c r="E1215" s="90" t="s">
        <v>117</v>
      </c>
      <c r="F1215" s="88" t="s">
        <v>1833</v>
      </c>
      <c r="G1215" s="88" t="s">
        <v>1291</v>
      </c>
      <c r="H1215" s="82"/>
    </row>
    <row r="1216" spans="1:8" x14ac:dyDescent="0.2">
      <c r="A1216" s="85" t="s">
        <v>433</v>
      </c>
      <c r="B1216" s="89" t="s">
        <v>1585</v>
      </c>
      <c r="C1216" s="86" t="s">
        <v>1909</v>
      </c>
      <c r="D1216" s="86" t="s">
        <v>1023</v>
      </c>
      <c r="E1216" s="90" t="s">
        <v>117</v>
      </c>
      <c r="F1216" s="88" t="s">
        <v>1834</v>
      </c>
      <c r="G1216" s="88" t="s">
        <v>1291</v>
      </c>
      <c r="H1216" s="82"/>
    </row>
    <row r="1217" spans="1:8" x14ac:dyDescent="0.2">
      <c r="A1217" s="85" t="s">
        <v>433</v>
      </c>
      <c r="B1217" s="89" t="s">
        <v>1585</v>
      </c>
      <c r="C1217" s="86" t="s">
        <v>1909</v>
      </c>
      <c r="D1217" s="86" t="s">
        <v>1023</v>
      </c>
      <c r="E1217" s="90" t="s">
        <v>117</v>
      </c>
      <c r="F1217" s="88" t="s">
        <v>1891</v>
      </c>
      <c r="G1217" s="88" t="s">
        <v>1291</v>
      </c>
      <c r="H1217" s="82"/>
    </row>
    <row r="1218" spans="1:8" x14ac:dyDescent="0.2">
      <c r="A1218" s="85" t="s">
        <v>433</v>
      </c>
      <c r="B1218" s="89" t="s">
        <v>1585</v>
      </c>
      <c r="C1218" s="86" t="s">
        <v>1909</v>
      </c>
      <c r="D1218" s="86" t="s">
        <v>1023</v>
      </c>
      <c r="E1218" s="90" t="s">
        <v>117</v>
      </c>
      <c r="F1218" s="88" t="s">
        <v>1830</v>
      </c>
      <c r="G1218" s="88" t="s">
        <v>1291</v>
      </c>
      <c r="H1218" s="82"/>
    </row>
    <row r="1219" spans="1:8" x14ac:dyDescent="0.2">
      <c r="A1219" s="85" t="s">
        <v>433</v>
      </c>
      <c r="B1219" s="89" t="s">
        <v>1585</v>
      </c>
      <c r="C1219" s="86" t="s">
        <v>1909</v>
      </c>
      <c r="D1219" s="86" t="s">
        <v>1023</v>
      </c>
      <c r="E1219" s="90" t="s">
        <v>117</v>
      </c>
      <c r="F1219" s="88" t="s">
        <v>1831</v>
      </c>
      <c r="G1219" s="88" t="s">
        <v>1291</v>
      </c>
      <c r="H1219" s="82"/>
    </row>
    <row r="1220" spans="1:8" x14ac:dyDescent="0.2">
      <c r="A1220" s="85" t="s">
        <v>433</v>
      </c>
      <c r="B1220" s="89" t="s">
        <v>1585</v>
      </c>
      <c r="C1220" s="86" t="s">
        <v>1909</v>
      </c>
      <c r="D1220" s="86" t="s">
        <v>1023</v>
      </c>
      <c r="E1220" s="90" t="s">
        <v>117</v>
      </c>
      <c r="F1220" s="88" t="s">
        <v>1892</v>
      </c>
      <c r="G1220" s="88" t="s">
        <v>1291</v>
      </c>
      <c r="H1220" s="82"/>
    </row>
    <row r="1221" spans="1:8" x14ac:dyDescent="0.2">
      <c r="A1221" s="85" t="s">
        <v>433</v>
      </c>
      <c r="B1221" s="89" t="s">
        <v>1585</v>
      </c>
      <c r="C1221" s="86" t="s">
        <v>1909</v>
      </c>
      <c r="D1221" s="86" t="s">
        <v>1023</v>
      </c>
      <c r="E1221" s="90" t="s">
        <v>117</v>
      </c>
      <c r="F1221" s="88" t="s">
        <v>1893</v>
      </c>
      <c r="G1221" s="88" t="s">
        <v>1291</v>
      </c>
      <c r="H1221" s="82"/>
    </row>
    <row r="1222" spans="1:8" x14ac:dyDescent="0.2">
      <c r="A1222" s="85" t="s">
        <v>433</v>
      </c>
      <c r="B1222" s="89" t="s">
        <v>1585</v>
      </c>
      <c r="C1222" s="86" t="s">
        <v>1909</v>
      </c>
      <c r="D1222" s="86" t="s">
        <v>1023</v>
      </c>
      <c r="E1222" s="90" t="s">
        <v>117</v>
      </c>
      <c r="F1222" s="88" t="s">
        <v>1894</v>
      </c>
      <c r="G1222" s="88" t="s">
        <v>1291</v>
      </c>
      <c r="H1222" s="82"/>
    </row>
    <row r="1223" spans="1:8" x14ac:dyDescent="0.2">
      <c r="A1223" s="85" t="s">
        <v>433</v>
      </c>
      <c r="B1223" s="89" t="s">
        <v>1585</v>
      </c>
      <c r="C1223" s="86" t="s">
        <v>1909</v>
      </c>
      <c r="D1223" s="86" t="s">
        <v>1023</v>
      </c>
      <c r="E1223" s="90" t="s">
        <v>117</v>
      </c>
      <c r="F1223" s="88" t="s">
        <v>1895</v>
      </c>
      <c r="G1223" s="88" t="s">
        <v>1291</v>
      </c>
      <c r="H1223" s="82"/>
    </row>
    <row r="1224" spans="1:8" x14ac:dyDescent="0.2">
      <c r="A1224" s="85" t="s">
        <v>433</v>
      </c>
      <c r="B1224" s="89" t="s">
        <v>1585</v>
      </c>
      <c r="C1224" s="86" t="s">
        <v>1909</v>
      </c>
      <c r="D1224" s="86" t="s">
        <v>1023</v>
      </c>
      <c r="E1224" s="90" t="s">
        <v>117</v>
      </c>
      <c r="F1224" s="88" t="s">
        <v>437</v>
      </c>
      <c r="G1224" s="88" t="s">
        <v>1292</v>
      </c>
      <c r="H1224" s="82"/>
    </row>
    <row r="1225" spans="1:8" x14ac:dyDescent="0.2">
      <c r="A1225" s="85" t="s">
        <v>433</v>
      </c>
      <c r="B1225" s="89" t="s">
        <v>1585</v>
      </c>
      <c r="C1225" s="86" t="s">
        <v>1909</v>
      </c>
      <c r="D1225" s="86" t="s">
        <v>1023</v>
      </c>
      <c r="E1225" s="90" t="s">
        <v>117</v>
      </c>
      <c r="F1225" s="88" t="s">
        <v>1836</v>
      </c>
      <c r="G1225" s="88" t="s">
        <v>1292</v>
      </c>
      <c r="H1225" s="82"/>
    </row>
    <row r="1226" spans="1:8" x14ac:dyDescent="0.2">
      <c r="A1226" s="85" t="s">
        <v>433</v>
      </c>
      <c r="B1226" s="89" t="s">
        <v>1585</v>
      </c>
      <c r="C1226" s="86" t="s">
        <v>1909</v>
      </c>
      <c r="D1226" s="86" t="s">
        <v>1023</v>
      </c>
      <c r="E1226" s="90" t="s">
        <v>117</v>
      </c>
      <c r="F1226" s="88" t="s">
        <v>1837</v>
      </c>
      <c r="G1226" s="88" t="s">
        <v>1292</v>
      </c>
      <c r="H1226" s="82"/>
    </row>
    <row r="1227" spans="1:8" x14ac:dyDescent="0.2">
      <c r="A1227" s="85" t="s">
        <v>433</v>
      </c>
      <c r="B1227" s="89" t="s">
        <v>1585</v>
      </c>
      <c r="C1227" s="86" t="s">
        <v>1909</v>
      </c>
      <c r="D1227" s="86" t="s">
        <v>1023</v>
      </c>
      <c r="E1227" s="90" t="s">
        <v>117</v>
      </c>
      <c r="F1227" s="88" t="s">
        <v>1838</v>
      </c>
      <c r="G1227" s="88" t="s">
        <v>1292</v>
      </c>
      <c r="H1227" s="82"/>
    </row>
    <row r="1228" spans="1:8" x14ac:dyDescent="0.2">
      <c r="A1228" s="85" t="s">
        <v>433</v>
      </c>
      <c r="B1228" s="89" t="s">
        <v>1585</v>
      </c>
      <c r="C1228" s="86" t="s">
        <v>1909</v>
      </c>
      <c r="D1228" s="86" t="s">
        <v>1023</v>
      </c>
      <c r="E1228" s="90" t="s">
        <v>117</v>
      </c>
      <c r="F1228" s="88" t="s">
        <v>1839</v>
      </c>
      <c r="G1228" s="88" t="s">
        <v>1292</v>
      </c>
      <c r="H1228" s="82"/>
    </row>
    <row r="1229" spans="1:8" x14ac:dyDescent="0.2">
      <c r="A1229" s="85" t="s">
        <v>433</v>
      </c>
      <c r="B1229" s="89" t="s">
        <v>1585</v>
      </c>
      <c r="C1229" s="86" t="s">
        <v>1909</v>
      </c>
      <c r="D1229" s="86" t="s">
        <v>1023</v>
      </c>
      <c r="E1229" s="90" t="s">
        <v>117</v>
      </c>
      <c r="F1229" s="88" t="s">
        <v>1841</v>
      </c>
      <c r="G1229" s="88" t="s">
        <v>1292</v>
      </c>
      <c r="H1229" s="82"/>
    </row>
    <row r="1230" spans="1:8" x14ac:dyDescent="0.2">
      <c r="A1230" s="85" t="s">
        <v>433</v>
      </c>
      <c r="B1230" s="89" t="s">
        <v>1585</v>
      </c>
      <c r="C1230" s="86" t="s">
        <v>1909</v>
      </c>
      <c r="D1230" s="86" t="s">
        <v>1023</v>
      </c>
      <c r="E1230" s="90" t="s">
        <v>117</v>
      </c>
      <c r="F1230" s="88" t="s">
        <v>1896</v>
      </c>
      <c r="G1230" s="88" t="s">
        <v>1292</v>
      </c>
      <c r="H1230" s="82"/>
    </row>
    <row r="1231" spans="1:8" x14ac:dyDescent="0.2">
      <c r="A1231" s="85" t="s">
        <v>433</v>
      </c>
      <c r="B1231" s="89" t="s">
        <v>1585</v>
      </c>
      <c r="C1231" s="86" t="s">
        <v>1909</v>
      </c>
      <c r="D1231" s="86" t="s">
        <v>1023</v>
      </c>
      <c r="E1231" s="90" t="s">
        <v>117</v>
      </c>
      <c r="F1231" s="88" t="s">
        <v>1842</v>
      </c>
      <c r="G1231" s="88" t="s">
        <v>1292</v>
      </c>
      <c r="H1231" s="82"/>
    </row>
    <row r="1232" spans="1:8" x14ac:dyDescent="0.2">
      <c r="A1232" s="85" t="s">
        <v>433</v>
      </c>
      <c r="B1232" s="89" t="s">
        <v>1585</v>
      </c>
      <c r="C1232" s="86" t="s">
        <v>1909</v>
      </c>
      <c r="D1232" s="86" t="s">
        <v>1023</v>
      </c>
      <c r="E1232" s="90" t="s">
        <v>117</v>
      </c>
      <c r="F1232" s="88" t="s">
        <v>1897</v>
      </c>
      <c r="G1232" s="88" t="s">
        <v>1292</v>
      </c>
      <c r="H1232" s="82"/>
    </row>
    <row r="1233" spans="1:8" x14ac:dyDescent="0.2">
      <c r="A1233" s="85" t="s">
        <v>433</v>
      </c>
      <c r="B1233" s="89" t="s">
        <v>1585</v>
      </c>
      <c r="C1233" s="86" t="s">
        <v>1909</v>
      </c>
      <c r="D1233" s="86" t="s">
        <v>1023</v>
      </c>
      <c r="E1233" s="90" t="s">
        <v>117</v>
      </c>
      <c r="F1233" s="88" t="s">
        <v>1898</v>
      </c>
      <c r="G1233" s="88" t="s">
        <v>1292</v>
      </c>
      <c r="H1233" s="82"/>
    </row>
    <row r="1234" spans="1:8" x14ac:dyDescent="0.2">
      <c r="A1234" s="85" t="s">
        <v>433</v>
      </c>
      <c r="B1234" s="89" t="s">
        <v>1585</v>
      </c>
      <c r="C1234" s="86" t="s">
        <v>1909</v>
      </c>
      <c r="D1234" s="86" t="s">
        <v>1023</v>
      </c>
      <c r="E1234" s="90" t="s">
        <v>117</v>
      </c>
      <c r="F1234" s="88" t="s">
        <v>1899</v>
      </c>
      <c r="G1234" s="88" t="s">
        <v>1292</v>
      </c>
      <c r="H1234" s="82"/>
    </row>
    <row r="1235" spans="1:8" x14ac:dyDescent="0.2">
      <c r="A1235" s="85" t="s">
        <v>433</v>
      </c>
      <c r="B1235" s="89" t="s">
        <v>1585</v>
      </c>
      <c r="C1235" s="86" t="s">
        <v>1909</v>
      </c>
      <c r="D1235" s="86" t="s">
        <v>1023</v>
      </c>
      <c r="E1235" s="90" t="s">
        <v>117</v>
      </c>
      <c r="F1235" s="88" t="s">
        <v>1900</v>
      </c>
      <c r="G1235" s="88" t="s">
        <v>1292</v>
      </c>
      <c r="H1235" s="82"/>
    </row>
    <row r="1236" spans="1:8" x14ac:dyDescent="0.2">
      <c r="A1236" s="85" t="s">
        <v>433</v>
      </c>
      <c r="B1236" s="89" t="s">
        <v>1585</v>
      </c>
      <c r="C1236" s="86" t="s">
        <v>1909</v>
      </c>
      <c r="D1236" s="86" t="s">
        <v>1023</v>
      </c>
      <c r="E1236" s="90" t="s">
        <v>117</v>
      </c>
      <c r="F1236" s="88" t="s">
        <v>1843</v>
      </c>
      <c r="G1236" s="88" t="s">
        <v>1294</v>
      </c>
      <c r="H1236" s="82"/>
    </row>
    <row r="1237" spans="1:8" x14ac:dyDescent="0.2">
      <c r="A1237" s="85" t="s">
        <v>433</v>
      </c>
      <c r="B1237" s="89" t="s">
        <v>1585</v>
      </c>
      <c r="C1237" s="86" t="s">
        <v>1909</v>
      </c>
      <c r="D1237" s="86" t="s">
        <v>1023</v>
      </c>
      <c r="E1237" s="90" t="s">
        <v>117</v>
      </c>
      <c r="F1237" s="88" t="s">
        <v>1846</v>
      </c>
      <c r="G1237" s="88" t="s">
        <v>1294</v>
      </c>
      <c r="H1237" s="82"/>
    </row>
    <row r="1238" spans="1:8" x14ac:dyDescent="0.2">
      <c r="A1238" s="85" t="s">
        <v>433</v>
      </c>
      <c r="B1238" s="89" t="s">
        <v>1585</v>
      </c>
      <c r="C1238" s="86" t="s">
        <v>1909</v>
      </c>
      <c r="D1238" s="86" t="s">
        <v>1023</v>
      </c>
      <c r="E1238" s="90" t="s">
        <v>117</v>
      </c>
      <c r="F1238" s="88" t="s">
        <v>1847</v>
      </c>
      <c r="G1238" s="88" t="s">
        <v>1294</v>
      </c>
      <c r="H1238" s="82"/>
    </row>
    <row r="1239" spans="1:8" x14ac:dyDescent="0.2">
      <c r="A1239" s="85" t="s">
        <v>433</v>
      </c>
      <c r="B1239" s="89" t="s">
        <v>1585</v>
      </c>
      <c r="C1239" s="86" t="s">
        <v>1909</v>
      </c>
      <c r="D1239" s="86" t="s">
        <v>1023</v>
      </c>
      <c r="E1239" s="90" t="s">
        <v>117</v>
      </c>
      <c r="F1239" s="88" t="s">
        <v>1848</v>
      </c>
      <c r="G1239" s="88" t="s">
        <v>1294</v>
      </c>
      <c r="H1239" s="82"/>
    </row>
    <row r="1240" spans="1:8" x14ac:dyDescent="0.2">
      <c r="A1240" s="85" t="s">
        <v>433</v>
      </c>
      <c r="B1240" s="89" t="s">
        <v>1585</v>
      </c>
      <c r="C1240" s="86" t="s">
        <v>1909</v>
      </c>
      <c r="D1240" s="86" t="s">
        <v>1023</v>
      </c>
      <c r="E1240" s="90" t="s">
        <v>117</v>
      </c>
      <c r="F1240" s="88" t="s">
        <v>1901</v>
      </c>
      <c r="G1240" s="88" t="s">
        <v>1294</v>
      </c>
      <c r="H1240" s="82"/>
    </row>
    <row r="1241" spans="1:8" x14ac:dyDescent="0.2">
      <c r="A1241" s="85" t="s">
        <v>433</v>
      </c>
      <c r="B1241" s="89" t="s">
        <v>1585</v>
      </c>
      <c r="C1241" s="86" t="s">
        <v>1909</v>
      </c>
      <c r="D1241" s="86" t="s">
        <v>1023</v>
      </c>
      <c r="E1241" s="90" t="s">
        <v>117</v>
      </c>
      <c r="F1241" s="88" t="s">
        <v>1844</v>
      </c>
      <c r="G1241" s="88" t="s">
        <v>1294</v>
      </c>
      <c r="H1241" s="82"/>
    </row>
    <row r="1242" spans="1:8" x14ac:dyDescent="0.2">
      <c r="A1242" s="85" t="s">
        <v>433</v>
      </c>
      <c r="B1242" s="89" t="s">
        <v>1585</v>
      </c>
      <c r="C1242" s="86" t="s">
        <v>1909</v>
      </c>
      <c r="D1242" s="86" t="s">
        <v>1023</v>
      </c>
      <c r="E1242" s="90" t="s">
        <v>117</v>
      </c>
      <c r="F1242" s="88" t="s">
        <v>1845</v>
      </c>
      <c r="G1242" s="88" t="s">
        <v>1294</v>
      </c>
      <c r="H1242" s="82"/>
    </row>
    <row r="1243" spans="1:8" x14ac:dyDescent="0.2">
      <c r="A1243" s="85" t="s">
        <v>433</v>
      </c>
      <c r="B1243" s="89" t="s">
        <v>1585</v>
      </c>
      <c r="C1243" s="86" t="s">
        <v>1909</v>
      </c>
      <c r="D1243" s="86" t="s">
        <v>1023</v>
      </c>
      <c r="E1243" s="90" t="s">
        <v>117</v>
      </c>
      <c r="F1243" s="88" t="s">
        <v>1902</v>
      </c>
      <c r="G1243" s="88" t="s">
        <v>1294</v>
      </c>
      <c r="H1243" s="82"/>
    </row>
    <row r="1244" spans="1:8" x14ac:dyDescent="0.2">
      <c r="A1244" s="85" t="s">
        <v>433</v>
      </c>
      <c r="B1244" s="89" t="s">
        <v>1585</v>
      </c>
      <c r="C1244" s="86" t="s">
        <v>1909</v>
      </c>
      <c r="D1244" s="86" t="s">
        <v>1023</v>
      </c>
      <c r="E1244" s="90" t="s">
        <v>117</v>
      </c>
      <c r="F1244" s="88" t="s">
        <v>1903</v>
      </c>
      <c r="G1244" s="88" t="s">
        <v>1294</v>
      </c>
      <c r="H1244" s="82"/>
    </row>
    <row r="1245" spans="1:8" x14ac:dyDescent="0.2">
      <c r="A1245" s="85" t="s">
        <v>433</v>
      </c>
      <c r="B1245" s="89" t="s">
        <v>1585</v>
      </c>
      <c r="C1245" s="86" t="s">
        <v>1909</v>
      </c>
      <c r="D1245" s="86" t="s">
        <v>1023</v>
      </c>
      <c r="E1245" s="90" t="s">
        <v>117</v>
      </c>
      <c r="F1245" s="88" t="s">
        <v>1904</v>
      </c>
      <c r="G1245" s="88" t="s">
        <v>1294</v>
      </c>
      <c r="H1245" s="82"/>
    </row>
    <row r="1246" spans="1:8" x14ac:dyDescent="0.2">
      <c r="A1246" s="85" t="s">
        <v>433</v>
      </c>
      <c r="B1246" s="89" t="s">
        <v>1585</v>
      </c>
      <c r="C1246" s="86" t="s">
        <v>1909</v>
      </c>
      <c r="D1246" s="86" t="s">
        <v>1023</v>
      </c>
      <c r="E1246" s="90" t="s">
        <v>117</v>
      </c>
      <c r="F1246" s="88" t="s">
        <v>1905</v>
      </c>
      <c r="G1246" s="88" t="s">
        <v>1294</v>
      </c>
      <c r="H1246" s="82"/>
    </row>
    <row r="1247" spans="1:8" x14ac:dyDescent="0.2">
      <c r="A1247" s="85" t="s">
        <v>433</v>
      </c>
      <c r="B1247" s="97" t="s">
        <v>1921</v>
      </c>
      <c r="C1247" s="86" t="s">
        <v>1909</v>
      </c>
      <c r="D1247" s="86" t="s">
        <v>1023</v>
      </c>
      <c r="E1247" s="90" t="s">
        <v>117</v>
      </c>
      <c r="F1247" s="88" t="s">
        <v>1843</v>
      </c>
      <c r="G1247" s="88" t="s">
        <v>1293</v>
      </c>
      <c r="H1247" s="82"/>
    </row>
    <row r="1248" spans="1:8" x14ac:dyDescent="0.2">
      <c r="A1248" s="85" t="s">
        <v>433</v>
      </c>
      <c r="B1248" s="97" t="s">
        <v>1921</v>
      </c>
      <c r="C1248" s="86" t="s">
        <v>1909</v>
      </c>
      <c r="D1248" s="86" t="s">
        <v>1023</v>
      </c>
      <c r="E1248" s="90" t="s">
        <v>117</v>
      </c>
      <c r="F1248" s="88" t="s">
        <v>1846</v>
      </c>
      <c r="G1248" s="88" t="s">
        <v>1293</v>
      </c>
      <c r="H1248" s="82"/>
    </row>
    <row r="1249" spans="1:8" x14ac:dyDescent="0.2">
      <c r="A1249" s="85" t="s">
        <v>433</v>
      </c>
      <c r="B1249" s="97" t="s">
        <v>1921</v>
      </c>
      <c r="C1249" s="86" t="s">
        <v>1909</v>
      </c>
      <c r="D1249" s="86" t="s">
        <v>1023</v>
      </c>
      <c r="E1249" s="90" t="s">
        <v>117</v>
      </c>
      <c r="F1249" s="88" t="s">
        <v>1847</v>
      </c>
      <c r="G1249" s="88" t="s">
        <v>1293</v>
      </c>
      <c r="H1249" s="82"/>
    </row>
    <row r="1250" spans="1:8" x14ac:dyDescent="0.2">
      <c r="A1250" s="85" t="s">
        <v>433</v>
      </c>
      <c r="B1250" s="97" t="s">
        <v>1921</v>
      </c>
      <c r="C1250" s="86" t="s">
        <v>1909</v>
      </c>
      <c r="D1250" s="86" t="s">
        <v>1023</v>
      </c>
      <c r="E1250" s="90" t="s">
        <v>117</v>
      </c>
      <c r="F1250" s="88" t="s">
        <v>1848</v>
      </c>
      <c r="G1250" s="88" t="s">
        <v>1293</v>
      </c>
      <c r="H1250" s="82"/>
    </row>
    <row r="1251" spans="1:8" x14ac:dyDescent="0.2">
      <c r="A1251" s="85" t="s">
        <v>433</v>
      </c>
      <c r="B1251" s="97" t="s">
        <v>1921</v>
      </c>
      <c r="C1251" s="86" t="s">
        <v>1909</v>
      </c>
      <c r="D1251" s="86" t="s">
        <v>1023</v>
      </c>
      <c r="E1251" s="90" t="s">
        <v>117</v>
      </c>
      <c r="F1251" s="88" t="s">
        <v>1901</v>
      </c>
      <c r="G1251" s="88" t="s">
        <v>1293</v>
      </c>
      <c r="H1251" s="82"/>
    </row>
    <row r="1252" spans="1:8" x14ac:dyDescent="0.2">
      <c r="A1252" s="85" t="s">
        <v>433</v>
      </c>
      <c r="B1252" s="97" t="s">
        <v>1921</v>
      </c>
      <c r="C1252" s="86" t="s">
        <v>1909</v>
      </c>
      <c r="D1252" s="86" t="s">
        <v>1023</v>
      </c>
      <c r="E1252" s="90" t="s">
        <v>117</v>
      </c>
      <c r="F1252" s="88" t="s">
        <v>1844</v>
      </c>
      <c r="G1252" s="88" t="s">
        <v>1293</v>
      </c>
      <c r="H1252" s="82"/>
    </row>
    <row r="1253" spans="1:8" x14ac:dyDescent="0.2">
      <c r="A1253" s="85" t="s">
        <v>433</v>
      </c>
      <c r="B1253" s="97" t="s">
        <v>1921</v>
      </c>
      <c r="C1253" s="86" t="s">
        <v>1909</v>
      </c>
      <c r="D1253" s="86" t="s">
        <v>1023</v>
      </c>
      <c r="E1253" s="90" t="s">
        <v>117</v>
      </c>
      <c r="F1253" s="88" t="s">
        <v>1845</v>
      </c>
      <c r="G1253" s="88" t="s">
        <v>1293</v>
      </c>
      <c r="H1253" s="82"/>
    </row>
    <row r="1254" spans="1:8" x14ac:dyDescent="0.2">
      <c r="A1254" s="85" t="s">
        <v>433</v>
      </c>
      <c r="B1254" s="97" t="s">
        <v>1921</v>
      </c>
      <c r="C1254" s="86" t="s">
        <v>1909</v>
      </c>
      <c r="D1254" s="86" t="s">
        <v>1023</v>
      </c>
      <c r="E1254" s="90" t="s">
        <v>117</v>
      </c>
      <c r="F1254" s="88" t="s">
        <v>1902</v>
      </c>
      <c r="G1254" s="88" t="s">
        <v>1293</v>
      </c>
      <c r="H1254" s="82"/>
    </row>
    <row r="1255" spans="1:8" x14ac:dyDescent="0.2">
      <c r="A1255" s="85" t="s">
        <v>433</v>
      </c>
      <c r="B1255" s="97" t="s">
        <v>1921</v>
      </c>
      <c r="C1255" s="86" t="s">
        <v>1909</v>
      </c>
      <c r="D1255" s="86" t="s">
        <v>1023</v>
      </c>
      <c r="E1255" s="90" t="s">
        <v>117</v>
      </c>
      <c r="F1255" s="88" t="s">
        <v>1903</v>
      </c>
      <c r="G1255" s="88" t="s">
        <v>1293</v>
      </c>
      <c r="H1255" s="82"/>
    </row>
    <row r="1256" spans="1:8" x14ac:dyDescent="0.2">
      <c r="A1256" s="85" t="s">
        <v>433</v>
      </c>
      <c r="B1256" s="97" t="s">
        <v>1921</v>
      </c>
      <c r="C1256" s="86" t="s">
        <v>1909</v>
      </c>
      <c r="D1256" s="86" t="s">
        <v>1023</v>
      </c>
      <c r="E1256" s="90" t="s">
        <v>117</v>
      </c>
      <c r="F1256" s="88" t="s">
        <v>1904</v>
      </c>
      <c r="G1256" s="88" t="s">
        <v>1293</v>
      </c>
      <c r="H1256" s="82"/>
    </row>
    <row r="1257" spans="1:8" x14ac:dyDescent="0.2">
      <c r="A1257" s="85" t="s">
        <v>433</v>
      </c>
      <c r="B1257" s="97" t="s">
        <v>1921</v>
      </c>
      <c r="C1257" s="86" t="s">
        <v>1909</v>
      </c>
      <c r="D1257" s="86" t="s">
        <v>1023</v>
      </c>
      <c r="E1257" s="90" t="s">
        <v>117</v>
      </c>
      <c r="F1257" s="88" t="s">
        <v>1905</v>
      </c>
      <c r="G1257" s="88" t="s">
        <v>1293</v>
      </c>
      <c r="H1257" s="82"/>
    </row>
    <row r="1258" spans="1:8" x14ac:dyDescent="0.2">
      <c r="A1258" s="85" t="s">
        <v>433</v>
      </c>
      <c r="B1258" s="97" t="s">
        <v>1922</v>
      </c>
      <c r="C1258" s="86" t="s">
        <v>1909</v>
      </c>
      <c r="D1258" s="86" t="s">
        <v>1023</v>
      </c>
      <c r="E1258" s="90" t="s">
        <v>117</v>
      </c>
      <c r="F1258" s="88" t="s">
        <v>1843</v>
      </c>
      <c r="G1258" s="88" t="s">
        <v>1312</v>
      </c>
      <c r="H1258" s="82"/>
    </row>
    <row r="1259" spans="1:8" x14ac:dyDescent="0.2">
      <c r="A1259" s="85" t="s">
        <v>433</v>
      </c>
      <c r="B1259" s="97" t="s">
        <v>1922</v>
      </c>
      <c r="C1259" s="86" t="s">
        <v>1909</v>
      </c>
      <c r="D1259" s="86" t="s">
        <v>1023</v>
      </c>
      <c r="E1259" s="90" t="s">
        <v>117</v>
      </c>
      <c r="F1259" s="88" t="s">
        <v>1846</v>
      </c>
      <c r="G1259" s="88" t="s">
        <v>1312</v>
      </c>
      <c r="H1259" s="82"/>
    </row>
    <row r="1260" spans="1:8" x14ac:dyDescent="0.2">
      <c r="A1260" s="85" t="s">
        <v>433</v>
      </c>
      <c r="B1260" s="97" t="s">
        <v>1922</v>
      </c>
      <c r="C1260" s="86" t="s">
        <v>1909</v>
      </c>
      <c r="D1260" s="86" t="s">
        <v>1023</v>
      </c>
      <c r="E1260" s="90" t="s">
        <v>117</v>
      </c>
      <c r="F1260" s="88" t="s">
        <v>1847</v>
      </c>
      <c r="G1260" s="88" t="s">
        <v>1312</v>
      </c>
      <c r="H1260" s="82"/>
    </row>
    <row r="1261" spans="1:8" x14ac:dyDescent="0.2">
      <c r="A1261" s="85" t="s">
        <v>433</v>
      </c>
      <c r="B1261" s="97" t="s">
        <v>1922</v>
      </c>
      <c r="C1261" s="86" t="s">
        <v>1909</v>
      </c>
      <c r="D1261" s="86" t="s">
        <v>1023</v>
      </c>
      <c r="E1261" s="90" t="s">
        <v>117</v>
      </c>
      <c r="F1261" s="88" t="s">
        <v>1848</v>
      </c>
      <c r="G1261" s="88" t="s">
        <v>1312</v>
      </c>
      <c r="H1261" s="82"/>
    </row>
    <row r="1262" spans="1:8" x14ac:dyDescent="0.2">
      <c r="A1262" s="85" t="s">
        <v>433</v>
      </c>
      <c r="B1262" s="97" t="s">
        <v>1922</v>
      </c>
      <c r="C1262" s="86" t="s">
        <v>1909</v>
      </c>
      <c r="D1262" s="86" t="s">
        <v>1023</v>
      </c>
      <c r="E1262" s="90" t="s">
        <v>117</v>
      </c>
      <c r="F1262" s="88" t="s">
        <v>1849</v>
      </c>
      <c r="G1262" s="88" t="s">
        <v>1312</v>
      </c>
      <c r="H1262" s="82"/>
    </row>
    <row r="1263" spans="1:8" x14ac:dyDescent="0.2">
      <c r="A1263" s="85" t="s">
        <v>433</v>
      </c>
      <c r="B1263" s="97" t="s">
        <v>1922</v>
      </c>
      <c r="C1263" s="86" t="s">
        <v>1909</v>
      </c>
      <c r="D1263" s="86" t="s">
        <v>1023</v>
      </c>
      <c r="E1263" s="90" t="s">
        <v>117</v>
      </c>
      <c r="F1263" s="88" t="s">
        <v>1901</v>
      </c>
      <c r="G1263" s="88" t="s">
        <v>1312</v>
      </c>
      <c r="H1263" s="82"/>
    </row>
    <row r="1264" spans="1:8" x14ac:dyDescent="0.2">
      <c r="A1264" s="85" t="s">
        <v>433</v>
      </c>
      <c r="B1264" s="97" t="s">
        <v>1922</v>
      </c>
      <c r="C1264" s="86" t="s">
        <v>1909</v>
      </c>
      <c r="D1264" s="86" t="s">
        <v>1023</v>
      </c>
      <c r="E1264" s="90" t="s">
        <v>117</v>
      </c>
      <c r="F1264" s="88" t="s">
        <v>1844</v>
      </c>
      <c r="G1264" s="88" t="s">
        <v>1312</v>
      </c>
      <c r="H1264" s="82"/>
    </row>
    <row r="1265" spans="1:8" x14ac:dyDescent="0.2">
      <c r="A1265" s="85" t="s">
        <v>433</v>
      </c>
      <c r="B1265" s="97" t="s">
        <v>1922</v>
      </c>
      <c r="C1265" s="86" t="s">
        <v>1909</v>
      </c>
      <c r="D1265" s="86" t="s">
        <v>1023</v>
      </c>
      <c r="E1265" s="90" t="s">
        <v>117</v>
      </c>
      <c r="F1265" s="88" t="s">
        <v>1845</v>
      </c>
      <c r="G1265" s="88" t="s">
        <v>1312</v>
      </c>
      <c r="H1265" s="82"/>
    </row>
    <row r="1266" spans="1:8" x14ac:dyDescent="0.2">
      <c r="A1266" s="85" t="s">
        <v>433</v>
      </c>
      <c r="B1266" s="97" t="s">
        <v>1922</v>
      </c>
      <c r="C1266" s="86" t="s">
        <v>1909</v>
      </c>
      <c r="D1266" s="86" t="s">
        <v>1023</v>
      </c>
      <c r="E1266" s="90" t="s">
        <v>117</v>
      </c>
      <c r="F1266" s="88" t="s">
        <v>1902</v>
      </c>
      <c r="G1266" s="88" t="s">
        <v>1312</v>
      </c>
      <c r="H1266" s="82"/>
    </row>
    <row r="1267" spans="1:8" x14ac:dyDescent="0.2">
      <c r="A1267" s="85" t="s">
        <v>433</v>
      </c>
      <c r="B1267" s="97" t="s">
        <v>1922</v>
      </c>
      <c r="C1267" s="86" t="s">
        <v>1909</v>
      </c>
      <c r="D1267" s="86" t="s">
        <v>1023</v>
      </c>
      <c r="E1267" s="90" t="s">
        <v>117</v>
      </c>
      <c r="F1267" s="88" t="s">
        <v>1903</v>
      </c>
      <c r="G1267" s="88" t="s">
        <v>1312</v>
      </c>
      <c r="H1267" s="82"/>
    </row>
    <row r="1268" spans="1:8" x14ac:dyDescent="0.2">
      <c r="A1268" s="85" t="s">
        <v>433</v>
      </c>
      <c r="B1268" s="97" t="s">
        <v>1922</v>
      </c>
      <c r="C1268" s="86" t="s">
        <v>1909</v>
      </c>
      <c r="D1268" s="86" t="s">
        <v>1023</v>
      </c>
      <c r="E1268" s="90" t="s">
        <v>117</v>
      </c>
      <c r="F1268" s="88" t="s">
        <v>1904</v>
      </c>
      <c r="G1268" s="88" t="s">
        <v>1312</v>
      </c>
      <c r="H1268" s="82"/>
    </row>
    <row r="1269" spans="1:8" x14ac:dyDescent="0.2">
      <c r="A1269" s="85" t="s">
        <v>433</v>
      </c>
      <c r="B1269" s="97" t="s">
        <v>1922</v>
      </c>
      <c r="C1269" s="86" t="s">
        <v>1909</v>
      </c>
      <c r="D1269" s="86" t="s">
        <v>1023</v>
      </c>
      <c r="E1269" s="90" t="s">
        <v>117</v>
      </c>
      <c r="F1269" s="88" t="s">
        <v>1905</v>
      </c>
      <c r="G1269" s="88" t="s">
        <v>1312</v>
      </c>
      <c r="H1269" s="82"/>
    </row>
    <row r="1270" spans="1:8" x14ac:dyDescent="0.2">
      <c r="A1270" s="85" t="s">
        <v>433</v>
      </c>
      <c r="B1270" s="97" t="s">
        <v>1920</v>
      </c>
      <c r="C1270" s="86" t="s">
        <v>1909</v>
      </c>
      <c r="D1270" s="86" t="s">
        <v>1023</v>
      </c>
      <c r="E1270" s="90" t="s">
        <v>117</v>
      </c>
      <c r="F1270" s="88" t="s">
        <v>437</v>
      </c>
      <c r="G1270" s="88" t="s">
        <v>1311</v>
      </c>
      <c r="H1270" s="82"/>
    </row>
    <row r="1271" spans="1:8" x14ac:dyDescent="0.2">
      <c r="A1271" s="85" t="s">
        <v>433</v>
      </c>
      <c r="B1271" s="97" t="s">
        <v>1920</v>
      </c>
      <c r="C1271" s="86" t="s">
        <v>1909</v>
      </c>
      <c r="D1271" s="86" t="s">
        <v>1023</v>
      </c>
      <c r="E1271" s="90" t="s">
        <v>117</v>
      </c>
      <c r="F1271" s="88" t="s">
        <v>1836</v>
      </c>
      <c r="G1271" s="88" t="s">
        <v>1311</v>
      </c>
      <c r="H1271" s="82"/>
    </row>
    <row r="1272" spans="1:8" x14ac:dyDescent="0.2">
      <c r="A1272" s="85" t="s">
        <v>433</v>
      </c>
      <c r="B1272" s="97" t="s">
        <v>1920</v>
      </c>
      <c r="C1272" s="86" t="s">
        <v>1909</v>
      </c>
      <c r="D1272" s="86" t="s">
        <v>1023</v>
      </c>
      <c r="E1272" s="90" t="s">
        <v>117</v>
      </c>
      <c r="F1272" s="88" t="s">
        <v>1837</v>
      </c>
      <c r="G1272" s="88" t="s">
        <v>1311</v>
      </c>
      <c r="H1272" s="82"/>
    </row>
    <row r="1273" spans="1:8" x14ac:dyDescent="0.2">
      <c r="A1273" s="85" t="s">
        <v>433</v>
      </c>
      <c r="B1273" s="97" t="s">
        <v>1920</v>
      </c>
      <c r="C1273" s="86" t="s">
        <v>1909</v>
      </c>
      <c r="D1273" s="86" t="s">
        <v>1023</v>
      </c>
      <c r="E1273" s="90" t="s">
        <v>117</v>
      </c>
      <c r="F1273" s="88" t="s">
        <v>1838</v>
      </c>
      <c r="G1273" s="88" t="s">
        <v>1311</v>
      </c>
      <c r="H1273" s="82"/>
    </row>
    <row r="1274" spans="1:8" x14ac:dyDescent="0.2">
      <c r="A1274" s="85" t="s">
        <v>433</v>
      </c>
      <c r="B1274" s="97" t="s">
        <v>1920</v>
      </c>
      <c r="C1274" s="86" t="s">
        <v>1909</v>
      </c>
      <c r="D1274" s="86" t="s">
        <v>1023</v>
      </c>
      <c r="E1274" s="90" t="s">
        <v>117</v>
      </c>
      <c r="F1274" s="88" t="s">
        <v>1839</v>
      </c>
      <c r="G1274" s="88" t="s">
        <v>1311</v>
      </c>
      <c r="H1274" s="82"/>
    </row>
    <row r="1275" spans="1:8" x14ac:dyDescent="0.2">
      <c r="A1275" s="85" t="s">
        <v>433</v>
      </c>
      <c r="B1275" s="97" t="s">
        <v>1920</v>
      </c>
      <c r="C1275" s="86" t="s">
        <v>1909</v>
      </c>
      <c r="D1275" s="86" t="s">
        <v>1023</v>
      </c>
      <c r="E1275" s="90" t="s">
        <v>117</v>
      </c>
      <c r="F1275" s="88" t="s">
        <v>1840</v>
      </c>
      <c r="G1275" s="88" t="s">
        <v>1311</v>
      </c>
      <c r="H1275" s="82"/>
    </row>
    <row r="1276" spans="1:8" x14ac:dyDescent="0.2">
      <c r="A1276" s="85" t="s">
        <v>433</v>
      </c>
      <c r="B1276" s="97" t="s">
        <v>1920</v>
      </c>
      <c r="C1276" s="86" t="s">
        <v>1909</v>
      </c>
      <c r="D1276" s="86" t="s">
        <v>1023</v>
      </c>
      <c r="E1276" s="90" t="s">
        <v>117</v>
      </c>
      <c r="F1276" s="88" t="s">
        <v>1841</v>
      </c>
      <c r="G1276" s="88" t="s">
        <v>1311</v>
      </c>
      <c r="H1276" s="82"/>
    </row>
    <row r="1277" spans="1:8" x14ac:dyDescent="0.2">
      <c r="A1277" s="85" t="s">
        <v>433</v>
      </c>
      <c r="B1277" s="97" t="s">
        <v>1920</v>
      </c>
      <c r="C1277" s="86" t="s">
        <v>1909</v>
      </c>
      <c r="D1277" s="86" t="s">
        <v>1023</v>
      </c>
      <c r="E1277" s="90" t="s">
        <v>117</v>
      </c>
      <c r="F1277" s="88" t="s">
        <v>1896</v>
      </c>
      <c r="G1277" s="88" t="s">
        <v>1311</v>
      </c>
      <c r="H1277" s="82"/>
    </row>
    <row r="1278" spans="1:8" x14ac:dyDescent="0.2">
      <c r="A1278" s="85" t="s">
        <v>433</v>
      </c>
      <c r="B1278" s="97" t="s">
        <v>1920</v>
      </c>
      <c r="C1278" s="86" t="s">
        <v>1909</v>
      </c>
      <c r="D1278" s="86" t="s">
        <v>1023</v>
      </c>
      <c r="E1278" s="90" t="s">
        <v>117</v>
      </c>
      <c r="F1278" s="88" t="s">
        <v>1842</v>
      </c>
      <c r="G1278" s="88" t="s">
        <v>1311</v>
      </c>
      <c r="H1278" s="82"/>
    </row>
    <row r="1279" spans="1:8" x14ac:dyDescent="0.2">
      <c r="A1279" s="85" t="s">
        <v>433</v>
      </c>
      <c r="B1279" s="97" t="s">
        <v>1920</v>
      </c>
      <c r="C1279" s="86" t="s">
        <v>1909</v>
      </c>
      <c r="D1279" s="86" t="s">
        <v>1023</v>
      </c>
      <c r="E1279" s="90" t="s">
        <v>117</v>
      </c>
      <c r="F1279" s="88" t="s">
        <v>1897</v>
      </c>
      <c r="G1279" s="88" t="s">
        <v>1311</v>
      </c>
      <c r="H1279" s="82"/>
    </row>
    <row r="1280" spans="1:8" x14ac:dyDescent="0.2">
      <c r="A1280" s="85" t="s">
        <v>433</v>
      </c>
      <c r="B1280" s="97" t="s">
        <v>1920</v>
      </c>
      <c r="C1280" s="86" t="s">
        <v>1909</v>
      </c>
      <c r="D1280" s="86" t="s">
        <v>1023</v>
      </c>
      <c r="E1280" s="90" t="s">
        <v>117</v>
      </c>
      <c r="F1280" s="88" t="s">
        <v>1898</v>
      </c>
      <c r="G1280" s="88" t="s">
        <v>1311</v>
      </c>
      <c r="H1280" s="82"/>
    </row>
    <row r="1281" spans="1:8" x14ac:dyDescent="0.2">
      <c r="A1281" s="85" t="s">
        <v>433</v>
      </c>
      <c r="B1281" s="97" t="s">
        <v>1920</v>
      </c>
      <c r="C1281" s="86" t="s">
        <v>1909</v>
      </c>
      <c r="D1281" s="86" t="s">
        <v>1023</v>
      </c>
      <c r="E1281" s="90" t="s">
        <v>117</v>
      </c>
      <c r="F1281" s="88" t="s">
        <v>1899</v>
      </c>
      <c r="G1281" s="88" t="s">
        <v>1311</v>
      </c>
      <c r="H1281" s="82"/>
    </row>
    <row r="1282" spans="1:8" x14ac:dyDescent="0.2">
      <c r="A1282" s="85" t="s">
        <v>433</v>
      </c>
      <c r="B1282" s="97" t="s">
        <v>1920</v>
      </c>
      <c r="C1282" s="86" t="s">
        <v>1909</v>
      </c>
      <c r="D1282" s="86" t="s">
        <v>1023</v>
      </c>
      <c r="E1282" s="90" t="s">
        <v>117</v>
      </c>
      <c r="F1282" s="88" t="s">
        <v>1900</v>
      </c>
      <c r="G1282" s="88" t="s">
        <v>1311</v>
      </c>
      <c r="H1282" s="82"/>
    </row>
    <row r="1283" spans="1:8" x14ac:dyDescent="0.2">
      <c r="A1283" s="85" t="s">
        <v>1337</v>
      </c>
      <c r="B1283" s="89" t="s">
        <v>1585</v>
      </c>
      <c r="C1283" s="86" t="s">
        <v>1923</v>
      </c>
      <c r="D1283" s="86" t="s">
        <v>1025</v>
      </c>
      <c r="E1283" s="90" t="s">
        <v>126</v>
      </c>
      <c r="F1283" s="88" t="s">
        <v>1924</v>
      </c>
      <c r="G1283" s="88" t="s">
        <v>1295</v>
      </c>
      <c r="H1283" s="82"/>
    </row>
    <row r="1284" spans="1:8" x14ac:dyDescent="0.2">
      <c r="A1284" s="85" t="s">
        <v>1337</v>
      </c>
      <c r="B1284" s="89" t="s">
        <v>1585</v>
      </c>
      <c r="C1284" s="86" t="s">
        <v>1923</v>
      </c>
      <c r="D1284" s="86" t="s">
        <v>1025</v>
      </c>
      <c r="E1284" s="90" t="s">
        <v>126</v>
      </c>
      <c r="F1284" s="88" t="s">
        <v>1925</v>
      </c>
      <c r="G1284" s="88" t="s">
        <v>1295</v>
      </c>
      <c r="H1284" s="82"/>
    </row>
    <row r="1285" spans="1:8" ht="16" x14ac:dyDescent="0.2">
      <c r="A1285" s="85" t="s">
        <v>1337</v>
      </c>
      <c r="B1285" s="89" t="s">
        <v>1585</v>
      </c>
      <c r="C1285" s="86" t="s">
        <v>1923</v>
      </c>
      <c r="D1285" s="86" t="s">
        <v>1025</v>
      </c>
      <c r="E1285" s="90" t="s">
        <v>126</v>
      </c>
      <c r="F1285" s="88" t="s">
        <v>1926</v>
      </c>
      <c r="G1285" s="87" t="s">
        <v>633</v>
      </c>
      <c r="H1285" s="82"/>
    </row>
    <row r="1286" spans="1:8" ht="16" x14ac:dyDescent="0.2">
      <c r="A1286" s="85" t="s">
        <v>1337</v>
      </c>
      <c r="B1286" s="89" t="s">
        <v>1585</v>
      </c>
      <c r="C1286" s="86" t="s">
        <v>1923</v>
      </c>
      <c r="D1286" s="86" t="s">
        <v>1025</v>
      </c>
      <c r="E1286" s="90" t="s">
        <v>126</v>
      </c>
      <c r="F1286" s="88" t="s">
        <v>137</v>
      </c>
      <c r="G1286" s="87" t="s">
        <v>633</v>
      </c>
      <c r="H1286" s="82"/>
    </row>
    <row r="1287" spans="1:8" ht="16" x14ac:dyDescent="0.2">
      <c r="A1287" s="85" t="s">
        <v>1337</v>
      </c>
      <c r="B1287" s="89" t="s">
        <v>1585</v>
      </c>
      <c r="C1287" s="86" t="s">
        <v>1923</v>
      </c>
      <c r="D1287" s="86" t="s">
        <v>1025</v>
      </c>
      <c r="E1287" s="90" t="s">
        <v>126</v>
      </c>
      <c r="F1287" s="88" t="s">
        <v>1337</v>
      </c>
      <c r="G1287" s="87" t="s">
        <v>631</v>
      </c>
      <c r="H1287" s="82"/>
    </row>
    <row r="1288" spans="1:8" ht="16" x14ac:dyDescent="0.2">
      <c r="A1288" s="85" t="s">
        <v>1337</v>
      </c>
      <c r="B1288" s="89" t="s">
        <v>1585</v>
      </c>
      <c r="C1288" s="86" t="s">
        <v>1923</v>
      </c>
      <c r="D1288" s="86" t="s">
        <v>1025</v>
      </c>
      <c r="E1288" s="90" t="s">
        <v>126</v>
      </c>
      <c r="F1288" s="88" t="s">
        <v>1337</v>
      </c>
      <c r="G1288" s="87" t="s">
        <v>631</v>
      </c>
      <c r="H1288" s="82"/>
    </row>
    <row r="1289" spans="1:8" ht="16" x14ac:dyDescent="0.2">
      <c r="A1289" s="85" t="s">
        <v>271</v>
      </c>
      <c r="B1289" s="97" t="s">
        <v>1704</v>
      </c>
      <c r="C1289" s="86" t="s">
        <v>1923</v>
      </c>
      <c r="D1289" s="86" t="s">
        <v>1025</v>
      </c>
      <c r="E1289" s="90" t="s">
        <v>133</v>
      </c>
      <c r="F1289" s="88" t="s">
        <v>271</v>
      </c>
      <c r="G1289" s="87" t="s">
        <v>1296</v>
      </c>
      <c r="H1289" s="82"/>
    </row>
    <row r="1290" spans="1:8" ht="16" x14ac:dyDescent="0.2">
      <c r="A1290" s="85" t="s">
        <v>271</v>
      </c>
      <c r="B1290" s="97" t="s">
        <v>1704</v>
      </c>
      <c r="C1290" s="86" t="s">
        <v>1923</v>
      </c>
      <c r="D1290" s="86" t="s">
        <v>1025</v>
      </c>
      <c r="E1290" s="90" t="s">
        <v>1034</v>
      </c>
      <c r="F1290" s="88" t="s">
        <v>271</v>
      </c>
      <c r="G1290" s="87" t="s">
        <v>1296</v>
      </c>
      <c r="H1290" s="82"/>
    </row>
    <row r="1291" spans="1:8" ht="16" x14ac:dyDescent="0.2">
      <c r="A1291" s="85" t="s">
        <v>271</v>
      </c>
      <c r="B1291" s="97" t="s">
        <v>1704</v>
      </c>
      <c r="C1291" s="86" t="s">
        <v>1923</v>
      </c>
      <c r="D1291" s="86" t="s">
        <v>1025</v>
      </c>
      <c r="E1291" s="90" t="s">
        <v>149</v>
      </c>
      <c r="F1291" s="88" t="s">
        <v>271</v>
      </c>
      <c r="G1291" s="87" t="s">
        <v>1296</v>
      </c>
      <c r="H1291" s="82"/>
    </row>
    <row r="1292" spans="1:8" ht="16" x14ac:dyDescent="0.2">
      <c r="A1292" s="92" t="s">
        <v>520</v>
      </c>
      <c r="B1292" s="95" t="s">
        <v>1585</v>
      </c>
      <c r="C1292" s="86" t="s">
        <v>1927</v>
      </c>
      <c r="D1292" s="86" t="s">
        <v>1014</v>
      </c>
      <c r="E1292" s="96" t="s">
        <v>133</v>
      </c>
      <c r="F1292" s="94" t="s">
        <v>1610</v>
      </c>
      <c r="G1292" s="93" t="s">
        <v>577</v>
      </c>
      <c r="H1292" s="82"/>
    </row>
    <row r="1293" spans="1:8" ht="16" x14ac:dyDescent="0.2">
      <c r="A1293" s="92" t="s">
        <v>520</v>
      </c>
      <c r="B1293" s="95" t="s">
        <v>1585</v>
      </c>
      <c r="C1293" s="86" t="s">
        <v>1927</v>
      </c>
      <c r="D1293" s="86" t="s">
        <v>1014</v>
      </c>
      <c r="E1293" s="96" t="s">
        <v>133</v>
      </c>
      <c r="F1293" s="94" t="s">
        <v>1620</v>
      </c>
      <c r="G1293" s="93" t="s">
        <v>575</v>
      </c>
      <c r="H1293" s="82"/>
    </row>
    <row r="1294" spans="1:8" ht="16" x14ac:dyDescent="0.2">
      <c r="A1294" s="92" t="s">
        <v>520</v>
      </c>
      <c r="B1294" s="95" t="s">
        <v>1585</v>
      </c>
      <c r="C1294" s="86" t="s">
        <v>1927</v>
      </c>
      <c r="D1294" s="86" t="s">
        <v>1014</v>
      </c>
      <c r="E1294" s="96" t="s">
        <v>133</v>
      </c>
      <c r="F1294" s="94" t="s">
        <v>1622</v>
      </c>
      <c r="G1294" s="93" t="s">
        <v>575</v>
      </c>
      <c r="H1294" s="82"/>
    </row>
    <row r="1295" spans="1:8" ht="16" x14ac:dyDescent="0.2">
      <c r="A1295" s="85" t="s">
        <v>120</v>
      </c>
      <c r="B1295" s="97" t="s">
        <v>120</v>
      </c>
      <c r="C1295" s="86" t="s">
        <v>1928</v>
      </c>
      <c r="D1295" s="86" t="s">
        <v>1024</v>
      </c>
      <c r="E1295" s="90" t="s">
        <v>120</v>
      </c>
      <c r="F1295" s="88" t="s">
        <v>1929</v>
      </c>
      <c r="G1295" s="87" t="s">
        <v>998</v>
      </c>
      <c r="H1295" s="82"/>
    </row>
    <row r="1296" spans="1:8" ht="16" x14ac:dyDescent="0.2">
      <c r="A1296" s="85" t="s">
        <v>145</v>
      </c>
      <c r="B1296" s="89" t="s">
        <v>1585</v>
      </c>
      <c r="C1296" s="86" t="s">
        <v>1930</v>
      </c>
      <c r="D1296" s="86" t="s">
        <v>1532</v>
      </c>
      <c r="E1296" s="90" t="s">
        <v>117</v>
      </c>
      <c r="F1296" s="88" t="s">
        <v>145</v>
      </c>
      <c r="G1296" s="87" t="s">
        <v>1297</v>
      </c>
      <c r="H1296" s="82"/>
    </row>
    <row r="1297" spans="1:8" ht="16" x14ac:dyDescent="0.2">
      <c r="A1297" s="85" t="s">
        <v>145</v>
      </c>
      <c r="B1297" s="89" t="s">
        <v>1585</v>
      </c>
      <c r="C1297" s="86" t="s">
        <v>1930</v>
      </c>
      <c r="D1297" s="86" t="s">
        <v>1532</v>
      </c>
      <c r="E1297" s="90" t="s">
        <v>117</v>
      </c>
      <c r="F1297" s="88" t="s">
        <v>145</v>
      </c>
      <c r="G1297" s="87" t="s">
        <v>1319</v>
      </c>
      <c r="H1297" s="82"/>
    </row>
    <row r="1298" spans="1:8" x14ac:dyDescent="0.2">
      <c r="A1298" s="85" t="s">
        <v>145</v>
      </c>
      <c r="B1298" s="89" t="s">
        <v>1585</v>
      </c>
      <c r="C1298" s="86" t="s">
        <v>1930</v>
      </c>
      <c r="D1298" s="86" t="s">
        <v>1532</v>
      </c>
      <c r="E1298" s="90" t="s">
        <v>117</v>
      </c>
      <c r="F1298" s="88" t="s">
        <v>1596</v>
      </c>
      <c r="G1298" s="88" t="s">
        <v>1156</v>
      </c>
      <c r="H1298" s="82"/>
    </row>
    <row r="1299" spans="1:8" x14ac:dyDescent="0.2">
      <c r="A1299" s="85" t="s">
        <v>145</v>
      </c>
      <c r="B1299" s="89" t="s">
        <v>1585</v>
      </c>
      <c r="C1299" s="86" t="s">
        <v>1930</v>
      </c>
      <c r="D1299" s="86" t="s">
        <v>1532</v>
      </c>
      <c r="E1299" s="90" t="s">
        <v>117</v>
      </c>
      <c r="F1299" s="88" t="s">
        <v>145</v>
      </c>
      <c r="G1299" s="88" t="s">
        <v>1156</v>
      </c>
      <c r="H1299" s="82"/>
    </row>
    <row r="1300" spans="1:8" x14ac:dyDescent="0.2">
      <c r="A1300" s="85" t="s">
        <v>145</v>
      </c>
      <c r="B1300" s="89" t="s">
        <v>1585</v>
      </c>
      <c r="C1300" s="86" t="s">
        <v>1930</v>
      </c>
      <c r="D1300" s="86" t="s">
        <v>1532</v>
      </c>
      <c r="E1300" s="90" t="s">
        <v>117</v>
      </c>
      <c r="F1300" s="88" t="s">
        <v>1596</v>
      </c>
      <c r="G1300" s="88" t="s">
        <v>1160</v>
      </c>
      <c r="H1300" s="82"/>
    </row>
    <row r="1301" spans="1:8" x14ac:dyDescent="0.2">
      <c r="A1301" s="85" t="s">
        <v>145</v>
      </c>
      <c r="B1301" s="89" t="s">
        <v>1585</v>
      </c>
      <c r="C1301" s="86" t="s">
        <v>1930</v>
      </c>
      <c r="D1301" s="86" t="s">
        <v>1532</v>
      </c>
      <c r="E1301" s="90" t="s">
        <v>117</v>
      </c>
      <c r="F1301" s="88" t="s">
        <v>145</v>
      </c>
      <c r="G1301" s="88" t="s">
        <v>1160</v>
      </c>
      <c r="H1301" s="82"/>
    </row>
    <row r="1302" spans="1:8" x14ac:dyDescent="0.2">
      <c r="A1302" s="85" t="s">
        <v>145</v>
      </c>
      <c r="B1302" s="89" t="s">
        <v>1585</v>
      </c>
      <c r="C1302" s="86" t="s">
        <v>1930</v>
      </c>
      <c r="D1302" s="86" t="s">
        <v>1532</v>
      </c>
      <c r="E1302" s="90" t="s">
        <v>126</v>
      </c>
      <c r="F1302" s="88" t="s">
        <v>1596</v>
      </c>
      <c r="G1302" s="88" t="s">
        <v>1154</v>
      </c>
      <c r="H1302" s="82"/>
    </row>
    <row r="1303" spans="1:8" x14ac:dyDescent="0.2">
      <c r="A1303" s="85" t="s">
        <v>145</v>
      </c>
      <c r="B1303" s="89" t="s">
        <v>1585</v>
      </c>
      <c r="C1303" s="86" t="s">
        <v>1930</v>
      </c>
      <c r="D1303" s="86" t="s">
        <v>1532</v>
      </c>
      <c r="E1303" s="90" t="s">
        <v>126</v>
      </c>
      <c r="F1303" s="88" t="s">
        <v>145</v>
      </c>
      <c r="G1303" s="88" t="s">
        <v>1154</v>
      </c>
      <c r="H1303" s="82"/>
    </row>
    <row r="1304" spans="1:8" x14ac:dyDescent="0.2">
      <c r="A1304" s="85" t="s">
        <v>145</v>
      </c>
      <c r="B1304" s="89" t="s">
        <v>1585</v>
      </c>
      <c r="C1304" s="86" t="s">
        <v>1930</v>
      </c>
      <c r="D1304" s="86" t="s">
        <v>1532</v>
      </c>
      <c r="E1304" s="90" t="s">
        <v>126</v>
      </c>
      <c r="F1304" s="88" t="s">
        <v>1596</v>
      </c>
      <c r="G1304" s="88" t="s">
        <v>1158</v>
      </c>
      <c r="H1304" s="82"/>
    </row>
    <row r="1305" spans="1:8" x14ac:dyDescent="0.2">
      <c r="A1305" s="85" t="s">
        <v>145</v>
      </c>
      <c r="B1305" s="89" t="s">
        <v>1585</v>
      </c>
      <c r="C1305" s="86" t="s">
        <v>1930</v>
      </c>
      <c r="D1305" s="86" t="s">
        <v>1532</v>
      </c>
      <c r="E1305" s="90" t="s">
        <v>126</v>
      </c>
      <c r="F1305" s="88" t="s">
        <v>145</v>
      </c>
      <c r="G1305" s="88" t="s">
        <v>1158</v>
      </c>
      <c r="H1305" s="82"/>
    </row>
    <row r="1306" spans="1:8" x14ac:dyDescent="0.2">
      <c r="A1306" s="85" t="s">
        <v>145</v>
      </c>
      <c r="B1306" s="89" t="s">
        <v>1585</v>
      </c>
      <c r="C1306" s="86" t="s">
        <v>1930</v>
      </c>
      <c r="D1306" s="86" t="s">
        <v>1532</v>
      </c>
      <c r="E1306" s="90" t="s">
        <v>133</v>
      </c>
      <c r="F1306" s="88" t="s">
        <v>1931</v>
      </c>
      <c r="G1306" s="88" t="s">
        <v>1313</v>
      </c>
      <c r="H1306" s="82"/>
    </row>
    <row r="1307" spans="1:8" x14ac:dyDescent="0.2">
      <c r="A1307" s="85" t="s">
        <v>145</v>
      </c>
      <c r="B1307" s="89" t="s">
        <v>1585</v>
      </c>
      <c r="C1307" s="86" t="s">
        <v>1930</v>
      </c>
      <c r="D1307" s="86" t="s">
        <v>1532</v>
      </c>
      <c r="E1307" s="90" t="s">
        <v>133</v>
      </c>
      <c r="F1307" s="88" t="s">
        <v>145</v>
      </c>
      <c r="G1307" s="88" t="s">
        <v>1313</v>
      </c>
      <c r="H1307" s="82"/>
    </row>
    <row r="1308" spans="1:8" x14ac:dyDescent="0.2">
      <c r="A1308" s="85" t="s">
        <v>145</v>
      </c>
      <c r="B1308" s="89" t="s">
        <v>1585</v>
      </c>
      <c r="C1308" s="86" t="s">
        <v>1930</v>
      </c>
      <c r="D1308" s="86" t="s">
        <v>1532</v>
      </c>
      <c r="E1308" s="90" t="s">
        <v>133</v>
      </c>
      <c r="F1308" s="88" t="s">
        <v>1931</v>
      </c>
      <c r="G1308" s="88" t="s">
        <v>1314</v>
      </c>
      <c r="H1308" s="82"/>
    </row>
    <row r="1309" spans="1:8" x14ac:dyDescent="0.2">
      <c r="A1309" s="85" t="s">
        <v>145</v>
      </c>
      <c r="B1309" s="89" t="s">
        <v>1585</v>
      </c>
      <c r="C1309" s="86" t="s">
        <v>1930</v>
      </c>
      <c r="D1309" s="86" t="s">
        <v>1532</v>
      </c>
      <c r="E1309" s="90" t="s">
        <v>133</v>
      </c>
      <c r="F1309" s="88" t="s">
        <v>145</v>
      </c>
      <c r="G1309" s="88" t="s">
        <v>1314</v>
      </c>
      <c r="H1309" s="82"/>
    </row>
    <row r="1310" spans="1:8" x14ac:dyDescent="0.2">
      <c r="A1310" s="92" t="s">
        <v>1345</v>
      </c>
      <c r="B1310" s="95" t="s">
        <v>1585</v>
      </c>
      <c r="C1310" s="86" t="s">
        <v>1932</v>
      </c>
      <c r="D1310" s="86" t="s">
        <v>1016</v>
      </c>
      <c r="E1310" s="96" t="s">
        <v>133</v>
      </c>
      <c r="F1310" s="94" t="s">
        <v>1345</v>
      </c>
      <c r="G1310" s="102" t="s">
        <v>1249</v>
      </c>
      <c r="H1310" s="82"/>
    </row>
    <row r="1311" spans="1:8" x14ac:dyDescent="0.2">
      <c r="A1311" s="92" t="s">
        <v>1345</v>
      </c>
      <c r="B1311" s="95" t="s">
        <v>1585</v>
      </c>
      <c r="C1311" s="86" t="s">
        <v>1932</v>
      </c>
      <c r="D1311" s="86" t="s">
        <v>1016</v>
      </c>
      <c r="E1311" s="96" t="s">
        <v>1034</v>
      </c>
      <c r="F1311" s="94" t="s">
        <v>1345</v>
      </c>
      <c r="G1311" s="102" t="s">
        <v>1249</v>
      </c>
      <c r="H1311" s="82"/>
    </row>
    <row r="1312" spans="1:8" ht="16" x14ac:dyDescent="0.2">
      <c r="A1312" s="85" t="s">
        <v>308</v>
      </c>
      <c r="B1312" s="89" t="s">
        <v>1585</v>
      </c>
      <c r="C1312" s="86" t="s">
        <v>1933</v>
      </c>
      <c r="D1312" s="86" t="s">
        <v>1026</v>
      </c>
      <c r="E1312" s="90" t="s">
        <v>117</v>
      </c>
      <c r="F1312" s="88" t="s">
        <v>1855</v>
      </c>
      <c r="G1312" s="87" t="s">
        <v>573</v>
      </c>
      <c r="H1312" s="82"/>
    </row>
    <row r="1313" spans="1:8" ht="16" x14ac:dyDescent="0.2">
      <c r="A1313" s="85" t="s">
        <v>308</v>
      </c>
      <c r="B1313" s="89" t="s">
        <v>1585</v>
      </c>
      <c r="C1313" s="86" t="s">
        <v>1933</v>
      </c>
      <c r="D1313" s="86" t="s">
        <v>1026</v>
      </c>
      <c r="E1313" s="90" t="s">
        <v>133</v>
      </c>
      <c r="F1313" s="88" t="s">
        <v>1855</v>
      </c>
      <c r="G1313" s="87" t="s">
        <v>573</v>
      </c>
      <c r="H1313" s="82"/>
    </row>
    <row r="1314" spans="1:8" ht="16" x14ac:dyDescent="0.2">
      <c r="A1314" s="85" t="s">
        <v>308</v>
      </c>
      <c r="B1314" s="89" t="s">
        <v>1585</v>
      </c>
      <c r="C1314" s="86" t="s">
        <v>1933</v>
      </c>
      <c r="D1314" s="86" t="s">
        <v>1026</v>
      </c>
      <c r="E1314" s="90" t="s">
        <v>140</v>
      </c>
      <c r="F1314" s="88" t="s">
        <v>1855</v>
      </c>
      <c r="G1314" s="87" t="s">
        <v>573</v>
      </c>
      <c r="H1314" s="82"/>
    </row>
    <row r="1315" spans="1:8" ht="16" x14ac:dyDescent="0.2">
      <c r="A1315" s="85" t="s">
        <v>308</v>
      </c>
      <c r="B1315" s="89" t="s">
        <v>1585</v>
      </c>
      <c r="C1315" s="86" t="s">
        <v>1933</v>
      </c>
      <c r="D1315" s="86" t="s">
        <v>1026</v>
      </c>
      <c r="E1315" s="90" t="s">
        <v>117</v>
      </c>
      <c r="F1315" s="88" t="s">
        <v>1856</v>
      </c>
      <c r="G1315" s="87" t="s">
        <v>573</v>
      </c>
      <c r="H1315" s="82"/>
    </row>
    <row r="1316" spans="1:8" ht="16" x14ac:dyDescent="0.2">
      <c r="A1316" s="85" t="s">
        <v>308</v>
      </c>
      <c r="B1316" s="89" t="s">
        <v>1585</v>
      </c>
      <c r="C1316" s="86" t="s">
        <v>1933</v>
      </c>
      <c r="D1316" s="86" t="s">
        <v>1026</v>
      </c>
      <c r="E1316" s="90" t="s">
        <v>133</v>
      </c>
      <c r="F1316" s="88" t="s">
        <v>1856</v>
      </c>
      <c r="G1316" s="87" t="s">
        <v>573</v>
      </c>
      <c r="H1316" s="82"/>
    </row>
    <row r="1317" spans="1:8" ht="16" x14ac:dyDescent="0.2">
      <c r="A1317" s="85" t="s">
        <v>308</v>
      </c>
      <c r="B1317" s="89" t="s">
        <v>1585</v>
      </c>
      <c r="C1317" s="86" t="s">
        <v>1933</v>
      </c>
      <c r="D1317" s="86" t="s">
        <v>1026</v>
      </c>
      <c r="E1317" s="90" t="s">
        <v>140</v>
      </c>
      <c r="F1317" s="88" t="s">
        <v>1856</v>
      </c>
      <c r="G1317" s="87" t="s">
        <v>573</v>
      </c>
      <c r="H1317" s="82"/>
    </row>
    <row r="1318" spans="1:8" ht="16" x14ac:dyDescent="0.2">
      <c r="A1318" s="85" t="s">
        <v>308</v>
      </c>
      <c r="B1318" s="89" t="s">
        <v>1585</v>
      </c>
      <c r="C1318" s="86" t="s">
        <v>1933</v>
      </c>
      <c r="D1318" s="86" t="s">
        <v>1026</v>
      </c>
      <c r="E1318" s="90" t="s">
        <v>126</v>
      </c>
      <c r="F1318" s="88" t="s">
        <v>1856</v>
      </c>
      <c r="G1318" s="87" t="s">
        <v>573</v>
      </c>
      <c r="H1318" s="82"/>
    </row>
    <row r="1319" spans="1:8" ht="16" x14ac:dyDescent="0.2">
      <c r="A1319" s="85" t="s">
        <v>308</v>
      </c>
      <c r="B1319" s="89" t="s">
        <v>1585</v>
      </c>
      <c r="C1319" s="86" t="s">
        <v>1933</v>
      </c>
      <c r="D1319" s="86" t="s">
        <v>1026</v>
      </c>
      <c r="E1319" s="90" t="s">
        <v>117</v>
      </c>
      <c r="F1319" s="88" t="s">
        <v>1859</v>
      </c>
      <c r="G1319" s="87" t="s">
        <v>1130</v>
      </c>
      <c r="H1319" s="82"/>
    </row>
    <row r="1320" spans="1:8" ht="16" x14ac:dyDescent="0.2">
      <c r="A1320" s="85" t="s">
        <v>308</v>
      </c>
      <c r="B1320" s="89" t="s">
        <v>1585</v>
      </c>
      <c r="C1320" s="86" t="s">
        <v>1933</v>
      </c>
      <c r="D1320" s="86" t="s">
        <v>1026</v>
      </c>
      <c r="E1320" s="90" t="s">
        <v>133</v>
      </c>
      <c r="F1320" s="88" t="s">
        <v>1859</v>
      </c>
      <c r="G1320" s="87" t="s">
        <v>1130</v>
      </c>
      <c r="H1320" s="82"/>
    </row>
    <row r="1321" spans="1:8" ht="16" x14ac:dyDescent="0.2">
      <c r="A1321" s="85" t="s">
        <v>308</v>
      </c>
      <c r="B1321" s="89" t="s">
        <v>1585</v>
      </c>
      <c r="C1321" s="86" t="s">
        <v>1933</v>
      </c>
      <c r="D1321" s="86" t="s">
        <v>1026</v>
      </c>
      <c r="E1321" s="90" t="s">
        <v>140</v>
      </c>
      <c r="F1321" s="88" t="s">
        <v>1859</v>
      </c>
      <c r="G1321" s="87" t="s">
        <v>1130</v>
      </c>
      <c r="H1321" s="82"/>
    </row>
    <row r="1322" spans="1:8" ht="16" x14ac:dyDescent="0.2">
      <c r="A1322" s="85" t="s">
        <v>308</v>
      </c>
      <c r="B1322" s="89" t="s">
        <v>1585</v>
      </c>
      <c r="C1322" s="86" t="s">
        <v>1933</v>
      </c>
      <c r="D1322" s="86" t="s">
        <v>1026</v>
      </c>
      <c r="E1322" s="90" t="s">
        <v>117</v>
      </c>
      <c r="F1322" s="88" t="s">
        <v>1860</v>
      </c>
      <c r="G1322" s="87" t="s">
        <v>1130</v>
      </c>
      <c r="H1322" s="82"/>
    </row>
    <row r="1323" spans="1:8" ht="16" x14ac:dyDescent="0.2">
      <c r="A1323" s="85" t="s">
        <v>308</v>
      </c>
      <c r="B1323" s="89" t="s">
        <v>1585</v>
      </c>
      <c r="C1323" s="86" t="s">
        <v>1933</v>
      </c>
      <c r="D1323" s="86" t="s">
        <v>1026</v>
      </c>
      <c r="E1323" s="90" t="s">
        <v>133</v>
      </c>
      <c r="F1323" s="88" t="s">
        <v>1860</v>
      </c>
      <c r="G1323" s="87" t="s">
        <v>1130</v>
      </c>
      <c r="H1323" s="82"/>
    </row>
    <row r="1324" spans="1:8" ht="16" x14ac:dyDescent="0.2">
      <c r="A1324" s="85" t="s">
        <v>308</v>
      </c>
      <c r="B1324" s="89" t="s">
        <v>1585</v>
      </c>
      <c r="C1324" s="86" t="s">
        <v>1933</v>
      </c>
      <c r="D1324" s="86" t="s">
        <v>1026</v>
      </c>
      <c r="E1324" s="90" t="s">
        <v>140</v>
      </c>
      <c r="F1324" s="88" t="s">
        <v>1860</v>
      </c>
      <c r="G1324" s="87" t="s">
        <v>1130</v>
      </c>
      <c r="H1324" s="82"/>
    </row>
    <row r="1325" spans="1:8" ht="16" x14ac:dyDescent="0.2">
      <c r="A1325" s="85" t="s">
        <v>308</v>
      </c>
      <c r="B1325" s="89" t="s">
        <v>1585</v>
      </c>
      <c r="C1325" s="86" t="s">
        <v>1933</v>
      </c>
      <c r="D1325" s="86" t="s">
        <v>1026</v>
      </c>
      <c r="E1325" s="90" t="s">
        <v>117</v>
      </c>
      <c r="F1325" s="88" t="s">
        <v>308</v>
      </c>
      <c r="G1325" s="87" t="s">
        <v>1317</v>
      </c>
      <c r="H1325" s="82"/>
    </row>
    <row r="1326" spans="1:8" ht="16" x14ac:dyDescent="0.2">
      <c r="A1326" s="85" t="s">
        <v>308</v>
      </c>
      <c r="B1326" s="89" t="s">
        <v>1585</v>
      </c>
      <c r="C1326" s="86" t="s">
        <v>1933</v>
      </c>
      <c r="D1326" s="86" t="s">
        <v>1026</v>
      </c>
      <c r="E1326" s="90" t="s">
        <v>133</v>
      </c>
      <c r="F1326" s="88" t="s">
        <v>308</v>
      </c>
      <c r="G1326" s="87" t="s">
        <v>1317</v>
      </c>
      <c r="H1326" s="82"/>
    </row>
    <row r="1327" spans="1:8" ht="16" x14ac:dyDescent="0.2">
      <c r="A1327" s="85" t="s">
        <v>308</v>
      </c>
      <c r="B1327" s="89" t="s">
        <v>1585</v>
      </c>
      <c r="C1327" s="86" t="s">
        <v>1933</v>
      </c>
      <c r="D1327" s="86" t="s">
        <v>1026</v>
      </c>
      <c r="E1327" s="90" t="s">
        <v>158</v>
      </c>
      <c r="F1327" s="88" t="s">
        <v>308</v>
      </c>
      <c r="G1327" s="87" t="s">
        <v>1317</v>
      </c>
      <c r="H1327" s="82"/>
    </row>
    <row r="1328" spans="1:8" ht="16" x14ac:dyDescent="0.2">
      <c r="A1328" s="85" t="s">
        <v>308</v>
      </c>
      <c r="B1328" s="89" t="s">
        <v>1585</v>
      </c>
      <c r="C1328" s="86" t="s">
        <v>1933</v>
      </c>
      <c r="D1328" s="86" t="s">
        <v>1026</v>
      </c>
      <c r="E1328" s="90" t="s">
        <v>117</v>
      </c>
      <c r="F1328" s="88" t="s">
        <v>313</v>
      </c>
      <c r="G1328" s="87" t="s">
        <v>1317</v>
      </c>
      <c r="H1328" s="82"/>
    </row>
    <row r="1329" spans="1:8" ht="16" x14ac:dyDescent="0.2">
      <c r="A1329" s="85" t="s">
        <v>308</v>
      </c>
      <c r="B1329" s="89" t="s">
        <v>1585</v>
      </c>
      <c r="C1329" s="86" t="s">
        <v>1933</v>
      </c>
      <c r="D1329" s="86" t="s">
        <v>1026</v>
      </c>
      <c r="E1329" s="90" t="s">
        <v>133</v>
      </c>
      <c r="F1329" s="88" t="s">
        <v>313</v>
      </c>
      <c r="G1329" s="87" t="s">
        <v>1317</v>
      </c>
      <c r="H1329" s="82"/>
    </row>
    <row r="1330" spans="1:8" ht="16" x14ac:dyDescent="0.2">
      <c r="A1330" s="85" t="s">
        <v>308</v>
      </c>
      <c r="B1330" s="89" t="s">
        <v>1585</v>
      </c>
      <c r="C1330" s="86" t="s">
        <v>1933</v>
      </c>
      <c r="D1330" s="86" t="s">
        <v>1026</v>
      </c>
      <c r="E1330" s="90" t="s">
        <v>158</v>
      </c>
      <c r="F1330" s="88" t="s">
        <v>313</v>
      </c>
      <c r="G1330" s="87" t="s">
        <v>1317</v>
      </c>
      <c r="H1330" s="82"/>
    </row>
    <row r="1331" spans="1:8" ht="16" x14ac:dyDescent="0.2">
      <c r="A1331" s="85" t="s">
        <v>308</v>
      </c>
      <c r="B1331" s="89" t="s">
        <v>1585</v>
      </c>
      <c r="C1331" s="86" t="s">
        <v>1933</v>
      </c>
      <c r="D1331" s="86" t="s">
        <v>1026</v>
      </c>
      <c r="E1331" s="90" t="s">
        <v>117</v>
      </c>
      <c r="F1331" s="88" t="s">
        <v>1639</v>
      </c>
      <c r="G1331" s="87" t="s">
        <v>1317</v>
      </c>
      <c r="H1331" s="82"/>
    </row>
    <row r="1332" spans="1:8" ht="16" x14ac:dyDescent="0.2">
      <c r="A1332" s="85" t="s">
        <v>308</v>
      </c>
      <c r="B1332" s="89" t="s">
        <v>1585</v>
      </c>
      <c r="C1332" s="86" t="s">
        <v>1933</v>
      </c>
      <c r="D1332" s="86" t="s">
        <v>1026</v>
      </c>
      <c r="E1332" s="90" t="s">
        <v>133</v>
      </c>
      <c r="F1332" s="88" t="s">
        <v>1639</v>
      </c>
      <c r="G1332" s="87" t="s">
        <v>1317</v>
      </c>
      <c r="H1332" s="82"/>
    </row>
    <row r="1333" spans="1:8" ht="16" x14ac:dyDescent="0.2">
      <c r="A1333" s="85" t="s">
        <v>308</v>
      </c>
      <c r="B1333" s="89" t="s">
        <v>1585</v>
      </c>
      <c r="C1333" s="86" t="s">
        <v>1933</v>
      </c>
      <c r="D1333" s="86" t="s">
        <v>1026</v>
      </c>
      <c r="E1333" s="90" t="s">
        <v>158</v>
      </c>
      <c r="F1333" s="88" t="s">
        <v>1639</v>
      </c>
      <c r="G1333" s="87" t="s">
        <v>1317</v>
      </c>
      <c r="H1333" s="82"/>
    </row>
    <row r="1334" spans="1:8" ht="16" x14ac:dyDescent="0.2">
      <c r="A1334" s="85" t="s">
        <v>308</v>
      </c>
      <c r="B1334" s="89" t="s">
        <v>1585</v>
      </c>
      <c r="C1334" s="86" t="s">
        <v>1933</v>
      </c>
      <c r="D1334" s="86" t="s">
        <v>1026</v>
      </c>
      <c r="E1334" s="90" t="s">
        <v>117</v>
      </c>
      <c r="F1334" s="88" t="s">
        <v>1637</v>
      </c>
      <c r="G1334" s="87" t="s">
        <v>1317</v>
      </c>
      <c r="H1334" s="82"/>
    </row>
    <row r="1335" spans="1:8" ht="16" x14ac:dyDescent="0.2">
      <c r="A1335" s="85" t="s">
        <v>308</v>
      </c>
      <c r="B1335" s="89" t="s">
        <v>1585</v>
      </c>
      <c r="C1335" s="86" t="s">
        <v>1933</v>
      </c>
      <c r="D1335" s="86" t="s">
        <v>1026</v>
      </c>
      <c r="E1335" s="90" t="s">
        <v>133</v>
      </c>
      <c r="F1335" s="88" t="s">
        <v>1637</v>
      </c>
      <c r="G1335" s="87" t="s">
        <v>1317</v>
      </c>
      <c r="H1335" s="82"/>
    </row>
    <row r="1336" spans="1:8" ht="16" x14ac:dyDescent="0.2">
      <c r="A1336" s="85" t="s">
        <v>308</v>
      </c>
      <c r="B1336" s="89" t="s">
        <v>1585</v>
      </c>
      <c r="C1336" s="86" t="s">
        <v>1933</v>
      </c>
      <c r="D1336" s="86" t="s">
        <v>1026</v>
      </c>
      <c r="E1336" s="90" t="s">
        <v>158</v>
      </c>
      <c r="F1336" s="88" t="s">
        <v>1637</v>
      </c>
      <c r="G1336" s="87" t="s">
        <v>1317</v>
      </c>
      <c r="H1336" s="82"/>
    </row>
    <row r="1337" spans="1:8" ht="16" x14ac:dyDescent="0.2">
      <c r="A1337" s="85" t="s">
        <v>308</v>
      </c>
      <c r="B1337" s="89" t="s">
        <v>1585</v>
      </c>
      <c r="C1337" s="86" t="s">
        <v>1933</v>
      </c>
      <c r="D1337" s="86" t="s">
        <v>1026</v>
      </c>
      <c r="E1337" s="90" t="s">
        <v>117</v>
      </c>
      <c r="F1337" s="88" t="s">
        <v>1638</v>
      </c>
      <c r="G1337" s="87" t="s">
        <v>1317</v>
      </c>
      <c r="H1337" s="82"/>
    </row>
    <row r="1338" spans="1:8" ht="16" x14ac:dyDescent="0.2">
      <c r="A1338" s="85" t="s">
        <v>308</v>
      </c>
      <c r="B1338" s="89" t="s">
        <v>1585</v>
      </c>
      <c r="C1338" s="86" t="s">
        <v>1933</v>
      </c>
      <c r="D1338" s="86" t="s">
        <v>1026</v>
      </c>
      <c r="E1338" s="90" t="s">
        <v>133</v>
      </c>
      <c r="F1338" s="88" t="s">
        <v>1638</v>
      </c>
      <c r="G1338" s="87" t="s">
        <v>1317</v>
      </c>
      <c r="H1338" s="82"/>
    </row>
    <row r="1339" spans="1:8" ht="16" x14ac:dyDescent="0.2">
      <c r="A1339" s="85" t="s">
        <v>308</v>
      </c>
      <c r="B1339" s="89" t="s">
        <v>1585</v>
      </c>
      <c r="C1339" s="86" t="s">
        <v>1933</v>
      </c>
      <c r="D1339" s="86" t="s">
        <v>1026</v>
      </c>
      <c r="E1339" s="90" t="s">
        <v>158</v>
      </c>
      <c r="F1339" s="88" t="s">
        <v>1638</v>
      </c>
      <c r="G1339" s="87" t="s">
        <v>1317</v>
      </c>
      <c r="H1339" s="82"/>
    </row>
    <row r="1340" spans="1:8" ht="16" x14ac:dyDescent="0.2">
      <c r="A1340" s="85" t="s">
        <v>308</v>
      </c>
      <c r="B1340" s="89" t="s">
        <v>1585</v>
      </c>
      <c r="C1340" s="86" t="s">
        <v>1933</v>
      </c>
      <c r="D1340" s="86" t="s">
        <v>1026</v>
      </c>
      <c r="E1340" s="90" t="s">
        <v>117</v>
      </c>
      <c r="F1340" s="88" t="s">
        <v>1640</v>
      </c>
      <c r="G1340" s="87" t="s">
        <v>1315</v>
      </c>
      <c r="H1340" s="82"/>
    </row>
    <row r="1341" spans="1:8" ht="16" x14ac:dyDescent="0.2">
      <c r="A1341" s="85" t="s">
        <v>308</v>
      </c>
      <c r="B1341" s="89" t="s">
        <v>1585</v>
      </c>
      <c r="C1341" s="86" t="s">
        <v>1933</v>
      </c>
      <c r="D1341" s="86" t="s">
        <v>1026</v>
      </c>
      <c r="E1341" s="90" t="s">
        <v>133</v>
      </c>
      <c r="F1341" s="88" t="s">
        <v>1640</v>
      </c>
      <c r="G1341" s="87" t="s">
        <v>1315</v>
      </c>
      <c r="H1341" s="82"/>
    </row>
    <row r="1342" spans="1:8" ht="16" x14ac:dyDescent="0.2">
      <c r="A1342" s="85" t="s">
        <v>308</v>
      </c>
      <c r="B1342" s="89" t="s">
        <v>1585</v>
      </c>
      <c r="C1342" s="86" t="s">
        <v>1933</v>
      </c>
      <c r="D1342" s="86" t="s">
        <v>1026</v>
      </c>
      <c r="E1342" s="90" t="s">
        <v>158</v>
      </c>
      <c r="F1342" s="88" t="s">
        <v>1640</v>
      </c>
      <c r="G1342" s="87" t="s">
        <v>1315</v>
      </c>
      <c r="H1342" s="82"/>
    </row>
    <row r="1343" spans="1:8" ht="16" x14ac:dyDescent="0.2">
      <c r="A1343" s="85" t="s">
        <v>308</v>
      </c>
      <c r="B1343" s="89" t="s">
        <v>1585</v>
      </c>
      <c r="C1343" s="86" t="s">
        <v>1933</v>
      </c>
      <c r="D1343" s="86" t="s">
        <v>1026</v>
      </c>
      <c r="E1343" s="90" t="s">
        <v>117</v>
      </c>
      <c r="F1343" s="88" t="s">
        <v>1774</v>
      </c>
      <c r="G1343" s="87" t="s">
        <v>1315</v>
      </c>
      <c r="H1343" s="82"/>
    </row>
    <row r="1344" spans="1:8" ht="16" x14ac:dyDescent="0.2">
      <c r="A1344" s="85" t="s">
        <v>308</v>
      </c>
      <c r="B1344" s="89" t="s">
        <v>1585</v>
      </c>
      <c r="C1344" s="86" t="s">
        <v>1933</v>
      </c>
      <c r="D1344" s="86" t="s">
        <v>1026</v>
      </c>
      <c r="E1344" s="90" t="s">
        <v>133</v>
      </c>
      <c r="F1344" s="88" t="s">
        <v>1774</v>
      </c>
      <c r="G1344" s="87" t="s">
        <v>1315</v>
      </c>
      <c r="H1344" s="82"/>
    </row>
    <row r="1345" spans="1:8" ht="16" x14ac:dyDescent="0.2">
      <c r="A1345" s="85" t="s">
        <v>308</v>
      </c>
      <c r="B1345" s="89" t="s">
        <v>1585</v>
      </c>
      <c r="C1345" s="86" t="s">
        <v>1933</v>
      </c>
      <c r="D1345" s="86" t="s">
        <v>1026</v>
      </c>
      <c r="E1345" s="90" t="s">
        <v>158</v>
      </c>
      <c r="F1345" s="88" t="s">
        <v>1774</v>
      </c>
      <c r="G1345" s="87" t="s">
        <v>1315</v>
      </c>
      <c r="H1345" s="82"/>
    </row>
    <row r="1346" spans="1:8" ht="16" x14ac:dyDescent="0.2">
      <c r="A1346" s="85" t="s">
        <v>308</v>
      </c>
      <c r="B1346" s="89" t="s">
        <v>1585</v>
      </c>
      <c r="C1346" s="86" t="s">
        <v>1933</v>
      </c>
      <c r="D1346" s="86" t="s">
        <v>1026</v>
      </c>
      <c r="E1346" s="90" t="s">
        <v>117</v>
      </c>
      <c r="F1346" s="88" t="s">
        <v>1717</v>
      </c>
      <c r="G1346" s="87" t="s">
        <v>1315</v>
      </c>
      <c r="H1346" s="82"/>
    </row>
    <row r="1347" spans="1:8" ht="16" x14ac:dyDescent="0.2">
      <c r="A1347" s="85" t="s">
        <v>308</v>
      </c>
      <c r="B1347" s="89" t="s">
        <v>1585</v>
      </c>
      <c r="C1347" s="86" t="s">
        <v>1933</v>
      </c>
      <c r="D1347" s="86" t="s">
        <v>1026</v>
      </c>
      <c r="E1347" s="90" t="s">
        <v>133</v>
      </c>
      <c r="F1347" s="88" t="s">
        <v>1717</v>
      </c>
      <c r="G1347" s="87" t="s">
        <v>1315</v>
      </c>
      <c r="H1347" s="82"/>
    </row>
    <row r="1348" spans="1:8" ht="16" x14ac:dyDescent="0.2">
      <c r="A1348" s="85" t="s">
        <v>308</v>
      </c>
      <c r="B1348" s="89" t="s">
        <v>1585</v>
      </c>
      <c r="C1348" s="86" t="s">
        <v>1933</v>
      </c>
      <c r="D1348" s="86" t="s">
        <v>1026</v>
      </c>
      <c r="E1348" s="90" t="s">
        <v>158</v>
      </c>
      <c r="F1348" s="88" t="s">
        <v>1717</v>
      </c>
      <c r="G1348" s="87" t="s">
        <v>1315</v>
      </c>
      <c r="H1348" s="82"/>
    </row>
    <row r="1349" spans="1:8" ht="16" x14ac:dyDescent="0.2">
      <c r="A1349" s="85" t="s">
        <v>308</v>
      </c>
      <c r="B1349" s="89" t="s">
        <v>1585</v>
      </c>
      <c r="C1349" s="86" t="s">
        <v>1933</v>
      </c>
      <c r="D1349" s="86" t="s">
        <v>1026</v>
      </c>
      <c r="E1349" s="90" t="s">
        <v>117</v>
      </c>
      <c r="F1349" s="88" t="s">
        <v>1641</v>
      </c>
      <c r="G1349" s="87" t="s">
        <v>1315</v>
      </c>
      <c r="H1349" s="82"/>
    </row>
    <row r="1350" spans="1:8" ht="16" x14ac:dyDescent="0.2">
      <c r="A1350" s="85" t="s">
        <v>308</v>
      </c>
      <c r="B1350" s="89" t="s">
        <v>1585</v>
      </c>
      <c r="C1350" s="86" t="s">
        <v>1933</v>
      </c>
      <c r="D1350" s="86" t="s">
        <v>1026</v>
      </c>
      <c r="E1350" s="90" t="s">
        <v>133</v>
      </c>
      <c r="F1350" s="88" t="s">
        <v>1641</v>
      </c>
      <c r="G1350" s="87" t="s">
        <v>1315</v>
      </c>
      <c r="H1350" s="82"/>
    </row>
    <row r="1351" spans="1:8" ht="16" x14ac:dyDescent="0.2">
      <c r="A1351" s="85" t="s">
        <v>308</v>
      </c>
      <c r="B1351" s="89" t="s">
        <v>1585</v>
      </c>
      <c r="C1351" s="86" t="s">
        <v>1933</v>
      </c>
      <c r="D1351" s="86" t="s">
        <v>1026</v>
      </c>
      <c r="E1351" s="90" t="s">
        <v>158</v>
      </c>
      <c r="F1351" s="88" t="s">
        <v>1641</v>
      </c>
      <c r="G1351" s="87" t="s">
        <v>1315</v>
      </c>
      <c r="H1351" s="82"/>
    </row>
    <row r="1352" spans="1:8" ht="16" x14ac:dyDescent="0.2">
      <c r="A1352" s="85" t="s">
        <v>308</v>
      </c>
      <c r="B1352" s="89" t="s">
        <v>1585</v>
      </c>
      <c r="C1352" s="86" t="s">
        <v>1933</v>
      </c>
      <c r="D1352" s="86" t="s">
        <v>1026</v>
      </c>
      <c r="E1352" s="90" t="s">
        <v>117</v>
      </c>
      <c r="F1352" s="88" t="s">
        <v>1934</v>
      </c>
      <c r="G1352" s="87" t="s">
        <v>1315</v>
      </c>
      <c r="H1352" s="82"/>
    </row>
    <row r="1353" spans="1:8" ht="16" x14ac:dyDescent="0.2">
      <c r="A1353" s="85" t="s">
        <v>308</v>
      </c>
      <c r="B1353" s="89" t="s">
        <v>1585</v>
      </c>
      <c r="C1353" s="86" t="s">
        <v>1933</v>
      </c>
      <c r="D1353" s="86" t="s">
        <v>1026</v>
      </c>
      <c r="E1353" s="90" t="s">
        <v>133</v>
      </c>
      <c r="F1353" s="88" t="s">
        <v>1934</v>
      </c>
      <c r="G1353" s="87" t="s">
        <v>1315</v>
      </c>
      <c r="H1353" s="82"/>
    </row>
    <row r="1354" spans="1:8" ht="16" x14ac:dyDescent="0.2">
      <c r="A1354" s="85" t="s">
        <v>308</v>
      </c>
      <c r="B1354" s="89" t="s">
        <v>1585</v>
      </c>
      <c r="C1354" s="86" t="s">
        <v>1933</v>
      </c>
      <c r="D1354" s="86" t="s">
        <v>1026</v>
      </c>
      <c r="E1354" s="90" t="s">
        <v>158</v>
      </c>
      <c r="F1354" s="88" t="s">
        <v>1934</v>
      </c>
      <c r="G1354" s="87" t="s">
        <v>1315</v>
      </c>
      <c r="H1354" s="82"/>
    </row>
    <row r="1355" spans="1:8" x14ac:dyDescent="0.2">
      <c r="A1355" s="85" t="s">
        <v>308</v>
      </c>
      <c r="B1355" s="89" t="s">
        <v>1585</v>
      </c>
      <c r="C1355" s="86" t="s">
        <v>1933</v>
      </c>
      <c r="D1355" s="86" t="s">
        <v>1026</v>
      </c>
      <c r="E1355" s="90" t="s">
        <v>140</v>
      </c>
      <c r="F1355" s="88" t="s">
        <v>308</v>
      </c>
      <c r="G1355" s="88" t="s">
        <v>1318</v>
      </c>
      <c r="H1355" s="82"/>
    </row>
    <row r="1356" spans="1:8" x14ac:dyDescent="0.2">
      <c r="A1356" s="85" t="s">
        <v>308</v>
      </c>
      <c r="B1356" s="89" t="s">
        <v>1585</v>
      </c>
      <c r="C1356" s="86" t="s">
        <v>1933</v>
      </c>
      <c r="D1356" s="86" t="s">
        <v>1026</v>
      </c>
      <c r="E1356" s="90" t="s">
        <v>1034</v>
      </c>
      <c r="F1356" s="88" t="s">
        <v>308</v>
      </c>
      <c r="G1356" s="88" t="s">
        <v>1318</v>
      </c>
      <c r="H1356" s="82"/>
    </row>
    <row r="1357" spans="1:8" x14ac:dyDescent="0.2">
      <c r="A1357" s="85" t="s">
        <v>308</v>
      </c>
      <c r="B1357" s="89" t="s">
        <v>1585</v>
      </c>
      <c r="C1357" s="86" t="s">
        <v>1933</v>
      </c>
      <c r="D1357" s="86" t="s">
        <v>1026</v>
      </c>
      <c r="E1357" s="90" t="s">
        <v>140</v>
      </c>
      <c r="F1357" s="88" t="s">
        <v>313</v>
      </c>
      <c r="G1357" s="88" t="s">
        <v>1318</v>
      </c>
      <c r="H1357" s="82"/>
    </row>
    <row r="1358" spans="1:8" x14ac:dyDescent="0.2">
      <c r="A1358" s="85" t="s">
        <v>308</v>
      </c>
      <c r="B1358" s="89" t="s">
        <v>1585</v>
      </c>
      <c r="C1358" s="86" t="s">
        <v>1933</v>
      </c>
      <c r="D1358" s="86" t="s">
        <v>1026</v>
      </c>
      <c r="E1358" s="90" t="s">
        <v>1034</v>
      </c>
      <c r="F1358" s="88" t="s">
        <v>313</v>
      </c>
      <c r="G1358" s="88" t="s">
        <v>1318</v>
      </c>
      <c r="H1358" s="82"/>
    </row>
    <row r="1359" spans="1:8" x14ac:dyDescent="0.2">
      <c r="A1359" s="85" t="s">
        <v>308</v>
      </c>
      <c r="B1359" s="89" t="s">
        <v>1585</v>
      </c>
      <c r="C1359" s="86" t="s">
        <v>1933</v>
      </c>
      <c r="D1359" s="86" t="s">
        <v>1026</v>
      </c>
      <c r="E1359" s="90" t="s">
        <v>140</v>
      </c>
      <c r="F1359" s="88" t="s">
        <v>1639</v>
      </c>
      <c r="G1359" s="88" t="s">
        <v>1318</v>
      </c>
      <c r="H1359" s="82"/>
    </row>
    <row r="1360" spans="1:8" x14ac:dyDescent="0.2">
      <c r="A1360" s="85" t="s">
        <v>308</v>
      </c>
      <c r="B1360" s="89" t="s">
        <v>1585</v>
      </c>
      <c r="C1360" s="86" t="s">
        <v>1933</v>
      </c>
      <c r="D1360" s="86" t="s">
        <v>1026</v>
      </c>
      <c r="E1360" s="90" t="s">
        <v>1034</v>
      </c>
      <c r="F1360" s="88" t="s">
        <v>1639</v>
      </c>
      <c r="G1360" s="88" t="s">
        <v>1318</v>
      </c>
      <c r="H1360" s="82"/>
    </row>
    <row r="1361" spans="1:8" x14ac:dyDescent="0.2">
      <c r="A1361" s="85" t="s">
        <v>308</v>
      </c>
      <c r="B1361" s="89" t="s">
        <v>1585</v>
      </c>
      <c r="C1361" s="86" t="s">
        <v>1933</v>
      </c>
      <c r="D1361" s="86" t="s">
        <v>1026</v>
      </c>
      <c r="E1361" s="90" t="s">
        <v>140</v>
      </c>
      <c r="F1361" s="88" t="s">
        <v>1637</v>
      </c>
      <c r="G1361" s="88" t="s">
        <v>1318</v>
      </c>
      <c r="H1361" s="82"/>
    </row>
    <row r="1362" spans="1:8" x14ac:dyDescent="0.2">
      <c r="A1362" s="85" t="s">
        <v>308</v>
      </c>
      <c r="B1362" s="89" t="s">
        <v>1585</v>
      </c>
      <c r="C1362" s="86" t="s">
        <v>1933</v>
      </c>
      <c r="D1362" s="86" t="s">
        <v>1026</v>
      </c>
      <c r="E1362" s="90" t="s">
        <v>1034</v>
      </c>
      <c r="F1362" s="88" t="s">
        <v>1637</v>
      </c>
      <c r="G1362" s="88" t="s">
        <v>1318</v>
      </c>
      <c r="H1362" s="82"/>
    </row>
    <row r="1363" spans="1:8" x14ac:dyDescent="0.2">
      <c r="A1363" s="85" t="s">
        <v>308</v>
      </c>
      <c r="B1363" s="89" t="s">
        <v>1585</v>
      </c>
      <c r="C1363" s="86" t="s">
        <v>1933</v>
      </c>
      <c r="D1363" s="86" t="s">
        <v>1026</v>
      </c>
      <c r="E1363" s="90" t="s">
        <v>140</v>
      </c>
      <c r="F1363" s="88" t="s">
        <v>1638</v>
      </c>
      <c r="G1363" s="88" t="s">
        <v>1318</v>
      </c>
      <c r="H1363" s="82"/>
    </row>
    <row r="1364" spans="1:8" x14ac:dyDescent="0.2">
      <c r="A1364" s="85" t="s">
        <v>308</v>
      </c>
      <c r="B1364" s="89" t="s">
        <v>1585</v>
      </c>
      <c r="C1364" s="86" t="s">
        <v>1933</v>
      </c>
      <c r="D1364" s="86" t="s">
        <v>1026</v>
      </c>
      <c r="E1364" s="90" t="s">
        <v>1034</v>
      </c>
      <c r="F1364" s="88" t="s">
        <v>1638</v>
      </c>
      <c r="G1364" s="88" t="s">
        <v>1318</v>
      </c>
      <c r="H1364" s="82"/>
    </row>
    <row r="1365" spans="1:8" x14ac:dyDescent="0.2">
      <c r="A1365" s="85" t="s">
        <v>308</v>
      </c>
      <c r="B1365" s="89" t="s">
        <v>1585</v>
      </c>
      <c r="C1365" s="86" t="s">
        <v>1933</v>
      </c>
      <c r="D1365" s="86" t="s">
        <v>1026</v>
      </c>
      <c r="E1365" s="90" t="s">
        <v>140</v>
      </c>
      <c r="F1365" s="88" t="s">
        <v>1640</v>
      </c>
      <c r="G1365" s="88" t="s">
        <v>1316</v>
      </c>
      <c r="H1365" s="82"/>
    </row>
    <row r="1366" spans="1:8" x14ac:dyDescent="0.2">
      <c r="A1366" s="85" t="s">
        <v>308</v>
      </c>
      <c r="B1366" s="89" t="s">
        <v>1585</v>
      </c>
      <c r="C1366" s="86" t="s">
        <v>1933</v>
      </c>
      <c r="D1366" s="86" t="s">
        <v>1026</v>
      </c>
      <c r="E1366" s="90" t="s">
        <v>1034</v>
      </c>
      <c r="F1366" s="88" t="s">
        <v>1640</v>
      </c>
      <c r="G1366" s="88" t="s">
        <v>1316</v>
      </c>
      <c r="H1366" s="82"/>
    </row>
    <row r="1367" spans="1:8" x14ac:dyDescent="0.2">
      <c r="A1367" s="85" t="s">
        <v>308</v>
      </c>
      <c r="B1367" s="89" t="s">
        <v>1585</v>
      </c>
      <c r="C1367" s="86" t="s">
        <v>1933</v>
      </c>
      <c r="D1367" s="86" t="s">
        <v>1026</v>
      </c>
      <c r="E1367" s="90" t="s">
        <v>140</v>
      </c>
      <c r="F1367" s="88" t="s">
        <v>1774</v>
      </c>
      <c r="G1367" s="88" t="s">
        <v>1316</v>
      </c>
      <c r="H1367" s="82"/>
    </row>
    <row r="1368" spans="1:8" x14ac:dyDescent="0.2">
      <c r="A1368" s="85" t="s">
        <v>308</v>
      </c>
      <c r="B1368" s="89" t="s">
        <v>1585</v>
      </c>
      <c r="C1368" s="86" t="s">
        <v>1933</v>
      </c>
      <c r="D1368" s="86" t="s">
        <v>1026</v>
      </c>
      <c r="E1368" s="90" t="s">
        <v>1034</v>
      </c>
      <c r="F1368" s="88" t="s">
        <v>1774</v>
      </c>
      <c r="G1368" s="88" t="s">
        <v>1316</v>
      </c>
      <c r="H1368" s="82"/>
    </row>
    <row r="1369" spans="1:8" x14ac:dyDescent="0.2">
      <c r="A1369" s="85" t="s">
        <v>308</v>
      </c>
      <c r="B1369" s="89" t="s">
        <v>1585</v>
      </c>
      <c r="C1369" s="86" t="s">
        <v>1933</v>
      </c>
      <c r="D1369" s="86" t="s">
        <v>1026</v>
      </c>
      <c r="E1369" s="90" t="s">
        <v>140</v>
      </c>
      <c r="F1369" s="88" t="s">
        <v>1717</v>
      </c>
      <c r="G1369" s="88" t="s">
        <v>1316</v>
      </c>
      <c r="H1369" s="82"/>
    </row>
    <row r="1370" spans="1:8" x14ac:dyDescent="0.2">
      <c r="A1370" s="85" t="s">
        <v>308</v>
      </c>
      <c r="B1370" s="89" t="s">
        <v>1585</v>
      </c>
      <c r="C1370" s="86" t="s">
        <v>1933</v>
      </c>
      <c r="D1370" s="86" t="s">
        <v>1026</v>
      </c>
      <c r="E1370" s="90" t="s">
        <v>1034</v>
      </c>
      <c r="F1370" s="88" t="s">
        <v>1717</v>
      </c>
      <c r="G1370" s="88" t="s">
        <v>1316</v>
      </c>
      <c r="H1370" s="82"/>
    </row>
    <row r="1371" spans="1:8" x14ac:dyDescent="0.2">
      <c r="A1371" s="85" t="s">
        <v>308</v>
      </c>
      <c r="B1371" s="89" t="s">
        <v>1585</v>
      </c>
      <c r="C1371" s="86" t="s">
        <v>1933</v>
      </c>
      <c r="D1371" s="86" t="s">
        <v>1026</v>
      </c>
      <c r="E1371" s="90" t="s">
        <v>140</v>
      </c>
      <c r="F1371" s="88" t="s">
        <v>1641</v>
      </c>
      <c r="G1371" s="88" t="s">
        <v>1316</v>
      </c>
      <c r="H1371" s="82"/>
    </row>
    <row r="1372" spans="1:8" x14ac:dyDescent="0.2">
      <c r="A1372" s="85" t="s">
        <v>308</v>
      </c>
      <c r="B1372" s="89" t="s">
        <v>1585</v>
      </c>
      <c r="C1372" s="86" t="s">
        <v>1933</v>
      </c>
      <c r="D1372" s="86" t="s">
        <v>1026</v>
      </c>
      <c r="E1372" s="90" t="s">
        <v>1034</v>
      </c>
      <c r="F1372" s="88" t="s">
        <v>1641</v>
      </c>
      <c r="G1372" s="88" t="s">
        <v>1316</v>
      </c>
      <c r="H1372" s="82"/>
    </row>
    <row r="1373" spans="1:8" x14ac:dyDescent="0.2">
      <c r="A1373" s="85" t="s">
        <v>308</v>
      </c>
      <c r="B1373" s="89" t="s">
        <v>1585</v>
      </c>
      <c r="C1373" s="86" t="s">
        <v>1933</v>
      </c>
      <c r="D1373" s="86" t="s">
        <v>1026</v>
      </c>
      <c r="E1373" s="90" t="s">
        <v>140</v>
      </c>
      <c r="F1373" s="88" t="s">
        <v>1934</v>
      </c>
      <c r="G1373" s="88" t="s">
        <v>1316</v>
      </c>
      <c r="H1373" s="82"/>
    </row>
    <row r="1374" spans="1:8" x14ac:dyDescent="0.2">
      <c r="A1374" s="85" t="s">
        <v>308</v>
      </c>
      <c r="B1374" s="89" t="s">
        <v>1585</v>
      </c>
      <c r="C1374" s="86" t="s">
        <v>1933</v>
      </c>
      <c r="D1374" s="86" t="s">
        <v>1026</v>
      </c>
      <c r="E1374" s="90" t="s">
        <v>1034</v>
      </c>
      <c r="F1374" s="88" t="s">
        <v>1934</v>
      </c>
      <c r="G1374" s="88" t="s">
        <v>1316</v>
      </c>
      <c r="H1374" s="82"/>
    </row>
    <row r="1375" spans="1:8" ht="16" x14ac:dyDescent="0.2">
      <c r="A1375" s="85" t="s">
        <v>308</v>
      </c>
      <c r="B1375" s="97" t="s">
        <v>1935</v>
      </c>
      <c r="C1375" s="86" t="s">
        <v>1933</v>
      </c>
      <c r="D1375" s="86" t="s">
        <v>1026</v>
      </c>
      <c r="E1375" s="90" t="s">
        <v>117</v>
      </c>
      <c r="F1375" s="88" t="s">
        <v>1867</v>
      </c>
      <c r="G1375" s="87" t="s">
        <v>653</v>
      </c>
      <c r="H1375" s="82"/>
    </row>
    <row r="1376" spans="1:8" ht="16" x14ac:dyDescent="0.2">
      <c r="A1376" s="85" t="s">
        <v>308</v>
      </c>
      <c r="B1376" s="97" t="s">
        <v>1935</v>
      </c>
      <c r="C1376" s="86" t="s">
        <v>1933</v>
      </c>
      <c r="D1376" s="86" t="s">
        <v>1026</v>
      </c>
      <c r="E1376" s="90" t="s">
        <v>117</v>
      </c>
      <c r="F1376" s="88" t="s">
        <v>308</v>
      </c>
      <c r="G1376" s="87" t="s">
        <v>653</v>
      </c>
      <c r="H1376" s="82"/>
    </row>
    <row r="1377" spans="1:8" ht="16" x14ac:dyDescent="0.2">
      <c r="A1377" s="85" t="s">
        <v>308</v>
      </c>
      <c r="B1377" s="97" t="s">
        <v>1935</v>
      </c>
      <c r="C1377" s="86" t="s">
        <v>1933</v>
      </c>
      <c r="D1377" s="86" t="s">
        <v>1026</v>
      </c>
      <c r="E1377" s="90" t="s">
        <v>117</v>
      </c>
      <c r="F1377" s="88" t="s">
        <v>1639</v>
      </c>
      <c r="G1377" s="87" t="s">
        <v>653</v>
      </c>
      <c r="H1377" s="82"/>
    </row>
    <row r="1378" spans="1:8" ht="16" x14ac:dyDescent="0.2">
      <c r="A1378" s="85" t="s">
        <v>308</v>
      </c>
      <c r="B1378" s="97" t="s">
        <v>1935</v>
      </c>
      <c r="C1378" s="86" t="s">
        <v>1933</v>
      </c>
      <c r="D1378" s="86" t="s">
        <v>1026</v>
      </c>
      <c r="E1378" s="90" t="s">
        <v>117</v>
      </c>
      <c r="F1378" s="88" t="s">
        <v>1637</v>
      </c>
      <c r="G1378" s="87" t="s">
        <v>653</v>
      </c>
      <c r="H1378" s="82"/>
    </row>
    <row r="1379" spans="1:8" ht="16" x14ac:dyDescent="0.2">
      <c r="A1379" s="85" t="s">
        <v>308</v>
      </c>
      <c r="B1379" s="97" t="s">
        <v>1935</v>
      </c>
      <c r="C1379" s="86" t="s">
        <v>1933</v>
      </c>
      <c r="D1379" s="86" t="s">
        <v>1026</v>
      </c>
      <c r="E1379" s="90" t="s">
        <v>117</v>
      </c>
      <c r="F1379" s="88" t="s">
        <v>1638</v>
      </c>
      <c r="G1379" s="87" t="s">
        <v>653</v>
      </c>
      <c r="H1379" s="82"/>
    </row>
    <row r="1380" spans="1:8" x14ac:dyDescent="0.2">
      <c r="A1380" s="85" t="s">
        <v>308</v>
      </c>
      <c r="B1380" s="89" t="s">
        <v>1585</v>
      </c>
      <c r="C1380" s="86" t="s">
        <v>1933</v>
      </c>
      <c r="D1380" s="86" t="s">
        <v>1026</v>
      </c>
      <c r="E1380" s="90" t="s">
        <v>133</v>
      </c>
      <c r="F1380" s="88" t="s">
        <v>1710</v>
      </c>
      <c r="G1380" s="88" t="s">
        <v>1173</v>
      </c>
      <c r="H1380" s="82"/>
    </row>
    <row r="1381" spans="1:8" x14ac:dyDescent="0.2">
      <c r="A1381" s="85" t="s">
        <v>308</v>
      </c>
      <c r="B1381" s="89" t="s">
        <v>1585</v>
      </c>
      <c r="C1381" s="86" t="s">
        <v>1933</v>
      </c>
      <c r="D1381" s="86" t="s">
        <v>1026</v>
      </c>
      <c r="E1381" s="90" t="s">
        <v>1034</v>
      </c>
      <c r="F1381" s="88" t="s">
        <v>1710</v>
      </c>
      <c r="G1381" s="88" t="s">
        <v>1173</v>
      </c>
      <c r="H1381" s="82"/>
    </row>
    <row r="1382" spans="1:8" x14ac:dyDescent="0.2">
      <c r="A1382" s="85" t="s">
        <v>308</v>
      </c>
      <c r="B1382" s="89" t="s">
        <v>1585</v>
      </c>
      <c r="C1382" s="86" t="s">
        <v>1933</v>
      </c>
      <c r="D1382" s="86" t="s">
        <v>1026</v>
      </c>
      <c r="E1382" s="90" t="s">
        <v>133</v>
      </c>
      <c r="F1382" s="88" t="s">
        <v>1714</v>
      </c>
      <c r="G1382" s="88" t="s">
        <v>1173</v>
      </c>
      <c r="H1382" s="82"/>
    </row>
    <row r="1383" spans="1:8" x14ac:dyDescent="0.2">
      <c r="A1383" s="85" t="s">
        <v>308</v>
      </c>
      <c r="B1383" s="89" t="s">
        <v>1585</v>
      </c>
      <c r="C1383" s="86" t="s">
        <v>1933</v>
      </c>
      <c r="D1383" s="86" t="s">
        <v>1026</v>
      </c>
      <c r="E1383" s="90" t="s">
        <v>1034</v>
      </c>
      <c r="F1383" s="88" t="s">
        <v>1714</v>
      </c>
      <c r="G1383" s="88" t="s">
        <v>1173</v>
      </c>
      <c r="H1383" s="82"/>
    </row>
    <row r="1384" spans="1:8" x14ac:dyDescent="0.2">
      <c r="A1384" s="85" t="s">
        <v>308</v>
      </c>
      <c r="B1384" s="89" t="s">
        <v>1585</v>
      </c>
      <c r="C1384" s="86" t="s">
        <v>1933</v>
      </c>
      <c r="D1384" s="86" t="s">
        <v>1026</v>
      </c>
      <c r="E1384" s="90" t="s">
        <v>133</v>
      </c>
      <c r="F1384" s="88" t="s">
        <v>1710</v>
      </c>
      <c r="G1384" s="88" t="s">
        <v>1173</v>
      </c>
      <c r="H1384" s="82"/>
    </row>
    <row r="1385" spans="1:8" x14ac:dyDescent="0.2">
      <c r="A1385" s="85" t="s">
        <v>308</v>
      </c>
      <c r="B1385" s="89" t="s">
        <v>1585</v>
      </c>
      <c r="C1385" s="86" t="s">
        <v>1933</v>
      </c>
      <c r="D1385" s="86" t="s">
        <v>1026</v>
      </c>
      <c r="E1385" s="90" t="s">
        <v>1034</v>
      </c>
      <c r="F1385" s="88" t="s">
        <v>1710</v>
      </c>
      <c r="G1385" s="88" t="s">
        <v>1173</v>
      </c>
      <c r="H1385" s="82"/>
    </row>
    <row r="1386" spans="1:8" x14ac:dyDescent="0.2">
      <c r="A1386" s="85" t="s">
        <v>308</v>
      </c>
      <c r="B1386" s="89" t="s">
        <v>1585</v>
      </c>
      <c r="C1386" s="86" t="s">
        <v>1933</v>
      </c>
      <c r="D1386" s="86" t="s">
        <v>1026</v>
      </c>
      <c r="E1386" s="90" t="s">
        <v>133</v>
      </c>
      <c r="F1386" s="88" t="s">
        <v>1714</v>
      </c>
      <c r="G1386" s="88" t="s">
        <v>1173</v>
      </c>
      <c r="H1386" s="82"/>
    </row>
    <row r="1387" spans="1:8" x14ac:dyDescent="0.2">
      <c r="A1387" s="85" t="s">
        <v>308</v>
      </c>
      <c r="B1387" s="89" t="s">
        <v>1585</v>
      </c>
      <c r="C1387" s="86" t="s">
        <v>1933</v>
      </c>
      <c r="D1387" s="86" t="s">
        <v>1026</v>
      </c>
      <c r="E1387" s="90" t="s">
        <v>1034</v>
      </c>
      <c r="F1387" s="88" t="s">
        <v>1714</v>
      </c>
      <c r="G1387" s="88" t="s">
        <v>1173</v>
      </c>
      <c r="H1387" s="82"/>
    </row>
    <row r="1388" spans="1:8" x14ac:dyDescent="0.2">
      <c r="A1388" s="85" t="s">
        <v>308</v>
      </c>
      <c r="B1388" s="89" t="s">
        <v>1585</v>
      </c>
      <c r="C1388" s="86" t="s">
        <v>1933</v>
      </c>
      <c r="D1388" s="86" t="s">
        <v>1026</v>
      </c>
      <c r="E1388" s="90" t="s">
        <v>117</v>
      </c>
      <c r="F1388" s="88" t="s">
        <v>1642</v>
      </c>
      <c r="G1388" s="88" t="s">
        <v>1105</v>
      </c>
      <c r="H1388" s="82"/>
    </row>
    <row r="1389" spans="1:8" x14ac:dyDescent="0.2">
      <c r="A1389" s="85" t="s">
        <v>308</v>
      </c>
      <c r="B1389" s="89" t="s">
        <v>1585</v>
      </c>
      <c r="C1389" s="86" t="s">
        <v>1933</v>
      </c>
      <c r="D1389" s="86" t="s">
        <v>1026</v>
      </c>
      <c r="E1389" s="90" t="s">
        <v>158</v>
      </c>
      <c r="F1389" s="88" t="s">
        <v>1642</v>
      </c>
      <c r="G1389" s="88" t="s">
        <v>1105</v>
      </c>
      <c r="H1389" s="82"/>
    </row>
    <row r="1390" spans="1:8" ht="16" x14ac:dyDescent="0.2">
      <c r="A1390" s="85" t="s">
        <v>117</v>
      </c>
      <c r="B1390" s="89" t="s">
        <v>1585</v>
      </c>
      <c r="C1390" s="86" t="s">
        <v>1936</v>
      </c>
      <c r="D1390" s="86" t="s">
        <v>1019</v>
      </c>
      <c r="E1390" s="90" t="s">
        <v>126</v>
      </c>
      <c r="F1390" s="88" t="s">
        <v>117</v>
      </c>
      <c r="G1390" s="87" t="s">
        <v>603</v>
      </c>
      <c r="H1390" s="82"/>
    </row>
    <row r="1391" spans="1:8" ht="16" x14ac:dyDescent="0.2">
      <c r="A1391" s="85" t="s">
        <v>117</v>
      </c>
      <c r="B1391" s="89" t="s">
        <v>1585</v>
      </c>
      <c r="C1391" s="86" t="s">
        <v>1936</v>
      </c>
      <c r="D1391" s="86" t="s">
        <v>1019</v>
      </c>
      <c r="E1391" s="90" t="s">
        <v>126</v>
      </c>
      <c r="F1391" s="88" t="s">
        <v>117</v>
      </c>
      <c r="G1391" s="87" t="s">
        <v>603</v>
      </c>
      <c r="H1391" s="82"/>
    </row>
    <row r="1392" spans="1:8" ht="16" x14ac:dyDescent="0.2">
      <c r="A1392" s="85" t="s">
        <v>404</v>
      </c>
      <c r="B1392" s="89" t="s">
        <v>1585</v>
      </c>
      <c r="C1392" s="86" t="s">
        <v>1936</v>
      </c>
      <c r="D1392" s="86" t="s">
        <v>1019</v>
      </c>
      <c r="E1392" s="90" t="s">
        <v>117</v>
      </c>
      <c r="F1392" s="88" t="s">
        <v>404</v>
      </c>
      <c r="G1392" s="87" t="s">
        <v>613</v>
      </c>
      <c r="H1392" s="82"/>
    </row>
    <row r="1393" spans="1:8" ht="16" x14ac:dyDescent="0.2">
      <c r="A1393" s="85" t="s">
        <v>404</v>
      </c>
      <c r="B1393" s="89" t="s">
        <v>1585</v>
      </c>
      <c r="C1393" s="86" t="s">
        <v>1936</v>
      </c>
      <c r="D1393" s="86" t="s">
        <v>1019</v>
      </c>
      <c r="E1393" s="90" t="s">
        <v>117</v>
      </c>
      <c r="F1393" s="88" t="s">
        <v>1815</v>
      </c>
      <c r="G1393" s="87" t="s">
        <v>997</v>
      </c>
      <c r="H1393" s="82"/>
    </row>
    <row r="1394" spans="1:8" ht="16" x14ac:dyDescent="0.2">
      <c r="A1394" s="85" t="s">
        <v>308</v>
      </c>
      <c r="B1394" s="89" t="s">
        <v>1585</v>
      </c>
      <c r="C1394" s="86" t="s">
        <v>1936</v>
      </c>
      <c r="D1394" s="86" t="s">
        <v>1019</v>
      </c>
      <c r="E1394" s="90" t="s">
        <v>117</v>
      </c>
      <c r="F1394" s="88" t="s">
        <v>313</v>
      </c>
      <c r="G1394" s="87" t="s">
        <v>607</v>
      </c>
      <c r="H1394" s="82"/>
    </row>
    <row r="1395" spans="1:8" ht="16" x14ac:dyDescent="0.2">
      <c r="A1395" s="85" t="s">
        <v>308</v>
      </c>
      <c r="B1395" s="89" t="s">
        <v>1585</v>
      </c>
      <c r="C1395" s="86" t="s">
        <v>1936</v>
      </c>
      <c r="D1395" s="86" t="s">
        <v>1019</v>
      </c>
      <c r="E1395" s="90" t="s">
        <v>117</v>
      </c>
      <c r="F1395" s="88" t="s">
        <v>1780</v>
      </c>
      <c r="G1395" s="87" t="s">
        <v>607</v>
      </c>
      <c r="H1395" s="82"/>
    </row>
    <row r="1396" spans="1:8" ht="16" x14ac:dyDescent="0.2">
      <c r="A1396" s="85" t="s">
        <v>308</v>
      </c>
      <c r="B1396" s="89" t="s">
        <v>1585</v>
      </c>
      <c r="C1396" s="86" t="s">
        <v>1936</v>
      </c>
      <c r="D1396" s="86" t="s">
        <v>1019</v>
      </c>
      <c r="E1396" s="90" t="s">
        <v>117</v>
      </c>
      <c r="F1396" s="88" t="s">
        <v>1778</v>
      </c>
      <c r="G1396" s="87" t="s">
        <v>607</v>
      </c>
      <c r="H1396" s="82"/>
    </row>
    <row r="1397" spans="1:8" ht="16" x14ac:dyDescent="0.2">
      <c r="A1397" s="85" t="s">
        <v>308</v>
      </c>
      <c r="B1397" s="89" t="s">
        <v>1585</v>
      </c>
      <c r="C1397" s="86" t="s">
        <v>1936</v>
      </c>
      <c r="D1397" s="86" t="s">
        <v>1019</v>
      </c>
      <c r="E1397" s="90" t="s">
        <v>117</v>
      </c>
      <c r="F1397" s="88" t="s">
        <v>1779</v>
      </c>
      <c r="G1397" s="87" t="s">
        <v>607</v>
      </c>
      <c r="H1397" s="82"/>
    </row>
    <row r="1398" spans="1:8" ht="16" x14ac:dyDescent="0.2">
      <c r="A1398" s="85" t="s">
        <v>308</v>
      </c>
      <c r="B1398" s="89" t="s">
        <v>1585</v>
      </c>
      <c r="C1398" s="86" t="s">
        <v>1936</v>
      </c>
      <c r="D1398" s="86" t="s">
        <v>1019</v>
      </c>
      <c r="E1398" s="90" t="s">
        <v>126</v>
      </c>
      <c r="F1398" s="88" t="s">
        <v>313</v>
      </c>
      <c r="G1398" s="87" t="s">
        <v>606</v>
      </c>
      <c r="H1398" s="82"/>
    </row>
    <row r="1399" spans="1:8" ht="16" x14ac:dyDescent="0.2">
      <c r="A1399" s="85" t="s">
        <v>308</v>
      </c>
      <c r="B1399" s="89" t="s">
        <v>1585</v>
      </c>
      <c r="C1399" s="86" t="s">
        <v>1936</v>
      </c>
      <c r="D1399" s="86" t="s">
        <v>1019</v>
      </c>
      <c r="E1399" s="90" t="s">
        <v>126</v>
      </c>
      <c r="F1399" s="88" t="s">
        <v>1778</v>
      </c>
      <c r="G1399" s="87" t="s">
        <v>606</v>
      </c>
      <c r="H1399" s="82"/>
    </row>
    <row r="1400" spans="1:8" ht="16" x14ac:dyDescent="0.2">
      <c r="A1400" s="85" t="s">
        <v>308</v>
      </c>
      <c r="B1400" s="89" t="s">
        <v>1585</v>
      </c>
      <c r="C1400" s="86" t="s">
        <v>1936</v>
      </c>
      <c r="D1400" s="86" t="s">
        <v>1019</v>
      </c>
      <c r="E1400" s="90" t="s">
        <v>126</v>
      </c>
      <c r="F1400" s="88" t="s">
        <v>1779</v>
      </c>
      <c r="G1400" s="87" t="s">
        <v>606</v>
      </c>
      <c r="H1400" s="82"/>
    </row>
    <row r="1401" spans="1:8" ht="16" x14ac:dyDescent="0.2">
      <c r="A1401" s="85" t="s">
        <v>308</v>
      </c>
      <c r="B1401" s="89" t="s">
        <v>1585</v>
      </c>
      <c r="C1401" s="86" t="s">
        <v>1936</v>
      </c>
      <c r="D1401" s="86" t="s">
        <v>1019</v>
      </c>
      <c r="E1401" s="90" t="s">
        <v>126</v>
      </c>
      <c r="F1401" s="88" t="s">
        <v>1780</v>
      </c>
      <c r="G1401" s="87" t="s">
        <v>606</v>
      </c>
      <c r="H1401" s="82"/>
    </row>
    <row r="1402" spans="1:8" ht="16" x14ac:dyDescent="0.2">
      <c r="A1402" s="85" t="s">
        <v>308</v>
      </c>
      <c r="B1402" s="89" t="s">
        <v>1585</v>
      </c>
      <c r="C1402" s="86" t="s">
        <v>1936</v>
      </c>
      <c r="D1402" s="86" t="s">
        <v>1019</v>
      </c>
      <c r="E1402" s="90" t="s">
        <v>126</v>
      </c>
      <c r="F1402" s="88" t="s">
        <v>1714</v>
      </c>
      <c r="G1402" s="87" t="s">
        <v>606</v>
      </c>
      <c r="H1402" s="82"/>
    </row>
    <row r="1403" spans="1:8" ht="16" x14ac:dyDescent="0.2">
      <c r="A1403" s="85" t="s">
        <v>308</v>
      </c>
      <c r="B1403" s="89" t="s">
        <v>1585</v>
      </c>
      <c r="C1403" s="86" t="s">
        <v>1936</v>
      </c>
      <c r="D1403" s="86" t="s">
        <v>1019</v>
      </c>
      <c r="E1403" s="90" t="s">
        <v>126</v>
      </c>
      <c r="F1403" s="88" t="s">
        <v>1781</v>
      </c>
      <c r="G1403" s="87" t="s">
        <v>606</v>
      </c>
      <c r="H1403" s="82"/>
    </row>
    <row r="1404" spans="1:8" ht="16" x14ac:dyDescent="0.2">
      <c r="A1404" s="85" t="s">
        <v>308</v>
      </c>
      <c r="B1404" s="89" t="s">
        <v>1585</v>
      </c>
      <c r="C1404" s="86" t="s">
        <v>1936</v>
      </c>
      <c r="D1404" s="86" t="s">
        <v>1019</v>
      </c>
      <c r="E1404" s="90" t="s">
        <v>126</v>
      </c>
      <c r="F1404" s="88" t="s">
        <v>1782</v>
      </c>
      <c r="G1404" s="87" t="s">
        <v>606</v>
      </c>
      <c r="H1404" s="82"/>
    </row>
    <row r="1405" spans="1:8" ht="16" x14ac:dyDescent="0.2">
      <c r="A1405" s="85" t="s">
        <v>308</v>
      </c>
      <c r="B1405" s="89" t="s">
        <v>1585</v>
      </c>
      <c r="C1405" s="86" t="s">
        <v>1936</v>
      </c>
      <c r="D1405" s="86" t="s">
        <v>1019</v>
      </c>
      <c r="E1405" s="90" t="s">
        <v>126</v>
      </c>
      <c r="F1405" s="88" t="s">
        <v>1783</v>
      </c>
      <c r="G1405" s="87" t="s">
        <v>606</v>
      </c>
      <c r="H1405" s="82"/>
    </row>
    <row r="1406" spans="1:8" ht="16" x14ac:dyDescent="0.2">
      <c r="A1406" s="85" t="s">
        <v>308</v>
      </c>
      <c r="B1406" s="89" t="s">
        <v>1585</v>
      </c>
      <c r="C1406" s="86" t="s">
        <v>1936</v>
      </c>
      <c r="D1406" s="86" t="s">
        <v>1019</v>
      </c>
      <c r="E1406" s="90" t="s">
        <v>126</v>
      </c>
      <c r="F1406" s="88" t="s">
        <v>308</v>
      </c>
      <c r="G1406" s="87" t="s">
        <v>609</v>
      </c>
      <c r="H1406" s="82"/>
    </row>
    <row r="1407" spans="1:8" ht="16" x14ac:dyDescent="0.2">
      <c r="A1407" s="85" t="s">
        <v>308</v>
      </c>
      <c r="B1407" s="89" t="s">
        <v>1585</v>
      </c>
      <c r="C1407" s="86" t="s">
        <v>1936</v>
      </c>
      <c r="D1407" s="86" t="s">
        <v>1019</v>
      </c>
      <c r="E1407" s="90" t="s">
        <v>126</v>
      </c>
      <c r="F1407" s="88" t="s">
        <v>1637</v>
      </c>
      <c r="G1407" s="87" t="s">
        <v>609</v>
      </c>
      <c r="H1407" s="82"/>
    </row>
    <row r="1408" spans="1:8" ht="16" x14ac:dyDescent="0.2">
      <c r="A1408" s="85" t="s">
        <v>308</v>
      </c>
      <c r="B1408" s="89" t="s">
        <v>1585</v>
      </c>
      <c r="C1408" s="86" t="s">
        <v>1936</v>
      </c>
      <c r="D1408" s="86" t="s">
        <v>1019</v>
      </c>
      <c r="E1408" s="90" t="s">
        <v>126</v>
      </c>
      <c r="F1408" s="88" t="s">
        <v>1638</v>
      </c>
      <c r="G1408" s="87" t="s">
        <v>609</v>
      </c>
      <c r="H1408" s="82"/>
    </row>
    <row r="1409" spans="1:8" ht="16" x14ac:dyDescent="0.2">
      <c r="A1409" s="85" t="s">
        <v>308</v>
      </c>
      <c r="B1409" s="89" t="s">
        <v>1585</v>
      </c>
      <c r="C1409" s="86" t="s">
        <v>1936</v>
      </c>
      <c r="D1409" s="86" t="s">
        <v>1019</v>
      </c>
      <c r="E1409" s="90" t="s">
        <v>126</v>
      </c>
      <c r="F1409" s="88" t="s">
        <v>1639</v>
      </c>
      <c r="G1409" s="87" t="s">
        <v>609</v>
      </c>
      <c r="H1409" s="82"/>
    </row>
    <row r="1410" spans="1:8" ht="16" x14ac:dyDescent="0.2">
      <c r="A1410" s="85" t="s">
        <v>308</v>
      </c>
      <c r="B1410" s="89" t="s">
        <v>1585</v>
      </c>
      <c r="C1410" s="86" t="s">
        <v>1936</v>
      </c>
      <c r="D1410" s="86" t="s">
        <v>1019</v>
      </c>
      <c r="E1410" s="90" t="s">
        <v>126</v>
      </c>
      <c r="F1410" s="88" t="s">
        <v>1710</v>
      </c>
      <c r="G1410" s="87" t="s">
        <v>609</v>
      </c>
      <c r="H1410" s="82"/>
    </row>
    <row r="1411" spans="1:8" ht="16" x14ac:dyDescent="0.2">
      <c r="A1411" s="85" t="s">
        <v>308</v>
      </c>
      <c r="B1411" s="89" t="s">
        <v>1585</v>
      </c>
      <c r="C1411" s="86" t="s">
        <v>1936</v>
      </c>
      <c r="D1411" s="86" t="s">
        <v>1019</v>
      </c>
      <c r="E1411" s="90" t="s">
        <v>126</v>
      </c>
      <c r="F1411" s="88" t="s">
        <v>1711</v>
      </c>
      <c r="G1411" s="87" t="s">
        <v>609</v>
      </c>
      <c r="H1411" s="82"/>
    </row>
    <row r="1412" spans="1:8" ht="16" x14ac:dyDescent="0.2">
      <c r="A1412" s="85" t="s">
        <v>308</v>
      </c>
      <c r="B1412" s="89" t="s">
        <v>1585</v>
      </c>
      <c r="C1412" s="86" t="s">
        <v>1936</v>
      </c>
      <c r="D1412" s="86" t="s">
        <v>1019</v>
      </c>
      <c r="E1412" s="90" t="s">
        <v>126</v>
      </c>
      <c r="F1412" s="88" t="s">
        <v>1712</v>
      </c>
      <c r="G1412" s="87" t="s">
        <v>609</v>
      </c>
      <c r="H1412" s="82"/>
    </row>
    <row r="1413" spans="1:8" ht="16" x14ac:dyDescent="0.2">
      <c r="A1413" s="85" t="s">
        <v>308</v>
      </c>
      <c r="B1413" s="89" t="s">
        <v>1585</v>
      </c>
      <c r="C1413" s="86" t="s">
        <v>1936</v>
      </c>
      <c r="D1413" s="86" t="s">
        <v>1019</v>
      </c>
      <c r="E1413" s="90" t="s">
        <v>126</v>
      </c>
      <c r="F1413" s="88" t="s">
        <v>1713</v>
      </c>
      <c r="G1413" s="87" t="s">
        <v>609</v>
      </c>
      <c r="H1413" s="82"/>
    </row>
    <row r="1414" spans="1:8" ht="16" x14ac:dyDescent="0.2">
      <c r="A1414" s="85" t="s">
        <v>308</v>
      </c>
      <c r="B1414" s="89" t="s">
        <v>1585</v>
      </c>
      <c r="C1414" s="86" t="s">
        <v>1936</v>
      </c>
      <c r="D1414" s="86" t="s">
        <v>1019</v>
      </c>
      <c r="E1414" s="90" t="s">
        <v>117</v>
      </c>
      <c r="F1414" s="88" t="s">
        <v>308</v>
      </c>
      <c r="G1414" s="87" t="s">
        <v>611</v>
      </c>
      <c r="H1414" s="82"/>
    </row>
    <row r="1415" spans="1:8" ht="16" x14ac:dyDescent="0.2">
      <c r="A1415" s="85" t="s">
        <v>308</v>
      </c>
      <c r="B1415" s="89" t="s">
        <v>1585</v>
      </c>
      <c r="C1415" s="86" t="s">
        <v>1936</v>
      </c>
      <c r="D1415" s="86" t="s">
        <v>1019</v>
      </c>
      <c r="E1415" s="90" t="s">
        <v>117</v>
      </c>
      <c r="F1415" s="88" t="s">
        <v>1639</v>
      </c>
      <c r="G1415" s="87" t="s">
        <v>611</v>
      </c>
      <c r="H1415" s="82"/>
    </row>
    <row r="1416" spans="1:8" ht="16" x14ac:dyDescent="0.2">
      <c r="A1416" s="85" t="s">
        <v>308</v>
      </c>
      <c r="B1416" s="89" t="s">
        <v>1585</v>
      </c>
      <c r="C1416" s="86" t="s">
        <v>1936</v>
      </c>
      <c r="D1416" s="86" t="s">
        <v>1019</v>
      </c>
      <c r="E1416" s="90" t="s">
        <v>117</v>
      </c>
      <c r="F1416" s="88" t="s">
        <v>1637</v>
      </c>
      <c r="G1416" s="87" t="s">
        <v>611</v>
      </c>
      <c r="H1416" s="82"/>
    </row>
    <row r="1417" spans="1:8" ht="16" x14ac:dyDescent="0.2">
      <c r="A1417" s="85" t="s">
        <v>308</v>
      </c>
      <c r="B1417" s="89" t="s">
        <v>1585</v>
      </c>
      <c r="C1417" s="86" t="s">
        <v>1936</v>
      </c>
      <c r="D1417" s="86" t="s">
        <v>1019</v>
      </c>
      <c r="E1417" s="90" t="s">
        <v>117</v>
      </c>
      <c r="F1417" s="88" t="s">
        <v>1638</v>
      </c>
      <c r="G1417" s="87" t="s">
        <v>611</v>
      </c>
      <c r="H1417" s="82"/>
    </row>
    <row r="1418" spans="1:8" ht="16" x14ac:dyDescent="0.2">
      <c r="A1418" s="85" t="s">
        <v>308</v>
      </c>
      <c r="B1418" s="89" t="s">
        <v>1585</v>
      </c>
      <c r="C1418" s="86" t="s">
        <v>1936</v>
      </c>
      <c r="D1418" s="86" t="s">
        <v>1019</v>
      </c>
      <c r="E1418" s="90" t="s">
        <v>117</v>
      </c>
      <c r="F1418" s="88" t="s">
        <v>1863</v>
      </c>
      <c r="G1418" s="87" t="s">
        <v>1259</v>
      </c>
      <c r="H1418" s="82"/>
    </row>
    <row r="1419" spans="1:8" ht="16" x14ac:dyDescent="0.2">
      <c r="A1419" s="85" t="s">
        <v>308</v>
      </c>
      <c r="B1419" s="89" t="s">
        <v>1585</v>
      </c>
      <c r="C1419" s="86" t="s">
        <v>1936</v>
      </c>
      <c r="D1419" s="86" t="s">
        <v>1019</v>
      </c>
      <c r="E1419" s="90" t="s">
        <v>117</v>
      </c>
      <c r="F1419" s="88" t="s">
        <v>1864</v>
      </c>
      <c r="G1419" s="87" t="s">
        <v>1259</v>
      </c>
      <c r="H1419" s="82"/>
    </row>
    <row r="1420" spans="1:8" ht="16" x14ac:dyDescent="0.2">
      <c r="A1420" s="85" t="s">
        <v>308</v>
      </c>
      <c r="B1420" s="89" t="s">
        <v>1585</v>
      </c>
      <c r="C1420" s="86" t="s">
        <v>1936</v>
      </c>
      <c r="D1420" s="86" t="s">
        <v>1019</v>
      </c>
      <c r="E1420" s="90" t="s">
        <v>117</v>
      </c>
      <c r="F1420" s="88" t="s">
        <v>1865</v>
      </c>
      <c r="G1420" s="87" t="s">
        <v>1329</v>
      </c>
      <c r="H1420" s="82"/>
    </row>
    <row r="1421" spans="1:8" ht="16" x14ac:dyDescent="0.2">
      <c r="A1421" s="85" t="s">
        <v>308</v>
      </c>
      <c r="B1421" s="89" t="s">
        <v>1585</v>
      </c>
      <c r="C1421" s="86" t="s">
        <v>1936</v>
      </c>
      <c r="D1421" s="86" t="s">
        <v>1019</v>
      </c>
      <c r="E1421" s="90" t="s">
        <v>117</v>
      </c>
      <c r="F1421" s="88" t="s">
        <v>1866</v>
      </c>
      <c r="G1421" s="87" t="s">
        <v>1329</v>
      </c>
      <c r="H1421" s="82"/>
    </row>
    <row r="1422" spans="1:8" ht="16" x14ac:dyDescent="0.2">
      <c r="A1422" s="85" t="s">
        <v>308</v>
      </c>
      <c r="B1422" s="89" t="s">
        <v>1585</v>
      </c>
      <c r="C1422" s="86" t="s">
        <v>1936</v>
      </c>
      <c r="D1422" s="86" t="s">
        <v>1019</v>
      </c>
      <c r="E1422" s="90" t="s">
        <v>117</v>
      </c>
      <c r="F1422" s="88" t="s">
        <v>1640</v>
      </c>
      <c r="G1422" s="87" t="s">
        <v>996</v>
      </c>
      <c r="H1422" s="82"/>
    </row>
    <row r="1423" spans="1:8" ht="16" x14ac:dyDescent="0.2">
      <c r="A1423" s="85" t="s">
        <v>308</v>
      </c>
      <c r="B1423" s="89" t="s">
        <v>1585</v>
      </c>
      <c r="C1423" s="86" t="s">
        <v>1936</v>
      </c>
      <c r="D1423" s="86" t="s">
        <v>1019</v>
      </c>
      <c r="E1423" s="90" t="s">
        <v>117</v>
      </c>
      <c r="F1423" s="88" t="s">
        <v>1774</v>
      </c>
      <c r="G1423" s="87" t="s">
        <v>995</v>
      </c>
      <c r="H1423" s="82"/>
    </row>
    <row r="1424" spans="1:8" ht="16" x14ac:dyDescent="0.2">
      <c r="A1424" s="85" t="s">
        <v>308</v>
      </c>
      <c r="B1424" s="89" t="s">
        <v>1585</v>
      </c>
      <c r="C1424" s="86" t="s">
        <v>1936</v>
      </c>
      <c r="D1424" s="86" t="s">
        <v>1019</v>
      </c>
      <c r="E1424" s="90" t="s">
        <v>117</v>
      </c>
      <c r="F1424" s="88" t="s">
        <v>1641</v>
      </c>
      <c r="G1424" s="87" t="s">
        <v>996</v>
      </c>
      <c r="H1424" s="82"/>
    </row>
    <row r="1425" spans="1:8" ht="16" x14ac:dyDescent="0.2">
      <c r="A1425" s="85" t="s">
        <v>308</v>
      </c>
      <c r="B1425" s="89" t="s">
        <v>1585</v>
      </c>
      <c r="C1425" s="86" t="s">
        <v>1936</v>
      </c>
      <c r="D1425" s="86" t="s">
        <v>1019</v>
      </c>
      <c r="E1425" s="90" t="s">
        <v>117</v>
      </c>
      <c r="F1425" s="88" t="s">
        <v>1775</v>
      </c>
      <c r="G1425" s="87" t="s">
        <v>995</v>
      </c>
      <c r="H1425" s="82"/>
    </row>
    <row r="1426" spans="1:8" x14ac:dyDescent="0.2">
      <c r="A1426" s="85" t="s">
        <v>1583</v>
      </c>
      <c r="B1426" s="97" t="s">
        <v>1588</v>
      </c>
      <c r="C1426" s="86" t="s">
        <v>1936</v>
      </c>
      <c r="D1426" s="86" t="s">
        <v>1019</v>
      </c>
      <c r="E1426" s="90" t="s">
        <v>117</v>
      </c>
      <c r="F1426" s="88" t="s">
        <v>254</v>
      </c>
      <c r="G1426" s="88" t="s">
        <v>1258</v>
      </c>
      <c r="H1426" s="82"/>
    </row>
    <row r="1427" spans="1:8" ht="16" x14ac:dyDescent="0.2">
      <c r="A1427" s="85" t="s">
        <v>433</v>
      </c>
      <c r="B1427" s="97" t="s">
        <v>1868</v>
      </c>
      <c r="C1427" s="86" t="s">
        <v>1937</v>
      </c>
      <c r="D1427" s="86" t="s">
        <v>1011</v>
      </c>
      <c r="E1427" s="90" t="s">
        <v>117</v>
      </c>
      <c r="F1427" s="88" t="s">
        <v>433</v>
      </c>
      <c r="G1427" s="87" t="s">
        <v>641</v>
      </c>
      <c r="H1427" s="82"/>
    </row>
    <row r="1428" spans="1:8" ht="16" x14ac:dyDescent="0.2">
      <c r="A1428" s="85" t="s">
        <v>433</v>
      </c>
      <c r="B1428" s="97" t="s">
        <v>1868</v>
      </c>
      <c r="C1428" s="86" t="s">
        <v>1937</v>
      </c>
      <c r="D1428" s="86" t="s">
        <v>1011</v>
      </c>
      <c r="E1428" s="90" t="s">
        <v>117</v>
      </c>
      <c r="F1428" s="88" t="s">
        <v>1824</v>
      </c>
      <c r="G1428" s="87" t="s">
        <v>641</v>
      </c>
      <c r="H1428" s="82"/>
    </row>
    <row r="1429" spans="1:8" ht="16" x14ac:dyDescent="0.2">
      <c r="A1429" s="85" t="s">
        <v>433</v>
      </c>
      <c r="B1429" s="97" t="s">
        <v>1868</v>
      </c>
      <c r="C1429" s="86" t="s">
        <v>1937</v>
      </c>
      <c r="D1429" s="86" t="s">
        <v>1011</v>
      </c>
      <c r="E1429" s="90" t="s">
        <v>117</v>
      </c>
      <c r="F1429" s="88" t="s">
        <v>1825</v>
      </c>
      <c r="G1429" s="87" t="s">
        <v>641</v>
      </c>
      <c r="H1429" s="82"/>
    </row>
    <row r="1430" spans="1:8" ht="16" x14ac:dyDescent="0.2">
      <c r="A1430" s="85" t="s">
        <v>433</v>
      </c>
      <c r="B1430" s="97" t="s">
        <v>1868</v>
      </c>
      <c r="C1430" s="86" t="s">
        <v>1937</v>
      </c>
      <c r="D1430" s="86" t="s">
        <v>1011</v>
      </c>
      <c r="E1430" s="90" t="s">
        <v>117</v>
      </c>
      <c r="F1430" s="88" t="s">
        <v>1885</v>
      </c>
      <c r="G1430" s="87" t="s">
        <v>641</v>
      </c>
      <c r="H1430" s="82"/>
    </row>
    <row r="1431" spans="1:8" ht="16" x14ac:dyDescent="0.2">
      <c r="A1431" s="85" t="s">
        <v>433</v>
      </c>
      <c r="B1431" s="97" t="s">
        <v>1868</v>
      </c>
      <c r="C1431" s="86" t="s">
        <v>1937</v>
      </c>
      <c r="D1431" s="86" t="s">
        <v>1011</v>
      </c>
      <c r="E1431" s="90" t="s">
        <v>117</v>
      </c>
      <c r="F1431" s="88" t="s">
        <v>1886</v>
      </c>
      <c r="G1431" s="87" t="s">
        <v>641</v>
      </c>
      <c r="H1431" s="82"/>
    </row>
    <row r="1432" spans="1:8" ht="16" x14ac:dyDescent="0.2">
      <c r="A1432" s="85" t="s">
        <v>433</v>
      </c>
      <c r="B1432" s="97" t="s">
        <v>1868</v>
      </c>
      <c r="C1432" s="86" t="s">
        <v>1937</v>
      </c>
      <c r="D1432" s="86" t="s">
        <v>1011</v>
      </c>
      <c r="E1432" s="90" t="s">
        <v>117</v>
      </c>
      <c r="F1432" s="88" t="s">
        <v>1826</v>
      </c>
      <c r="G1432" s="87" t="s">
        <v>641</v>
      </c>
      <c r="H1432" s="82"/>
    </row>
    <row r="1433" spans="1:8" ht="16" x14ac:dyDescent="0.2">
      <c r="A1433" s="85" t="s">
        <v>433</v>
      </c>
      <c r="B1433" s="97" t="s">
        <v>1868</v>
      </c>
      <c r="C1433" s="86" t="s">
        <v>1937</v>
      </c>
      <c r="D1433" s="86" t="s">
        <v>1011</v>
      </c>
      <c r="E1433" s="90" t="s">
        <v>117</v>
      </c>
      <c r="F1433" s="88" t="s">
        <v>1827</v>
      </c>
      <c r="G1433" s="87" t="s">
        <v>641</v>
      </c>
      <c r="H1433" s="82"/>
    </row>
    <row r="1434" spans="1:8" ht="16" x14ac:dyDescent="0.2">
      <c r="A1434" s="85" t="s">
        <v>433</v>
      </c>
      <c r="B1434" s="97" t="s">
        <v>1868</v>
      </c>
      <c r="C1434" s="86" t="s">
        <v>1937</v>
      </c>
      <c r="D1434" s="86" t="s">
        <v>1011</v>
      </c>
      <c r="E1434" s="90" t="s">
        <v>117</v>
      </c>
      <c r="F1434" s="88" t="s">
        <v>1887</v>
      </c>
      <c r="G1434" s="87" t="s">
        <v>641</v>
      </c>
      <c r="H1434" s="82"/>
    </row>
    <row r="1435" spans="1:8" ht="16" x14ac:dyDescent="0.2">
      <c r="A1435" s="85" t="s">
        <v>433</v>
      </c>
      <c r="B1435" s="97" t="s">
        <v>1868</v>
      </c>
      <c r="C1435" s="86" t="s">
        <v>1937</v>
      </c>
      <c r="D1435" s="86" t="s">
        <v>1011</v>
      </c>
      <c r="E1435" s="90" t="s">
        <v>117</v>
      </c>
      <c r="F1435" s="88" t="s">
        <v>1828</v>
      </c>
      <c r="G1435" s="87" t="s">
        <v>641</v>
      </c>
      <c r="H1435" s="82"/>
    </row>
    <row r="1436" spans="1:8" ht="16" x14ac:dyDescent="0.2">
      <c r="A1436" s="85" t="s">
        <v>433</v>
      </c>
      <c r="B1436" s="97" t="s">
        <v>1868</v>
      </c>
      <c r="C1436" s="86" t="s">
        <v>1937</v>
      </c>
      <c r="D1436" s="86" t="s">
        <v>1011</v>
      </c>
      <c r="E1436" s="90" t="s">
        <v>117</v>
      </c>
      <c r="F1436" s="88" t="s">
        <v>442</v>
      </c>
      <c r="G1436" s="87" t="s">
        <v>641</v>
      </c>
      <c r="H1436" s="82"/>
    </row>
    <row r="1437" spans="1:8" ht="16" x14ac:dyDescent="0.2">
      <c r="A1437" s="85" t="s">
        <v>433</v>
      </c>
      <c r="B1437" s="97" t="s">
        <v>1868</v>
      </c>
      <c r="C1437" s="86" t="s">
        <v>1937</v>
      </c>
      <c r="D1437" s="86" t="s">
        <v>1011</v>
      </c>
      <c r="E1437" s="90" t="s">
        <v>117</v>
      </c>
      <c r="F1437" s="88" t="s">
        <v>1888</v>
      </c>
      <c r="G1437" s="87" t="s">
        <v>641</v>
      </c>
      <c r="H1437" s="82"/>
    </row>
    <row r="1438" spans="1:8" ht="16" x14ac:dyDescent="0.2">
      <c r="A1438" s="85" t="s">
        <v>433</v>
      </c>
      <c r="B1438" s="97" t="s">
        <v>1868</v>
      </c>
      <c r="C1438" s="86" t="s">
        <v>1937</v>
      </c>
      <c r="D1438" s="86" t="s">
        <v>1011</v>
      </c>
      <c r="E1438" s="90" t="s">
        <v>117</v>
      </c>
      <c r="F1438" s="88" t="s">
        <v>447</v>
      </c>
      <c r="G1438" s="87" t="s">
        <v>641</v>
      </c>
      <c r="H1438" s="82"/>
    </row>
    <row r="1439" spans="1:8" ht="16" x14ac:dyDescent="0.2">
      <c r="A1439" s="85" t="s">
        <v>433</v>
      </c>
      <c r="B1439" s="97" t="s">
        <v>1868</v>
      </c>
      <c r="C1439" s="86" t="s">
        <v>1937</v>
      </c>
      <c r="D1439" s="86" t="s">
        <v>1011</v>
      </c>
      <c r="E1439" s="90" t="s">
        <v>117</v>
      </c>
      <c r="F1439" s="88" t="s">
        <v>1889</v>
      </c>
      <c r="G1439" s="87" t="s">
        <v>641</v>
      </c>
      <c r="H1439" s="82"/>
    </row>
    <row r="1440" spans="1:8" ht="16" x14ac:dyDescent="0.2">
      <c r="A1440" s="85" t="s">
        <v>433</v>
      </c>
      <c r="B1440" s="97" t="s">
        <v>1868</v>
      </c>
      <c r="C1440" s="86" t="s">
        <v>1937</v>
      </c>
      <c r="D1440" s="86" t="s">
        <v>1011</v>
      </c>
      <c r="E1440" s="90" t="s">
        <v>117</v>
      </c>
      <c r="F1440" s="88" t="s">
        <v>1829</v>
      </c>
      <c r="G1440" s="87" t="s">
        <v>643</v>
      </c>
      <c r="H1440" s="82"/>
    </row>
    <row r="1441" spans="1:8" ht="16" x14ac:dyDescent="0.2">
      <c r="A1441" s="85" t="s">
        <v>433</v>
      </c>
      <c r="B1441" s="97" t="s">
        <v>1868</v>
      </c>
      <c r="C1441" s="86" t="s">
        <v>1937</v>
      </c>
      <c r="D1441" s="86" t="s">
        <v>1011</v>
      </c>
      <c r="E1441" s="90" t="s">
        <v>117</v>
      </c>
      <c r="F1441" s="88" t="s">
        <v>1832</v>
      </c>
      <c r="G1441" s="87" t="s">
        <v>643</v>
      </c>
      <c r="H1441" s="82"/>
    </row>
    <row r="1442" spans="1:8" ht="16" x14ac:dyDescent="0.2">
      <c r="A1442" s="85" t="s">
        <v>433</v>
      </c>
      <c r="B1442" s="97" t="s">
        <v>1868</v>
      </c>
      <c r="C1442" s="86" t="s">
        <v>1937</v>
      </c>
      <c r="D1442" s="86" t="s">
        <v>1011</v>
      </c>
      <c r="E1442" s="90" t="s">
        <v>117</v>
      </c>
      <c r="F1442" s="88" t="s">
        <v>1833</v>
      </c>
      <c r="G1442" s="87" t="s">
        <v>643</v>
      </c>
      <c r="H1442" s="82"/>
    </row>
    <row r="1443" spans="1:8" ht="16" x14ac:dyDescent="0.2">
      <c r="A1443" s="85" t="s">
        <v>433</v>
      </c>
      <c r="B1443" s="97" t="s">
        <v>1868</v>
      </c>
      <c r="C1443" s="86" t="s">
        <v>1937</v>
      </c>
      <c r="D1443" s="86" t="s">
        <v>1011</v>
      </c>
      <c r="E1443" s="90" t="s">
        <v>117</v>
      </c>
      <c r="F1443" s="88" t="s">
        <v>1834</v>
      </c>
      <c r="G1443" s="87" t="s">
        <v>643</v>
      </c>
      <c r="H1443" s="82"/>
    </row>
    <row r="1444" spans="1:8" ht="16" x14ac:dyDescent="0.2">
      <c r="A1444" s="85" t="s">
        <v>433</v>
      </c>
      <c r="B1444" s="97" t="s">
        <v>1868</v>
      </c>
      <c r="C1444" s="86" t="s">
        <v>1937</v>
      </c>
      <c r="D1444" s="86" t="s">
        <v>1011</v>
      </c>
      <c r="E1444" s="90" t="s">
        <v>117</v>
      </c>
      <c r="F1444" s="88" t="s">
        <v>1890</v>
      </c>
      <c r="G1444" s="87" t="s">
        <v>643</v>
      </c>
      <c r="H1444" s="82"/>
    </row>
    <row r="1445" spans="1:8" ht="16" x14ac:dyDescent="0.2">
      <c r="A1445" s="85" t="s">
        <v>433</v>
      </c>
      <c r="B1445" s="97" t="s">
        <v>1868</v>
      </c>
      <c r="C1445" s="86" t="s">
        <v>1937</v>
      </c>
      <c r="D1445" s="86" t="s">
        <v>1011</v>
      </c>
      <c r="E1445" s="90" t="s">
        <v>117</v>
      </c>
      <c r="F1445" s="88" t="s">
        <v>1891</v>
      </c>
      <c r="G1445" s="87" t="s">
        <v>643</v>
      </c>
      <c r="H1445" s="82"/>
    </row>
    <row r="1446" spans="1:8" ht="16" x14ac:dyDescent="0.2">
      <c r="A1446" s="85" t="s">
        <v>433</v>
      </c>
      <c r="B1446" s="97" t="s">
        <v>1868</v>
      </c>
      <c r="C1446" s="86" t="s">
        <v>1937</v>
      </c>
      <c r="D1446" s="86" t="s">
        <v>1011</v>
      </c>
      <c r="E1446" s="90" t="s">
        <v>117</v>
      </c>
      <c r="F1446" s="88" t="s">
        <v>1830</v>
      </c>
      <c r="G1446" s="87" t="s">
        <v>643</v>
      </c>
      <c r="H1446" s="82"/>
    </row>
    <row r="1447" spans="1:8" ht="16" x14ac:dyDescent="0.2">
      <c r="A1447" s="85" t="s">
        <v>433</v>
      </c>
      <c r="B1447" s="97" t="s">
        <v>1868</v>
      </c>
      <c r="C1447" s="86" t="s">
        <v>1937</v>
      </c>
      <c r="D1447" s="86" t="s">
        <v>1011</v>
      </c>
      <c r="E1447" s="90" t="s">
        <v>117</v>
      </c>
      <c r="F1447" s="88" t="s">
        <v>1831</v>
      </c>
      <c r="G1447" s="87" t="s">
        <v>643</v>
      </c>
      <c r="H1447" s="82"/>
    </row>
    <row r="1448" spans="1:8" ht="16" x14ac:dyDescent="0.2">
      <c r="A1448" s="85" t="s">
        <v>433</v>
      </c>
      <c r="B1448" s="97" t="s">
        <v>1868</v>
      </c>
      <c r="C1448" s="86" t="s">
        <v>1937</v>
      </c>
      <c r="D1448" s="86" t="s">
        <v>1011</v>
      </c>
      <c r="E1448" s="90" t="s">
        <v>117</v>
      </c>
      <c r="F1448" s="88" t="s">
        <v>1892</v>
      </c>
      <c r="G1448" s="87" t="s">
        <v>643</v>
      </c>
      <c r="H1448" s="82"/>
    </row>
    <row r="1449" spans="1:8" ht="16" x14ac:dyDescent="0.2">
      <c r="A1449" s="85" t="s">
        <v>433</v>
      </c>
      <c r="B1449" s="97" t="s">
        <v>1868</v>
      </c>
      <c r="C1449" s="86" t="s">
        <v>1937</v>
      </c>
      <c r="D1449" s="86" t="s">
        <v>1011</v>
      </c>
      <c r="E1449" s="90" t="s">
        <v>117</v>
      </c>
      <c r="F1449" s="88" t="s">
        <v>1893</v>
      </c>
      <c r="G1449" s="87" t="s">
        <v>643</v>
      </c>
      <c r="H1449" s="82"/>
    </row>
    <row r="1450" spans="1:8" ht="16" x14ac:dyDescent="0.2">
      <c r="A1450" s="85" t="s">
        <v>433</v>
      </c>
      <c r="B1450" s="97" t="s">
        <v>1868</v>
      </c>
      <c r="C1450" s="86" t="s">
        <v>1937</v>
      </c>
      <c r="D1450" s="86" t="s">
        <v>1011</v>
      </c>
      <c r="E1450" s="90" t="s">
        <v>117</v>
      </c>
      <c r="F1450" s="88" t="s">
        <v>1894</v>
      </c>
      <c r="G1450" s="87" t="s">
        <v>643</v>
      </c>
      <c r="H1450" s="82"/>
    </row>
    <row r="1451" spans="1:8" ht="16" x14ac:dyDescent="0.2">
      <c r="A1451" s="85" t="s">
        <v>433</v>
      </c>
      <c r="B1451" s="97" t="s">
        <v>1868</v>
      </c>
      <c r="C1451" s="86" t="s">
        <v>1937</v>
      </c>
      <c r="D1451" s="86" t="s">
        <v>1011</v>
      </c>
      <c r="E1451" s="90" t="s">
        <v>117</v>
      </c>
      <c r="F1451" s="88" t="s">
        <v>1895</v>
      </c>
      <c r="G1451" s="87" t="s">
        <v>643</v>
      </c>
      <c r="H1451" s="82"/>
    </row>
    <row r="1452" spans="1:8" x14ac:dyDescent="0.2">
      <c r="A1452" s="85" t="s">
        <v>1583</v>
      </c>
      <c r="B1452" s="89" t="s">
        <v>1585</v>
      </c>
      <c r="C1452" s="86" t="s">
        <v>1937</v>
      </c>
      <c r="D1452" s="86" t="s">
        <v>1011</v>
      </c>
      <c r="E1452" s="90" t="s">
        <v>117</v>
      </c>
      <c r="F1452" s="88" t="s">
        <v>254</v>
      </c>
      <c r="G1452" s="98" t="s">
        <v>555</v>
      </c>
      <c r="H1452" s="82"/>
    </row>
    <row r="1453" spans="1:8" ht="16" x14ac:dyDescent="0.2">
      <c r="A1453" s="85" t="s">
        <v>433</v>
      </c>
      <c r="B1453" s="89" t="s">
        <v>1585</v>
      </c>
      <c r="C1453" s="86" t="s">
        <v>1937</v>
      </c>
      <c r="D1453" s="86" t="s">
        <v>1011</v>
      </c>
      <c r="E1453" s="90" t="s">
        <v>126</v>
      </c>
      <c r="F1453" s="88" t="s">
        <v>1817</v>
      </c>
      <c r="G1453" s="87" t="s">
        <v>559</v>
      </c>
      <c r="H1453" s="82"/>
    </row>
    <row r="1454" spans="1:8" ht="16" x14ac:dyDescent="0.2">
      <c r="A1454" s="85" t="s">
        <v>433</v>
      </c>
      <c r="B1454" s="89" t="s">
        <v>1585</v>
      </c>
      <c r="C1454" s="86" t="s">
        <v>1937</v>
      </c>
      <c r="D1454" s="86" t="s">
        <v>1011</v>
      </c>
      <c r="E1454" s="90" t="s">
        <v>126</v>
      </c>
      <c r="F1454" s="88" t="s">
        <v>1819</v>
      </c>
      <c r="G1454" s="87" t="s">
        <v>559</v>
      </c>
      <c r="H1454" s="82"/>
    </row>
    <row r="1455" spans="1:8" ht="16" x14ac:dyDescent="0.2">
      <c r="A1455" s="85" t="s">
        <v>433</v>
      </c>
      <c r="B1455" s="89" t="s">
        <v>1585</v>
      </c>
      <c r="C1455" s="86" t="s">
        <v>1937</v>
      </c>
      <c r="D1455" s="86" t="s">
        <v>1011</v>
      </c>
      <c r="E1455" s="90" t="s">
        <v>126</v>
      </c>
      <c r="F1455" s="88" t="s">
        <v>1818</v>
      </c>
      <c r="G1455" s="87" t="s">
        <v>559</v>
      </c>
      <c r="H1455" s="82"/>
    </row>
    <row r="1456" spans="1:8" ht="16" x14ac:dyDescent="0.2">
      <c r="A1456" s="85" t="s">
        <v>433</v>
      </c>
      <c r="B1456" s="89" t="s">
        <v>1585</v>
      </c>
      <c r="C1456" s="86" t="s">
        <v>1937</v>
      </c>
      <c r="D1456" s="86" t="s">
        <v>1011</v>
      </c>
      <c r="E1456" s="90" t="s">
        <v>126</v>
      </c>
      <c r="F1456" s="88" t="s">
        <v>1912</v>
      </c>
      <c r="G1456" s="87" t="s">
        <v>559</v>
      </c>
      <c r="H1456" s="82"/>
    </row>
    <row r="1457" spans="1:8" ht="16" x14ac:dyDescent="0.2">
      <c r="A1457" s="85" t="s">
        <v>433</v>
      </c>
      <c r="B1457" s="89" t="s">
        <v>1585</v>
      </c>
      <c r="C1457" s="86" t="s">
        <v>1937</v>
      </c>
      <c r="D1457" s="86" t="s">
        <v>1011</v>
      </c>
      <c r="E1457" s="90" t="s">
        <v>126</v>
      </c>
      <c r="F1457" s="88" t="s">
        <v>1820</v>
      </c>
      <c r="G1457" s="87" t="s">
        <v>559</v>
      </c>
      <c r="H1457" s="82"/>
    </row>
    <row r="1458" spans="1:8" ht="16" x14ac:dyDescent="0.2">
      <c r="A1458" s="85" t="s">
        <v>433</v>
      </c>
      <c r="B1458" s="89" t="s">
        <v>1585</v>
      </c>
      <c r="C1458" s="86" t="s">
        <v>1937</v>
      </c>
      <c r="D1458" s="86" t="s">
        <v>1011</v>
      </c>
      <c r="E1458" s="90" t="s">
        <v>126</v>
      </c>
      <c r="F1458" s="88" t="s">
        <v>1821</v>
      </c>
      <c r="G1458" s="87" t="s">
        <v>559</v>
      </c>
      <c r="H1458" s="82"/>
    </row>
    <row r="1459" spans="1:8" ht="16" x14ac:dyDescent="0.2">
      <c r="A1459" s="85" t="s">
        <v>433</v>
      </c>
      <c r="B1459" s="89" t="s">
        <v>1585</v>
      </c>
      <c r="C1459" s="86" t="s">
        <v>1937</v>
      </c>
      <c r="D1459" s="86" t="s">
        <v>1011</v>
      </c>
      <c r="E1459" s="90" t="s">
        <v>126</v>
      </c>
      <c r="F1459" s="88" t="s">
        <v>1822</v>
      </c>
      <c r="G1459" s="87" t="s">
        <v>559</v>
      </c>
      <c r="H1459" s="82"/>
    </row>
    <row r="1460" spans="1:8" ht="16" x14ac:dyDescent="0.2">
      <c r="A1460" s="85" t="s">
        <v>433</v>
      </c>
      <c r="B1460" s="89" t="s">
        <v>1585</v>
      </c>
      <c r="C1460" s="86" t="s">
        <v>1937</v>
      </c>
      <c r="D1460" s="86" t="s">
        <v>1011</v>
      </c>
      <c r="E1460" s="90" t="s">
        <v>126</v>
      </c>
      <c r="F1460" s="88" t="s">
        <v>1823</v>
      </c>
      <c r="G1460" s="87" t="s">
        <v>559</v>
      </c>
      <c r="H1460" s="82"/>
    </row>
    <row r="1461" spans="1:8" ht="16" x14ac:dyDescent="0.2">
      <c r="A1461" s="85" t="s">
        <v>433</v>
      </c>
      <c r="B1461" s="89" t="s">
        <v>1585</v>
      </c>
      <c r="C1461" s="86" t="s">
        <v>1937</v>
      </c>
      <c r="D1461" s="86" t="s">
        <v>1011</v>
      </c>
      <c r="E1461" s="90" t="s">
        <v>126</v>
      </c>
      <c r="F1461" s="88" t="s">
        <v>1817</v>
      </c>
      <c r="G1461" s="87" t="s">
        <v>559</v>
      </c>
      <c r="H1461" s="82"/>
    </row>
    <row r="1462" spans="1:8" ht="16" x14ac:dyDescent="0.2">
      <c r="A1462" s="85" t="s">
        <v>433</v>
      </c>
      <c r="B1462" s="89" t="s">
        <v>1585</v>
      </c>
      <c r="C1462" s="86" t="s">
        <v>1937</v>
      </c>
      <c r="D1462" s="86" t="s">
        <v>1011</v>
      </c>
      <c r="E1462" s="90" t="s">
        <v>126</v>
      </c>
      <c r="F1462" s="88" t="s">
        <v>1819</v>
      </c>
      <c r="G1462" s="87" t="s">
        <v>559</v>
      </c>
      <c r="H1462" s="82"/>
    </row>
    <row r="1463" spans="1:8" ht="16" x14ac:dyDescent="0.2">
      <c r="A1463" s="85" t="s">
        <v>433</v>
      </c>
      <c r="B1463" s="89" t="s">
        <v>1585</v>
      </c>
      <c r="C1463" s="86" t="s">
        <v>1937</v>
      </c>
      <c r="D1463" s="86" t="s">
        <v>1011</v>
      </c>
      <c r="E1463" s="90" t="s">
        <v>126</v>
      </c>
      <c r="F1463" s="88" t="s">
        <v>1818</v>
      </c>
      <c r="G1463" s="87" t="s">
        <v>559</v>
      </c>
      <c r="H1463" s="82"/>
    </row>
    <row r="1464" spans="1:8" ht="16" x14ac:dyDescent="0.2">
      <c r="A1464" s="85" t="s">
        <v>433</v>
      </c>
      <c r="B1464" s="89" t="s">
        <v>1585</v>
      </c>
      <c r="C1464" s="86" t="s">
        <v>1937</v>
      </c>
      <c r="D1464" s="86" t="s">
        <v>1011</v>
      </c>
      <c r="E1464" s="90" t="s">
        <v>126</v>
      </c>
      <c r="F1464" s="88" t="s">
        <v>1912</v>
      </c>
      <c r="G1464" s="87" t="s">
        <v>559</v>
      </c>
      <c r="H1464" s="82"/>
    </row>
    <row r="1465" spans="1:8" ht="16" x14ac:dyDescent="0.2">
      <c r="A1465" s="85" t="s">
        <v>433</v>
      </c>
      <c r="B1465" s="89" t="s">
        <v>1585</v>
      </c>
      <c r="C1465" s="86" t="s">
        <v>1937</v>
      </c>
      <c r="D1465" s="86" t="s">
        <v>1011</v>
      </c>
      <c r="E1465" s="90" t="s">
        <v>126</v>
      </c>
      <c r="F1465" s="88" t="s">
        <v>1820</v>
      </c>
      <c r="G1465" s="87" t="s">
        <v>559</v>
      </c>
      <c r="H1465" s="82"/>
    </row>
    <row r="1466" spans="1:8" ht="16" x14ac:dyDescent="0.2">
      <c r="A1466" s="85" t="s">
        <v>433</v>
      </c>
      <c r="B1466" s="89" t="s">
        <v>1585</v>
      </c>
      <c r="C1466" s="86" t="s">
        <v>1937</v>
      </c>
      <c r="D1466" s="86" t="s">
        <v>1011</v>
      </c>
      <c r="E1466" s="90" t="s">
        <v>126</v>
      </c>
      <c r="F1466" s="88" t="s">
        <v>1821</v>
      </c>
      <c r="G1466" s="87" t="s">
        <v>559</v>
      </c>
      <c r="H1466" s="82"/>
    </row>
    <row r="1467" spans="1:8" ht="16" x14ac:dyDescent="0.2">
      <c r="A1467" s="85" t="s">
        <v>433</v>
      </c>
      <c r="B1467" s="89" t="s">
        <v>1585</v>
      </c>
      <c r="C1467" s="86" t="s">
        <v>1937</v>
      </c>
      <c r="D1467" s="86" t="s">
        <v>1011</v>
      </c>
      <c r="E1467" s="90" t="s">
        <v>126</v>
      </c>
      <c r="F1467" s="88" t="s">
        <v>1822</v>
      </c>
      <c r="G1467" s="87" t="s">
        <v>559</v>
      </c>
      <c r="H1467" s="82"/>
    </row>
    <row r="1468" spans="1:8" ht="16" x14ac:dyDescent="0.2">
      <c r="A1468" s="85" t="s">
        <v>433</v>
      </c>
      <c r="B1468" s="89" t="s">
        <v>1585</v>
      </c>
      <c r="C1468" s="86" t="s">
        <v>1937</v>
      </c>
      <c r="D1468" s="86" t="s">
        <v>1011</v>
      </c>
      <c r="E1468" s="90" t="s">
        <v>126</v>
      </c>
      <c r="F1468" s="88" t="s">
        <v>1823</v>
      </c>
      <c r="G1468" s="87" t="s">
        <v>559</v>
      </c>
      <c r="H1468" s="82"/>
    </row>
    <row r="1469" spans="1:8" ht="16" x14ac:dyDescent="0.2">
      <c r="A1469" s="85" t="s">
        <v>433</v>
      </c>
      <c r="B1469" s="89" t="s">
        <v>1585</v>
      </c>
      <c r="C1469" s="86" t="s">
        <v>1937</v>
      </c>
      <c r="D1469" s="86" t="s">
        <v>1011</v>
      </c>
      <c r="E1469" s="90" t="s">
        <v>117</v>
      </c>
      <c r="F1469" s="88" t="s">
        <v>1869</v>
      </c>
      <c r="G1469" s="87" t="s">
        <v>1321</v>
      </c>
      <c r="H1469" s="82"/>
    </row>
    <row r="1470" spans="1:8" ht="16" x14ac:dyDescent="0.2">
      <c r="A1470" s="85" t="s">
        <v>433</v>
      </c>
      <c r="B1470" s="89" t="s">
        <v>1585</v>
      </c>
      <c r="C1470" s="86" t="s">
        <v>1937</v>
      </c>
      <c r="D1470" s="86" t="s">
        <v>1011</v>
      </c>
      <c r="E1470" s="90" t="s">
        <v>117</v>
      </c>
      <c r="F1470" s="88" t="s">
        <v>1871</v>
      </c>
      <c r="G1470" s="87" t="s">
        <v>1321</v>
      </c>
      <c r="H1470" s="82"/>
    </row>
    <row r="1471" spans="1:8" ht="16" x14ac:dyDescent="0.2">
      <c r="A1471" s="85" t="s">
        <v>433</v>
      </c>
      <c r="B1471" s="89" t="s">
        <v>1585</v>
      </c>
      <c r="C1471" s="86" t="s">
        <v>1937</v>
      </c>
      <c r="D1471" s="86" t="s">
        <v>1011</v>
      </c>
      <c r="E1471" s="90" t="s">
        <v>117</v>
      </c>
      <c r="F1471" s="88" t="s">
        <v>1870</v>
      </c>
      <c r="G1471" s="87" t="s">
        <v>1321</v>
      </c>
      <c r="H1471" s="82"/>
    </row>
    <row r="1472" spans="1:8" ht="16" x14ac:dyDescent="0.2">
      <c r="A1472" s="85" t="s">
        <v>433</v>
      </c>
      <c r="B1472" s="89" t="s">
        <v>1585</v>
      </c>
      <c r="C1472" s="86" t="s">
        <v>1937</v>
      </c>
      <c r="D1472" s="86" t="s">
        <v>1011</v>
      </c>
      <c r="E1472" s="90" t="s">
        <v>117</v>
      </c>
      <c r="F1472" s="88" t="s">
        <v>1873</v>
      </c>
      <c r="G1472" s="87" t="s">
        <v>1322</v>
      </c>
      <c r="H1472" s="82"/>
    </row>
    <row r="1473" spans="1:8" ht="16" x14ac:dyDescent="0.2">
      <c r="A1473" s="85" t="s">
        <v>433</v>
      </c>
      <c r="B1473" s="89" t="s">
        <v>1585</v>
      </c>
      <c r="C1473" s="86" t="s">
        <v>1937</v>
      </c>
      <c r="D1473" s="86" t="s">
        <v>1011</v>
      </c>
      <c r="E1473" s="90" t="s">
        <v>117</v>
      </c>
      <c r="F1473" s="88" t="s">
        <v>1874</v>
      </c>
      <c r="G1473" s="87" t="s">
        <v>1322</v>
      </c>
      <c r="H1473" s="82"/>
    </row>
    <row r="1474" spans="1:8" ht="16" x14ac:dyDescent="0.2">
      <c r="A1474" s="85" t="s">
        <v>433</v>
      </c>
      <c r="B1474" s="89" t="s">
        <v>1585</v>
      </c>
      <c r="C1474" s="86" t="s">
        <v>1937</v>
      </c>
      <c r="D1474" s="86" t="s">
        <v>1011</v>
      </c>
      <c r="E1474" s="90" t="s">
        <v>117</v>
      </c>
      <c r="F1474" s="88" t="s">
        <v>1875</v>
      </c>
      <c r="G1474" s="87" t="s">
        <v>1322</v>
      </c>
      <c r="H1474" s="82"/>
    </row>
    <row r="1475" spans="1:8" ht="16" x14ac:dyDescent="0.2">
      <c r="A1475" s="85" t="s">
        <v>433</v>
      </c>
      <c r="B1475" s="89" t="s">
        <v>1585</v>
      </c>
      <c r="C1475" s="86" t="s">
        <v>1937</v>
      </c>
      <c r="D1475" s="86" t="s">
        <v>1011</v>
      </c>
      <c r="E1475" s="90" t="s">
        <v>117</v>
      </c>
      <c r="F1475" s="88" t="s">
        <v>1872</v>
      </c>
      <c r="G1475" s="87" t="s">
        <v>1321</v>
      </c>
      <c r="H1475" s="82"/>
    </row>
    <row r="1476" spans="1:8" ht="16" x14ac:dyDescent="0.2">
      <c r="A1476" s="85" t="s">
        <v>433</v>
      </c>
      <c r="B1476" s="89" t="s">
        <v>1585</v>
      </c>
      <c r="C1476" s="86" t="s">
        <v>1937</v>
      </c>
      <c r="D1476" s="86" t="s">
        <v>1011</v>
      </c>
      <c r="E1476" s="90" t="s">
        <v>117</v>
      </c>
      <c r="F1476" s="88" t="s">
        <v>1877</v>
      </c>
      <c r="G1476" s="87" t="s">
        <v>1327</v>
      </c>
      <c r="H1476" s="82"/>
    </row>
    <row r="1477" spans="1:8" ht="16" x14ac:dyDescent="0.2">
      <c r="A1477" s="85" t="s">
        <v>433</v>
      </c>
      <c r="B1477" s="89" t="s">
        <v>1585</v>
      </c>
      <c r="C1477" s="86" t="s">
        <v>1937</v>
      </c>
      <c r="D1477" s="86" t="s">
        <v>1011</v>
      </c>
      <c r="E1477" s="90" t="s">
        <v>117</v>
      </c>
      <c r="F1477" s="88" t="s">
        <v>1879</v>
      </c>
      <c r="G1477" s="87" t="s">
        <v>1327</v>
      </c>
      <c r="H1477" s="82"/>
    </row>
    <row r="1478" spans="1:8" ht="16" x14ac:dyDescent="0.2">
      <c r="A1478" s="85" t="s">
        <v>433</v>
      </c>
      <c r="B1478" s="89" t="s">
        <v>1585</v>
      </c>
      <c r="C1478" s="86" t="s">
        <v>1937</v>
      </c>
      <c r="D1478" s="86" t="s">
        <v>1011</v>
      </c>
      <c r="E1478" s="90" t="s">
        <v>117</v>
      </c>
      <c r="F1478" s="88" t="s">
        <v>1878</v>
      </c>
      <c r="G1478" s="87" t="s">
        <v>1327</v>
      </c>
      <c r="H1478" s="82"/>
    </row>
    <row r="1479" spans="1:8" ht="16" x14ac:dyDescent="0.2">
      <c r="A1479" s="85" t="s">
        <v>433</v>
      </c>
      <c r="B1479" s="89" t="s">
        <v>1585</v>
      </c>
      <c r="C1479" s="86" t="s">
        <v>1937</v>
      </c>
      <c r="D1479" s="86" t="s">
        <v>1011</v>
      </c>
      <c r="E1479" s="90" t="s">
        <v>117</v>
      </c>
      <c r="F1479" s="88" t="s">
        <v>1881</v>
      </c>
      <c r="G1479" s="87" t="s">
        <v>1328</v>
      </c>
      <c r="H1479" s="82"/>
    </row>
    <row r="1480" spans="1:8" ht="16" x14ac:dyDescent="0.2">
      <c r="A1480" s="85" t="s">
        <v>433</v>
      </c>
      <c r="B1480" s="89" t="s">
        <v>1585</v>
      </c>
      <c r="C1480" s="86" t="s">
        <v>1937</v>
      </c>
      <c r="D1480" s="86" t="s">
        <v>1011</v>
      </c>
      <c r="E1480" s="90" t="s">
        <v>117</v>
      </c>
      <c r="F1480" s="88" t="s">
        <v>1882</v>
      </c>
      <c r="G1480" s="87" t="s">
        <v>1328</v>
      </c>
      <c r="H1480" s="82"/>
    </row>
    <row r="1481" spans="1:8" ht="16" x14ac:dyDescent="0.2">
      <c r="A1481" s="85" t="s">
        <v>433</v>
      </c>
      <c r="B1481" s="89" t="s">
        <v>1585</v>
      </c>
      <c r="C1481" s="86" t="s">
        <v>1937</v>
      </c>
      <c r="D1481" s="86" t="s">
        <v>1011</v>
      </c>
      <c r="E1481" s="90" t="s">
        <v>117</v>
      </c>
      <c r="F1481" s="88" t="s">
        <v>1883</v>
      </c>
      <c r="G1481" s="87" t="s">
        <v>1328</v>
      </c>
      <c r="H1481" s="82"/>
    </row>
    <row r="1482" spans="1:8" ht="16" x14ac:dyDescent="0.2">
      <c r="A1482" s="85" t="s">
        <v>433</v>
      </c>
      <c r="B1482" s="89" t="s">
        <v>1585</v>
      </c>
      <c r="C1482" s="86" t="s">
        <v>1937</v>
      </c>
      <c r="D1482" s="86" t="s">
        <v>1011</v>
      </c>
      <c r="E1482" s="90" t="s">
        <v>117</v>
      </c>
      <c r="F1482" s="88" t="s">
        <v>1880</v>
      </c>
      <c r="G1482" s="87" t="s">
        <v>1327</v>
      </c>
      <c r="H1482" s="82"/>
    </row>
    <row r="1483" spans="1:8" x14ac:dyDescent="0.2">
      <c r="A1483" s="85" t="s">
        <v>433</v>
      </c>
      <c r="B1483" s="97" t="s">
        <v>1868</v>
      </c>
      <c r="C1483" s="86" t="s">
        <v>1937</v>
      </c>
      <c r="D1483" s="86" t="s">
        <v>1011</v>
      </c>
      <c r="E1483" s="90" t="s">
        <v>117</v>
      </c>
      <c r="F1483" s="88" t="s">
        <v>437</v>
      </c>
      <c r="G1483" s="88" t="s">
        <v>1302</v>
      </c>
      <c r="H1483" s="82"/>
    </row>
    <row r="1484" spans="1:8" x14ac:dyDescent="0.2">
      <c r="A1484" s="85" t="s">
        <v>433</v>
      </c>
      <c r="B1484" s="97" t="s">
        <v>1868</v>
      </c>
      <c r="C1484" s="86" t="s">
        <v>1937</v>
      </c>
      <c r="D1484" s="86" t="s">
        <v>1011</v>
      </c>
      <c r="E1484" s="90" t="s">
        <v>117</v>
      </c>
      <c r="F1484" s="88" t="s">
        <v>1836</v>
      </c>
      <c r="G1484" s="88" t="s">
        <v>1302</v>
      </c>
      <c r="H1484" s="82"/>
    </row>
    <row r="1485" spans="1:8" x14ac:dyDescent="0.2">
      <c r="A1485" s="85" t="s">
        <v>433</v>
      </c>
      <c r="B1485" s="97" t="s">
        <v>1868</v>
      </c>
      <c r="C1485" s="86" t="s">
        <v>1937</v>
      </c>
      <c r="D1485" s="86" t="s">
        <v>1011</v>
      </c>
      <c r="E1485" s="90" t="s">
        <v>117</v>
      </c>
      <c r="F1485" s="88" t="s">
        <v>1837</v>
      </c>
      <c r="G1485" s="88" t="s">
        <v>1302</v>
      </c>
      <c r="H1485" s="82"/>
    </row>
    <row r="1486" spans="1:8" x14ac:dyDescent="0.2">
      <c r="A1486" s="85" t="s">
        <v>433</v>
      </c>
      <c r="B1486" s="97" t="s">
        <v>1868</v>
      </c>
      <c r="C1486" s="86" t="s">
        <v>1937</v>
      </c>
      <c r="D1486" s="86" t="s">
        <v>1011</v>
      </c>
      <c r="E1486" s="90" t="s">
        <v>117</v>
      </c>
      <c r="F1486" s="88" t="s">
        <v>1838</v>
      </c>
      <c r="G1486" s="88" t="s">
        <v>1302</v>
      </c>
      <c r="H1486" s="82"/>
    </row>
    <row r="1487" spans="1:8" x14ac:dyDescent="0.2">
      <c r="A1487" s="85" t="s">
        <v>433</v>
      </c>
      <c r="B1487" s="97" t="s">
        <v>1868</v>
      </c>
      <c r="C1487" s="86" t="s">
        <v>1937</v>
      </c>
      <c r="D1487" s="86" t="s">
        <v>1011</v>
      </c>
      <c r="E1487" s="90" t="s">
        <v>117</v>
      </c>
      <c r="F1487" s="88" t="s">
        <v>1839</v>
      </c>
      <c r="G1487" s="88" t="s">
        <v>1302</v>
      </c>
      <c r="H1487" s="82"/>
    </row>
    <row r="1488" spans="1:8" x14ac:dyDescent="0.2">
      <c r="A1488" s="85" t="s">
        <v>433</v>
      </c>
      <c r="B1488" s="97" t="s">
        <v>1868</v>
      </c>
      <c r="C1488" s="86" t="s">
        <v>1937</v>
      </c>
      <c r="D1488" s="86" t="s">
        <v>1011</v>
      </c>
      <c r="E1488" s="90" t="s">
        <v>117</v>
      </c>
      <c r="F1488" s="88" t="s">
        <v>1840</v>
      </c>
      <c r="G1488" s="88" t="s">
        <v>1302</v>
      </c>
      <c r="H1488" s="82"/>
    </row>
    <row r="1489" spans="1:8" x14ac:dyDescent="0.2">
      <c r="A1489" s="85" t="s">
        <v>433</v>
      </c>
      <c r="B1489" s="97" t="s">
        <v>1868</v>
      </c>
      <c r="C1489" s="86" t="s">
        <v>1937</v>
      </c>
      <c r="D1489" s="86" t="s">
        <v>1011</v>
      </c>
      <c r="E1489" s="90" t="s">
        <v>117</v>
      </c>
      <c r="F1489" s="88" t="s">
        <v>1841</v>
      </c>
      <c r="G1489" s="88" t="s">
        <v>1302</v>
      </c>
      <c r="H1489" s="82"/>
    </row>
    <row r="1490" spans="1:8" x14ac:dyDescent="0.2">
      <c r="A1490" s="85" t="s">
        <v>433</v>
      </c>
      <c r="B1490" s="97" t="s">
        <v>1868</v>
      </c>
      <c r="C1490" s="86" t="s">
        <v>1937</v>
      </c>
      <c r="D1490" s="86" t="s">
        <v>1011</v>
      </c>
      <c r="E1490" s="90" t="s">
        <v>117</v>
      </c>
      <c r="F1490" s="88" t="s">
        <v>1896</v>
      </c>
      <c r="G1490" s="88" t="s">
        <v>1302</v>
      </c>
      <c r="H1490" s="82"/>
    </row>
    <row r="1491" spans="1:8" x14ac:dyDescent="0.2">
      <c r="A1491" s="85" t="s">
        <v>433</v>
      </c>
      <c r="B1491" s="97" t="s">
        <v>1868</v>
      </c>
      <c r="C1491" s="86" t="s">
        <v>1937</v>
      </c>
      <c r="D1491" s="86" t="s">
        <v>1011</v>
      </c>
      <c r="E1491" s="90" t="s">
        <v>117</v>
      </c>
      <c r="F1491" s="88" t="s">
        <v>1842</v>
      </c>
      <c r="G1491" s="88" t="s">
        <v>1302</v>
      </c>
      <c r="H1491" s="82"/>
    </row>
    <row r="1492" spans="1:8" x14ac:dyDescent="0.2">
      <c r="A1492" s="85" t="s">
        <v>433</v>
      </c>
      <c r="B1492" s="97" t="s">
        <v>1868</v>
      </c>
      <c r="C1492" s="86" t="s">
        <v>1937</v>
      </c>
      <c r="D1492" s="86" t="s">
        <v>1011</v>
      </c>
      <c r="E1492" s="90" t="s">
        <v>117</v>
      </c>
      <c r="F1492" s="88" t="s">
        <v>1897</v>
      </c>
      <c r="G1492" s="88" t="s">
        <v>1302</v>
      </c>
      <c r="H1492" s="82"/>
    </row>
    <row r="1493" spans="1:8" x14ac:dyDescent="0.2">
      <c r="A1493" s="85" t="s">
        <v>433</v>
      </c>
      <c r="B1493" s="97" t="s">
        <v>1868</v>
      </c>
      <c r="C1493" s="86" t="s">
        <v>1937</v>
      </c>
      <c r="D1493" s="86" t="s">
        <v>1011</v>
      </c>
      <c r="E1493" s="90" t="s">
        <v>117</v>
      </c>
      <c r="F1493" s="88" t="s">
        <v>1898</v>
      </c>
      <c r="G1493" s="88" t="s">
        <v>1302</v>
      </c>
      <c r="H1493" s="82"/>
    </row>
    <row r="1494" spans="1:8" x14ac:dyDescent="0.2">
      <c r="A1494" s="85" t="s">
        <v>433</v>
      </c>
      <c r="B1494" s="97" t="s">
        <v>1868</v>
      </c>
      <c r="C1494" s="86" t="s">
        <v>1937</v>
      </c>
      <c r="D1494" s="86" t="s">
        <v>1011</v>
      </c>
      <c r="E1494" s="90" t="s">
        <v>117</v>
      </c>
      <c r="F1494" s="88" t="s">
        <v>1899</v>
      </c>
      <c r="G1494" s="88" t="s">
        <v>1302</v>
      </c>
      <c r="H1494" s="82"/>
    </row>
    <row r="1495" spans="1:8" x14ac:dyDescent="0.2">
      <c r="A1495" s="85" t="s">
        <v>433</v>
      </c>
      <c r="B1495" s="97" t="s">
        <v>1868</v>
      </c>
      <c r="C1495" s="86" t="s">
        <v>1937</v>
      </c>
      <c r="D1495" s="86" t="s">
        <v>1011</v>
      </c>
      <c r="E1495" s="90" t="s">
        <v>117</v>
      </c>
      <c r="F1495" s="88" t="s">
        <v>1900</v>
      </c>
      <c r="G1495" s="88" t="s">
        <v>1302</v>
      </c>
      <c r="H1495" s="82"/>
    </row>
    <row r="1496" spans="1:8" x14ac:dyDescent="0.2">
      <c r="A1496" s="85" t="s">
        <v>433</v>
      </c>
      <c r="B1496" s="97" t="s">
        <v>1868</v>
      </c>
      <c r="C1496" s="86" t="s">
        <v>1937</v>
      </c>
      <c r="D1496" s="86" t="s">
        <v>1011</v>
      </c>
      <c r="E1496" s="90" t="s">
        <v>117</v>
      </c>
      <c r="F1496" s="88" t="s">
        <v>1843</v>
      </c>
      <c r="G1496" s="88" t="s">
        <v>1303</v>
      </c>
      <c r="H1496" s="82"/>
    </row>
    <row r="1497" spans="1:8" x14ac:dyDescent="0.2">
      <c r="A1497" s="85" t="s">
        <v>433</v>
      </c>
      <c r="B1497" s="97" t="s">
        <v>1868</v>
      </c>
      <c r="C1497" s="86" t="s">
        <v>1937</v>
      </c>
      <c r="D1497" s="86" t="s">
        <v>1011</v>
      </c>
      <c r="E1497" s="90" t="s">
        <v>117</v>
      </c>
      <c r="F1497" s="88" t="s">
        <v>1846</v>
      </c>
      <c r="G1497" s="88" t="s">
        <v>1303</v>
      </c>
      <c r="H1497" s="82"/>
    </row>
    <row r="1498" spans="1:8" x14ac:dyDescent="0.2">
      <c r="A1498" s="85" t="s">
        <v>433</v>
      </c>
      <c r="B1498" s="97" t="s">
        <v>1868</v>
      </c>
      <c r="C1498" s="86" t="s">
        <v>1937</v>
      </c>
      <c r="D1498" s="86" t="s">
        <v>1011</v>
      </c>
      <c r="E1498" s="90" t="s">
        <v>117</v>
      </c>
      <c r="F1498" s="88" t="s">
        <v>1847</v>
      </c>
      <c r="G1498" s="88" t="s">
        <v>1303</v>
      </c>
      <c r="H1498" s="82"/>
    </row>
    <row r="1499" spans="1:8" x14ac:dyDescent="0.2">
      <c r="A1499" s="85" t="s">
        <v>433</v>
      </c>
      <c r="B1499" s="97" t="s">
        <v>1868</v>
      </c>
      <c r="C1499" s="86" t="s">
        <v>1937</v>
      </c>
      <c r="D1499" s="86" t="s">
        <v>1011</v>
      </c>
      <c r="E1499" s="90" t="s">
        <v>117</v>
      </c>
      <c r="F1499" s="88" t="s">
        <v>1848</v>
      </c>
      <c r="G1499" s="88" t="s">
        <v>1303</v>
      </c>
      <c r="H1499" s="82"/>
    </row>
    <row r="1500" spans="1:8" x14ac:dyDescent="0.2">
      <c r="A1500" s="85" t="s">
        <v>433</v>
      </c>
      <c r="B1500" s="97" t="s">
        <v>1868</v>
      </c>
      <c r="C1500" s="86" t="s">
        <v>1937</v>
      </c>
      <c r="D1500" s="86" t="s">
        <v>1011</v>
      </c>
      <c r="E1500" s="90" t="s">
        <v>117</v>
      </c>
      <c r="F1500" s="88" t="s">
        <v>1849</v>
      </c>
      <c r="G1500" s="88" t="s">
        <v>1303</v>
      </c>
      <c r="H1500" s="82"/>
    </row>
    <row r="1501" spans="1:8" x14ac:dyDescent="0.2">
      <c r="A1501" s="85" t="s">
        <v>433</v>
      </c>
      <c r="B1501" s="97" t="s">
        <v>1868</v>
      </c>
      <c r="C1501" s="86" t="s">
        <v>1937</v>
      </c>
      <c r="D1501" s="86" t="s">
        <v>1011</v>
      </c>
      <c r="E1501" s="90" t="s">
        <v>117</v>
      </c>
      <c r="F1501" s="88" t="s">
        <v>1901</v>
      </c>
      <c r="G1501" s="88" t="s">
        <v>1303</v>
      </c>
      <c r="H1501" s="82"/>
    </row>
    <row r="1502" spans="1:8" x14ac:dyDescent="0.2">
      <c r="A1502" s="85" t="s">
        <v>433</v>
      </c>
      <c r="B1502" s="97" t="s">
        <v>1868</v>
      </c>
      <c r="C1502" s="86" t="s">
        <v>1937</v>
      </c>
      <c r="D1502" s="86" t="s">
        <v>1011</v>
      </c>
      <c r="E1502" s="90" t="s">
        <v>117</v>
      </c>
      <c r="F1502" s="88" t="s">
        <v>1844</v>
      </c>
      <c r="G1502" s="88" t="s">
        <v>1303</v>
      </c>
      <c r="H1502" s="82"/>
    </row>
    <row r="1503" spans="1:8" x14ac:dyDescent="0.2">
      <c r="A1503" s="85" t="s">
        <v>433</v>
      </c>
      <c r="B1503" s="97" t="s">
        <v>1868</v>
      </c>
      <c r="C1503" s="86" t="s">
        <v>1937</v>
      </c>
      <c r="D1503" s="86" t="s">
        <v>1011</v>
      </c>
      <c r="E1503" s="90" t="s">
        <v>117</v>
      </c>
      <c r="F1503" s="88" t="s">
        <v>1845</v>
      </c>
      <c r="G1503" s="88" t="s">
        <v>1303</v>
      </c>
      <c r="H1503" s="82"/>
    </row>
    <row r="1504" spans="1:8" x14ac:dyDescent="0.2">
      <c r="A1504" s="85" t="s">
        <v>433</v>
      </c>
      <c r="B1504" s="97" t="s">
        <v>1868</v>
      </c>
      <c r="C1504" s="86" t="s">
        <v>1937</v>
      </c>
      <c r="D1504" s="86" t="s">
        <v>1011</v>
      </c>
      <c r="E1504" s="90" t="s">
        <v>117</v>
      </c>
      <c r="F1504" s="88" t="s">
        <v>1902</v>
      </c>
      <c r="G1504" s="88" t="s">
        <v>1303</v>
      </c>
      <c r="H1504" s="82"/>
    </row>
    <row r="1505" spans="1:8" x14ac:dyDescent="0.2">
      <c r="A1505" s="85" t="s">
        <v>433</v>
      </c>
      <c r="B1505" s="97" t="s">
        <v>1868</v>
      </c>
      <c r="C1505" s="86" t="s">
        <v>1937</v>
      </c>
      <c r="D1505" s="86" t="s">
        <v>1011</v>
      </c>
      <c r="E1505" s="90" t="s">
        <v>117</v>
      </c>
      <c r="F1505" s="88" t="s">
        <v>1903</v>
      </c>
      <c r="G1505" s="88" t="s">
        <v>1303</v>
      </c>
      <c r="H1505" s="82"/>
    </row>
    <row r="1506" spans="1:8" x14ac:dyDescent="0.2">
      <c r="A1506" s="85" t="s">
        <v>433</v>
      </c>
      <c r="B1506" s="97" t="s">
        <v>1868</v>
      </c>
      <c r="C1506" s="86" t="s">
        <v>1937</v>
      </c>
      <c r="D1506" s="86" t="s">
        <v>1011</v>
      </c>
      <c r="E1506" s="90" t="s">
        <v>117</v>
      </c>
      <c r="F1506" s="88" t="s">
        <v>1904</v>
      </c>
      <c r="G1506" s="88" t="s">
        <v>1303</v>
      </c>
      <c r="H1506" s="82"/>
    </row>
    <row r="1507" spans="1:8" x14ac:dyDescent="0.2">
      <c r="A1507" s="85" t="s">
        <v>433</v>
      </c>
      <c r="B1507" s="97" t="s">
        <v>1868</v>
      </c>
      <c r="C1507" s="86" t="s">
        <v>1937</v>
      </c>
      <c r="D1507" s="86" t="s">
        <v>1011</v>
      </c>
      <c r="E1507" s="90" t="s">
        <v>117</v>
      </c>
      <c r="F1507" s="88" t="s">
        <v>1905</v>
      </c>
      <c r="G1507" s="88" t="s">
        <v>1303</v>
      </c>
      <c r="H1507" s="82"/>
    </row>
    <row r="1508" spans="1:8" x14ac:dyDescent="0.2">
      <c r="A1508" s="85" t="s">
        <v>433</v>
      </c>
      <c r="B1508" s="89" t="s">
        <v>1585</v>
      </c>
      <c r="C1508" s="86" t="s">
        <v>1937</v>
      </c>
      <c r="D1508" s="86" t="s">
        <v>1011</v>
      </c>
      <c r="E1508" s="90" t="s">
        <v>117</v>
      </c>
      <c r="F1508" s="88" t="s">
        <v>433</v>
      </c>
      <c r="G1508" s="88" t="s">
        <v>1243</v>
      </c>
      <c r="H1508" s="82"/>
    </row>
    <row r="1509" spans="1:8" x14ac:dyDescent="0.2">
      <c r="A1509" s="85" t="s">
        <v>433</v>
      </c>
      <c r="B1509" s="89" t="s">
        <v>1585</v>
      </c>
      <c r="C1509" s="86" t="s">
        <v>1937</v>
      </c>
      <c r="D1509" s="86" t="s">
        <v>1011</v>
      </c>
      <c r="E1509" s="90" t="s">
        <v>117</v>
      </c>
      <c r="F1509" s="88" t="s">
        <v>1824</v>
      </c>
      <c r="G1509" s="88" t="s">
        <v>1243</v>
      </c>
      <c r="H1509" s="82"/>
    </row>
    <row r="1510" spans="1:8" x14ac:dyDescent="0.2">
      <c r="A1510" s="85" t="s">
        <v>433</v>
      </c>
      <c r="B1510" s="89" t="s">
        <v>1585</v>
      </c>
      <c r="C1510" s="86" t="s">
        <v>1937</v>
      </c>
      <c r="D1510" s="86" t="s">
        <v>1011</v>
      </c>
      <c r="E1510" s="90" t="s">
        <v>117</v>
      </c>
      <c r="F1510" s="88" t="s">
        <v>1825</v>
      </c>
      <c r="G1510" s="88" t="s">
        <v>1243</v>
      </c>
      <c r="H1510" s="82"/>
    </row>
    <row r="1511" spans="1:8" x14ac:dyDescent="0.2">
      <c r="A1511" s="85" t="s">
        <v>433</v>
      </c>
      <c r="B1511" s="89" t="s">
        <v>1585</v>
      </c>
      <c r="C1511" s="86" t="s">
        <v>1937</v>
      </c>
      <c r="D1511" s="86" t="s">
        <v>1011</v>
      </c>
      <c r="E1511" s="90" t="s">
        <v>117</v>
      </c>
      <c r="F1511" s="88" t="s">
        <v>1885</v>
      </c>
      <c r="G1511" s="88" t="s">
        <v>1243</v>
      </c>
      <c r="H1511" s="82"/>
    </row>
    <row r="1512" spans="1:8" x14ac:dyDescent="0.2">
      <c r="A1512" s="85" t="s">
        <v>433</v>
      </c>
      <c r="B1512" s="89" t="s">
        <v>1585</v>
      </c>
      <c r="C1512" s="86" t="s">
        <v>1937</v>
      </c>
      <c r="D1512" s="86" t="s">
        <v>1011</v>
      </c>
      <c r="E1512" s="90" t="s">
        <v>117</v>
      </c>
      <c r="F1512" s="88" t="s">
        <v>1886</v>
      </c>
      <c r="G1512" s="88" t="s">
        <v>1243</v>
      </c>
      <c r="H1512" s="82"/>
    </row>
    <row r="1513" spans="1:8" x14ac:dyDescent="0.2">
      <c r="A1513" s="85" t="s">
        <v>433</v>
      </c>
      <c r="B1513" s="89" t="s">
        <v>1585</v>
      </c>
      <c r="C1513" s="86" t="s">
        <v>1937</v>
      </c>
      <c r="D1513" s="86" t="s">
        <v>1011</v>
      </c>
      <c r="E1513" s="90" t="s">
        <v>117</v>
      </c>
      <c r="F1513" s="88" t="s">
        <v>1827</v>
      </c>
      <c r="G1513" s="88" t="s">
        <v>1243</v>
      </c>
      <c r="H1513" s="82"/>
    </row>
    <row r="1514" spans="1:8" x14ac:dyDescent="0.2">
      <c r="A1514" s="85" t="s">
        <v>433</v>
      </c>
      <c r="B1514" s="89" t="s">
        <v>1585</v>
      </c>
      <c r="C1514" s="86" t="s">
        <v>1937</v>
      </c>
      <c r="D1514" s="86" t="s">
        <v>1011</v>
      </c>
      <c r="E1514" s="90" t="s">
        <v>117</v>
      </c>
      <c r="F1514" s="88" t="s">
        <v>1887</v>
      </c>
      <c r="G1514" s="88" t="s">
        <v>1243</v>
      </c>
      <c r="H1514" s="82"/>
    </row>
    <row r="1515" spans="1:8" x14ac:dyDescent="0.2">
      <c r="A1515" s="85" t="s">
        <v>433</v>
      </c>
      <c r="B1515" s="89" t="s">
        <v>1585</v>
      </c>
      <c r="C1515" s="86" t="s">
        <v>1937</v>
      </c>
      <c r="D1515" s="86" t="s">
        <v>1011</v>
      </c>
      <c r="E1515" s="90" t="s">
        <v>117</v>
      </c>
      <c r="F1515" s="88" t="s">
        <v>1828</v>
      </c>
      <c r="G1515" s="88" t="s">
        <v>1243</v>
      </c>
      <c r="H1515" s="82"/>
    </row>
    <row r="1516" spans="1:8" x14ac:dyDescent="0.2">
      <c r="A1516" s="85" t="s">
        <v>433</v>
      </c>
      <c r="B1516" s="89" t="s">
        <v>1585</v>
      </c>
      <c r="C1516" s="86" t="s">
        <v>1937</v>
      </c>
      <c r="D1516" s="86" t="s">
        <v>1011</v>
      </c>
      <c r="E1516" s="90" t="s">
        <v>117</v>
      </c>
      <c r="F1516" s="88" t="s">
        <v>442</v>
      </c>
      <c r="G1516" s="88" t="s">
        <v>1243</v>
      </c>
      <c r="H1516" s="82"/>
    </row>
    <row r="1517" spans="1:8" x14ac:dyDescent="0.2">
      <c r="A1517" s="85" t="s">
        <v>433</v>
      </c>
      <c r="B1517" s="89" t="s">
        <v>1585</v>
      </c>
      <c r="C1517" s="86" t="s">
        <v>1937</v>
      </c>
      <c r="D1517" s="86" t="s">
        <v>1011</v>
      </c>
      <c r="E1517" s="90" t="s">
        <v>117</v>
      </c>
      <c r="F1517" s="88" t="s">
        <v>1888</v>
      </c>
      <c r="G1517" s="88" t="s">
        <v>1243</v>
      </c>
      <c r="H1517" s="82"/>
    </row>
    <row r="1518" spans="1:8" x14ac:dyDescent="0.2">
      <c r="A1518" s="85" t="s">
        <v>433</v>
      </c>
      <c r="B1518" s="89" t="s">
        <v>1585</v>
      </c>
      <c r="C1518" s="86" t="s">
        <v>1937</v>
      </c>
      <c r="D1518" s="86" t="s">
        <v>1011</v>
      </c>
      <c r="E1518" s="90" t="s">
        <v>117</v>
      </c>
      <c r="F1518" s="88" t="s">
        <v>447</v>
      </c>
      <c r="G1518" s="88" t="s">
        <v>1243</v>
      </c>
      <c r="H1518" s="82"/>
    </row>
    <row r="1519" spans="1:8" x14ac:dyDescent="0.2">
      <c r="A1519" s="85" t="s">
        <v>433</v>
      </c>
      <c r="B1519" s="89" t="s">
        <v>1585</v>
      </c>
      <c r="C1519" s="86" t="s">
        <v>1937</v>
      </c>
      <c r="D1519" s="86" t="s">
        <v>1011</v>
      </c>
      <c r="E1519" s="90" t="s">
        <v>117</v>
      </c>
      <c r="F1519" s="88" t="s">
        <v>1889</v>
      </c>
      <c r="G1519" s="88" t="s">
        <v>1243</v>
      </c>
      <c r="H1519" s="82"/>
    </row>
    <row r="1520" spans="1:8" x14ac:dyDescent="0.2">
      <c r="A1520" s="85" t="s">
        <v>433</v>
      </c>
      <c r="B1520" s="89" t="s">
        <v>1585</v>
      </c>
      <c r="C1520" s="86" t="s">
        <v>1937</v>
      </c>
      <c r="D1520" s="86" t="s">
        <v>1011</v>
      </c>
      <c r="E1520" s="90" t="s">
        <v>117</v>
      </c>
      <c r="F1520" s="88" t="s">
        <v>1829</v>
      </c>
      <c r="G1520" s="88" t="s">
        <v>1244</v>
      </c>
      <c r="H1520" s="82"/>
    </row>
    <row r="1521" spans="1:8" x14ac:dyDescent="0.2">
      <c r="A1521" s="85" t="s">
        <v>433</v>
      </c>
      <c r="B1521" s="89" t="s">
        <v>1585</v>
      </c>
      <c r="C1521" s="86" t="s">
        <v>1937</v>
      </c>
      <c r="D1521" s="86" t="s">
        <v>1011</v>
      </c>
      <c r="E1521" s="90" t="s">
        <v>117</v>
      </c>
      <c r="F1521" s="88" t="s">
        <v>1832</v>
      </c>
      <c r="G1521" s="88" t="s">
        <v>1244</v>
      </c>
      <c r="H1521" s="82"/>
    </row>
    <row r="1522" spans="1:8" x14ac:dyDescent="0.2">
      <c r="A1522" s="85" t="s">
        <v>433</v>
      </c>
      <c r="B1522" s="89" t="s">
        <v>1585</v>
      </c>
      <c r="C1522" s="86" t="s">
        <v>1937</v>
      </c>
      <c r="D1522" s="86" t="s">
        <v>1011</v>
      </c>
      <c r="E1522" s="90" t="s">
        <v>117</v>
      </c>
      <c r="F1522" s="88" t="s">
        <v>1833</v>
      </c>
      <c r="G1522" s="88" t="s">
        <v>1244</v>
      </c>
      <c r="H1522" s="82"/>
    </row>
    <row r="1523" spans="1:8" x14ac:dyDescent="0.2">
      <c r="A1523" s="85" t="s">
        <v>433</v>
      </c>
      <c r="B1523" s="89" t="s">
        <v>1585</v>
      </c>
      <c r="C1523" s="86" t="s">
        <v>1937</v>
      </c>
      <c r="D1523" s="86" t="s">
        <v>1011</v>
      </c>
      <c r="E1523" s="90" t="s">
        <v>117</v>
      </c>
      <c r="F1523" s="88" t="s">
        <v>1834</v>
      </c>
      <c r="G1523" s="88" t="s">
        <v>1244</v>
      </c>
      <c r="H1523" s="82"/>
    </row>
    <row r="1524" spans="1:8" x14ac:dyDescent="0.2">
      <c r="A1524" s="85" t="s">
        <v>433</v>
      </c>
      <c r="B1524" s="89" t="s">
        <v>1585</v>
      </c>
      <c r="C1524" s="86" t="s">
        <v>1937</v>
      </c>
      <c r="D1524" s="86" t="s">
        <v>1011</v>
      </c>
      <c r="E1524" s="90" t="s">
        <v>117</v>
      </c>
      <c r="F1524" s="88" t="s">
        <v>1891</v>
      </c>
      <c r="G1524" s="88" t="s">
        <v>1244</v>
      </c>
      <c r="H1524" s="82"/>
    </row>
    <row r="1525" spans="1:8" x14ac:dyDescent="0.2">
      <c r="A1525" s="85" t="s">
        <v>433</v>
      </c>
      <c r="B1525" s="89" t="s">
        <v>1585</v>
      </c>
      <c r="C1525" s="86" t="s">
        <v>1937</v>
      </c>
      <c r="D1525" s="86" t="s">
        <v>1011</v>
      </c>
      <c r="E1525" s="90" t="s">
        <v>117</v>
      </c>
      <c r="F1525" s="88" t="s">
        <v>1830</v>
      </c>
      <c r="G1525" s="88" t="s">
        <v>1244</v>
      </c>
      <c r="H1525" s="82"/>
    </row>
    <row r="1526" spans="1:8" x14ac:dyDescent="0.2">
      <c r="A1526" s="85" t="s">
        <v>433</v>
      </c>
      <c r="B1526" s="89" t="s">
        <v>1585</v>
      </c>
      <c r="C1526" s="86" t="s">
        <v>1937</v>
      </c>
      <c r="D1526" s="86" t="s">
        <v>1011</v>
      </c>
      <c r="E1526" s="90" t="s">
        <v>117</v>
      </c>
      <c r="F1526" s="88" t="s">
        <v>1831</v>
      </c>
      <c r="G1526" s="88" t="s">
        <v>1244</v>
      </c>
      <c r="H1526" s="82"/>
    </row>
    <row r="1527" spans="1:8" x14ac:dyDescent="0.2">
      <c r="A1527" s="85" t="s">
        <v>433</v>
      </c>
      <c r="B1527" s="89" t="s">
        <v>1585</v>
      </c>
      <c r="C1527" s="86" t="s">
        <v>1937</v>
      </c>
      <c r="D1527" s="86" t="s">
        <v>1011</v>
      </c>
      <c r="E1527" s="90" t="s">
        <v>117</v>
      </c>
      <c r="F1527" s="88" t="s">
        <v>1892</v>
      </c>
      <c r="G1527" s="88" t="s">
        <v>1244</v>
      </c>
      <c r="H1527" s="82"/>
    </row>
    <row r="1528" spans="1:8" x14ac:dyDescent="0.2">
      <c r="A1528" s="85" t="s">
        <v>433</v>
      </c>
      <c r="B1528" s="89" t="s">
        <v>1585</v>
      </c>
      <c r="C1528" s="86" t="s">
        <v>1937</v>
      </c>
      <c r="D1528" s="86" t="s">
        <v>1011</v>
      </c>
      <c r="E1528" s="90" t="s">
        <v>117</v>
      </c>
      <c r="F1528" s="88" t="s">
        <v>1893</v>
      </c>
      <c r="G1528" s="88" t="s">
        <v>1244</v>
      </c>
      <c r="H1528" s="82"/>
    </row>
    <row r="1529" spans="1:8" x14ac:dyDescent="0.2">
      <c r="A1529" s="85" t="s">
        <v>433</v>
      </c>
      <c r="B1529" s="89" t="s">
        <v>1585</v>
      </c>
      <c r="C1529" s="86" t="s">
        <v>1937</v>
      </c>
      <c r="D1529" s="86" t="s">
        <v>1011</v>
      </c>
      <c r="E1529" s="90" t="s">
        <v>117</v>
      </c>
      <c r="F1529" s="88" t="s">
        <v>1894</v>
      </c>
      <c r="G1529" s="88" t="s">
        <v>1244</v>
      </c>
      <c r="H1529" s="82"/>
    </row>
    <row r="1530" spans="1:8" x14ac:dyDescent="0.2">
      <c r="A1530" s="85" t="s">
        <v>433</v>
      </c>
      <c r="B1530" s="89" t="s">
        <v>1585</v>
      </c>
      <c r="C1530" s="86" t="s">
        <v>1937</v>
      </c>
      <c r="D1530" s="86" t="s">
        <v>1011</v>
      </c>
      <c r="E1530" s="90" t="s">
        <v>117</v>
      </c>
      <c r="F1530" s="88" t="s">
        <v>1895</v>
      </c>
      <c r="G1530" s="88" t="s">
        <v>1244</v>
      </c>
      <c r="H1530" s="82"/>
    </row>
    <row r="1531" spans="1:8" x14ac:dyDescent="0.2">
      <c r="A1531" s="85" t="s">
        <v>433</v>
      </c>
      <c r="B1531" s="89" t="s">
        <v>1585</v>
      </c>
      <c r="C1531" s="86" t="s">
        <v>1937</v>
      </c>
      <c r="D1531" s="86" t="s">
        <v>1011</v>
      </c>
      <c r="E1531" s="90" t="s">
        <v>117</v>
      </c>
      <c r="F1531" s="88" t="s">
        <v>437</v>
      </c>
      <c r="G1531" s="88" t="s">
        <v>1245</v>
      </c>
      <c r="H1531" s="82"/>
    </row>
    <row r="1532" spans="1:8" x14ac:dyDescent="0.2">
      <c r="A1532" s="85" t="s">
        <v>433</v>
      </c>
      <c r="B1532" s="89" t="s">
        <v>1585</v>
      </c>
      <c r="C1532" s="86" t="s">
        <v>1937</v>
      </c>
      <c r="D1532" s="86" t="s">
        <v>1011</v>
      </c>
      <c r="E1532" s="90" t="s">
        <v>117</v>
      </c>
      <c r="F1532" s="88" t="s">
        <v>1836</v>
      </c>
      <c r="G1532" s="88" t="s">
        <v>1245</v>
      </c>
      <c r="H1532" s="82"/>
    </row>
    <row r="1533" spans="1:8" x14ac:dyDescent="0.2">
      <c r="A1533" s="85" t="s">
        <v>433</v>
      </c>
      <c r="B1533" s="89" t="s">
        <v>1585</v>
      </c>
      <c r="C1533" s="86" t="s">
        <v>1937</v>
      </c>
      <c r="D1533" s="86" t="s">
        <v>1011</v>
      </c>
      <c r="E1533" s="90" t="s">
        <v>117</v>
      </c>
      <c r="F1533" s="88" t="s">
        <v>1837</v>
      </c>
      <c r="G1533" s="88" t="s">
        <v>1245</v>
      </c>
      <c r="H1533" s="82"/>
    </row>
    <row r="1534" spans="1:8" x14ac:dyDescent="0.2">
      <c r="A1534" s="85" t="s">
        <v>433</v>
      </c>
      <c r="B1534" s="89" t="s">
        <v>1585</v>
      </c>
      <c r="C1534" s="86" t="s">
        <v>1937</v>
      </c>
      <c r="D1534" s="86" t="s">
        <v>1011</v>
      </c>
      <c r="E1534" s="90" t="s">
        <v>117</v>
      </c>
      <c r="F1534" s="88" t="s">
        <v>1838</v>
      </c>
      <c r="G1534" s="88" t="s">
        <v>1245</v>
      </c>
      <c r="H1534" s="82"/>
    </row>
    <row r="1535" spans="1:8" x14ac:dyDescent="0.2">
      <c r="A1535" s="85" t="s">
        <v>433</v>
      </c>
      <c r="B1535" s="89" t="s">
        <v>1585</v>
      </c>
      <c r="C1535" s="86" t="s">
        <v>1937</v>
      </c>
      <c r="D1535" s="86" t="s">
        <v>1011</v>
      </c>
      <c r="E1535" s="90" t="s">
        <v>117</v>
      </c>
      <c r="F1535" s="88" t="s">
        <v>1839</v>
      </c>
      <c r="G1535" s="88" t="s">
        <v>1245</v>
      </c>
      <c r="H1535" s="82"/>
    </row>
    <row r="1536" spans="1:8" x14ac:dyDescent="0.2">
      <c r="A1536" s="85" t="s">
        <v>433</v>
      </c>
      <c r="B1536" s="89" t="s">
        <v>1585</v>
      </c>
      <c r="C1536" s="86" t="s">
        <v>1937</v>
      </c>
      <c r="D1536" s="86" t="s">
        <v>1011</v>
      </c>
      <c r="E1536" s="90" t="s">
        <v>117</v>
      </c>
      <c r="F1536" s="88" t="s">
        <v>1841</v>
      </c>
      <c r="G1536" s="88" t="s">
        <v>1245</v>
      </c>
      <c r="H1536" s="82"/>
    </row>
    <row r="1537" spans="1:8" x14ac:dyDescent="0.2">
      <c r="A1537" s="85" t="s">
        <v>433</v>
      </c>
      <c r="B1537" s="89" t="s">
        <v>1585</v>
      </c>
      <c r="C1537" s="86" t="s">
        <v>1937</v>
      </c>
      <c r="D1537" s="86" t="s">
        <v>1011</v>
      </c>
      <c r="E1537" s="90" t="s">
        <v>117</v>
      </c>
      <c r="F1537" s="88" t="s">
        <v>1896</v>
      </c>
      <c r="G1537" s="88" t="s">
        <v>1245</v>
      </c>
      <c r="H1537" s="82"/>
    </row>
    <row r="1538" spans="1:8" x14ac:dyDescent="0.2">
      <c r="A1538" s="85" t="s">
        <v>433</v>
      </c>
      <c r="B1538" s="89" t="s">
        <v>1585</v>
      </c>
      <c r="C1538" s="86" t="s">
        <v>1937</v>
      </c>
      <c r="D1538" s="86" t="s">
        <v>1011</v>
      </c>
      <c r="E1538" s="90" t="s">
        <v>117</v>
      </c>
      <c r="F1538" s="88" t="s">
        <v>1842</v>
      </c>
      <c r="G1538" s="88" t="s">
        <v>1245</v>
      </c>
      <c r="H1538" s="82"/>
    </row>
    <row r="1539" spans="1:8" x14ac:dyDescent="0.2">
      <c r="A1539" s="85" t="s">
        <v>433</v>
      </c>
      <c r="B1539" s="89" t="s">
        <v>1585</v>
      </c>
      <c r="C1539" s="86" t="s">
        <v>1937</v>
      </c>
      <c r="D1539" s="86" t="s">
        <v>1011</v>
      </c>
      <c r="E1539" s="90" t="s">
        <v>117</v>
      </c>
      <c r="F1539" s="88" t="s">
        <v>1897</v>
      </c>
      <c r="G1539" s="88" t="s">
        <v>1245</v>
      </c>
      <c r="H1539" s="82"/>
    </row>
    <row r="1540" spans="1:8" x14ac:dyDescent="0.2">
      <c r="A1540" s="85" t="s">
        <v>433</v>
      </c>
      <c r="B1540" s="89" t="s">
        <v>1585</v>
      </c>
      <c r="C1540" s="86" t="s">
        <v>1937</v>
      </c>
      <c r="D1540" s="86" t="s">
        <v>1011</v>
      </c>
      <c r="E1540" s="90" t="s">
        <v>117</v>
      </c>
      <c r="F1540" s="88" t="s">
        <v>1898</v>
      </c>
      <c r="G1540" s="88" t="s">
        <v>1245</v>
      </c>
      <c r="H1540" s="82"/>
    </row>
    <row r="1541" spans="1:8" x14ac:dyDescent="0.2">
      <c r="A1541" s="85" t="s">
        <v>433</v>
      </c>
      <c r="B1541" s="89" t="s">
        <v>1585</v>
      </c>
      <c r="C1541" s="86" t="s">
        <v>1937</v>
      </c>
      <c r="D1541" s="86" t="s">
        <v>1011</v>
      </c>
      <c r="E1541" s="90" t="s">
        <v>117</v>
      </c>
      <c r="F1541" s="88" t="s">
        <v>1899</v>
      </c>
      <c r="G1541" s="88" t="s">
        <v>1245</v>
      </c>
      <c r="H1541" s="82"/>
    </row>
    <row r="1542" spans="1:8" x14ac:dyDescent="0.2">
      <c r="A1542" s="85" t="s">
        <v>433</v>
      </c>
      <c r="B1542" s="89" t="s">
        <v>1585</v>
      </c>
      <c r="C1542" s="86" t="s">
        <v>1937</v>
      </c>
      <c r="D1542" s="86" t="s">
        <v>1011</v>
      </c>
      <c r="E1542" s="90" t="s">
        <v>117</v>
      </c>
      <c r="F1542" s="88" t="s">
        <v>1900</v>
      </c>
      <c r="G1542" s="88" t="s">
        <v>1245</v>
      </c>
      <c r="H1542" s="82"/>
    </row>
    <row r="1543" spans="1:8" x14ac:dyDescent="0.2">
      <c r="A1543" s="85" t="s">
        <v>433</v>
      </c>
      <c r="B1543" s="89" t="s">
        <v>1585</v>
      </c>
      <c r="C1543" s="86" t="s">
        <v>1937</v>
      </c>
      <c r="D1543" s="86" t="s">
        <v>1011</v>
      </c>
      <c r="E1543" s="90" t="s">
        <v>117</v>
      </c>
      <c r="F1543" s="88" t="s">
        <v>1843</v>
      </c>
      <c r="G1543" s="88" t="s">
        <v>1246</v>
      </c>
      <c r="H1543" s="82"/>
    </row>
    <row r="1544" spans="1:8" x14ac:dyDescent="0.2">
      <c r="A1544" s="85" t="s">
        <v>433</v>
      </c>
      <c r="B1544" s="89" t="s">
        <v>1585</v>
      </c>
      <c r="C1544" s="86" t="s">
        <v>1937</v>
      </c>
      <c r="D1544" s="86" t="s">
        <v>1011</v>
      </c>
      <c r="E1544" s="90" t="s">
        <v>117</v>
      </c>
      <c r="F1544" s="88" t="s">
        <v>1846</v>
      </c>
      <c r="G1544" s="88" t="s">
        <v>1246</v>
      </c>
      <c r="H1544" s="82"/>
    </row>
    <row r="1545" spans="1:8" x14ac:dyDescent="0.2">
      <c r="A1545" s="85" t="s">
        <v>433</v>
      </c>
      <c r="B1545" s="89" t="s">
        <v>1585</v>
      </c>
      <c r="C1545" s="86" t="s">
        <v>1937</v>
      </c>
      <c r="D1545" s="86" t="s">
        <v>1011</v>
      </c>
      <c r="E1545" s="90" t="s">
        <v>117</v>
      </c>
      <c r="F1545" s="88" t="s">
        <v>1847</v>
      </c>
      <c r="G1545" s="88" t="s">
        <v>1246</v>
      </c>
      <c r="H1545" s="82"/>
    </row>
    <row r="1546" spans="1:8" x14ac:dyDescent="0.2">
      <c r="A1546" s="85" t="s">
        <v>433</v>
      </c>
      <c r="B1546" s="89" t="s">
        <v>1585</v>
      </c>
      <c r="C1546" s="86" t="s">
        <v>1937</v>
      </c>
      <c r="D1546" s="86" t="s">
        <v>1011</v>
      </c>
      <c r="E1546" s="90" t="s">
        <v>117</v>
      </c>
      <c r="F1546" s="88" t="s">
        <v>1848</v>
      </c>
      <c r="G1546" s="88" t="s">
        <v>1246</v>
      </c>
      <c r="H1546" s="82"/>
    </row>
    <row r="1547" spans="1:8" x14ac:dyDescent="0.2">
      <c r="A1547" s="85" t="s">
        <v>433</v>
      </c>
      <c r="B1547" s="89" t="s">
        <v>1585</v>
      </c>
      <c r="C1547" s="86" t="s">
        <v>1937</v>
      </c>
      <c r="D1547" s="86" t="s">
        <v>1011</v>
      </c>
      <c r="E1547" s="90" t="s">
        <v>117</v>
      </c>
      <c r="F1547" s="88" t="s">
        <v>1901</v>
      </c>
      <c r="G1547" s="88" t="s">
        <v>1246</v>
      </c>
      <c r="H1547" s="82"/>
    </row>
    <row r="1548" spans="1:8" x14ac:dyDescent="0.2">
      <c r="A1548" s="85" t="s">
        <v>433</v>
      </c>
      <c r="B1548" s="89" t="s">
        <v>1585</v>
      </c>
      <c r="C1548" s="86" t="s">
        <v>1937</v>
      </c>
      <c r="D1548" s="86" t="s">
        <v>1011</v>
      </c>
      <c r="E1548" s="90" t="s">
        <v>117</v>
      </c>
      <c r="F1548" s="88" t="s">
        <v>1844</v>
      </c>
      <c r="G1548" s="88" t="s">
        <v>1246</v>
      </c>
      <c r="H1548" s="82"/>
    </row>
    <row r="1549" spans="1:8" x14ac:dyDescent="0.2">
      <c r="A1549" s="85" t="s">
        <v>433</v>
      </c>
      <c r="B1549" s="89" t="s">
        <v>1585</v>
      </c>
      <c r="C1549" s="86" t="s">
        <v>1937</v>
      </c>
      <c r="D1549" s="86" t="s">
        <v>1011</v>
      </c>
      <c r="E1549" s="90" t="s">
        <v>117</v>
      </c>
      <c r="F1549" s="88" t="s">
        <v>1845</v>
      </c>
      <c r="G1549" s="88" t="s">
        <v>1246</v>
      </c>
      <c r="H1549" s="82"/>
    </row>
    <row r="1550" spans="1:8" x14ac:dyDescent="0.2">
      <c r="A1550" s="85" t="s">
        <v>433</v>
      </c>
      <c r="B1550" s="89" t="s">
        <v>1585</v>
      </c>
      <c r="C1550" s="86" t="s">
        <v>1937</v>
      </c>
      <c r="D1550" s="86" t="s">
        <v>1011</v>
      </c>
      <c r="E1550" s="90" t="s">
        <v>117</v>
      </c>
      <c r="F1550" s="88" t="s">
        <v>1902</v>
      </c>
      <c r="G1550" s="88" t="s">
        <v>1246</v>
      </c>
      <c r="H1550" s="82"/>
    </row>
    <row r="1551" spans="1:8" x14ac:dyDescent="0.2">
      <c r="A1551" s="85" t="s">
        <v>433</v>
      </c>
      <c r="B1551" s="89" t="s">
        <v>1585</v>
      </c>
      <c r="C1551" s="86" t="s">
        <v>1937</v>
      </c>
      <c r="D1551" s="86" t="s">
        <v>1011</v>
      </c>
      <c r="E1551" s="90" t="s">
        <v>117</v>
      </c>
      <c r="F1551" s="88" t="s">
        <v>1903</v>
      </c>
      <c r="G1551" s="88" t="s">
        <v>1246</v>
      </c>
      <c r="H1551" s="82"/>
    </row>
    <row r="1552" spans="1:8" x14ac:dyDescent="0.2">
      <c r="A1552" s="85" t="s">
        <v>433</v>
      </c>
      <c r="B1552" s="89" t="s">
        <v>1585</v>
      </c>
      <c r="C1552" s="86" t="s">
        <v>1937</v>
      </c>
      <c r="D1552" s="86" t="s">
        <v>1011</v>
      </c>
      <c r="E1552" s="90" t="s">
        <v>117</v>
      </c>
      <c r="F1552" s="88" t="s">
        <v>1904</v>
      </c>
      <c r="G1552" s="88" t="s">
        <v>1246</v>
      </c>
      <c r="H1552" s="82"/>
    </row>
    <row r="1553" spans="1:8" x14ac:dyDescent="0.2">
      <c r="A1553" s="85" t="s">
        <v>433</v>
      </c>
      <c r="B1553" s="89" t="s">
        <v>1585</v>
      </c>
      <c r="C1553" s="86" t="s">
        <v>1937</v>
      </c>
      <c r="D1553" s="86" t="s">
        <v>1011</v>
      </c>
      <c r="E1553" s="90" t="s">
        <v>117</v>
      </c>
      <c r="F1553" s="88" t="s">
        <v>1905</v>
      </c>
      <c r="G1553" s="88" t="s">
        <v>1246</v>
      </c>
      <c r="H1553" s="82"/>
    </row>
    <row r="1554" spans="1:8" ht="16" x14ac:dyDescent="0.2">
      <c r="A1554" s="85" t="s">
        <v>1938</v>
      </c>
      <c r="B1554" s="97" t="s">
        <v>1941</v>
      </c>
      <c r="C1554" s="86" t="s">
        <v>1939</v>
      </c>
      <c r="D1554" s="86" t="s">
        <v>1018</v>
      </c>
      <c r="E1554" s="90" t="s">
        <v>133</v>
      </c>
      <c r="F1554" s="88" t="s">
        <v>1940</v>
      </c>
      <c r="G1554" s="87" t="s">
        <v>1256</v>
      </c>
      <c r="H1554" s="82"/>
    </row>
    <row r="1555" spans="1:8" ht="16" x14ac:dyDescent="0.2">
      <c r="A1555" s="85" t="s">
        <v>1938</v>
      </c>
      <c r="B1555" s="97" t="s">
        <v>1941</v>
      </c>
      <c r="C1555" s="86" t="s">
        <v>1939</v>
      </c>
      <c r="D1555" s="86" t="s">
        <v>1018</v>
      </c>
      <c r="E1555" s="90" t="s">
        <v>1034</v>
      </c>
      <c r="F1555" s="88" t="s">
        <v>1940</v>
      </c>
      <c r="G1555" s="87" t="s">
        <v>1256</v>
      </c>
      <c r="H1555" s="82"/>
    </row>
    <row r="1556" spans="1:8" ht="16" x14ac:dyDescent="0.2">
      <c r="A1556" s="85" t="s">
        <v>1938</v>
      </c>
      <c r="B1556" s="97" t="s">
        <v>1941</v>
      </c>
      <c r="C1556" s="86" t="s">
        <v>1939</v>
      </c>
      <c r="D1556" s="86" t="s">
        <v>1018</v>
      </c>
      <c r="E1556" s="90" t="s">
        <v>133</v>
      </c>
      <c r="F1556" s="88" t="s">
        <v>523</v>
      </c>
      <c r="G1556" s="87" t="s">
        <v>1256</v>
      </c>
      <c r="H1556" s="82"/>
    </row>
    <row r="1557" spans="1:8" ht="16" x14ac:dyDescent="0.2">
      <c r="A1557" s="85" t="s">
        <v>1938</v>
      </c>
      <c r="B1557" s="97" t="s">
        <v>1941</v>
      </c>
      <c r="C1557" s="86" t="s">
        <v>1939</v>
      </c>
      <c r="D1557" s="86" t="s">
        <v>1018</v>
      </c>
      <c r="E1557" s="90" t="s">
        <v>1034</v>
      </c>
      <c r="F1557" s="88" t="s">
        <v>523</v>
      </c>
      <c r="G1557" s="87" t="s">
        <v>1256</v>
      </c>
      <c r="H1557" s="82"/>
    </row>
    <row r="1558" spans="1:8" ht="16" x14ac:dyDescent="0.2">
      <c r="A1558" s="85" t="s">
        <v>1942</v>
      </c>
      <c r="B1558" s="89" t="s">
        <v>1585</v>
      </c>
      <c r="C1558" s="86" t="s">
        <v>1943</v>
      </c>
      <c r="D1558" s="86" t="s">
        <v>1027</v>
      </c>
      <c r="E1558" s="90" t="s">
        <v>117</v>
      </c>
      <c r="F1558" s="88" t="s">
        <v>299</v>
      </c>
      <c r="G1558" s="87" t="s">
        <v>663</v>
      </c>
      <c r="H1558" s="82"/>
    </row>
    <row r="1559" spans="1:8" ht="16" x14ac:dyDescent="0.2">
      <c r="A1559" s="85" t="s">
        <v>1942</v>
      </c>
      <c r="B1559" s="89" t="s">
        <v>1585</v>
      </c>
      <c r="C1559" s="86" t="s">
        <v>1943</v>
      </c>
      <c r="D1559" s="86" t="s">
        <v>1027</v>
      </c>
      <c r="E1559" s="90" t="s">
        <v>117</v>
      </c>
      <c r="F1559" s="88" t="s">
        <v>292</v>
      </c>
      <c r="G1559" s="87" t="s">
        <v>656</v>
      </c>
      <c r="H1559" s="82"/>
    </row>
    <row r="1560" spans="1:8" ht="16" x14ac:dyDescent="0.2">
      <c r="A1560" s="85" t="s">
        <v>1942</v>
      </c>
      <c r="B1560" s="89" t="s">
        <v>1585</v>
      </c>
      <c r="C1560" s="86" t="s">
        <v>1943</v>
      </c>
      <c r="D1560" s="86" t="s">
        <v>1027</v>
      </c>
      <c r="E1560" s="90" t="s">
        <v>117</v>
      </c>
      <c r="F1560" s="88" t="s">
        <v>1340</v>
      </c>
      <c r="G1560" s="87" t="s">
        <v>661</v>
      </c>
      <c r="H1560" s="82"/>
    </row>
    <row r="1561" spans="1:8" ht="16" x14ac:dyDescent="0.2">
      <c r="A1561" s="85" t="s">
        <v>1942</v>
      </c>
      <c r="B1561" s="89" t="s">
        <v>1585</v>
      </c>
      <c r="C1561" s="86" t="s">
        <v>1943</v>
      </c>
      <c r="D1561" s="86" t="s">
        <v>1027</v>
      </c>
      <c r="E1561" s="90" t="s">
        <v>117</v>
      </c>
      <c r="F1561" s="88" t="s">
        <v>1340</v>
      </c>
      <c r="G1561" s="87" t="s">
        <v>661</v>
      </c>
      <c r="H1561" s="82"/>
    </row>
    <row r="1562" spans="1:8" ht="16" x14ac:dyDescent="0.2">
      <c r="A1562" s="85" t="s">
        <v>433</v>
      </c>
      <c r="B1562" s="97" t="s">
        <v>1945</v>
      </c>
      <c r="C1562" s="86" t="s">
        <v>1944</v>
      </c>
      <c r="D1562" s="86" t="s">
        <v>1008</v>
      </c>
      <c r="E1562" s="90" t="s">
        <v>117</v>
      </c>
      <c r="F1562" s="88" t="s">
        <v>433</v>
      </c>
      <c r="G1562" s="87" t="s">
        <v>522</v>
      </c>
      <c r="H1562" s="82"/>
    </row>
    <row r="1563" spans="1:8" ht="16" x14ac:dyDescent="0.2">
      <c r="A1563" s="85" t="s">
        <v>433</v>
      </c>
      <c r="B1563" s="97" t="s">
        <v>1945</v>
      </c>
      <c r="C1563" s="86" t="s">
        <v>1944</v>
      </c>
      <c r="D1563" s="86" t="s">
        <v>1008</v>
      </c>
      <c r="E1563" s="90" t="s">
        <v>117</v>
      </c>
      <c r="F1563" s="88" t="s">
        <v>1824</v>
      </c>
      <c r="G1563" s="87" t="s">
        <v>522</v>
      </c>
      <c r="H1563" s="82"/>
    </row>
    <row r="1564" spans="1:8" ht="16" x14ac:dyDescent="0.2">
      <c r="A1564" s="85" t="s">
        <v>433</v>
      </c>
      <c r="B1564" s="97" t="s">
        <v>1945</v>
      </c>
      <c r="C1564" s="86" t="s">
        <v>1944</v>
      </c>
      <c r="D1564" s="86" t="s">
        <v>1008</v>
      </c>
      <c r="E1564" s="90" t="s">
        <v>117</v>
      </c>
      <c r="F1564" s="88" t="s">
        <v>1887</v>
      </c>
      <c r="G1564" s="87" t="s">
        <v>522</v>
      </c>
      <c r="H1564" s="82"/>
    </row>
    <row r="1565" spans="1:8" ht="16" x14ac:dyDescent="0.2">
      <c r="A1565" s="85" t="s">
        <v>433</v>
      </c>
      <c r="B1565" s="97" t="s">
        <v>1945</v>
      </c>
      <c r="C1565" s="86" t="s">
        <v>1944</v>
      </c>
      <c r="D1565" s="86" t="s">
        <v>1008</v>
      </c>
      <c r="E1565" s="90" t="s">
        <v>117</v>
      </c>
      <c r="F1565" s="88" t="s">
        <v>1825</v>
      </c>
      <c r="G1565" s="87" t="s">
        <v>522</v>
      </c>
      <c r="H1565" s="82"/>
    </row>
    <row r="1566" spans="1:8" ht="16" x14ac:dyDescent="0.2">
      <c r="A1566" s="85" t="s">
        <v>433</v>
      </c>
      <c r="B1566" s="97" t="s">
        <v>1945</v>
      </c>
      <c r="C1566" s="86" t="s">
        <v>1944</v>
      </c>
      <c r="D1566" s="86" t="s">
        <v>1008</v>
      </c>
      <c r="E1566" s="90" t="s">
        <v>117</v>
      </c>
      <c r="F1566" s="88" t="s">
        <v>1827</v>
      </c>
      <c r="G1566" s="87" t="s">
        <v>522</v>
      </c>
      <c r="H1566" s="82"/>
    </row>
    <row r="1567" spans="1:8" ht="16" x14ac:dyDescent="0.2">
      <c r="A1567" s="85" t="s">
        <v>433</v>
      </c>
      <c r="B1567" s="97" t="s">
        <v>1945</v>
      </c>
      <c r="C1567" s="86" t="s">
        <v>1944</v>
      </c>
      <c r="D1567" s="86" t="s">
        <v>1008</v>
      </c>
      <c r="E1567" s="90" t="s">
        <v>117</v>
      </c>
      <c r="F1567" s="88" t="s">
        <v>1828</v>
      </c>
      <c r="G1567" s="87" t="s">
        <v>522</v>
      </c>
      <c r="H1567" s="82"/>
    </row>
    <row r="1568" spans="1:8" ht="16" x14ac:dyDescent="0.2">
      <c r="A1568" s="85" t="s">
        <v>433</v>
      </c>
      <c r="B1568" s="97" t="s">
        <v>1945</v>
      </c>
      <c r="C1568" s="86" t="s">
        <v>1944</v>
      </c>
      <c r="D1568" s="86" t="s">
        <v>1008</v>
      </c>
      <c r="E1568" s="90" t="s">
        <v>117</v>
      </c>
      <c r="F1568" s="88" t="s">
        <v>1885</v>
      </c>
      <c r="G1568" s="87" t="s">
        <v>522</v>
      </c>
      <c r="H1568" s="82"/>
    </row>
    <row r="1569" spans="1:8" ht="16" x14ac:dyDescent="0.2">
      <c r="A1569" s="85" t="s">
        <v>433</v>
      </c>
      <c r="B1569" s="97" t="s">
        <v>1945</v>
      </c>
      <c r="C1569" s="86" t="s">
        <v>1944</v>
      </c>
      <c r="D1569" s="86" t="s">
        <v>1008</v>
      </c>
      <c r="E1569" s="90" t="s">
        <v>117</v>
      </c>
      <c r="F1569" s="88" t="s">
        <v>1886</v>
      </c>
      <c r="G1569" s="87" t="s">
        <v>522</v>
      </c>
      <c r="H1569" s="82"/>
    </row>
    <row r="1570" spans="1:8" ht="16" x14ac:dyDescent="0.2">
      <c r="A1570" s="85" t="s">
        <v>433</v>
      </c>
      <c r="B1570" s="97" t="s">
        <v>1945</v>
      </c>
      <c r="C1570" s="86" t="s">
        <v>1944</v>
      </c>
      <c r="D1570" s="86" t="s">
        <v>1008</v>
      </c>
      <c r="E1570" s="90" t="s">
        <v>117</v>
      </c>
      <c r="F1570" s="88" t="s">
        <v>1946</v>
      </c>
      <c r="G1570" s="87" t="s">
        <v>522</v>
      </c>
      <c r="H1570" s="82"/>
    </row>
    <row r="1571" spans="1:8" ht="16" x14ac:dyDescent="0.2">
      <c r="A1571" s="85" t="s">
        <v>433</v>
      </c>
      <c r="B1571" s="97" t="s">
        <v>1948</v>
      </c>
      <c r="C1571" s="86" t="s">
        <v>1944</v>
      </c>
      <c r="D1571" s="86" t="s">
        <v>1008</v>
      </c>
      <c r="E1571" s="90" t="s">
        <v>117</v>
      </c>
      <c r="F1571" s="88" t="s">
        <v>1947</v>
      </c>
      <c r="G1571" s="87" t="s">
        <v>200</v>
      </c>
      <c r="H1571" s="82"/>
    </row>
    <row r="1572" spans="1:8" ht="16" x14ac:dyDescent="0.2">
      <c r="A1572" s="85" t="s">
        <v>433</v>
      </c>
      <c r="B1572" s="97" t="s">
        <v>1948</v>
      </c>
      <c r="C1572" s="103" t="s">
        <v>1944</v>
      </c>
      <c r="D1572" s="103" t="s">
        <v>1008</v>
      </c>
      <c r="E1572" s="90" t="s">
        <v>117</v>
      </c>
      <c r="F1572" s="88" t="s">
        <v>1949</v>
      </c>
      <c r="G1572" s="87" t="s">
        <v>200</v>
      </c>
      <c r="H1572" s="82"/>
    </row>
    <row r="1573" spans="1:8" ht="16" x14ac:dyDescent="0.2">
      <c r="A1573" s="85" t="s">
        <v>433</v>
      </c>
      <c r="B1573" s="97" t="s">
        <v>1948</v>
      </c>
      <c r="C1573" s="86" t="s">
        <v>1944</v>
      </c>
      <c r="D1573" s="86" t="s">
        <v>1008</v>
      </c>
      <c r="E1573" s="90" t="s">
        <v>117</v>
      </c>
      <c r="F1573" s="88" t="s">
        <v>1950</v>
      </c>
      <c r="G1573" s="87" t="s">
        <v>200</v>
      </c>
      <c r="H1573" s="82"/>
    </row>
    <row r="1574" spans="1:8" ht="16" x14ac:dyDescent="0.2">
      <c r="A1574" s="85" t="s">
        <v>433</v>
      </c>
      <c r="B1574" s="97" t="s">
        <v>1948</v>
      </c>
      <c r="C1574" s="103" t="s">
        <v>1944</v>
      </c>
      <c r="D1574" s="103" t="s">
        <v>1008</v>
      </c>
      <c r="E1574" s="90" t="s">
        <v>117</v>
      </c>
      <c r="F1574" s="88" t="s">
        <v>1951</v>
      </c>
      <c r="G1574" s="87" t="s">
        <v>200</v>
      </c>
      <c r="H1574" s="82"/>
    </row>
    <row r="1575" spans="1:8" ht="16" x14ac:dyDescent="0.2">
      <c r="A1575" s="85" t="s">
        <v>154</v>
      </c>
      <c r="B1575" s="89" t="s">
        <v>1585</v>
      </c>
      <c r="C1575" s="103" t="s">
        <v>1952</v>
      </c>
      <c r="D1575" s="103" t="s">
        <v>1953</v>
      </c>
      <c r="E1575" s="90" t="s">
        <v>117</v>
      </c>
      <c r="F1575" s="88" t="s">
        <v>154</v>
      </c>
      <c r="G1575" s="87" t="s">
        <v>1320</v>
      </c>
      <c r="H1575" s="82"/>
    </row>
    <row r="1576" spans="1:8" ht="16" x14ac:dyDescent="0.2">
      <c r="A1576" s="85" t="s">
        <v>367</v>
      </c>
      <c r="B1576" s="89" t="s">
        <v>1585</v>
      </c>
      <c r="C1576" s="103" t="s">
        <v>1954</v>
      </c>
      <c r="D1576" s="103" t="s">
        <v>1955</v>
      </c>
      <c r="E1576" s="90" t="s">
        <v>133</v>
      </c>
      <c r="F1576" s="88" t="s">
        <v>367</v>
      </c>
      <c r="G1576" s="87" t="s">
        <v>1336</v>
      </c>
      <c r="H1576" s="82"/>
    </row>
    <row r="1577" spans="1:8" ht="16" x14ac:dyDescent="0.2">
      <c r="A1577" s="85" t="s">
        <v>367</v>
      </c>
      <c r="B1577" s="89" t="s">
        <v>1585</v>
      </c>
      <c r="C1577" s="103" t="s">
        <v>1954</v>
      </c>
      <c r="D1577" s="103" t="s">
        <v>1955</v>
      </c>
      <c r="E1577" s="90" t="s">
        <v>1034</v>
      </c>
      <c r="F1577" s="88" t="s">
        <v>367</v>
      </c>
      <c r="G1577" s="87" t="s">
        <v>1336</v>
      </c>
      <c r="H1577" s="82"/>
    </row>
    <row r="1578" spans="1:8" ht="16" x14ac:dyDescent="0.2">
      <c r="A1578" s="85" t="s">
        <v>367</v>
      </c>
      <c r="B1578" s="89" t="s">
        <v>1585</v>
      </c>
      <c r="C1578" s="103" t="s">
        <v>1954</v>
      </c>
      <c r="D1578" s="103" t="s">
        <v>1955</v>
      </c>
      <c r="E1578" s="90" t="s">
        <v>117</v>
      </c>
      <c r="F1578" s="88" t="s">
        <v>367</v>
      </c>
      <c r="G1578" s="87" t="s">
        <v>1336</v>
      </c>
      <c r="H1578" s="82"/>
    </row>
    <row r="1579" spans="1:8" ht="16" x14ac:dyDescent="0.2">
      <c r="A1579" s="85" t="s">
        <v>367</v>
      </c>
      <c r="B1579" s="89" t="s">
        <v>1585</v>
      </c>
      <c r="C1579" s="103" t="s">
        <v>1954</v>
      </c>
      <c r="D1579" s="103" t="s">
        <v>1955</v>
      </c>
      <c r="E1579" s="90" t="s">
        <v>133</v>
      </c>
      <c r="F1579" s="88" t="s">
        <v>279</v>
      </c>
      <c r="G1579" s="87" t="s">
        <v>1336</v>
      </c>
      <c r="H1579" s="82"/>
    </row>
    <row r="1580" spans="1:8" ht="16" x14ac:dyDescent="0.2">
      <c r="A1580" s="85" t="s">
        <v>367</v>
      </c>
      <c r="B1580" s="89" t="s">
        <v>1585</v>
      </c>
      <c r="C1580" s="103" t="s">
        <v>1954</v>
      </c>
      <c r="D1580" s="103" t="s">
        <v>1955</v>
      </c>
      <c r="E1580" s="90" t="s">
        <v>1034</v>
      </c>
      <c r="F1580" s="88" t="s">
        <v>279</v>
      </c>
      <c r="G1580" s="87" t="s">
        <v>1336</v>
      </c>
      <c r="H1580" s="82"/>
    </row>
    <row r="1581" spans="1:8" ht="16" x14ac:dyDescent="0.2">
      <c r="A1581" s="104" t="s">
        <v>367</v>
      </c>
      <c r="B1581" s="107" t="s">
        <v>1585</v>
      </c>
      <c r="C1581" s="86" t="s">
        <v>1954</v>
      </c>
      <c r="D1581" s="86" t="s">
        <v>1955</v>
      </c>
      <c r="E1581" s="108" t="s">
        <v>117</v>
      </c>
      <c r="F1581" s="106" t="s">
        <v>279</v>
      </c>
      <c r="G1581" s="105" t="s">
        <v>1336</v>
      </c>
      <c r="H1581" s="82"/>
    </row>
  </sheetData>
  <dataValidations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G507"/>
  <sheetViews>
    <sheetView workbookViewId="0">
      <selection activeCell="G2" sqref="G2"/>
    </sheetView>
  </sheetViews>
  <sheetFormatPr baseColWidth="10" defaultRowHeight="15" x14ac:dyDescent="0.2"/>
  <cols>
    <col min="1" max="1" width="43.5" style="82" bestFit="1" customWidth="1"/>
    <col min="2" max="2" width="22" style="82" bestFit="1" customWidth="1"/>
    <col min="3" max="16384" width="10.83203125" style="82"/>
  </cols>
  <sheetData>
    <row r="1" spans="1:7" x14ac:dyDescent="0.2">
      <c r="A1" s="109" t="s">
        <v>1956</v>
      </c>
      <c r="B1" s="109" t="s">
        <v>1957</v>
      </c>
      <c r="D1" s="120" t="s">
        <v>1581</v>
      </c>
      <c r="E1" s="110" t="s">
        <v>2090</v>
      </c>
      <c r="F1" s="110" t="s">
        <v>2091</v>
      </c>
      <c r="G1" s="110" t="s">
        <v>2092</v>
      </c>
    </row>
    <row r="2" spans="1:7" x14ac:dyDescent="0.2">
      <c r="A2" s="135" t="s">
        <v>1037</v>
      </c>
      <c r="B2" s="82" t="s">
        <v>520</v>
      </c>
      <c r="D2" s="121">
        <v>9</v>
      </c>
      <c r="E2" s="82" t="str" cm="1">
        <f t="array" ref="E2">_xlfn.TEXTJOIN(" + ",TRUE,IF(OR(TRIM(INDEX(Upload!$R:$R,$D$2))="",LOWER(TRIM(INDEX(Upload!$R:$R,$D$2)))="(seleccione)"),"",PROPER(TRIM(INDEX(Upload!$R:$R,$D$2)))),IF(OR(TRIM(INDEX(Upload!$S:$S,$D$2))="",LOWER(TRIM(INDEX(Upload!$S:$S,$D$2)))="(seleccione)"),"",PROPER(TRIM(INDEX(Upload!$S:$S,$D$2)))),IF(OR(TRIM(INDEX(Upload!$T:$T,$D$2))="",LOWER(TRIM(INDEX(Upload!$T:$T,$D$2)))="(seleccione)"),"",PROPER(TRIM(INDEX(Upload!$T:$T,$D$2)))),IF(OR(TRIM(INDEX(Upload!$U:$U,$D$2))="",LOWER(TRIM(INDEX(Upload!$U:$U,$D$2)))="(seleccione)"),"",PROPER(TRIM(INDEX(Upload!$U:$U,$D$2)))),IF(OR(TRIM(INDEX(Upload!$V:$V,$D$2))="",LOWER(TRIM(INDEX(Upload!$V:$V,$D$2)))="(seleccione)"),"",PROPER(TRIM(INDEX(Upload!$V:$V,$D$2)))))</f>
        <v/>
      </c>
      <c r="F2" s="82" t="str">
        <f>_xlfn.LET(_xlpm.t,E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2" s="82" t="str" cm="1">
        <f t="array" ref="G2:G43">IFERROR(_xlfn._xlws.FILTER($A$2:$A$197,($B$2:$B$197&lt;&gt;"")*(IF(F2="Otros",$B$2:$B$197="Otros",ISNUMBER(SEARCH($B$2:$B$197,F2))))),"(sin matches)")</f>
        <v>-</v>
      </c>
    </row>
    <row r="3" spans="1:7" x14ac:dyDescent="0.2">
      <c r="A3" s="135" t="s">
        <v>1037</v>
      </c>
      <c r="B3" s="82" t="s">
        <v>2116</v>
      </c>
      <c r="G3" s="82" t="str">
        <v>1.28.003 (Pavonado)</v>
      </c>
    </row>
    <row r="4" spans="1:7" x14ac:dyDescent="0.2">
      <c r="A4" s="135" t="s">
        <v>1037</v>
      </c>
      <c r="B4" s="82" t="s">
        <v>800</v>
      </c>
      <c r="G4" s="82" t="str">
        <v>48053-001-01 (Deshidrogenado)</v>
      </c>
    </row>
    <row r="5" spans="1:7" x14ac:dyDescent="0.2">
      <c r="A5" s="135" t="s">
        <v>1037</v>
      </c>
      <c r="B5" s="82" t="s">
        <v>433</v>
      </c>
      <c r="G5" s="82" t="str">
        <v>48053-005-01 (Lavado - Tratamiento Térmico - Bimetales)</v>
      </c>
    </row>
    <row r="6" spans="1:7" x14ac:dyDescent="0.2">
      <c r="A6" s="135" t="s">
        <v>1037</v>
      </c>
      <c r="B6" s="82" t="s">
        <v>308</v>
      </c>
      <c r="G6" s="82" t="str">
        <v>48057-004-01 (Bright Dip)</v>
      </c>
    </row>
    <row r="7" spans="1:7" x14ac:dyDescent="0.2">
      <c r="A7" s="135" t="s">
        <v>1037</v>
      </c>
      <c r="B7" s="82" t="s">
        <v>1942</v>
      </c>
      <c r="G7" s="82" t="str">
        <v>48860-031-01 (Lavado)</v>
      </c>
    </row>
    <row r="8" spans="1:7" x14ac:dyDescent="0.2">
      <c r="A8" s="135" t="s">
        <v>1037</v>
      </c>
      <c r="B8" s="82" t="s">
        <v>2117</v>
      </c>
      <c r="G8" s="82" t="str">
        <v>48951-001-01 (Rebabeo)</v>
      </c>
    </row>
    <row r="9" spans="1:7" x14ac:dyDescent="0.2">
      <c r="A9" s="82" t="str">
        <f>Listas!E4</f>
        <v>1.28.001 (Zinc Negro Azul) | 3.81 - 11.43 µm</v>
      </c>
      <c r="B9" s="82" t="str">
        <f>IF(OR(A9="",A9=0),"",_xlfn.LET(_xlpm.t,A9&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Zinc</v>
      </c>
      <c r="G9" s="82" t="str">
        <v>48951-001-02 (Rebabeo)</v>
      </c>
    </row>
    <row r="10" spans="1:7" x14ac:dyDescent="0.2">
      <c r="A10" s="82" t="str">
        <f>Listas!E5</f>
        <v>1.28.003 (Pavonado)</v>
      </c>
      <c r="B10" s="82" t="str">
        <f t="shared" ref="B10:B73" si="0">IF(OR(A10="",A10=0),"",_xlfn.LET(_xlpm.t,A10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10" s="82" t="str">
        <v>48951-008-01 (Desengrase)</v>
      </c>
    </row>
    <row r="11" spans="1:7" x14ac:dyDescent="0.2">
      <c r="A11" s="82" t="str">
        <f>Listas!E6</f>
        <v>1.28.031 (Zinc) | 3.81 - 11.43 µm</v>
      </c>
      <c r="B11" s="82" t="str">
        <f t="shared" si="0"/>
        <v>Zinc</v>
      </c>
      <c r="G11" s="82" t="str">
        <v>DIN EN 12476 (Fosfato de Manganeso - Aceitado - Medición de Grano) | 2.54 - 7.62 µm</v>
      </c>
    </row>
    <row r="12" spans="1:7" x14ac:dyDescent="0.2">
      <c r="A12" s="82" t="str">
        <f>Listas!E7</f>
        <v>1.28.032 (Níquel) | 2.54 - 7.62 µm</v>
      </c>
      <c r="B12" s="82" t="str">
        <f t="shared" si="0"/>
        <v>Níquel</v>
      </c>
      <c r="G12" s="82" t="str">
        <v>FFS-2E3 (Cromo Duro) | 12.7 - 17.78 µm</v>
      </c>
    </row>
    <row r="13" spans="1:7" x14ac:dyDescent="0.2">
      <c r="A13" s="82" t="str">
        <f>Listas!E8</f>
        <v>1.28.032 (Níquel) | 5.8 - 8.89 µm</v>
      </c>
      <c r="B13" s="82" t="str">
        <f t="shared" si="0"/>
        <v>Níquel</v>
      </c>
      <c r="G13" s="82" t="str">
        <v>FFS-2E3 (Cromo Duro) | 19.05 - 31.75 µm</v>
      </c>
    </row>
    <row r="14" spans="1:7" x14ac:dyDescent="0.2">
      <c r="A14" s="82" t="str">
        <f>Listas!E9</f>
        <v>1.28.032 (Níquel) | 7.62 - 15.24 µm</v>
      </c>
      <c r="B14" s="82" t="str">
        <f t="shared" si="0"/>
        <v>Níquel</v>
      </c>
      <c r="G14" s="82" t="str">
        <v>FFS-2E3 (Cromo Duro) | 25 - 38 µm</v>
      </c>
    </row>
    <row r="15" spans="1:7" x14ac:dyDescent="0.2">
      <c r="A15" s="82" t="str">
        <f>Listas!E10</f>
        <v>1.28.037 (Zinc Cromato Tropicalizado) | 5 - 9 µm</v>
      </c>
      <c r="B15" s="82" t="str">
        <f t="shared" si="0"/>
        <v>Zinc</v>
      </c>
      <c r="G15" s="82" t="str">
        <v>FFS-2E3 (Cromo Duro) | 38.5 - 63.5 µm</v>
      </c>
    </row>
    <row r="16" spans="1:7" x14ac:dyDescent="0.2">
      <c r="A16" s="82" t="str">
        <f>Listas!E11</f>
        <v>1.28.041 (Níquel Electroless) | 5 - 10 µm</v>
      </c>
      <c r="B16" s="82" t="str">
        <f t="shared" si="0"/>
        <v>Níquel</v>
      </c>
      <c r="G16" s="82" t="str">
        <v>FFS-2E3 (Cromo Duro) | 63.5 - 88.9 µm</v>
      </c>
    </row>
    <row r="17" spans="1:7" x14ac:dyDescent="0.2">
      <c r="A17" s="82" t="str">
        <f>Listas!E12</f>
        <v>40001-050-01 (Plata Flash) | 0.508 - 0.762 µm</v>
      </c>
      <c r="B17" s="82" t="str">
        <f t="shared" si="0"/>
        <v>Plata</v>
      </c>
      <c r="G17" s="82" t="str">
        <v>FFS-2E3 (Cromo Duro) | 7.62 - 12.7 µm</v>
      </c>
    </row>
    <row r="18" spans="1:7" x14ac:dyDescent="0.2">
      <c r="A18" s="82" t="str">
        <f>Listas!E13</f>
        <v>40001-053-02 (Estaño) | 5.08 - 10.16 µm</v>
      </c>
      <c r="B18" s="82" t="str">
        <f t="shared" si="0"/>
        <v>Estaño</v>
      </c>
      <c r="G18" s="82" t="str">
        <v>FFS-3A9 (Iridizado)</v>
      </c>
    </row>
    <row r="19" spans="1:7" x14ac:dyDescent="0.2">
      <c r="A19" s="82" t="str">
        <f>Listas!E14</f>
        <v>40004-014-01 (Estaño) | 5 - 10 µm</v>
      </c>
      <c r="B19" s="82" t="str">
        <f t="shared" si="0"/>
        <v>Estaño</v>
      </c>
      <c r="G19" s="82" t="str">
        <v>GDE1214700 (Antitarnish)</v>
      </c>
    </row>
    <row r="20" spans="1:7" x14ac:dyDescent="0.2">
      <c r="A20" s="82" t="str">
        <f>Listas!E15</f>
        <v>40004-015-01 (Estaño) | 5.08 - 10 µm</v>
      </c>
      <c r="B20" s="82" t="str">
        <f t="shared" si="0"/>
        <v>Estaño</v>
      </c>
      <c r="G20" s="82" t="str">
        <v>MS-S1053 (Fosfato de Manganeso - Medición de Grano) | 5 - 11 µm</v>
      </c>
    </row>
    <row r="21" spans="1:7" x14ac:dyDescent="0.2">
      <c r="A21" s="82" t="str">
        <f>Listas!E16</f>
        <v>40004-017-01 (Zinc) | 12 - 15 µm</v>
      </c>
      <c r="B21" s="82" t="str">
        <f t="shared" si="0"/>
        <v>Zinc</v>
      </c>
      <c r="G21" s="82" t="str">
        <v>RC Anodizado Natural | 12 - 18 µm</v>
      </c>
    </row>
    <row r="22" spans="1:7" x14ac:dyDescent="0.2">
      <c r="A22" s="82" t="str">
        <f>Listas!E17</f>
        <v>40004-017-01 (Zinc) | 15 - 20 µm</v>
      </c>
      <c r="B22" s="82" t="str">
        <f t="shared" si="0"/>
        <v>Zinc</v>
      </c>
      <c r="G22" s="82" t="str">
        <v>RC Anodizado Natural | 8 - 13 µm</v>
      </c>
    </row>
    <row r="23" spans="1:7" x14ac:dyDescent="0.2">
      <c r="A23" s="82" t="str">
        <f>Listas!E18</f>
        <v>40004-017-01 (Zinc) | 2.5 - 5 µm</v>
      </c>
      <c r="B23" s="82" t="str">
        <f t="shared" si="0"/>
        <v>Zinc</v>
      </c>
      <c r="G23" s="82" t="str">
        <v>RC Anodizado Negro | 12 - 18 µm</v>
      </c>
    </row>
    <row r="24" spans="1:7" x14ac:dyDescent="0.2">
      <c r="A24" s="82" t="str">
        <f>Listas!E19</f>
        <v>40004-017-01 (Zinc) | 5 - 8 µm</v>
      </c>
      <c r="B24" s="82" t="str">
        <f t="shared" si="0"/>
        <v>Zinc</v>
      </c>
      <c r="G24" s="82" t="str">
        <v>RC Anodizado Negro | 8 - 13 µm</v>
      </c>
    </row>
    <row r="25" spans="1:7" x14ac:dyDescent="0.2">
      <c r="A25" s="82" t="str">
        <f>Listas!E20</f>
        <v>40004-017-01 (Zinc) | 8 - 12 µm</v>
      </c>
      <c r="B25" s="82" t="str">
        <f t="shared" si="0"/>
        <v>Zinc</v>
      </c>
      <c r="G25" s="82" t="str">
        <v>RC Brill 61</v>
      </c>
    </row>
    <row r="26" spans="1:7" x14ac:dyDescent="0.2">
      <c r="A26" s="82" t="str">
        <f>Listas!E21</f>
        <v>40004-022-01 (Estaño) | 5.08 - 7.54 µm</v>
      </c>
      <c r="B26" s="82" t="str">
        <f t="shared" si="0"/>
        <v>Estaño</v>
      </c>
      <c r="G26" s="82" t="str">
        <v>RC Cromo Duro | 12.7 - 17.78 µm</v>
      </c>
    </row>
    <row r="27" spans="1:7" x14ac:dyDescent="0.2">
      <c r="A27" s="82" t="str">
        <f>Listas!E22</f>
        <v>40004-086-01 (Plata Flash) | 1.27 - 2.5 µm</v>
      </c>
      <c r="B27" s="82" t="str">
        <f t="shared" si="0"/>
        <v>Plata</v>
      </c>
      <c r="G27" s="82" t="str">
        <v>RC Cromo Duro | 19.05 - 31.75 µm</v>
      </c>
    </row>
    <row r="28" spans="1:7" x14ac:dyDescent="0.2">
      <c r="A28" s="82" t="str">
        <f>Listas!E23</f>
        <v>48053-001-01 (Deshidrogenado)</v>
      </c>
      <c r="B28" s="82" t="str">
        <f t="shared" si="0"/>
        <v>Otros</v>
      </c>
      <c r="G28" s="82" t="str">
        <v>RC Cromo Duro | 38.5 - 63.5 µm</v>
      </c>
    </row>
    <row r="29" spans="1:7" x14ac:dyDescent="0.2">
      <c r="A29" s="82" t="str">
        <f>Listas!E24</f>
        <v>48053-005-01 (Lavado - Tratamiento Térmico - Bimetales)</v>
      </c>
      <c r="B29" s="82" t="str">
        <f t="shared" si="0"/>
        <v>Otros</v>
      </c>
      <c r="G29" s="82" t="str">
        <v>RC Cromo Duro | 63.5 - 88.9 µm</v>
      </c>
    </row>
    <row r="30" spans="1:7" x14ac:dyDescent="0.2">
      <c r="A30" s="82" t="str">
        <f>Listas!E25</f>
        <v>48057-002-01 (Níquel) | 2.5 - 5.0 µm</v>
      </c>
      <c r="B30" s="82" t="str">
        <f t="shared" si="0"/>
        <v>Níquel</v>
      </c>
      <c r="G30" s="82" t="str">
        <v>RC Cromo Duro | 7.62 - 12.7 µm</v>
      </c>
    </row>
    <row r="31" spans="1:7" x14ac:dyDescent="0.2">
      <c r="A31" s="82" t="str">
        <f>Listas!E26</f>
        <v>48057-002-02 (Níquel Bimetales) | 0.5 - 2.0 µm</v>
      </c>
      <c r="B31" s="82" t="str">
        <f t="shared" si="0"/>
        <v>Níquel</v>
      </c>
      <c r="G31" s="82" t="str">
        <v>RC Cu (Cobre) | 0.25 - 1 µm</v>
      </c>
    </row>
    <row r="32" spans="1:7" x14ac:dyDescent="0.2">
      <c r="A32" s="82" t="str">
        <f>Listas!E27</f>
        <v>48057-003-01 (Zinc) | 6.0 - 10.0 µm</v>
      </c>
      <c r="B32" s="82" t="str">
        <f t="shared" si="0"/>
        <v>Zinc</v>
      </c>
      <c r="G32" s="82" t="str">
        <v>RC Cu (Cobre) | 10 - 12 µm</v>
      </c>
    </row>
    <row r="33" spans="1:7" x14ac:dyDescent="0.2">
      <c r="A33" s="82" t="str">
        <f>Listas!E28</f>
        <v>48057-004-01 (Bright Dip)</v>
      </c>
      <c r="B33" s="82" t="str">
        <f t="shared" si="0"/>
        <v>Otros</v>
      </c>
      <c r="G33" s="82" t="str">
        <v>RC Cu (Cobre) | 3 - 5 µm</v>
      </c>
    </row>
    <row r="34" spans="1:7" x14ac:dyDescent="0.2">
      <c r="A34" s="82" t="str">
        <f>Listas!E29</f>
        <v>48057-006-01 (Plata) | 2.5 - 4.0 µm</v>
      </c>
      <c r="B34" s="82" t="str">
        <f t="shared" si="0"/>
        <v>Plata</v>
      </c>
      <c r="G34" s="82" t="str">
        <v>RC Cu (Cobre) | 5 - 10 µm</v>
      </c>
    </row>
    <row r="35" spans="1:7" x14ac:dyDescent="0.2">
      <c r="A35" s="82" t="str">
        <f>Listas!E30</f>
        <v>48057-007-01 (Estaño Bimetales) | 1.9 - 5.0 µm</v>
      </c>
      <c r="B35" s="82" t="str">
        <f t="shared" si="0"/>
        <v>Estaño</v>
      </c>
      <c r="G35" s="82" t="str">
        <v>RC Decapado</v>
      </c>
    </row>
    <row r="36" spans="1:7" x14ac:dyDescent="0.2">
      <c r="A36" s="82" t="str">
        <f>Listas!E31</f>
        <v>48860-031-01 (Lavado)</v>
      </c>
      <c r="B36" s="82" t="str">
        <f t="shared" si="0"/>
        <v>Otros</v>
      </c>
      <c r="G36" s="82" t="str">
        <v>RC Electropulido</v>
      </c>
    </row>
    <row r="37" spans="1:7" x14ac:dyDescent="0.2">
      <c r="A37" s="82" t="str">
        <f>Listas!E32</f>
        <v>48951-001-01 (Rebabeo)</v>
      </c>
      <c r="B37" s="82" t="str">
        <f t="shared" si="0"/>
        <v>Otros</v>
      </c>
      <c r="G37" s="82" t="str">
        <v>RC Empaque</v>
      </c>
    </row>
    <row r="38" spans="1:7" x14ac:dyDescent="0.2">
      <c r="A38" s="82" t="str">
        <f>Listas!E33</f>
        <v>48951-001-02 (Rebabeo)</v>
      </c>
      <c r="B38" s="82" t="str">
        <f t="shared" si="0"/>
        <v>Otros</v>
      </c>
      <c r="G38" s="82" t="str">
        <v>RC Lavado</v>
      </c>
    </row>
    <row r="39" spans="1:7" x14ac:dyDescent="0.2">
      <c r="A39" s="82" t="str">
        <f>Listas!E34</f>
        <v>48951-008-01 (Desengrase)</v>
      </c>
      <c r="B39" s="82" t="str">
        <f t="shared" si="0"/>
        <v>Otros</v>
      </c>
      <c r="G39" s="82" t="str">
        <v>RC Limpieza Mecánica</v>
      </c>
    </row>
    <row r="40" spans="1:7" x14ac:dyDescent="0.2">
      <c r="A40" s="82" t="str">
        <f>Listas!E35</f>
        <v>48957-014-01 (Níquel Electroless) | 10 - 13 µm</v>
      </c>
      <c r="B40" s="82" t="str">
        <f t="shared" si="0"/>
        <v>Níquel</v>
      </c>
      <c r="G40" s="82" t="str">
        <v>RC No Oxide</v>
      </c>
    </row>
    <row r="41" spans="1:7" x14ac:dyDescent="0.2">
      <c r="A41" s="82" t="str">
        <f>Listas!E36</f>
        <v>48957-014-01 (Níquel Electroless) | 5.0 - 10.0 µm</v>
      </c>
      <c r="B41" s="82" t="str">
        <f t="shared" si="0"/>
        <v>Níquel</v>
      </c>
      <c r="G41" s="82" t="str">
        <v>RC Pasivado</v>
      </c>
    </row>
    <row r="42" spans="1:7" x14ac:dyDescent="0.2">
      <c r="A42" s="82" t="str">
        <f>Listas!E37</f>
        <v>80065-DS-001 (Estaño) | 5.08 - 8.89 µm</v>
      </c>
      <c r="B42" s="82" t="str">
        <f t="shared" si="0"/>
        <v>Estaño</v>
      </c>
      <c r="G42" s="82" t="str">
        <v>RC Rebabeo</v>
      </c>
    </row>
    <row r="43" spans="1:7" x14ac:dyDescent="0.2">
      <c r="A43" s="82" t="str">
        <f>Listas!E38</f>
        <v>80065-DS-002 (Estaño) | 5.08 - 8.89 µm</v>
      </c>
      <c r="B43" s="82" t="str">
        <f t="shared" si="0"/>
        <v>Estaño</v>
      </c>
      <c r="G43" s="82" t="str">
        <v>TS1E-010-103 (Fosfato de Manganeso - Medición de Grano - GM) | 5 - 11 µm</v>
      </c>
    </row>
    <row r="44" spans="1:7" x14ac:dyDescent="0.2">
      <c r="A44" s="82" t="str">
        <f>Listas!E39</f>
        <v>80065-DS-004 (Plata) | 7.26 - 9.26 µm</v>
      </c>
      <c r="B44" s="82" t="str">
        <f t="shared" si="0"/>
        <v>Plata</v>
      </c>
    </row>
    <row r="45" spans="1:7" x14ac:dyDescent="0.2">
      <c r="A45" s="82" t="str">
        <f>Listas!E40</f>
        <v>80065-DS-005 (Plata Flash) | 0.076 - 0.2 µm</v>
      </c>
      <c r="B45" s="82" t="str">
        <f t="shared" si="0"/>
        <v>Plata</v>
      </c>
    </row>
    <row r="46" spans="1:7" x14ac:dyDescent="0.2">
      <c r="A46" s="82" t="str">
        <f>Listas!E41</f>
        <v>80065-DS-008 (Plata) | 0.508 - 1.016 µm</v>
      </c>
      <c r="B46" s="82" t="str">
        <f t="shared" si="0"/>
        <v>Plata</v>
      </c>
    </row>
    <row r="47" spans="1:7" x14ac:dyDescent="0.2">
      <c r="A47" s="82" t="str">
        <f>Listas!E42</f>
        <v>80282-DS-005 (Epóxico BT) | 4 - 11 mils (milipulgadas)</v>
      </c>
      <c r="B47" s="82" t="str">
        <f t="shared" si="0"/>
        <v>Epóxico</v>
      </c>
    </row>
    <row r="48" spans="1:7" x14ac:dyDescent="0.2">
      <c r="A48" s="82" t="str">
        <f>Listas!E43</f>
        <v>ABD01030 (Plata Semibrillante) | 2 - 5 µm</v>
      </c>
      <c r="B48" s="82" t="str">
        <f t="shared" si="0"/>
        <v>Plata</v>
      </c>
    </row>
    <row r="49" spans="1:2" x14ac:dyDescent="0.2">
      <c r="A49" s="82" t="str">
        <f>Listas!E44</f>
        <v>ACP5-618 (Plata) | 0.076 - 2.54 µm</v>
      </c>
      <c r="B49" s="82" t="str">
        <f t="shared" si="0"/>
        <v>Plata</v>
      </c>
    </row>
    <row r="50" spans="1:2" x14ac:dyDescent="0.2">
      <c r="A50" s="82" t="str">
        <f>Listas!E45</f>
        <v>ACP5-618 (Plata) | 2.54 - 5.08 µm</v>
      </c>
      <c r="B50" s="82" t="str">
        <f t="shared" si="0"/>
        <v>Plata</v>
      </c>
    </row>
    <row r="51" spans="1:2" x14ac:dyDescent="0.2">
      <c r="A51" s="82" t="str">
        <f>Listas!E46</f>
        <v>ACP5-618 (Plata) | 5.08 - 12.7 µm</v>
      </c>
      <c r="B51" s="82" t="str">
        <f t="shared" si="0"/>
        <v>Plata</v>
      </c>
    </row>
    <row r="52" spans="1:2" x14ac:dyDescent="0.2">
      <c r="A52" s="82" t="str">
        <f>Listas!E47</f>
        <v>ASTM B545 (Estaño) | 1.5 - 2.5 µm</v>
      </c>
      <c r="B52" s="82" t="str">
        <f t="shared" si="0"/>
        <v>Estaño</v>
      </c>
    </row>
    <row r="53" spans="1:2" x14ac:dyDescent="0.2">
      <c r="A53" s="82" t="str">
        <f>Listas!E48</f>
        <v>ASTM B545 (Estaño) | 15 - 30 µm</v>
      </c>
      <c r="B53" s="82" t="str">
        <f t="shared" si="0"/>
        <v>Estaño</v>
      </c>
    </row>
    <row r="54" spans="1:2" x14ac:dyDescent="0.2">
      <c r="A54" s="82" t="str">
        <f>Listas!E49</f>
        <v>ASTM B545 (Estaño) | 2.5 - 5 µm</v>
      </c>
      <c r="B54" s="82" t="str">
        <f t="shared" si="0"/>
        <v>Estaño</v>
      </c>
    </row>
    <row r="55" spans="1:2" x14ac:dyDescent="0.2">
      <c r="A55" s="82" t="str">
        <f>Listas!E50</f>
        <v>ASTM B545 (Estaño) | 30 - 50 µm</v>
      </c>
      <c r="B55" s="82" t="str">
        <f t="shared" si="0"/>
        <v>Estaño</v>
      </c>
    </row>
    <row r="56" spans="1:2" x14ac:dyDescent="0.2">
      <c r="A56" s="82" t="str">
        <f>Listas!E51</f>
        <v>ASTM B545 (Estaño) | 5.0 - 8.0 µm</v>
      </c>
      <c r="B56" s="82" t="str">
        <f t="shared" si="0"/>
        <v>Estaño</v>
      </c>
    </row>
    <row r="57" spans="1:2" x14ac:dyDescent="0.2">
      <c r="A57" s="82" t="str">
        <f>Listas!E52</f>
        <v>ASTM B545 (Estaño) | 8 - 15 µm</v>
      </c>
      <c r="B57" s="82" t="str">
        <f t="shared" si="0"/>
        <v>Estaño</v>
      </c>
    </row>
    <row r="58" spans="1:2" x14ac:dyDescent="0.2">
      <c r="A58" s="82" t="str">
        <f>Listas!E53</f>
        <v>ASTM B633 (Zinc) | 8.0 - 12.0 µm</v>
      </c>
      <c r="B58" s="82" t="str">
        <f t="shared" si="0"/>
        <v>Zinc</v>
      </c>
    </row>
    <row r="59" spans="1:2" x14ac:dyDescent="0.2">
      <c r="A59" s="82" t="str">
        <f>Listas!E54</f>
        <v>ASTM B689 (Níquel) | 100 - 115 µm</v>
      </c>
      <c r="B59" s="82" t="str">
        <f t="shared" si="0"/>
        <v>Níquel</v>
      </c>
    </row>
    <row r="60" spans="1:2" x14ac:dyDescent="0.2">
      <c r="A60" s="82" t="str">
        <f>Listas!E55</f>
        <v>ASTM B689 (Níquel) | 15.0 - 25.0 µm</v>
      </c>
      <c r="B60" s="82" t="str">
        <f t="shared" si="0"/>
        <v>Níquel</v>
      </c>
    </row>
    <row r="61" spans="1:2" x14ac:dyDescent="0.2">
      <c r="A61" s="82" t="str">
        <f>Listas!E56</f>
        <v>ASTM B689 (Níquel) | 200 - 225 µm</v>
      </c>
      <c r="B61" s="82" t="str">
        <f t="shared" si="0"/>
        <v>Níquel</v>
      </c>
    </row>
    <row r="62" spans="1:2" x14ac:dyDescent="0.2">
      <c r="A62" s="82" t="str">
        <f>Listas!E57</f>
        <v>ASTM B689 (Níquel) | 25 - 30 µm</v>
      </c>
      <c r="B62" s="82" t="str">
        <f t="shared" si="0"/>
        <v>Níquel</v>
      </c>
    </row>
    <row r="63" spans="1:2" x14ac:dyDescent="0.2">
      <c r="A63" s="82" t="str">
        <f>Listas!E58</f>
        <v>ASTM B689 (Níquel) | 5 - 8 µm</v>
      </c>
      <c r="B63" s="82" t="str">
        <f t="shared" si="0"/>
        <v>Níquel</v>
      </c>
    </row>
    <row r="64" spans="1:2" x14ac:dyDescent="0.2">
      <c r="A64" s="82" t="str">
        <f>Listas!E59</f>
        <v>ASTM B689 (Níquel) | 50 - 60 µm</v>
      </c>
      <c r="B64" s="82" t="str">
        <f t="shared" si="0"/>
        <v>Níquel</v>
      </c>
    </row>
    <row r="65" spans="1:2" x14ac:dyDescent="0.2">
      <c r="A65" s="82" t="str">
        <f>Listas!E60</f>
        <v>ASTM B689 (Níquel) | 7.6 - 12.7 µm</v>
      </c>
      <c r="B65" s="82" t="str">
        <f t="shared" si="0"/>
        <v>Níquel</v>
      </c>
    </row>
    <row r="66" spans="1:2" x14ac:dyDescent="0.2">
      <c r="A66" s="82" t="str">
        <f>Listas!E61</f>
        <v>ASTM B700 (Plata) | 1 - 2.5 µm</v>
      </c>
      <c r="B66" s="82" t="str">
        <f t="shared" si="0"/>
        <v>Plata</v>
      </c>
    </row>
    <row r="67" spans="1:2" x14ac:dyDescent="0.2">
      <c r="A67" s="82" t="str">
        <f>Listas!E62</f>
        <v>ASTM B700 (Plata) | 10 - 20 µm</v>
      </c>
      <c r="B67" s="82" t="str">
        <f t="shared" si="0"/>
        <v>Plata</v>
      </c>
    </row>
    <row r="68" spans="1:2" x14ac:dyDescent="0.2">
      <c r="A68" s="82" t="str">
        <f>Listas!E63</f>
        <v>ASTM B700 (Plata) | 2.5 - 5 µm</v>
      </c>
      <c r="B68" s="82" t="str">
        <f t="shared" si="0"/>
        <v>Plata</v>
      </c>
    </row>
    <row r="69" spans="1:2" x14ac:dyDescent="0.2">
      <c r="A69" s="82" t="str">
        <f>Listas!E64</f>
        <v>ASTM B700 (Plata) | 20 - 30 µm</v>
      </c>
      <c r="B69" s="82" t="str">
        <f t="shared" si="0"/>
        <v>Plata</v>
      </c>
    </row>
    <row r="70" spans="1:2" x14ac:dyDescent="0.2">
      <c r="A70" s="82" t="str">
        <f>Listas!E65</f>
        <v>ASTM B700 (Plata) | 40 - 50 µm</v>
      </c>
      <c r="B70" s="82" t="str">
        <f t="shared" si="0"/>
        <v>Plata</v>
      </c>
    </row>
    <row r="71" spans="1:2" x14ac:dyDescent="0.2">
      <c r="A71" s="82" t="str">
        <f>Listas!E66</f>
        <v>ASTM B700 (Plata) | 5 - 10 µm</v>
      </c>
      <c r="B71" s="82" t="str">
        <f t="shared" si="0"/>
        <v>Plata</v>
      </c>
    </row>
    <row r="72" spans="1:2" x14ac:dyDescent="0.2">
      <c r="A72" s="82" t="str">
        <f>Listas!E67</f>
        <v>BURNDY DI-EI-01/81 (Estaño) | 5.0 - 12.0 µm</v>
      </c>
      <c r="B72" s="82" t="str">
        <f t="shared" si="0"/>
        <v>Estaño</v>
      </c>
    </row>
    <row r="73" spans="1:2" x14ac:dyDescent="0.2">
      <c r="A73" s="82" t="str">
        <f>Listas!E68</f>
        <v>DIN EN 12476 (Fosfato de Manganeso - Aceitado - Medición de Grano) | 2.54 - 7.62 µm</v>
      </c>
      <c r="B73" s="82" t="str">
        <f t="shared" si="0"/>
        <v>Otros</v>
      </c>
    </row>
    <row r="74" spans="1:2" x14ac:dyDescent="0.2">
      <c r="A74" s="82" t="str">
        <f>Listas!E69</f>
        <v>DS258-103-00 (Estaño) | 5.08 - 10.0 µm</v>
      </c>
      <c r="B74" s="82" t="str">
        <f t="shared" ref="B74:B137" si="1">IF(OR(A74="",A74=0),"",_xlfn.LET(_xlpm.t,A74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75" spans="1:2" x14ac:dyDescent="0.2">
      <c r="A75" s="82" t="str">
        <f>Listas!E70</f>
        <v>E27550 (Plata) | 1.27 - 3.5 µm</v>
      </c>
      <c r="B75" s="82" t="str">
        <f t="shared" si="1"/>
        <v>Plata</v>
      </c>
    </row>
    <row r="76" spans="1:2" x14ac:dyDescent="0.2">
      <c r="A76" s="82" t="str">
        <f>Listas!E71</f>
        <v>E27551 (Plata) | 5.08 - 12 µm</v>
      </c>
      <c r="B76" s="82" t="str">
        <f t="shared" si="1"/>
        <v>Plata</v>
      </c>
    </row>
    <row r="77" spans="1:2" x14ac:dyDescent="0.2">
      <c r="A77" s="82" t="str">
        <f>Listas!E72</f>
        <v>E27780 (Epóxico MT) | 50 - 100 mils</v>
      </c>
      <c r="B77" s="82" t="str">
        <f t="shared" si="1"/>
        <v>Epóxico</v>
      </c>
    </row>
    <row r="78" spans="1:2" x14ac:dyDescent="0.2">
      <c r="A78" s="82" t="str">
        <f>Listas!E73</f>
        <v>ES-000101 (Epóxico MT Rojo) | 20 - 60 mils</v>
      </c>
      <c r="B78" s="82" t="str">
        <f t="shared" si="1"/>
        <v>Epóxico</v>
      </c>
    </row>
    <row r="79" spans="1:2" x14ac:dyDescent="0.2">
      <c r="A79" s="82" t="str">
        <f>Listas!E74</f>
        <v>ES-000101 (Epóxico MT Rojo) | 30 - 40 mils</v>
      </c>
      <c r="B79" s="82" t="str">
        <f t="shared" si="1"/>
        <v>Epóxico</v>
      </c>
    </row>
    <row r="80" spans="1:2" x14ac:dyDescent="0.2">
      <c r="A80" s="82" t="str">
        <f>Listas!E75</f>
        <v>F4383 (Estaño) | 7.62 - 25.4 µm</v>
      </c>
      <c r="B80" s="82" t="str">
        <f t="shared" si="1"/>
        <v>Estaño</v>
      </c>
    </row>
    <row r="81" spans="1:2" x14ac:dyDescent="0.2">
      <c r="A81" s="82" t="str">
        <f>Listas!E76</f>
        <v>F70F2 (Estaño Mate) | 0.508 - 1.016 µm</v>
      </c>
      <c r="B81" s="82" t="str">
        <f t="shared" si="1"/>
        <v>Estaño</v>
      </c>
    </row>
    <row r="82" spans="1:2" x14ac:dyDescent="0.2">
      <c r="A82" s="82" t="str">
        <f>Listas!E77</f>
        <v>F70F2 (Estaño Mate) | 12.7 - 19.05 µm</v>
      </c>
      <c r="B82" s="82" t="str">
        <f t="shared" si="1"/>
        <v>Estaño</v>
      </c>
    </row>
    <row r="83" spans="1:2" x14ac:dyDescent="0.2">
      <c r="A83" s="82" t="str">
        <f>Listas!E78</f>
        <v>F70F2 (Estaño Mate) | 2.54 - 5.08 µm</v>
      </c>
      <c r="B83" s="82" t="str">
        <f t="shared" si="1"/>
        <v>Estaño</v>
      </c>
    </row>
    <row r="84" spans="1:2" x14ac:dyDescent="0.2">
      <c r="A84" s="82" t="str">
        <f>Listas!E79</f>
        <v>F70F2 (Estaño Mate) | 25.4 - 38.1 µm</v>
      </c>
      <c r="B84" s="82" t="str">
        <f t="shared" si="1"/>
        <v>Estaño</v>
      </c>
    </row>
    <row r="85" spans="1:2" x14ac:dyDescent="0.2">
      <c r="A85" s="82" t="str">
        <f>Listas!E80</f>
        <v>F70F2 (Estaño Mate) | 3.81 - 7.62 µm</v>
      </c>
      <c r="B85" s="82" t="str">
        <f t="shared" si="1"/>
        <v>Estaño</v>
      </c>
    </row>
    <row r="86" spans="1:2" x14ac:dyDescent="0.2">
      <c r="A86" s="82" t="str">
        <f>Listas!E81</f>
        <v>F70F2 (Estaño Mate) | 5.08 - 10.16 µm</v>
      </c>
      <c r="B86" s="82" t="str">
        <f t="shared" si="1"/>
        <v>Estaño</v>
      </c>
    </row>
    <row r="87" spans="1:2" x14ac:dyDescent="0.2">
      <c r="A87" s="82" t="str">
        <f>Listas!E82</f>
        <v>F70H2 (Plata Mate) | 0.508 - 1.016 µm</v>
      </c>
      <c r="B87" s="82" t="str">
        <f t="shared" si="1"/>
        <v>Plata</v>
      </c>
    </row>
    <row r="88" spans="1:2" x14ac:dyDescent="0.2">
      <c r="A88" s="82" t="str">
        <f>Listas!E83</f>
        <v>F70H2 (Plata Mate) | 10.2 - 15.2 µm</v>
      </c>
      <c r="B88" s="82" t="str">
        <f t="shared" si="1"/>
        <v>Plata</v>
      </c>
    </row>
    <row r="89" spans="1:2" x14ac:dyDescent="0.2">
      <c r="A89" s="82" t="str">
        <f>Listas!E84</f>
        <v>F70H2 (Plata Mate) | 12.7 - 19.1 µm</v>
      </c>
      <c r="B89" s="82" t="str">
        <f t="shared" si="1"/>
        <v>Plata</v>
      </c>
    </row>
    <row r="90" spans="1:2" x14ac:dyDescent="0.2">
      <c r="A90" s="82" t="str">
        <f>Listas!E85</f>
        <v>F70H2 (Plata Mate) | 2.5 - 7.6 µm</v>
      </c>
      <c r="B90" s="82" t="str">
        <f t="shared" si="1"/>
        <v>Plata</v>
      </c>
    </row>
    <row r="91" spans="1:2" x14ac:dyDescent="0.2">
      <c r="A91" s="82" t="str">
        <f>Listas!E86</f>
        <v>F70H2 (Plata Mate) | 25.4 - 38.1 µm</v>
      </c>
      <c r="B91" s="82" t="str">
        <f t="shared" si="1"/>
        <v>Plata</v>
      </c>
    </row>
    <row r="92" spans="1:2" x14ac:dyDescent="0.2">
      <c r="A92" s="82" t="str">
        <f>Listas!E87</f>
        <v>F70H2 (Plata Mate) | 5.1 - 10.2 µm</v>
      </c>
      <c r="B92" s="82" t="str">
        <f t="shared" si="1"/>
        <v>Plata</v>
      </c>
    </row>
    <row r="93" spans="1:2" x14ac:dyDescent="0.2">
      <c r="A93" s="82" t="str">
        <f>Listas!E88</f>
        <v>F70H3 (Plata Semibrillante) | 12.7 - 19.1 µm</v>
      </c>
      <c r="B93" s="82" t="str">
        <f t="shared" si="1"/>
        <v>Plata</v>
      </c>
    </row>
    <row r="94" spans="1:2" x14ac:dyDescent="0.2">
      <c r="A94" s="82" t="str">
        <f>Listas!E89</f>
        <v>F70H3 (Plata Semibrillante) | 2.54 - 5 µm</v>
      </c>
      <c r="B94" s="82" t="str">
        <f t="shared" si="1"/>
        <v>Plata</v>
      </c>
    </row>
    <row r="95" spans="1:2" x14ac:dyDescent="0.2">
      <c r="A95" s="82" t="str">
        <f>Listas!E90</f>
        <v>F70H3 (Plata Semibrillante) | 5.1 - 10.2 µm</v>
      </c>
      <c r="B95" s="82" t="str">
        <f t="shared" si="1"/>
        <v>Plata</v>
      </c>
    </row>
    <row r="96" spans="1:2" x14ac:dyDescent="0.2">
      <c r="A96" s="82" t="str">
        <f>Listas!E91</f>
        <v>FFS-1A1 (Fosfato de Zinc) | 10 - 35 µm</v>
      </c>
      <c r="B96" s="82" t="str">
        <f t="shared" si="1"/>
        <v>Zinc</v>
      </c>
    </row>
    <row r="97" spans="1:2" x14ac:dyDescent="0.2">
      <c r="A97" s="82" t="str">
        <f>Listas!E92</f>
        <v>FFS-1C1 (Fosfato de Zinc c/Aceite) | 15 - 45 µm</v>
      </c>
      <c r="B97" s="82" t="str">
        <f t="shared" si="1"/>
        <v>Zinc</v>
      </c>
    </row>
    <row r="98" spans="1:2" x14ac:dyDescent="0.2">
      <c r="A98" s="82" t="str">
        <f>Listas!E93</f>
        <v>FFS-2B4 (Zinc Cromato Verde - Amarillo - Claro) | 13.0 - 18.0 µm</v>
      </c>
      <c r="B98" s="82" t="str">
        <f t="shared" si="1"/>
        <v>Zinc</v>
      </c>
    </row>
    <row r="99" spans="1:2" x14ac:dyDescent="0.2">
      <c r="A99" s="82" t="str">
        <f>Listas!E94</f>
        <v>FFS-2B4 (Zinc Cromato Verde - Amarillo - Claro) | 3.8 - 6.4 µm</v>
      </c>
      <c r="B99" s="82" t="str">
        <f t="shared" si="1"/>
        <v>Zinc</v>
      </c>
    </row>
    <row r="100" spans="1:2" x14ac:dyDescent="0.2">
      <c r="A100" s="82" t="str">
        <f>Listas!E95</f>
        <v>FFS-2B4 (Zinc Cromato Verde - Amarillo - Claro) | 6.3 - 8.9 µm</v>
      </c>
      <c r="B100" s="82" t="str">
        <f t="shared" si="1"/>
        <v>Zinc</v>
      </c>
    </row>
    <row r="101" spans="1:2" x14ac:dyDescent="0.2">
      <c r="A101" s="82" t="str">
        <f>Listas!E96</f>
        <v>FFS-2E3 (Cromo Duro) | 12.7 - 17.78 µm</v>
      </c>
      <c r="B101" s="82" t="str">
        <f t="shared" si="1"/>
        <v>Otros</v>
      </c>
    </row>
    <row r="102" spans="1:2" x14ac:dyDescent="0.2">
      <c r="A102" s="82" t="str">
        <f>Listas!E97</f>
        <v>FFS-2E3 (Cromo Duro) | 19.05 - 31.75 µm</v>
      </c>
      <c r="B102" s="82" t="str">
        <f t="shared" si="1"/>
        <v>Otros</v>
      </c>
    </row>
    <row r="103" spans="1:2" x14ac:dyDescent="0.2">
      <c r="A103" s="82" t="str">
        <f>Listas!E98</f>
        <v>FFS-2E3 (Cromo Duro) | 25 - 38 µm</v>
      </c>
      <c r="B103" s="82" t="str">
        <f t="shared" si="1"/>
        <v>Otros</v>
      </c>
    </row>
    <row r="104" spans="1:2" x14ac:dyDescent="0.2">
      <c r="A104" s="82" t="str">
        <f>Listas!E99</f>
        <v>FFS-2E3 (Cromo Duro) | 38.5 - 63.5 µm</v>
      </c>
      <c r="B104" s="82" t="str">
        <f t="shared" si="1"/>
        <v>Otros</v>
      </c>
    </row>
    <row r="105" spans="1:2" x14ac:dyDescent="0.2">
      <c r="A105" s="82" t="str">
        <f>Listas!E100</f>
        <v>FFS-2E3 (Cromo Duro) | 63.5 - 88.9 µm</v>
      </c>
      <c r="B105" s="82" t="str">
        <f t="shared" si="1"/>
        <v>Otros</v>
      </c>
    </row>
    <row r="106" spans="1:2" x14ac:dyDescent="0.2">
      <c r="A106" s="82" t="str">
        <f>Listas!E101</f>
        <v>FFS-2E3 (Cromo Duro) | 7.62 - 12.7 µm</v>
      </c>
      <c r="B106" s="82" t="str">
        <f t="shared" si="1"/>
        <v>Otros</v>
      </c>
    </row>
    <row r="107" spans="1:2" x14ac:dyDescent="0.2">
      <c r="A107" s="82" t="str">
        <f>Listas!E102</f>
        <v>FFS-3A9 (Iridizado)</v>
      </c>
      <c r="B107" s="82" t="str">
        <f t="shared" si="1"/>
        <v>Otros</v>
      </c>
    </row>
    <row r="108" spans="1:2" x14ac:dyDescent="0.2">
      <c r="A108" s="82" t="str">
        <f>Listas!E103</f>
        <v>FGS-8B7 (Níquel Electroless) | 50.8 - 63.5 µm</v>
      </c>
      <c r="B108" s="82" t="str">
        <f t="shared" si="1"/>
        <v>Níquel</v>
      </c>
    </row>
    <row r="109" spans="1:2" x14ac:dyDescent="0.2">
      <c r="A109" s="82" t="str">
        <f>Listas!E104</f>
        <v>FTR00025 (Zinc) | 8.0 - 12.0 µm</v>
      </c>
      <c r="B109" s="82" t="str">
        <f t="shared" si="1"/>
        <v>Zinc</v>
      </c>
    </row>
    <row r="110" spans="1:2" x14ac:dyDescent="0.2">
      <c r="A110" s="82" t="str">
        <f>Listas!E105</f>
        <v>FTR00047 (Plata) | 2 - 5 µm</v>
      </c>
      <c r="B110" s="82" t="str">
        <f t="shared" si="1"/>
        <v>Plata</v>
      </c>
    </row>
    <row r="111" spans="1:2" x14ac:dyDescent="0.2">
      <c r="A111" s="82" t="str">
        <f>Listas!E106</f>
        <v>FTR00047 (Plata) | 5 - 8 µm</v>
      </c>
      <c r="B111" s="82" t="str">
        <f t="shared" si="1"/>
        <v>Plata</v>
      </c>
    </row>
    <row r="112" spans="1:2" x14ac:dyDescent="0.2">
      <c r="A112" s="82" t="str">
        <f>Listas!E107</f>
        <v>GDE1214700 (Antitarnish)</v>
      </c>
      <c r="B112" s="82" t="str">
        <f t="shared" si="1"/>
        <v>Otros</v>
      </c>
    </row>
    <row r="113" spans="1:2" x14ac:dyDescent="0.2">
      <c r="A113" s="82" t="str">
        <f>Listas!E108</f>
        <v>GG QTLV 5115 (Níquel Sulfamato) | 5 - 15 µm</v>
      </c>
      <c r="B113" s="82" t="str">
        <f t="shared" si="1"/>
        <v>Níquel</v>
      </c>
    </row>
    <row r="114" spans="1:2" x14ac:dyDescent="0.2">
      <c r="A114" s="82" t="str">
        <f>Listas!E109</f>
        <v>KDS-258-107 (Estaño) | 2.5 - 5 µm</v>
      </c>
      <c r="B114" s="82" t="str">
        <f t="shared" si="1"/>
        <v>Estaño</v>
      </c>
    </row>
    <row r="115" spans="1:2" x14ac:dyDescent="0.2">
      <c r="A115" s="82" t="str">
        <f>Listas!E110</f>
        <v>MS-S1053 (Fosfato de Manganeso - Medición de Grano) | 5 - 11 µm</v>
      </c>
      <c r="B115" s="82" t="str">
        <f t="shared" si="1"/>
        <v>Otros</v>
      </c>
    </row>
    <row r="116" spans="1:2" x14ac:dyDescent="0.2">
      <c r="A116" s="82" t="str">
        <f>Listas!E111</f>
        <v>NNZ3703201 (Epóxico MT) | 80 - 100 mils</v>
      </c>
      <c r="B116" s="82" t="str">
        <f t="shared" si="1"/>
        <v>Epóxico</v>
      </c>
    </row>
    <row r="117" spans="1:2" x14ac:dyDescent="0.2">
      <c r="A117" s="82" t="str">
        <f>Listas!E112</f>
        <v>P 1029 P003 E 131 (Níquel Electroless) (Moneda) | 45 - 70 µm</v>
      </c>
      <c r="B117" s="82" t="str">
        <f t="shared" si="1"/>
        <v>Níquel</v>
      </c>
    </row>
    <row r="118" spans="1:2" x14ac:dyDescent="0.2">
      <c r="A118" s="82" t="str">
        <f>Listas!E113</f>
        <v>PL 112-16-2 (Estaño) | 3.8 - 12.7 µm</v>
      </c>
      <c r="B118" s="82" t="str">
        <f t="shared" si="1"/>
        <v>Estaño</v>
      </c>
    </row>
    <row r="119" spans="1:2" x14ac:dyDescent="0.2">
      <c r="A119" s="82" t="str">
        <f>Listas!E114</f>
        <v>RC Ag (Plata) | 0.076 - 1.27 µm</v>
      </c>
      <c r="B119" s="82" t="str">
        <f t="shared" si="1"/>
        <v>Plata</v>
      </c>
    </row>
    <row r="120" spans="1:2" x14ac:dyDescent="0.2">
      <c r="A120" s="82" t="str">
        <f>Listas!E115</f>
        <v>RC Ag (Plata) | 0.127 - 0.5 µm</v>
      </c>
      <c r="B120" s="82" t="str">
        <f t="shared" si="1"/>
        <v>Plata</v>
      </c>
    </row>
    <row r="121" spans="1:2" x14ac:dyDescent="0.2">
      <c r="A121" s="82" t="str">
        <f>Listas!E116</f>
        <v>RC Ag (Plata) | 0.27 - 1.27 µm</v>
      </c>
      <c r="B121" s="82" t="str">
        <f t="shared" si="1"/>
        <v>Plata</v>
      </c>
    </row>
    <row r="122" spans="1:2" x14ac:dyDescent="0.2">
      <c r="A122" s="82" t="str">
        <f>Listas!E117</f>
        <v>RC Ag (Plata) | 0.3 - 0.8 µm</v>
      </c>
      <c r="B122" s="82" t="str">
        <f t="shared" si="1"/>
        <v>Plata</v>
      </c>
    </row>
    <row r="123" spans="1:2" x14ac:dyDescent="0.2">
      <c r="A123" s="82" t="str">
        <f>Listas!E118</f>
        <v>RC Ag (Plata) | 0.4 - 2.5 µm</v>
      </c>
      <c r="B123" s="82" t="str">
        <f t="shared" si="1"/>
        <v>Plata</v>
      </c>
    </row>
    <row r="124" spans="1:2" x14ac:dyDescent="0.2">
      <c r="A124" s="82" t="str">
        <f>Listas!E119</f>
        <v>RC Ag (Plata) | 0.5 - 1.5 µm</v>
      </c>
      <c r="B124" s="82" t="str">
        <f t="shared" si="1"/>
        <v>Plata</v>
      </c>
    </row>
    <row r="125" spans="1:2" x14ac:dyDescent="0.2">
      <c r="A125" s="82" t="str">
        <f>Listas!E120</f>
        <v>RC Ag (Plata) | 0.508 - 1.016 µm</v>
      </c>
      <c r="B125" s="82" t="str">
        <f t="shared" si="1"/>
        <v>Plata</v>
      </c>
    </row>
    <row r="126" spans="1:2" x14ac:dyDescent="0.2">
      <c r="A126" s="82" t="str">
        <f>Listas!E121</f>
        <v>RC Ag (Plata) | 1.5 - 2.5 µm</v>
      </c>
      <c r="B126" s="82" t="str">
        <f t="shared" si="1"/>
        <v>Plata</v>
      </c>
    </row>
    <row r="127" spans="1:2" x14ac:dyDescent="0.2">
      <c r="A127" s="82" t="str">
        <f>Listas!E122</f>
        <v>RC Ag (Plata) | 13 - 16 µm</v>
      </c>
      <c r="B127" s="82" t="str">
        <f t="shared" si="1"/>
        <v>Plata</v>
      </c>
    </row>
    <row r="128" spans="1:2" x14ac:dyDescent="0.2">
      <c r="A128" s="82" t="str">
        <f>Listas!E123</f>
        <v>RC Ag (Plata) | 2.0 - 6.0 µm</v>
      </c>
      <c r="B128" s="82" t="str">
        <f t="shared" si="1"/>
        <v>Plata</v>
      </c>
    </row>
    <row r="129" spans="1:2" x14ac:dyDescent="0.2">
      <c r="A129" s="82" t="str">
        <f>Listas!E124</f>
        <v>RC Ag (Plata) | 3.8 - 5.5 µm</v>
      </c>
      <c r="B129" s="82" t="str">
        <f t="shared" si="1"/>
        <v>Plata</v>
      </c>
    </row>
    <row r="130" spans="1:2" x14ac:dyDescent="0.2">
      <c r="A130" s="82" t="str">
        <f>Listas!E125</f>
        <v>RC Ag (Plata) | 8 - 12 µm</v>
      </c>
      <c r="B130" s="82" t="str">
        <f t="shared" si="1"/>
        <v>Plata</v>
      </c>
    </row>
    <row r="131" spans="1:2" x14ac:dyDescent="0.2">
      <c r="A131" s="82" t="str">
        <f>Listas!E126</f>
        <v>RC Anodizado Natural | 12 - 18 µm</v>
      </c>
      <c r="B131" s="82" t="str">
        <f t="shared" si="1"/>
        <v>Otros</v>
      </c>
    </row>
    <row r="132" spans="1:2" x14ac:dyDescent="0.2">
      <c r="A132" s="82" t="str">
        <f>Listas!E127</f>
        <v>RC Anodizado Natural | 8 - 13 µm</v>
      </c>
      <c r="B132" s="82" t="str">
        <f t="shared" si="1"/>
        <v>Otros</v>
      </c>
    </row>
    <row r="133" spans="1:2" x14ac:dyDescent="0.2">
      <c r="A133" s="82" t="str">
        <f>Listas!E128</f>
        <v>RC Anodizado Negro | 12 - 18 µm</v>
      </c>
      <c r="B133" s="82" t="str">
        <f t="shared" si="1"/>
        <v>Otros</v>
      </c>
    </row>
    <row r="134" spans="1:2" x14ac:dyDescent="0.2">
      <c r="A134" s="82" t="str">
        <f>Listas!E129</f>
        <v>RC Anodizado Negro | 8 - 13 µm</v>
      </c>
      <c r="B134" s="82" t="str">
        <f t="shared" si="1"/>
        <v>Otros</v>
      </c>
    </row>
    <row r="135" spans="1:2" x14ac:dyDescent="0.2">
      <c r="A135" s="82" t="str">
        <f>Listas!E130</f>
        <v>RC Brill 61</v>
      </c>
      <c r="B135" s="82" t="str">
        <f t="shared" si="1"/>
        <v>Otros</v>
      </c>
    </row>
    <row r="136" spans="1:2" x14ac:dyDescent="0.2">
      <c r="A136" s="82" t="str">
        <f>Listas!E131</f>
        <v>RC Cromo Duro | 12.7 - 17.78 µm</v>
      </c>
      <c r="B136" s="82" t="str">
        <f t="shared" si="1"/>
        <v>Otros</v>
      </c>
    </row>
    <row r="137" spans="1:2" x14ac:dyDescent="0.2">
      <c r="A137" s="82" t="str">
        <f>Listas!E132</f>
        <v>RC Cromo Duro | 19.05 - 31.75 µm</v>
      </c>
      <c r="B137" s="82" t="str">
        <f t="shared" si="1"/>
        <v>Otros</v>
      </c>
    </row>
    <row r="138" spans="1:2" x14ac:dyDescent="0.2">
      <c r="A138" s="82" t="str">
        <f>Listas!E133</f>
        <v>RC Cromo Duro | 38.5 - 63.5 µm</v>
      </c>
      <c r="B138" s="82" t="str">
        <f t="shared" ref="B138:B201" si="2">IF(OR(A138="",A138=0),"",_xlfn.LET(_xlpm.t,A138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139" spans="1:2" x14ac:dyDescent="0.2">
      <c r="A139" s="82" t="str">
        <f>Listas!E134</f>
        <v>RC Cromo Duro | 63.5 - 88.9 µm</v>
      </c>
      <c r="B139" s="82" t="str">
        <f t="shared" si="2"/>
        <v>Otros</v>
      </c>
    </row>
    <row r="140" spans="1:2" x14ac:dyDescent="0.2">
      <c r="A140" s="82" t="str">
        <f>Listas!E135</f>
        <v>RC Cromo Duro | 7.62 - 12.7 µm</v>
      </c>
      <c r="B140" s="82" t="str">
        <f t="shared" si="2"/>
        <v>Otros</v>
      </c>
    </row>
    <row r="141" spans="1:2" x14ac:dyDescent="0.2">
      <c r="A141" s="82" t="str">
        <f>Listas!E136</f>
        <v>RC Cu (Cobre) | 0.25 - 1 µm</v>
      </c>
      <c r="B141" s="82" t="str">
        <f t="shared" si="2"/>
        <v>Otros</v>
      </c>
    </row>
    <row r="142" spans="1:2" x14ac:dyDescent="0.2">
      <c r="A142" s="82" t="str">
        <f>Listas!E137</f>
        <v>RC Cu (Cobre) | 10 - 12 µm</v>
      </c>
      <c r="B142" s="82" t="str">
        <f t="shared" si="2"/>
        <v>Otros</v>
      </c>
    </row>
    <row r="143" spans="1:2" x14ac:dyDescent="0.2">
      <c r="A143" s="82" t="str">
        <f>Listas!E138</f>
        <v>RC Cu (Cobre) | 3 - 5 µm</v>
      </c>
      <c r="B143" s="82" t="str">
        <f t="shared" si="2"/>
        <v>Otros</v>
      </c>
    </row>
    <row r="144" spans="1:2" x14ac:dyDescent="0.2">
      <c r="A144" s="82" t="str">
        <f>Listas!E139</f>
        <v>RC Cu (Cobre) | 5 - 10 µm</v>
      </c>
      <c r="B144" s="82" t="str">
        <f t="shared" si="2"/>
        <v>Otros</v>
      </c>
    </row>
    <row r="145" spans="1:2" x14ac:dyDescent="0.2">
      <c r="A145" s="82" t="str">
        <f>Listas!E140</f>
        <v>RC Decapado</v>
      </c>
      <c r="B145" s="82" t="str">
        <f t="shared" si="2"/>
        <v>Otros</v>
      </c>
    </row>
    <row r="146" spans="1:2" x14ac:dyDescent="0.2">
      <c r="A146" s="82" t="str">
        <f>Listas!E141</f>
        <v>RC Electropulido</v>
      </c>
      <c r="B146" s="82" t="str">
        <f t="shared" si="2"/>
        <v>Otros</v>
      </c>
    </row>
    <row r="147" spans="1:2" x14ac:dyDescent="0.2">
      <c r="A147" s="82" t="str">
        <f>Listas!E142</f>
        <v>RC Empaque</v>
      </c>
      <c r="B147" s="82" t="str">
        <f t="shared" si="2"/>
        <v>Otros</v>
      </c>
    </row>
    <row r="148" spans="1:2" x14ac:dyDescent="0.2">
      <c r="A148" s="82" t="str">
        <f>Listas!E143</f>
        <v>RC EpBT (Epóxico BT) | 10 - 15 mils</v>
      </c>
      <c r="B148" s="82" t="str">
        <f t="shared" si="2"/>
        <v>Epóxico</v>
      </c>
    </row>
    <row r="149" spans="1:2" x14ac:dyDescent="0.2">
      <c r="A149" s="82" t="str">
        <f>Listas!E144</f>
        <v>RC EpBT (Epóxico BT) | 4 - 11 mils</v>
      </c>
      <c r="B149" s="82" t="str">
        <f t="shared" si="2"/>
        <v>Epóxico</v>
      </c>
    </row>
    <row r="150" spans="1:2" x14ac:dyDescent="0.2">
      <c r="A150" s="82" t="str">
        <f>Listas!E145</f>
        <v>RC EpMT (Epóxico MT) | 94 - 140 mils</v>
      </c>
      <c r="B150" s="82" t="str">
        <f t="shared" si="2"/>
        <v>Epóxico</v>
      </c>
    </row>
    <row r="151" spans="1:2" x14ac:dyDescent="0.2">
      <c r="A151" s="82" t="str">
        <f>Listas!E146</f>
        <v>RC Lavado</v>
      </c>
      <c r="B151" s="82" t="str">
        <f t="shared" si="2"/>
        <v>Otros</v>
      </c>
    </row>
    <row r="152" spans="1:2" x14ac:dyDescent="0.2">
      <c r="A152" s="82" t="str">
        <f>Listas!E147</f>
        <v>RC Limpieza Mecánica</v>
      </c>
      <c r="B152" s="82" t="str">
        <f t="shared" si="2"/>
        <v>Otros</v>
      </c>
    </row>
    <row r="153" spans="1:2" x14ac:dyDescent="0.2">
      <c r="A153" s="82" t="str">
        <f>Listas!E148</f>
        <v>RC Ni (Níquel) | 1.0 - 3.0 µm</v>
      </c>
      <c r="B153" s="82" t="str">
        <f t="shared" si="2"/>
        <v>Níquel</v>
      </c>
    </row>
    <row r="154" spans="1:2" x14ac:dyDescent="0.2">
      <c r="A154" s="82" t="str">
        <f>Listas!E149</f>
        <v>RC Ni (Níquel) | 10 - 13 µm</v>
      </c>
      <c r="B154" s="82" t="str">
        <f t="shared" si="2"/>
        <v>Níquel</v>
      </c>
    </row>
    <row r="155" spans="1:2" x14ac:dyDescent="0.2">
      <c r="A155" s="82" t="str">
        <f>Listas!E150</f>
        <v>RC Ni (Níquel) | 2.54 - 5.08 µm</v>
      </c>
      <c r="B155" s="82" t="str">
        <f t="shared" si="2"/>
        <v>Níquel</v>
      </c>
    </row>
    <row r="156" spans="1:2" x14ac:dyDescent="0.2">
      <c r="A156" s="82" t="str">
        <f>Listas!E151</f>
        <v>RC Ni (Níquel) | 5 - 9 µm</v>
      </c>
      <c r="B156" s="82" t="str">
        <f t="shared" si="2"/>
        <v>Níquel</v>
      </c>
    </row>
    <row r="157" spans="1:2" x14ac:dyDescent="0.2">
      <c r="A157" s="82" t="str">
        <f>Listas!E152</f>
        <v>RC Ni (Níquel) | 6 - 10 µm</v>
      </c>
      <c r="B157" s="82" t="str">
        <f t="shared" si="2"/>
        <v>Níquel</v>
      </c>
    </row>
    <row r="158" spans="1:2" x14ac:dyDescent="0.2">
      <c r="A158" s="82" t="str">
        <f>Listas!E153</f>
        <v>RC Ni (Níquel) | 7.6 - 12.7 µm</v>
      </c>
      <c r="B158" s="82" t="str">
        <f t="shared" si="2"/>
        <v>Níquel</v>
      </c>
    </row>
    <row r="159" spans="1:2" x14ac:dyDescent="0.2">
      <c r="A159" s="82" t="str">
        <f>Listas!E154</f>
        <v>RC NiCrv (Níquel Cromvet) | 0.5 - 1 µm</v>
      </c>
      <c r="B159" s="82" t="str">
        <f t="shared" si="2"/>
        <v>Níquel</v>
      </c>
    </row>
    <row r="160" spans="1:2" x14ac:dyDescent="0.2">
      <c r="A160" s="82" t="str">
        <f>Listas!E155</f>
        <v>RC NiEl (Níquel Electroless) | 12.7 - 17.78 µm</v>
      </c>
      <c r="B160" s="82" t="str">
        <f t="shared" si="2"/>
        <v>Níquel</v>
      </c>
    </row>
    <row r="161" spans="1:2" x14ac:dyDescent="0.2">
      <c r="A161" s="82" t="str">
        <f>Listas!E156</f>
        <v>RC NiEl (Níquel Electroless) | 2.5 - 7.5 µm</v>
      </c>
      <c r="B161" s="82" t="str">
        <f t="shared" si="2"/>
        <v>Níquel</v>
      </c>
    </row>
    <row r="162" spans="1:2" x14ac:dyDescent="0.2">
      <c r="A162" s="82" t="str">
        <f>Listas!E157</f>
        <v>RC NiEl (Níquel Electroless) | 25 - 38 µm</v>
      </c>
      <c r="B162" s="82" t="str">
        <f t="shared" si="2"/>
        <v>Níquel</v>
      </c>
    </row>
    <row r="163" spans="1:2" x14ac:dyDescent="0.2">
      <c r="A163" s="82" t="str">
        <f>Listas!E158</f>
        <v>RC NiEl (Níquel Electroless) | 30 - 35 µm</v>
      </c>
      <c r="B163" s="82" t="str">
        <f t="shared" si="2"/>
        <v>Níquel</v>
      </c>
    </row>
    <row r="164" spans="1:2" x14ac:dyDescent="0.2">
      <c r="A164" s="82" t="str">
        <f>Listas!E159</f>
        <v>RC NiEl (Níquel Electroless) | 5 - 9 µm</v>
      </c>
      <c r="B164" s="82" t="str">
        <f t="shared" si="2"/>
        <v>Níquel</v>
      </c>
    </row>
    <row r="165" spans="1:2" x14ac:dyDescent="0.2">
      <c r="A165" s="82" t="str">
        <f>Listas!E160</f>
        <v>RC NiEl (Níquel Electroless) | 50 - 63 µm</v>
      </c>
      <c r="B165" s="82" t="str">
        <f t="shared" si="2"/>
        <v>Níquel</v>
      </c>
    </row>
    <row r="166" spans="1:2" x14ac:dyDescent="0.2">
      <c r="A166" s="82" t="str">
        <f>Listas!E161</f>
        <v>RC NiEl (Níquel Electroless) | 6 - 10 µm</v>
      </c>
      <c r="B166" s="82" t="str">
        <f t="shared" si="2"/>
        <v>Níquel</v>
      </c>
    </row>
    <row r="167" spans="1:2" x14ac:dyDescent="0.2">
      <c r="A167" s="82" t="str">
        <f>Listas!E162</f>
        <v>RC NiEl (Níquel Electroless) | 7.6 - 12.7 µm</v>
      </c>
      <c r="B167" s="82" t="str">
        <f t="shared" si="2"/>
        <v>Níquel</v>
      </c>
    </row>
    <row r="168" spans="1:2" x14ac:dyDescent="0.2">
      <c r="A168" s="82" t="str">
        <f>Listas!E163</f>
        <v>RC No Oxide</v>
      </c>
      <c r="B168" s="82" t="str">
        <f t="shared" si="2"/>
        <v>Otros</v>
      </c>
    </row>
    <row r="169" spans="1:2" x14ac:dyDescent="0.2">
      <c r="A169" s="82" t="str">
        <f>Listas!E164</f>
        <v>RC Pasivado</v>
      </c>
      <c r="B169" s="82" t="str">
        <f t="shared" si="2"/>
        <v>Otros</v>
      </c>
    </row>
    <row r="170" spans="1:2" x14ac:dyDescent="0.2">
      <c r="A170" s="82" t="str">
        <f>Listas!E165</f>
        <v>RC Rebabeo</v>
      </c>
      <c r="B170" s="82" t="str">
        <f t="shared" si="2"/>
        <v>Otros</v>
      </c>
    </row>
    <row r="171" spans="1:2" x14ac:dyDescent="0.2">
      <c r="A171" s="82" t="str">
        <f>Listas!E166</f>
        <v>RC Sn (Estaño) | 0.076 - 0.2 µm</v>
      </c>
      <c r="B171" s="82" t="str">
        <f t="shared" si="2"/>
        <v>Estaño</v>
      </c>
    </row>
    <row r="172" spans="1:2" x14ac:dyDescent="0.2">
      <c r="A172" s="82" t="str">
        <f>Listas!E167</f>
        <v>RC Sn (Estaño) | 0.254 - 1.5 µm</v>
      </c>
      <c r="B172" s="82" t="str">
        <f t="shared" si="2"/>
        <v>Estaño</v>
      </c>
    </row>
    <row r="173" spans="1:2" x14ac:dyDescent="0.2">
      <c r="A173" s="82" t="str">
        <f>Listas!E168</f>
        <v>RC Sn (Estaño) | 0.3 - 0.8 µm</v>
      </c>
      <c r="B173" s="82" t="str">
        <f t="shared" si="2"/>
        <v>Estaño</v>
      </c>
    </row>
    <row r="174" spans="1:2" x14ac:dyDescent="0.2">
      <c r="A174" s="82" t="str">
        <f>Listas!E169</f>
        <v>RC Sn (Estaño) | 0.508 - 1.016 µm</v>
      </c>
      <c r="B174" s="82" t="str">
        <f t="shared" si="2"/>
        <v>Estaño</v>
      </c>
    </row>
    <row r="175" spans="1:2" x14ac:dyDescent="0.2">
      <c r="A175" s="82" t="str">
        <f>Listas!E170</f>
        <v>RC Sn (Estaño) | 0.6 - 2 µm</v>
      </c>
      <c r="B175" s="82" t="str">
        <f t="shared" si="2"/>
        <v>Estaño</v>
      </c>
    </row>
    <row r="176" spans="1:2" x14ac:dyDescent="0.2">
      <c r="A176" s="82" t="str">
        <f>Listas!E171</f>
        <v>RC Sn (Estaño) | 1.0 - 5.0 µm</v>
      </c>
      <c r="B176" s="82" t="str">
        <f t="shared" si="2"/>
        <v>Estaño</v>
      </c>
    </row>
    <row r="177" spans="1:2" x14ac:dyDescent="0.2">
      <c r="A177" s="82" t="str">
        <f>Listas!E172</f>
        <v>RC Sn (Estaño) | 1.27 - 10.16 µm</v>
      </c>
      <c r="B177" s="82" t="str">
        <f t="shared" si="2"/>
        <v>Estaño</v>
      </c>
    </row>
    <row r="178" spans="1:2" x14ac:dyDescent="0.2">
      <c r="A178" s="82" t="str">
        <f>Listas!E173</f>
        <v>RC Sn (Estaño) | 10 - 12 µm</v>
      </c>
      <c r="B178" s="82" t="str">
        <f t="shared" si="2"/>
        <v>Estaño</v>
      </c>
    </row>
    <row r="179" spans="1:2" x14ac:dyDescent="0.2">
      <c r="A179" s="82" t="str">
        <f>Listas!E174</f>
        <v>RC Sn (Estaño) | 12.7 -18.0 µm</v>
      </c>
      <c r="B179" s="82" t="str">
        <f t="shared" si="2"/>
        <v>Estaño</v>
      </c>
    </row>
    <row r="180" spans="1:2" x14ac:dyDescent="0.2">
      <c r="A180" s="82" t="str">
        <f>Listas!E175</f>
        <v>RC Sn (Estaño) | 250 - 255 µm</v>
      </c>
      <c r="B180" s="82" t="str">
        <f t="shared" si="2"/>
        <v>Estaño</v>
      </c>
    </row>
    <row r="181" spans="1:2" x14ac:dyDescent="0.2">
      <c r="A181" s="82" t="str">
        <f>Listas!E176</f>
        <v>RC Sn (Estaño) | 3 - 5 µm</v>
      </c>
      <c r="B181" s="82" t="str">
        <f t="shared" si="2"/>
        <v>Estaño</v>
      </c>
    </row>
    <row r="182" spans="1:2" x14ac:dyDescent="0.2">
      <c r="A182" s="82" t="str">
        <f>Listas!E177</f>
        <v>RC Sn (Estaño) | 3.8 - 12.7 µm</v>
      </c>
      <c r="B182" s="82" t="str">
        <f t="shared" si="2"/>
        <v>Estaño</v>
      </c>
    </row>
    <row r="183" spans="1:2" x14ac:dyDescent="0.2">
      <c r="A183" s="82" t="str">
        <f>Listas!E178</f>
        <v>RC Sn (Estaño) | 5 - 10 µm</v>
      </c>
      <c r="B183" s="82" t="str">
        <f t="shared" si="2"/>
        <v>Estaño</v>
      </c>
    </row>
    <row r="184" spans="1:2" x14ac:dyDescent="0.2">
      <c r="A184" s="82" t="str">
        <f>Listas!E179</f>
        <v>RC Sn (Estaño) | 5 - 12 µm</v>
      </c>
      <c r="B184" s="82" t="str">
        <f t="shared" si="2"/>
        <v>Estaño</v>
      </c>
    </row>
    <row r="185" spans="1:2" x14ac:dyDescent="0.2">
      <c r="A185" s="82" t="str">
        <f>Listas!E180</f>
        <v>RC Sn (Estaño) | 5 - 8 µm</v>
      </c>
      <c r="B185" s="82" t="str">
        <f t="shared" si="2"/>
        <v>Estaño</v>
      </c>
    </row>
    <row r="186" spans="1:2" x14ac:dyDescent="0.2">
      <c r="A186" s="82" t="str">
        <f>Listas!E181</f>
        <v>RC Sn (Estaño) | 6.1 - 12.0 µm</v>
      </c>
      <c r="B186" s="82" t="str">
        <f t="shared" si="2"/>
        <v>Estaño</v>
      </c>
    </row>
    <row r="187" spans="1:2" x14ac:dyDescent="0.2">
      <c r="A187" s="82" t="str">
        <f>Listas!E182</f>
        <v>RC Sn (Estaño) | 8 - 12 µm</v>
      </c>
      <c r="B187" s="82" t="str">
        <f t="shared" si="2"/>
        <v>Estaño</v>
      </c>
    </row>
    <row r="188" spans="1:2" x14ac:dyDescent="0.2">
      <c r="A188" s="82" t="str">
        <f>Listas!E183</f>
        <v>RC Sn (Estaño) | 9 - 25 µm</v>
      </c>
      <c r="B188" s="82" t="str">
        <f t="shared" si="2"/>
        <v>Estaño</v>
      </c>
    </row>
    <row r="189" spans="1:2" x14ac:dyDescent="0.2">
      <c r="A189" s="82" t="str">
        <f>Listas!E184</f>
        <v>RC Zn (Zinc) | 12 - 16 µm</v>
      </c>
      <c r="B189" s="82" t="str">
        <f t="shared" si="2"/>
        <v>Zinc</v>
      </c>
    </row>
    <row r="190" spans="1:2" x14ac:dyDescent="0.2">
      <c r="A190" s="82" t="str">
        <f>Listas!E185</f>
        <v>RC Zn (Zinc) | 15 - 18 µm</v>
      </c>
      <c r="B190" s="82" t="str">
        <f t="shared" si="2"/>
        <v>Zinc</v>
      </c>
    </row>
    <row r="191" spans="1:2" x14ac:dyDescent="0.2">
      <c r="A191" s="82" t="str">
        <f>Listas!E186</f>
        <v>RC Zn (Zinc) | 20 - 24 µm</v>
      </c>
      <c r="B191" s="82" t="str">
        <f t="shared" si="2"/>
        <v>Zinc</v>
      </c>
    </row>
    <row r="192" spans="1:2" x14ac:dyDescent="0.2">
      <c r="A192" s="82" t="str">
        <f>Listas!E187</f>
        <v>RC Zn (Zinc) | 5 - 10 µm</v>
      </c>
      <c r="B192" s="82" t="str">
        <f t="shared" si="2"/>
        <v>Zinc</v>
      </c>
    </row>
    <row r="193" spans="1:2" x14ac:dyDescent="0.2">
      <c r="A193" s="82" t="str">
        <f>Listas!E188</f>
        <v>RC Zn (Zinc) | 8 - 12 µm</v>
      </c>
      <c r="B193" s="82" t="str">
        <f t="shared" si="2"/>
        <v>Zinc</v>
      </c>
    </row>
    <row r="194" spans="1:2" x14ac:dyDescent="0.2">
      <c r="A194" s="82" t="str">
        <f>Listas!E189</f>
        <v>RC Zn-Ni (Zinc Níquel - Bonete) | 8 - 25 µm</v>
      </c>
      <c r="B194" s="82" t="str">
        <f t="shared" si="2"/>
        <v>Níquel+Zinc</v>
      </c>
    </row>
    <row r="195" spans="1:2" x14ac:dyDescent="0.2">
      <c r="A195" s="82" t="str">
        <f>Listas!E190</f>
        <v>S30793-507 (Estaño) | 2.5 - 5 µm</v>
      </c>
      <c r="B195" s="82" t="str">
        <f t="shared" si="2"/>
        <v>Estaño</v>
      </c>
    </row>
    <row r="196" spans="1:2" x14ac:dyDescent="0.2">
      <c r="A196" s="82" t="str">
        <f>Listas!E191</f>
        <v>TL 203 (Níquel Cromo) | 10 - 13 µm</v>
      </c>
      <c r="B196" s="82" t="str">
        <f t="shared" si="2"/>
        <v>Níquel</v>
      </c>
    </row>
    <row r="197" spans="1:2" x14ac:dyDescent="0.2">
      <c r="A197" s="82" t="str">
        <f>Listas!E192</f>
        <v>TS1E-010-103 (Fosfato de Manganeso - Medición de Grano - GM) | 5 - 11 µm</v>
      </c>
      <c r="B197" s="82" t="str">
        <f t="shared" si="2"/>
        <v>Otros</v>
      </c>
    </row>
    <row r="198" spans="1:2" x14ac:dyDescent="0.2">
      <c r="A198" s="82">
        <f>Listas!E193</f>
        <v>0</v>
      </c>
      <c r="B198" s="82" t="str">
        <f t="shared" si="2"/>
        <v/>
      </c>
    </row>
    <row r="199" spans="1:2" x14ac:dyDescent="0.2">
      <c r="A199" s="82">
        <f>Listas!E194</f>
        <v>0</v>
      </c>
      <c r="B199" s="82" t="str">
        <f t="shared" si="2"/>
        <v/>
      </c>
    </row>
    <row r="200" spans="1:2" x14ac:dyDescent="0.2">
      <c r="A200" s="82">
        <f>Listas!E195</f>
        <v>0</v>
      </c>
      <c r="B200" s="82" t="str">
        <f t="shared" si="2"/>
        <v/>
      </c>
    </row>
    <row r="201" spans="1:2" x14ac:dyDescent="0.2">
      <c r="A201" s="82">
        <f>Listas!E196</f>
        <v>0</v>
      </c>
      <c r="B201" s="82" t="str">
        <f t="shared" si="2"/>
        <v/>
      </c>
    </row>
    <row r="202" spans="1:2" x14ac:dyDescent="0.2">
      <c r="A202" s="82">
        <f>Listas!E197</f>
        <v>0</v>
      </c>
      <c r="B202" s="82" t="str">
        <f t="shared" ref="B202:B265" si="3">IF(OR(A202="",A202=0),"",_xlfn.LET(_xlpm.t,A202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203" spans="1:2" x14ac:dyDescent="0.2">
      <c r="A203" s="82">
        <f>Listas!E198</f>
        <v>0</v>
      </c>
      <c r="B203" s="82" t="str">
        <f t="shared" si="3"/>
        <v/>
      </c>
    </row>
    <row r="204" spans="1:2" x14ac:dyDescent="0.2">
      <c r="A204" s="82">
        <f>Listas!E199</f>
        <v>0</v>
      </c>
      <c r="B204" s="82" t="str">
        <f t="shared" si="3"/>
        <v/>
      </c>
    </row>
    <row r="205" spans="1:2" x14ac:dyDescent="0.2">
      <c r="A205" s="82">
        <f>Listas!E200</f>
        <v>0</v>
      </c>
      <c r="B205" s="82" t="str">
        <f t="shared" si="3"/>
        <v/>
      </c>
    </row>
    <row r="206" spans="1:2" x14ac:dyDescent="0.2">
      <c r="A206" s="82">
        <f>Listas!E201</f>
        <v>0</v>
      </c>
      <c r="B206" s="82" t="str">
        <f t="shared" si="3"/>
        <v/>
      </c>
    </row>
    <row r="207" spans="1:2" x14ac:dyDescent="0.2">
      <c r="A207" s="82">
        <f>Listas!E202</f>
        <v>0</v>
      </c>
      <c r="B207" s="82" t="str">
        <f t="shared" si="3"/>
        <v/>
      </c>
    </row>
    <row r="208" spans="1:2" x14ac:dyDescent="0.2">
      <c r="A208" s="82">
        <f>Listas!E203</f>
        <v>0</v>
      </c>
      <c r="B208" s="82" t="str">
        <f t="shared" si="3"/>
        <v/>
      </c>
    </row>
    <row r="209" spans="1:2" x14ac:dyDescent="0.2">
      <c r="A209" s="82">
        <f>Listas!E204</f>
        <v>0</v>
      </c>
      <c r="B209" s="82" t="str">
        <f t="shared" si="3"/>
        <v/>
      </c>
    </row>
    <row r="210" spans="1:2" x14ac:dyDescent="0.2">
      <c r="A210" s="82">
        <f>Listas!E205</f>
        <v>0</v>
      </c>
      <c r="B210" s="82" t="str">
        <f t="shared" si="3"/>
        <v/>
      </c>
    </row>
    <row r="211" spans="1:2" x14ac:dyDescent="0.2">
      <c r="A211" s="82">
        <f>Listas!E206</f>
        <v>0</v>
      </c>
      <c r="B211" s="82" t="str">
        <f t="shared" si="3"/>
        <v/>
      </c>
    </row>
    <row r="212" spans="1:2" x14ac:dyDescent="0.2">
      <c r="A212" s="82">
        <f>Listas!E207</f>
        <v>0</v>
      </c>
      <c r="B212" s="82" t="str">
        <f t="shared" si="3"/>
        <v/>
      </c>
    </row>
    <row r="213" spans="1:2" x14ac:dyDescent="0.2">
      <c r="A213" s="82">
        <f>Listas!E208</f>
        <v>0</v>
      </c>
      <c r="B213" s="82" t="str">
        <f t="shared" si="3"/>
        <v/>
      </c>
    </row>
    <row r="214" spans="1:2" x14ac:dyDescent="0.2">
      <c r="A214" s="82">
        <f>Listas!E209</f>
        <v>0</v>
      </c>
      <c r="B214" s="82" t="str">
        <f t="shared" si="3"/>
        <v/>
      </c>
    </row>
    <row r="215" spans="1:2" x14ac:dyDescent="0.2">
      <c r="A215" s="82">
        <f>Listas!E210</f>
        <v>0</v>
      </c>
      <c r="B215" s="82" t="str">
        <f t="shared" si="3"/>
        <v/>
      </c>
    </row>
    <row r="216" spans="1:2" x14ac:dyDescent="0.2">
      <c r="A216" s="82">
        <f>Listas!E211</f>
        <v>0</v>
      </c>
      <c r="B216" s="82" t="str">
        <f t="shared" si="3"/>
        <v/>
      </c>
    </row>
    <row r="217" spans="1:2" x14ac:dyDescent="0.2">
      <c r="A217" s="82">
        <f>Listas!E212</f>
        <v>0</v>
      </c>
      <c r="B217" s="82" t="str">
        <f t="shared" si="3"/>
        <v/>
      </c>
    </row>
    <row r="218" spans="1:2" x14ac:dyDescent="0.2">
      <c r="A218" s="82">
        <f>Listas!E213</f>
        <v>0</v>
      </c>
      <c r="B218" s="82" t="str">
        <f t="shared" si="3"/>
        <v/>
      </c>
    </row>
    <row r="219" spans="1:2" x14ac:dyDescent="0.2">
      <c r="A219" s="82">
        <f>Listas!E214</f>
        <v>0</v>
      </c>
      <c r="B219" s="82" t="str">
        <f t="shared" si="3"/>
        <v/>
      </c>
    </row>
    <row r="220" spans="1:2" x14ac:dyDescent="0.2">
      <c r="A220" s="82">
        <f>Listas!E215</f>
        <v>0</v>
      </c>
      <c r="B220" s="82" t="str">
        <f t="shared" si="3"/>
        <v/>
      </c>
    </row>
    <row r="221" spans="1:2" x14ac:dyDescent="0.2">
      <c r="A221" s="82">
        <f>Listas!E216</f>
        <v>0</v>
      </c>
      <c r="B221" s="82" t="str">
        <f t="shared" si="3"/>
        <v/>
      </c>
    </row>
    <row r="222" spans="1:2" x14ac:dyDescent="0.2">
      <c r="A222" s="82">
        <f>Listas!E217</f>
        <v>0</v>
      </c>
      <c r="B222" s="82" t="str">
        <f t="shared" si="3"/>
        <v/>
      </c>
    </row>
    <row r="223" spans="1:2" x14ac:dyDescent="0.2">
      <c r="A223" s="82">
        <f>Listas!E218</f>
        <v>0</v>
      </c>
      <c r="B223" s="82" t="str">
        <f t="shared" si="3"/>
        <v/>
      </c>
    </row>
    <row r="224" spans="1:2" x14ac:dyDescent="0.2">
      <c r="A224" s="82">
        <f>Listas!E219</f>
        <v>0</v>
      </c>
      <c r="B224" s="82" t="str">
        <f t="shared" si="3"/>
        <v/>
      </c>
    </row>
    <row r="225" spans="1:2" x14ac:dyDescent="0.2">
      <c r="A225" s="82">
        <f>Listas!E220</f>
        <v>0</v>
      </c>
      <c r="B225" s="82" t="str">
        <f t="shared" si="3"/>
        <v/>
      </c>
    </row>
    <row r="226" spans="1:2" x14ac:dyDescent="0.2">
      <c r="A226" s="82">
        <f>Listas!E221</f>
        <v>0</v>
      </c>
      <c r="B226" s="82" t="str">
        <f t="shared" si="3"/>
        <v/>
      </c>
    </row>
    <row r="227" spans="1:2" x14ac:dyDescent="0.2">
      <c r="A227" s="82">
        <f>Listas!E222</f>
        <v>0</v>
      </c>
      <c r="B227" s="82" t="str">
        <f t="shared" si="3"/>
        <v/>
      </c>
    </row>
    <row r="228" spans="1:2" x14ac:dyDescent="0.2">
      <c r="A228" s="82">
        <f>Listas!E223</f>
        <v>0</v>
      </c>
      <c r="B228" s="82" t="str">
        <f t="shared" si="3"/>
        <v/>
      </c>
    </row>
    <row r="229" spans="1:2" x14ac:dyDescent="0.2">
      <c r="A229" s="82">
        <f>Listas!E224</f>
        <v>0</v>
      </c>
      <c r="B229" s="82" t="str">
        <f t="shared" si="3"/>
        <v/>
      </c>
    </row>
    <row r="230" spans="1:2" x14ac:dyDescent="0.2">
      <c r="A230" s="82">
        <f>Listas!E225</f>
        <v>0</v>
      </c>
      <c r="B230" s="82" t="str">
        <f t="shared" si="3"/>
        <v/>
      </c>
    </row>
    <row r="231" spans="1:2" x14ac:dyDescent="0.2">
      <c r="A231" s="82">
        <f>Listas!E226</f>
        <v>0</v>
      </c>
      <c r="B231" s="82" t="str">
        <f t="shared" si="3"/>
        <v/>
      </c>
    </row>
    <row r="232" spans="1:2" x14ac:dyDescent="0.2">
      <c r="A232" s="82">
        <f>Listas!E227</f>
        <v>0</v>
      </c>
      <c r="B232" s="82" t="str">
        <f t="shared" si="3"/>
        <v/>
      </c>
    </row>
    <row r="233" spans="1:2" x14ac:dyDescent="0.2">
      <c r="A233" s="82">
        <f>Listas!E228</f>
        <v>0</v>
      </c>
      <c r="B233" s="82" t="str">
        <f t="shared" si="3"/>
        <v/>
      </c>
    </row>
    <row r="234" spans="1:2" x14ac:dyDescent="0.2">
      <c r="A234" s="82">
        <f>Listas!E229</f>
        <v>0</v>
      </c>
      <c r="B234" s="82" t="str">
        <f t="shared" si="3"/>
        <v/>
      </c>
    </row>
    <row r="235" spans="1:2" x14ac:dyDescent="0.2">
      <c r="A235" s="82">
        <f>Listas!E230</f>
        <v>0</v>
      </c>
      <c r="B235" s="82" t="str">
        <f t="shared" si="3"/>
        <v/>
      </c>
    </row>
    <row r="236" spans="1:2" x14ac:dyDescent="0.2">
      <c r="A236" s="82">
        <f>Listas!E231</f>
        <v>0</v>
      </c>
      <c r="B236" s="82" t="str">
        <f t="shared" si="3"/>
        <v/>
      </c>
    </row>
    <row r="237" spans="1:2" x14ac:dyDescent="0.2">
      <c r="A237" s="82">
        <f>Listas!E232</f>
        <v>0</v>
      </c>
      <c r="B237" s="82" t="str">
        <f t="shared" si="3"/>
        <v/>
      </c>
    </row>
    <row r="238" spans="1:2" x14ac:dyDescent="0.2">
      <c r="A238" s="82">
        <f>Listas!E233</f>
        <v>0</v>
      </c>
      <c r="B238" s="82" t="str">
        <f t="shared" si="3"/>
        <v/>
      </c>
    </row>
    <row r="239" spans="1:2" x14ac:dyDescent="0.2">
      <c r="A239" s="82">
        <f>Listas!E234</f>
        <v>0</v>
      </c>
      <c r="B239" s="82" t="str">
        <f t="shared" si="3"/>
        <v/>
      </c>
    </row>
    <row r="240" spans="1:2" x14ac:dyDescent="0.2">
      <c r="A240" s="82">
        <f>Listas!E235</f>
        <v>0</v>
      </c>
      <c r="B240" s="82" t="str">
        <f t="shared" si="3"/>
        <v/>
      </c>
    </row>
    <row r="241" spans="1:2" x14ac:dyDescent="0.2">
      <c r="A241" s="82">
        <f>Listas!E236</f>
        <v>0</v>
      </c>
      <c r="B241" s="82" t="str">
        <f t="shared" si="3"/>
        <v/>
      </c>
    </row>
    <row r="242" spans="1:2" x14ac:dyDescent="0.2">
      <c r="A242" s="82">
        <f>Listas!E237</f>
        <v>0</v>
      </c>
      <c r="B242" s="82" t="str">
        <f t="shared" si="3"/>
        <v/>
      </c>
    </row>
    <row r="243" spans="1:2" x14ac:dyDescent="0.2">
      <c r="A243" s="82">
        <f>Listas!E238</f>
        <v>0</v>
      </c>
      <c r="B243" s="82" t="str">
        <f t="shared" si="3"/>
        <v/>
      </c>
    </row>
    <row r="244" spans="1:2" x14ac:dyDescent="0.2">
      <c r="A244" s="82">
        <f>Listas!E239</f>
        <v>0</v>
      </c>
      <c r="B244" s="82" t="str">
        <f t="shared" si="3"/>
        <v/>
      </c>
    </row>
    <row r="245" spans="1:2" x14ac:dyDescent="0.2">
      <c r="A245" s="82">
        <f>Listas!E240</f>
        <v>0</v>
      </c>
      <c r="B245" s="82" t="str">
        <f t="shared" si="3"/>
        <v/>
      </c>
    </row>
    <row r="246" spans="1:2" x14ac:dyDescent="0.2">
      <c r="A246" s="82">
        <f>Listas!E241</f>
        <v>0</v>
      </c>
      <c r="B246" s="82" t="str">
        <f t="shared" si="3"/>
        <v/>
      </c>
    </row>
    <row r="247" spans="1:2" x14ac:dyDescent="0.2">
      <c r="A247" s="82">
        <f>Listas!E242</f>
        <v>0</v>
      </c>
      <c r="B247" s="82" t="str">
        <f t="shared" si="3"/>
        <v/>
      </c>
    </row>
    <row r="248" spans="1:2" x14ac:dyDescent="0.2">
      <c r="A248" s="82">
        <f>Listas!E243</f>
        <v>0</v>
      </c>
      <c r="B248" s="82" t="str">
        <f t="shared" si="3"/>
        <v/>
      </c>
    </row>
    <row r="249" spans="1:2" x14ac:dyDescent="0.2">
      <c r="A249" s="82">
        <f>Listas!E244</f>
        <v>0</v>
      </c>
      <c r="B249" s="82" t="str">
        <f t="shared" si="3"/>
        <v/>
      </c>
    </row>
    <row r="250" spans="1:2" x14ac:dyDescent="0.2">
      <c r="A250" s="82">
        <f>Listas!E245</f>
        <v>0</v>
      </c>
      <c r="B250" s="82" t="str">
        <f t="shared" si="3"/>
        <v/>
      </c>
    </row>
    <row r="251" spans="1:2" x14ac:dyDescent="0.2">
      <c r="A251" s="82">
        <f>Listas!E246</f>
        <v>0</v>
      </c>
      <c r="B251" s="82" t="str">
        <f t="shared" si="3"/>
        <v/>
      </c>
    </row>
    <row r="252" spans="1:2" x14ac:dyDescent="0.2">
      <c r="A252" s="82">
        <f>Listas!E247</f>
        <v>0</v>
      </c>
      <c r="B252" s="82" t="str">
        <f t="shared" si="3"/>
        <v/>
      </c>
    </row>
    <row r="253" spans="1:2" x14ac:dyDescent="0.2">
      <c r="A253" s="82">
        <f>Listas!E248</f>
        <v>0</v>
      </c>
      <c r="B253" s="82" t="str">
        <f t="shared" si="3"/>
        <v/>
      </c>
    </row>
    <row r="254" spans="1:2" x14ac:dyDescent="0.2">
      <c r="A254" s="82">
        <f>Listas!E249</f>
        <v>0</v>
      </c>
      <c r="B254" s="82" t="str">
        <f t="shared" si="3"/>
        <v/>
      </c>
    </row>
    <row r="255" spans="1:2" x14ac:dyDescent="0.2">
      <c r="A255" s="82">
        <f>Listas!E250</f>
        <v>0</v>
      </c>
      <c r="B255" s="82" t="str">
        <f t="shared" si="3"/>
        <v/>
      </c>
    </row>
    <row r="256" spans="1:2" x14ac:dyDescent="0.2">
      <c r="A256" s="82">
        <f>Listas!E251</f>
        <v>0</v>
      </c>
      <c r="B256" s="82" t="str">
        <f t="shared" si="3"/>
        <v/>
      </c>
    </row>
    <row r="257" spans="1:2" x14ac:dyDescent="0.2">
      <c r="A257" s="82">
        <f>Listas!E252</f>
        <v>0</v>
      </c>
      <c r="B257" s="82" t="str">
        <f t="shared" si="3"/>
        <v/>
      </c>
    </row>
    <row r="258" spans="1:2" x14ac:dyDescent="0.2">
      <c r="A258" s="82">
        <f>Listas!E253</f>
        <v>0</v>
      </c>
      <c r="B258" s="82" t="str">
        <f t="shared" si="3"/>
        <v/>
      </c>
    </row>
    <row r="259" spans="1:2" x14ac:dyDescent="0.2">
      <c r="A259" s="82">
        <f>Listas!E254</f>
        <v>0</v>
      </c>
      <c r="B259" s="82" t="str">
        <f t="shared" si="3"/>
        <v/>
      </c>
    </row>
    <row r="260" spans="1:2" x14ac:dyDescent="0.2">
      <c r="A260" s="82">
        <f>Listas!E255</f>
        <v>0</v>
      </c>
      <c r="B260" s="82" t="str">
        <f t="shared" si="3"/>
        <v/>
      </c>
    </row>
    <row r="261" spans="1:2" x14ac:dyDescent="0.2">
      <c r="A261" s="82">
        <f>Listas!E256</f>
        <v>0</v>
      </c>
      <c r="B261" s="82" t="str">
        <f t="shared" si="3"/>
        <v/>
      </c>
    </row>
    <row r="262" spans="1:2" x14ac:dyDescent="0.2">
      <c r="A262" s="82">
        <f>Listas!E257</f>
        <v>0</v>
      </c>
      <c r="B262" s="82" t="str">
        <f t="shared" si="3"/>
        <v/>
      </c>
    </row>
    <row r="263" spans="1:2" x14ac:dyDescent="0.2">
      <c r="A263" s="82">
        <f>Listas!E258</f>
        <v>0</v>
      </c>
      <c r="B263" s="82" t="str">
        <f t="shared" si="3"/>
        <v/>
      </c>
    </row>
    <row r="264" spans="1:2" x14ac:dyDescent="0.2">
      <c r="A264" s="82">
        <f>Listas!E259</f>
        <v>0</v>
      </c>
      <c r="B264" s="82" t="str">
        <f t="shared" si="3"/>
        <v/>
      </c>
    </row>
    <row r="265" spans="1:2" x14ac:dyDescent="0.2">
      <c r="A265" s="82">
        <f>Listas!E260</f>
        <v>0</v>
      </c>
      <c r="B265" s="82" t="str">
        <f t="shared" si="3"/>
        <v/>
      </c>
    </row>
    <row r="266" spans="1:2" x14ac:dyDescent="0.2">
      <c r="A266" s="82">
        <f>Listas!E261</f>
        <v>0</v>
      </c>
      <c r="B266" s="82" t="str">
        <f t="shared" ref="B266:B329" si="4">IF(OR(A266="",A266=0),"",_xlfn.LET(_xlpm.t,A266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267" spans="1:2" x14ac:dyDescent="0.2">
      <c r="A267" s="82">
        <f>Listas!E262</f>
        <v>0</v>
      </c>
      <c r="B267" s="82" t="str">
        <f t="shared" si="4"/>
        <v/>
      </c>
    </row>
    <row r="268" spans="1:2" x14ac:dyDescent="0.2">
      <c r="A268" s="82">
        <f>Listas!E263</f>
        <v>0</v>
      </c>
      <c r="B268" s="82" t="str">
        <f t="shared" si="4"/>
        <v/>
      </c>
    </row>
    <row r="269" spans="1:2" x14ac:dyDescent="0.2">
      <c r="A269" s="82">
        <f>Listas!E264</f>
        <v>0</v>
      </c>
      <c r="B269" s="82" t="str">
        <f t="shared" si="4"/>
        <v/>
      </c>
    </row>
    <row r="270" spans="1:2" x14ac:dyDescent="0.2">
      <c r="A270" s="82">
        <f>Listas!E265</f>
        <v>0</v>
      </c>
      <c r="B270" s="82" t="str">
        <f t="shared" si="4"/>
        <v/>
      </c>
    </row>
    <row r="271" spans="1:2" x14ac:dyDescent="0.2">
      <c r="A271" s="82">
        <f>Listas!E266</f>
        <v>0</v>
      </c>
      <c r="B271" s="82" t="str">
        <f t="shared" si="4"/>
        <v/>
      </c>
    </row>
    <row r="272" spans="1:2" x14ac:dyDescent="0.2">
      <c r="A272" s="82">
        <f>Listas!E267</f>
        <v>0</v>
      </c>
      <c r="B272" s="82" t="str">
        <f t="shared" si="4"/>
        <v/>
      </c>
    </row>
    <row r="273" spans="1:2" x14ac:dyDescent="0.2">
      <c r="A273" s="82">
        <f>Listas!E268</f>
        <v>0</v>
      </c>
      <c r="B273" s="82" t="str">
        <f t="shared" si="4"/>
        <v/>
      </c>
    </row>
    <row r="274" spans="1:2" x14ac:dyDescent="0.2">
      <c r="A274" s="82">
        <f>Listas!E269</f>
        <v>0</v>
      </c>
      <c r="B274" s="82" t="str">
        <f t="shared" si="4"/>
        <v/>
      </c>
    </row>
    <row r="275" spans="1:2" x14ac:dyDescent="0.2">
      <c r="A275" s="82">
        <f>Listas!E270</f>
        <v>0</v>
      </c>
      <c r="B275" s="82" t="str">
        <f t="shared" si="4"/>
        <v/>
      </c>
    </row>
    <row r="276" spans="1:2" x14ac:dyDescent="0.2">
      <c r="A276" s="82">
        <f>Listas!E271</f>
        <v>0</v>
      </c>
      <c r="B276" s="82" t="str">
        <f t="shared" si="4"/>
        <v/>
      </c>
    </row>
    <row r="277" spans="1:2" x14ac:dyDescent="0.2">
      <c r="A277" s="82">
        <f>Listas!E272</f>
        <v>0</v>
      </c>
      <c r="B277" s="82" t="str">
        <f t="shared" si="4"/>
        <v/>
      </c>
    </row>
    <row r="278" spans="1:2" x14ac:dyDescent="0.2">
      <c r="A278" s="82">
        <f>Listas!E273</f>
        <v>0</v>
      </c>
      <c r="B278" s="82" t="str">
        <f t="shared" si="4"/>
        <v/>
      </c>
    </row>
    <row r="279" spans="1:2" x14ac:dyDescent="0.2">
      <c r="A279" s="82">
        <f>Listas!E274</f>
        <v>0</v>
      </c>
      <c r="B279" s="82" t="str">
        <f t="shared" si="4"/>
        <v/>
      </c>
    </row>
    <row r="280" spans="1:2" x14ac:dyDescent="0.2">
      <c r="A280" s="82">
        <f>Listas!E275</f>
        <v>0</v>
      </c>
      <c r="B280" s="82" t="str">
        <f t="shared" si="4"/>
        <v/>
      </c>
    </row>
    <row r="281" spans="1:2" x14ac:dyDescent="0.2">
      <c r="A281" s="82">
        <f>Listas!E276</f>
        <v>0</v>
      </c>
      <c r="B281" s="82" t="str">
        <f t="shared" si="4"/>
        <v/>
      </c>
    </row>
    <row r="282" spans="1:2" x14ac:dyDescent="0.2">
      <c r="A282" s="82">
        <f>Listas!E277</f>
        <v>0</v>
      </c>
      <c r="B282" s="82" t="str">
        <f t="shared" si="4"/>
        <v/>
      </c>
    </row>
    <row r="283" spans="1:2" x14ac:dyDescent="0.2">
      <c r="A283" s="82">
        <f>Listas!E278</f>
        <v>0</v>
      </c>
      <c r="B283" s="82" t="str">
        <f t="shared" si="4"/>
        <v/>
      </c>
    </row>
    <row r="284" spans="1:2" x14ac:dyDescent="0.2">
      <c r="A284" s="82">
        <f>Listas!E279</f>
        <v>0</v>
      </c>
      <c r="B284" s="82" t="str">
        <f t="shared" si="4"/>
        <v/>
      </c>
    </row>
    <row r="285" spans="1:2" x14ac:dyDescent="0.2">
      <c r="A285" s="82">
        <f>Listas!E280</f>
        <v>0</v>
      </c>
      <c r="B285" s="82" t="str">
        <f t="shared" si="4"/>
        <v/>
      </c>
    </row>
    <row r="286" spans="1:2" x14ac:dyDescent="0.2">
      <c r="A286" s="82">
        <f>Listas!E281</f>
        <v>0</v>
      </c>
      <c r="B286" s="82" t="str">
        <f t="shared" si="4"/>
        <v/>
      </c>
    </row>
    <row r="287" spans="1:2" x14ac:dyDescent="0.2">
      <c r="A287" s="82">
        <f>Listas!E282</f>
        <v>0</v>
      </c>
      <c r="B287" s="82" t="str">
        <f t="shared" si="4"/>
        <v/>
      </c>
    </row>
    <row r="288" spans="1:2" x14ac:dyDescent="0.2">
      <c r="A288" s="82">
        <f>Listas!E283</f>
        <v>0</v>
      </c>
      <c r="B288" s="82" t="str">
        <f t="shared" si="4"/>
        <v/>
      </c>
    </row>
    <row r="289" spans="1:2" x14ac:dyDescent="0.2">
      <c r="A289" s="82">
        <f>Listas!E284</f>
        <v>0</v>
      </c>
      <c r="B289" s="82" t="str">
        <f t="shared" si="4"/>
        <v/>
      </c>
    </row>
    <row r="290" spans="1:2" x14ac:dyDescent="0.2">
      <c r="A290" s="82">
        <f>Listas!E285</f>
        <v>0</v>
      </c>
      <c r="B290" s="82" t="str">
        <f t="shared" si="4"/>
        <v/>
      </c>
    </row>
    <row r="291" spans="1:2" x14ac:dyDescent="0.2">
      <c r="A291" s="82">
        <f>Listas!E286</f>
        <v>0</v>
      </c>
      <c r="B291" s="82" t="str">
        <f t="shared" si="4"/>
        <v/>
      </c>
    </row>
    <row r="292" spans="1:2" x14ac:dyDescent="0.2">
      <c r="A292" s="82">
        <f>Listas!E287</f>
        <v>0</v>
      </c>
      <c r="B292" s="82" t="str">
        <f t="shared" si="4"/>
        <v/>
      </c>
    </row>
    <row r="293" spans="1:2" x14ac:dyDescent="0.2">
      <c r="A293" s="82">
        <f>Listas!E288</f>
        <v>0</v>
      </c>
      <c r="B293" s="82" t="str">
        <f t="shared" si="4"/>
        <v/>
      </c>
    </row>
    <row r="294" spans="1:2" x14ac:dyDescent="0.2">
      <c r="A294" s="82">
        <f>Listas!E289</f>
        <v>0</v>
      </c>
      <c r="B294" s="82" t="str">
        <f t="shared" si="4"/>
        <v/>
      </c>
    </row>
    <row r="295" spans="1:2" x14ac:dyDescent="0.2">
      <c r="A295" s="82">
        <f>Listas!E290</f>
        <v>0</v>
      </c>
      <c r="B295" s="82" t="str">
        <f t="shared" si="4"/>
        <v/>
      </c>
    </row>
    <row r="296" spans="1:2" x14ac:dyDescent="0.2">
      <c r="A296" s="82">
        <f>Listas!E291</f>
        <v>0</v>
      </c>
      <c r="B296" s="82" t="str">
        <f t="shared" si="4"/>
        <v/>
      </c>
    </row>
    <row r="297" spans="1:2" x14ac:dyDescent="0.2">
      <c r="A297" s="82">
        <f>Listas!E292</f>
        <v>0</v>
      </c>
      <c r="B297" s="82" t="str">
        <f t="shared" si="4"/>
        <v/>
      </c>
    </row>
    <row r="298" spans="1:2" x14ac:dyDescent="0.2">
      <c r="A298" s="82">
        <f>Listas!E293</f>
        <v>0</v>
      </c>
      <c r="B298" s="82" t="str">
        <f t="shared" si="4"/>
        <v/>
      </c>
    </row>
    <row r="299" spans="1:2" x14ac:dyDescent="0.2">
      <c r="A299" s="82">
        <f>Listas!E294</f>
        <v>0</v>
      </c>
      <c r="B299" s="82" t="str">
        <f t="shared" si="4"/>
        <v/>
      </c>
    </row>
    <row r="300" spans="1:2" x14ac:dyDescent="0.2">
      <c r="A300" s="82">
        <f>Listas!E295</f>
        <v>0</v>
      </c>
      <c r="B300" s="82" t="str">
        <f t="shared" si="4"/>
        <v/>
      </c>
    </row>
    <row r="301" spans="1:2" x14ac:dyDescent="0.2">
      <c r="A301" s="82">
        <f>Listas!E296</f>
        <v>0</v>
      </c>
      <c r="B301" s="82" t="str">
        <f t="shared" si="4"/>
        <v/>
      </c>
    </row>
    <row r="302" spans="1:2" x14ac:dyDescent="0.2">
      <c r="A302" s="82">
        <f>Listas!E297</f>
        <v>0</v>
      </c>
      <c r="B302" s="82" t="str">
        <f t="shared" si="4"/>
        <v/>
      </c>
    </row>
    <row r="303" spans="1:2" x14ac:dyDescent="0.2">
      <c r="A303" s="82">
        <f>Listas!E298</f>
        <v>0</v>
      </c>
      <c r="B303" s="82" t="str">
        <f t="shared" si="4"/>
        <v/>
      </c>
    </row>
    <row r="304" spans="1:2" x14ac:dyDescent="0.2">
      <c r="A304" s="82">
        <f>Listas!E299</f>
        <v>0</v>
      </c>
      <c r="B304" s="82" t="str">
        <f t="shared" si="4"/>
        <v/>
      </c>
    </row>
    <row r="305" spans="1:2" x14ac:dyDescent="0.2">
      <c r="A305" s="82">
        <f>Listas!E300</f>
        <v>0</v>
      </c>
      <c r="B305" s="82" t="str">
        <f t="shared" si="4"/>
        <v/>
      </c>
    </row>
    <row r="306" spans="1:2" x14ac:dyDescent="0.2">
      <c r="A306" s="82">
        <f>Listas!E301</f>
        <v>0</v>
      </c>
      <c r="B306" s="82" t="str">
        <f t="shared" si="4"/>
        <v/>
      </c>
    </row>
    <row r="307" spans="1:2" x14ac:dyDescent="0.2">
      <c r="A307" s="82">
        <f>Listas!E302</f>
        <v>0</v>
      </c>
      <c r="B307" s="82" t="str">
        <f t="shared" si="4"/>
        <v/>
      </c>
    </row>
    <row r="308" spans="1:2" x14ac:dyDescent="0.2">
      <c r="A308" s="82">
        <f>Listas!E303</f>
        <v>0</v>
      </c>
      <c r="B308" s="82" t="str">
        <f t="shared" si="4"/>
        <v/>
      </c>
    </row>
    <row r="309" spans="1:2" x14ac:dyDescent="0.2">
      <c r="A309" s="82">
        <f>Listas!E304</f>
        <v>0</v>
      </c>
      <c r="B309" s="82" t="str">
        <f t="shared" si="4"/>
        <v/>
      </c>
    </row>
    <row r="310" spans="1:2" x14ac:dyDescent="0.2">
      <c r="A310" s="82">
        <f>Listas!E305</f>
        <v>0</v>
      </c>
      <c r="B310" s="82" t="str">
        <f t="shared" si="4"/>
        <v/>
      </c>
    </row>
    <row r="311" spans="1:2" x14ac:dyDescent="0.2">
      <c r="A311" s="82">
        <f>Listas!E306</f>
        <v>0</v>
      </c>
      <c r="B311" s="82" t="str">
        <f t="shared" si="4"/>
        <v/>
      </c>
    </row>
    <row r="312" spans="1:2" x14ac:dyDescent="0.2">
      <c r="A312" s="82">
        <f>Listas!E307</f>
        <v>0</v>
      </c>
      <c r="B312" s="82" t="str">
        <f t="shared" si="4"/>
        <v/>
      </c>
    </row>
    <row r="313" spans="1:2" x14ac:dyDescent="0.2">
      <c r="A313" s="82">
        <f>Listas!E308</f>
        <v>0</v>
      </c>
      <c r="B313" s="82" t="str">
        <f t="shared" si="4"/>
        <v/>
      </c>
    </row>
    <row r="314" spans="1:2" x14ac:dyDescent="0.2">
      <c r="A314" s="82">
        <f>Listas!E309</f>
        <v>0</v>
      </c>
      <c r="B314" s="82" t="str">
        <f t="shared" si="4"/>
        <v/>
      </c>
    </row>
    <row r="315" spans="1:2" x14ac:dyDescent="0.2">
      <c r="A315" s="82">
        <f>Listas!E310</f>
        <v>0</v>
      </c>
      <c r="B315" s="82" t="str">
        <f t="shared" si="4"/>
        <v/>
      </c>
    </row>
    <row r="316" spans="1:2" x14ac:dyDescent="0.2">
      <c r="A316" s="82">
        <f>Listas!E311</f>
        <v>0</v>
      </c>
      <c r="B316" s="82" t="str">
        <f t="shared" si="4"/>
        <v/>
      </c>
    </row>
    <row r="317" spans="1:2" x14ac:dyDescent="0.2">
      <c r="A317" s="82">
        <f>Listas!E312</f>
        <v>0</v>
      </c>
      <c r="B317" s="82" t="str">
        <f t="shared" si="4"/>
        <v/>
      </c>
    </row>
    <row r="318" spans="1:2" x14ac:dyDescent="0.2">
      <c r="A318" s="82">
        <f>Listas!E313</f>
        <v>0</v>
      </c>
      <c r="B318" s="82" t="str">
        <f t="shared" si="4"/>
        <v/>
      </c>
    </row>
    <row r="319" spans="1:2" x14ac:dyDescent="0.2">
      <c r="A319" s="82">
        <f>Listas!E314</f>
        <v>0</v>
      </c>
      <c r="B319" s="82" t="str">
        <f t="shared" si="4"/>
        <v/>
      </c>
    </row>
    <row r="320" spans="1:2" x14ac:dyDescent="0.2">
      <c r="A320" s="82">
        <f>Listas!E315</f>
        <v>0</v>
      </c>
      <c r="B320" s="82" t="str">
        <f t="shared" si="4"/>
        <v/>
      </c>
    </row>
    <row r="321" spans="1:2" x14ac:dyDescent="0.2">
      <c r="A321" s="82">
        <f>Listas!E316</f>
        <v>0</v>
      </c>
      <c r="B321" s="82" t="str">
        <f t="shared" si="4"/>
        <v/>
      </c>
    </row>
    <row r="322" spans="1:2" x14ac:dyDescent="0.2">
      <c r="A322" s="82">
        <f>Listas!E317</f>
        <v>0</v>
      </c>
      <c r="B322" s="82" t="str">
        <f t="shared" si="4"/>
        <v/>
      </c>
    </row>
    <row r="323" spans="1:2" x14ac:dyDescent="0.2">
      <c r="A323" s="82">
        <f>Listas!E318</f>
        <v>0</v>
      </c>
      <c r="B323" s="82" t="str">
        <f t="shared" si="4"/>
        <v/>
      </c>
    </row>
    <row r="324" spans="1:2" x14ac:dyDescent="0.2">
      <c r="A324" s="82">
        <f>Listas!E319</f>
        <v>0</v>
      </c>
      <c r="B324" s="82" t="str">
        <f t="shared" si="4"/>
        <v/>
      </c>
    </row>
    <row r="325" spans="1:2" x14ac:dyDescent="0.2">
      <c r="A325" s="82">
        <f>Listas!E320</f>
        <v>0</v>
      </c>
      <c r="B325" s="82" t="str">
        <f t="shared" si="4"/>
        <v/>
      </c>
    </row>
    <row r="326" spans="1:2" x14ac:dyDescent="0.2">
      <c r="A326" s="82">
        <f>Listas!E321</f>
        <v>0</v>
      </c>
      <c r="B326" s="82" t="str">
        <f t="shared" si="4"/>
        <v/>
      </c>
    </row>
    <row r="327" spans="1:2" x14ac:dyDescent="0.2">
      <c r="A327" s="82">
        <f>Listas!E322</f>
        <v>0</v>
      </c>
      <c r="B327" s="82" t="str">
        <f t="shared" si="4"/>
        <v/>
      </c>
    </row>
    <row r="328" spans="1:2" x14ac:dyDescent="0.2">
      <c r="A328" s="82">
        <f>Listas!E323</f>
        <v>0</v>
      </c>
      <c r="B328" s="82" t="str">
        <f t="shared" si="4"/>
        <v/>
      </c>
    </row>
    <row r="329" spans="1:2" x14ac:dyDescent="0.2">
      <c r="A329" s="82">
        <f>Listas!E324</f>
        <v>0</v>
      </c>
      <c r="B329" s="82" t="str">
        <f t="shared" si="4"/>
        <v/>
      </c>
    </row>
    <row r="330" spans="1:2" x14ac:dyDescent="0.2">
      <c r="A330" s="82">
        <f>Listas!E325</f>
        <v>0</v>
      </c>
      <c r="B330" s="82" t="str">
        <f t="shared" ref="B330:B393" si="5">IF(OR(A330="",A330=0),"",_xlfn.LET(_xlpm.t,A330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331" spans="1:2" x14ac:dyDescent="0.2">
      <c r="A331" s="82">
        <f>Listas!E326</f>
        <v>0</v>
      </c>
      <c r="B331" s="82" t="str">
        <f t="shared" si="5"/>
        <v/>
      </c>
    </row>
    <row r="332" spans="1:2" x14ac:dyDescent="0.2">
      <c r="A332" s="82">
        <f>Listas!E327</f>
        <v>0</v>
      </c>
      <c r="B332" s="82" t="str">
        <f t="shared" si="5"/>
        <v/>
      </c>
    </row>
    <row r="333" spans="1:2" x14ac:dyDescent="0.2">
      <c r="A333" s="82">
        <f>Listas!E328</f>
        <v>0</v>
      </c>
      <c r="B333" s="82" t="str">
        <f t="shared" si="5"/>
        <v/>
      </c>
    </row>
    <row r="334" spans="1:2" x14ac:dyDescent="0.2">
      <c r="A334" s="82">
        <f>Listas!E329</f>
        <v>0</v>
      </c>
      <c r="B334" s="82" t="str">
        <f t="shared" si="5"/>
        <v/>
      </c>
    </row>
    <row r="335" spans="1:2" x14ac:dyDescent="0.2">
      <c r="A335" s="82">
        <f>Listas!E330</f>
        <v>0</v>
      </c>
      <c r="B335" s="82" t="str">
        <f t="shared" si="5"/>
        <v/>
      </c>
    </row>
    <row r="336" spans="1:2" x14ac:dyDescent="0.2">
      <c r="A336" s="82">
        <f>Listas!E331</f>
        <v>0</v>
      </c>
      <c r="B336" s="82" t="str">
        <f t="shared" si="5"/>
        <v/>
      </c>
    </row>
    <row r="337" spans="1:2" x14ac:dyDescent="0.2">
      <c r="A337" s="82">
        <f>Listas!E332</f>
        <v>0</v>
      </c>
      <c r="B337" s="82" t="str">
        <f t="shared" si="5"/>
        <v/>
      </c>
    </row>
    <row r="338" spans="1:2" x14ac:dyDescent="0.2">
      <c r="A338" s="82">
        <f>Listas!E333</f>
        <v>0</v>
      </c>
      <c r="B338" s="82" t="str">
        <f t="shared" si="5"/>
        <v/>
      </c>
    </row>
    <row r="339" spans="1:2" x14ac:dyDescent="0.2">
      <c r="A339" s="82">
        <f>Listas!E334</f>
        <v>0</v>
      </c>
      <c r="B339" s="82" t="str">
        <f t="shared" si="5"/>
        <v/>
      </c>
    </row>
    <row r="340" spans="1:2" x14ac:dyDescent="0.2">
      <c r="A340" s="82">
        <f>Listas!E335</f>
        <v>0</v>
      </c>
      <c r="B340" s="82" t="str">
        <f t="shared" si="5"/>
        <v/>
      </c>
    </row>
    <row r="341" spans="1:2" x14ac:dyDescent="0.2">
      <c r="A341" s="82">
        <f>Listas!E336</f>
        <v>0</v>
      </c>
      <c r="B341" s="82" t="str">
        <f t="shared" si="5"/>
        <v/>
      </c>
    </row>
    <row r="342" spans="1:2" x14ac:dyDescent="0.2">
      <c r="A342" s="82">
        <f>Listas!E337</f>
        <v>0</v>
      </c>
      <c r="B342" s="82" t="str">
        <f t="shared" si="5"/>
        <v/>
      </c>
    </row>
    <row r="343" spans="1:2" x14ac:dyDescent="0.2">
      <c r="A343" s="82">
        <f>Listas!E338</f>
        <v>0</v>
      </c>
      <c r="B343" s="82" t="str">
        <f t="shared" si="5"/>
        <v/>
      </c>
    </row>
    <row r="344" spans="1:2" x14ac:dyDescent="0.2">
      <c r="A344" s="82">
        <f>Listas!E339</f>
        <v>0</v>
      </c>
      <c r="B344" s="82" t="str">
        <f t="shared" si="5"/>
        <v/>
      </c>
    </row>
    <row r="345" spans="1:2" x14ac:dyDescent="0.2">
      <c r="A345" s="82">
        <f>Listas!E340</f>
        <v>0</v>
      </c>
      <c r="B345" s="82" t="str">
        <f t="shared" si="5"/>
        <v/>
      </c>
    </row>
    <row r="346" spans="1:2" x14ac:dyDescent="0.2">
      <c r="A346" s="82">
        <f>Listas!E341</f>
        <v>0</v>
      </c>
      <c r="B346" s="82" t="str">
        <f t="shared" si="5"/>
        <v/>
      </c>
    </row>
    <row r="347" spans="1:2" x14ac:dyDescent="0.2">
      <c r="A347" s="82">
        <f>Listas!E342</f>
        <v>0</v>
      </c>
      <c r="B347" s="82" t="str">
        <f t="shared" si="5"/>
        <v/>
      </c>
    </row>
    <row r="348" spans="1:2" x14ac:dyDescent="0.2">
      <c r="A348" s="82">
        <f>Listas!E343</f>
        <v>0</v>
      </c>
      <c r="B348" s="82" t="str">
        <f t="shared" si="5"/>
        <v/>
      </c>
    </row>
    <row r="349" spans="1:2" x14ac:dyDescent="0.2">
      <c r="A349" s="82">
        <f>Listas!E344</f>
        <v>0</v>
      </c>
      <c r="B349" s="82" t="str">
        <f t="shared" si="5"/>
        <v/>
      </c>
    </row>
    <row r="350" spans="1:2" x14ac:dyDescent="0.2">
      <c r="A350" s="82">
        <f>Listas!E345</f>
        <v>0</v>
      </c>
      <c r="B350" s="82" t="str">
        <f t="shared" si="5"/>
        <v/>
      </c>
    </row>
    <row r="351" spans="1:2" x14ac:dyDescent="0.2">
      <c r="A351" s="82">
        <f>Listas!E346</f>
        <v>0</v>
      </c>
      <c r="B351" s="82" t="str">
        <f t="shared" si="5"/>
        <v/>
      </c>
    </row>
    <row r="352" spans="1:2" x14ac:dyDescent="0.2">
      <c r="A352" s="82">
        <f>Listas!E347</f>
        <v>0</v>
      </c>
      <c r="B352" s="82" t="str">
        <f t="shared" si="5"/>
        <v/>
      </c>
    </row>
    <row r="353" spans="1:2" x14ac:dyDescent="0.2">
      <c r="A353" s="82">
        <f>Listas!E348</f>
        <v>0</v>
      </c>
      <c r="B353" s="82" t="str">
        <f t="shared" si="5"/>
        <v/>
      </c>
    </row>
    <row r="354" spans="1:2" x14ac:dyDescent="0.2">
      <c r="A354" s="82">
        <f>Listas!E349</f>
        <v>0</v>
      </c>
      <c r="B354" s="82" t="str">
        <f t="shared" si="5"/>
        <v/>
      </c>
    </row>
    <row r="355" spans="1:2" x14ac:dyDescent="0.2">
      <c r="A355" s="82">
        <f>Listas!E350</f>
        <v>0</v>
      </c>
      <c r="B355" s="82" t="str">
        <f t="shared" si="5"/>
        <v/>
      </c>
    </row>
    <row r="356" spans="1:2" x14ac:dyDescent="0.2">
      <c r="A356" s="82">
        <f>Listas!E351</f>
        <v>0</v>
      </c>
      <c r="B356" s="82" t="str">
        <f t="shared" si="5"/>
        <v/>
      </c>
    </row>
    <row r="357" spans="1:2" x14ac:dyDescent="0.2">
      <c r="A357" s="82">
        <f>Listas!E352</f>
        <v>0</v>
      </c>
      <c r="B357" s="82" t="str">
        <f t="shared" si="5"/>
        <v/>
      </c>
    </row>
    <row r="358" spans="1:2" x14ac:dyDescent="0.2">
      <c r="A358" s="82">
        <f>Listas!E353</f>
        <v>0</v>
      </c>
      <c r="B358" s="82" t="str">
        <f t="shared" si="5"/>
        <v/>
      </c>
    </row>
    <row r="359" spans="1:2" x14ac:dyDescent="0.2">
      <c r="A359" s="82">
        <f>Listas!E354</f>
        <v>0</v>
      </c>
      <c r="B359" s="82" t="str">
        <f t="shared" si="5"/>
        <v/>
      </c>
    </row>
    <row r="360" spans="1:2" x14ac:dyDescent="0.2">
      <c r="A360" s="82">
        <f>Listas!E355</f>
        <v>0</v>
      </c>
      <c r="B360" s="82" t="str">
        <f t="shared" si="5"/>
        <v/>
      </c>
    </row>
    <row r="361" spans="1:2" x14ac:dyDescent="0.2">
      <c r="A361" s="82">
        <f>Listas!E356</f>
        <v>0</v>
      </c>
      <c r="B361" s="82" t="str">
        <f t="shared" si="5"/>
        <v/>
      </c>
    </row>
    <row r="362" spans="1:2" x14ac:dyDescent="0.2">
      <c r="A362" s="82">
        <f>Listas!E357</f>
        <v>0</v>
      </c>
      <c r="B362" s="82" t="str">
        <f t="shared" si="5"/>
        <v/>
      </c>
    </row>
    <row r="363" spans="1:2" x14ac:dyDescent="0.2">
      <c r="A363" s="82">
        <f>Listas!E358</f>
        <v>0</v>
      </c>
      <c r="B363" s="82" t="str">
        <f t="shared" si="5"/>
        <v/>
      </c>
    </row>
    <row r="364" spans="1:2" x14ac:dyDescent="0.2">
      <c r="A364" s="82">
        <f>Listas!E359</f>
        <v>0</v>
      </c>
      <c r="B364" s="82" t="str">
        <f t="shared" si="5"/>
        <v/>
      </c>
    </row>
    <row r="365" spans="1:2" x14ac:dyDescent="0.2">
      <c r="A365" s="82">
        <f>Listas!E360</f>
        <v>0</v>
      </c>
      <c r="B365" s="82" t="str">
        <f t="shared" si="5"/>
        <v/>
      </c>
    </row>
    <row r="366" spans="1:2" x14ac:dyDescent="0.2">
      <c r="A366" s="82">
        <f>Listas!E361</f>
        <v>0</v>
      </c>
      <c r="B366" s="82" t="str">
        <f t="shared" si="5"/>
        <v/>
      </c>
    </row>
    <row r="367" spans="1:2" x14ac:dyDescent="0.2">
      <c r="A367" s="82">
        <f>Listas!E362</f>
        <v>0</v>
      </c>
      <c r="B367" s="82" t="str">
        <f t="shared" si="5"/>
        <v/>
      </c>
    </row>
    <row r="368" spans="1:2" x14ac:dyDescent="0.2">
      <c r="A368" s="82">
        <f>Listas!E363</f>
        <v>0</v>
      </c>
      <c r="B368" s="82" t="str">
        <f t="shared" si="5"/>
        <v/>
      </c>
    </row>
    <row r="369" spans="1:2" x14ac:dyDescent="0.2">
      <c r="A369" s="82">
        <f>Listas!E364</f>
        <v>0</v>
      </c>
      <c r="B369" s="82" t="str">
        <f t="shared" si="5"/>
        <v/>
      </c>
    </row>
    <row r="370" spans="1:2" x14ac:dyDescent="0.2">
      <c r="A370" s="82">
        <f>Listas!E365</f>
        <v>0</v>
      </c>
      <c r="B370" s="82" t="str">
        <f t="shared" si="5"/>
        <v/>
      </c>
    </row>
    <row r="371" spans="1:2" x14ac:dyDescent="0.2">
      <c r="A371" s="82">
        <f>Listas!E366</f>
        <v>0</v>
      </c>
      <c r="B371" s="82" t="str">
        <f t="shared" si="5"/>
        <v/>
      </c>
    </row>
    <row r="372" spans="1:2" x14ac:dyDescent="0.2">
      <c r="A372" s="82">
        <f>Listas!E367</f>
        <v>0</v>
      </c>
      <c r="B372" s="82" t="str">
        <f t="shared" si="5"/>
        <v/>
      </c>
    </row>
    <row r="373" spans="1:2" x14ac:dyDescent="0.2">
      <c r="A373" s="82">
        <f>Listas!E368</f>
        <v>0</v>
      </c>
      <c r="B373" s="82" t="str">
        <f t="shared" si="5"/>
        <v/>
      </c>
    </row>
    <row r="374" spans="1:2" x14ac:dyDescent="0.2">
      <c r="A374" s="82">
        <f>Listas!E369</f>
        <v>0</v>
      </c>
      <c r="B374" s="82" t="str">
        <f t="shared" si="5"/>
        <v/>
      </c>
    </row>
    <row r="375" spans="1:2" x14ac:dyDescent="0.2">
      <c r="A375" s="82">
        <f>Listas!E370</f>
        <v>0</v>
      </c>
      <c r="B375" s="82" t="str">
        <f t="shared" si="5"/>
        <v/>
      </c>
    </row>
    <row r="376" spans="1:2" x14ac:dyDescent="0.2">
      <c r="A376" s="82">
        <f>Listas!E371</f>
        <v>0</v>
      </c>
      <c r="B376" s="82" t="str">
        <f t="shared" si="5"/>
        <v/>
      </c>
    </row>
    <row r="377" spans="1:2" x14ac:dyDescent="0.2">
      <c r="A377" s="82">
        <f>Listas!E372</f>
        <v>0</v>
      </c>
      <c r="B377" s="82" t="str">
        <f t="shared" si="5"/>
        <v/>
      </c>
    </row>
    <row r="378" spans="1:2" x14ac:dyDescent="0.2">
      <c r="A378" s="82">
        <f>Listas!E373</f>
        <v>0</v>
      </c>
      <c r="B378" s="82" t="str">
        <f t="shared" si="5"/>
        <v/>
      </c>
    </row>
    <row r="379" spans="1:2" x14ac:dyDescent="0.2">
      <c r="A379" s="82">
        <f>Listas!E374</f>
        <v>0</v>
      </c>
      <c r="B379" s="82" t="str">
        <f t="shared" si="5"/>
        <v/>
      </c>
    </row>
    <row r="380" spans="1:2" x14ac:dyDescent="0.2">
      <c r="A380" s="82">
        <f>Listas!E375</f>
        <v>0</v>
      </c>
      <c r="B380" s="82" t="str">
        <f t="shared" si="5"/>
        <v/>
      </c>
    </row>
    <row r="381" spans="1:2" x14ac:dyDescent="0.2">
      <c r="A381" s="82">
        <f>Listas!E376</f>
        <v>0</v>
      </c>
      <c r="B381" s="82" t="str">
        <f t="shared" si="5"/>
        <v/>
      </c>
    </row>
    <row r="382" spans="1:2" x14ac:dyDescent="0.2">
      <c r="A382" s="82">
        <f>Listas!E377</f>
        <v>0</v>
      </c>
      <c r="B382" s="82" t="str">
        <f t="shared" si="5"/>
        <v/>
      </c>
    </row>
    <row r="383" spans="1:2" x14ac:dyDescent="0.2">
      <c r="A383" s="82">
        <f>Listas!E378</f>
        <v>0</v>
      </c>
      <c r="B383" s="82" t="str">
        <f t="shared" si="5"/>
        <v/>
      </c>
    </row>
    <row r="384" spans="1:2" x14ac:dyDescent="0.2">
      <c r="A384" s="82">
        <f>Listas!E379</f>
        <v>0</v>
      </c>
      <c r="B384" s="82" t="str">
        <f t="shared" si="5"/>
        <v/>
      </c>
    </row>
    <row r="385" spans="1:2" x14ac:dyDescent="0.2">
      <c r="A385" s="82">
        <f>Listas!E380</f>
        <v>0</v>
      </c>
      <c r="B385" s="82" t="str">
        <f t="shared" si="5"/>
        <v/>
      </c>
    </row>
    <row r="386" spans="1:2" x14ac:dyDescent="0.2">
      <c r="A386" s="82">
        <f>Listas!E381</f>
        <v>0</v>
      </c>
      <c r="B386" s="82" t="str">
        <f t="shared" si="5"/>
        <v/>
      </c>
    </row>
    <row r="387" spans="1:2" x14ac:dyDescent="0.2">
      <c r="A387" s="82">
        <f>Listas!E382</f>
        <v>0</v>
      </c>
      <c r="B387" s="82" t="str">
        <f t="shared" si="5"/>
        <v/>
      </c>
    </row>
    <row r="388" spans="1:2" x14ac:dyDescent="0.2">
      <c r="A388" s="82">
        <f>Listas!E383</f>
        <v>0</v>
      </c>
      <c r="B388" s="82" t="str">
        <f t="shared" si="5"/>
        <v/>
      </c>
    </row>
    <row r="389" spans="1:2" x14ac:dyDescent="0.2">
      <c r="A389" s="82">
        <f>Listas!E384</f>
        <v>0</v>
      </c>
      <c r="B389" s="82" t="str">
        <f t="shared" si="5"/>
        <v/>
      </c>
    </row>
    <row r="390" spans="1:2" x14ac:dyDescent="0.2">
      <c r="A390" s="82">
        <f>Listas!E385</f>
        <v>0</v>
      </c>
      <c r="B390" s="82" t="str">
        <f t="shared" si="5"/>
        <v/>
      </c>
    </row>
    <row r="391" spans="1:2" x14ac:dyDescent="0.2">
      <c r="A391" s="82">
        <f>Listas!E386</f>
        <v>0</v>
      </c>
      <c r="B391" s="82" t="str">
        <f t="shared" si="5"/>
        <v/>
      </c>
    </row>
    <row r="392" spans="1:2" x14ac:dyDescent="0.2">
      <c r="A392" s="82">
        <f>Listas!E387</f>
        <v>0</v>
      </c>
      <c r="B392" s="82" t="str">
        <f t="shared" si="5"/>
        <v/>
      </c>
    </row>
    <row r="393" spans="1:2" x14ac:dyDescent="0.2">
      <c r="A393" s="82">
        <f>Listas!E388</f>
        <v>0</v>
      </c>
      <c r="B393" s="82" t="str">
        <f t="shared" si="5"/>
        <v/>
      </c>
    </row>
    <row r="394" spans="1:2" x14ac:dyDescent="0.2">
      <c r="A394" s="82">
        <f>Listas!E389</f>
        <v>0</v>
      </c>
      <c r="B394" s="82" t="str">
        <f t="shared" ref="B394:B457" si="6">IF(OR(A394="",A394=0),"",_xlfn.LET(_xlpm.t,A394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395" spans="1:2" x14ac:dyDescent="0.2">
      <c r="A395" s="82">
        <f>Listas!E390</f>
        <v>0</v>
      </c>
      <c r="B395" s="82" t="str">
        <f t="shared" si="6"/>
        <v/>
      </c>
    </row>
    <row r="396" spans="1:2" x14ac:dyDescent="0.2">
      <c r="A396" s="82">
        <f>Listas!E391</f>
        <v>0</v>
      </c>
      <c r="B396" s="82" t="str">
        <f t="shared" si="6"/>
        <v/>
      </c>
    </row>
    <row r="397" spans="1:2" x14ac:dyDescent="0.2">
      <c r="A397" s="82">
        <f>Listas!E392</f>
        <v>0</v>
      </c>
      <c r="B397" s="82" t="str">
        <f t="shared" si="6"/>
        <v/>
      </c>
    </row>
    <row r="398" spans="1:2" x14ac:dyDescent="0.2">
      <c r="A398" s="82">
        <f>Listas!E393</f>
        <v>0</v>
      </c>
      <c r="B398" s="82" t="str">
        <f t="shared" si="6"/>
        <v/>
      </c>
    </row>
    <row r="399" spans="1:2" x14ac:dyDescent="0.2">
      <c r="A399" s="82">
        <f>Listas!E394</f>
        <v>0</v>
      </c>
      <c r="B399" s="82" t="str">
        <f t="shared" si="6"/>
        <v/>
      </c>
    </row>
    <row r="400" spans="1:2" x14ac:dyDescent="0.2">
      <c r="A400" s="82">
        <f>Listas!E395</f>
        <v>0</v>
      </c>
      <c r="B400" s="82" t="str">
        <f t="shared" si="6"/>
        <v/>
      </c>
    </row>
    <row r="401" spans="1:2" x14ac:dyDescent="0.2">
      <c r="A401" s="82">
        <f>Listas!E396</f>
        <v>0</v>
      </c>
      <c r="B401" s="82" t="str">
        <f t="shared" si="6"/>
        <v/>
      </c>
    </row>
    <row r="402" spans="1:2" x14ac:dyDescent="0.2">
      <c r="A402" s="82">
        <f>Listas!E397</f>
        <v>0</v>
      </c>
      <c r="B402" s="82" t="str">
        <f t="shared" si="6"/>
        <v/>
      </c>
    </row>
    <row r="403" spans="1:2" x14ac:dyDescent="0.2">
      <c r="A403" s="82">
        <f>Listas!E398</f>
        <v>0</v>
      </c>
      <c r="B403" s="82" t="str">
        <f t="shared" si="6"/>
        <v/>
      </c>
    </row>
    <row r="404" spans="1:2" x14ac:dyDescent="0.2">
      <c r="A404" s="82">
        <f>Listas!E399</f>
        <v>0</v>
      </c>
      <c r="B404" s="82" t="str">
        <f t="shared" si="6"/>
        <v/>
      </c>
    </row>
    <row r="405" spans="1:2" x14ac:dyDescent="0.2">
      <c r="A405" s="82">
        <f>Listas!E400</f>
        <v>0</v>
      </c>
      <c r="B405" s="82" t="str">
        <f t="shared" si="6"/>
        <v/>
      </c>
    </row>
    <row r="406" spans="1:2" x14ac:dyDescent="0.2">
      <c r="A406" s="82">
        <f>Listas!E401</f>
        <v>0</v>
      </c>
      <c r="B406" s="82" t="str">
        <f t="shared" si="6"/>
        <v/>
      </c>
    </row>
    <row r="407" spans="1:2" x14ac:dyDescent="0.2">
      <c r="A407" s="82">
        <f>Listas!E402</f>
        <v>0</v>
      </c>
      <c r="B407" s="82" t="str">
        <f t="shared" si="6"/>
        <v/>
      </c>
    </row>
    <row r="408" spans="1:2" x14ac:dyDescent="0.2">
      <c r="A408" s="82">
        <f>Listas!E403</f>
        <v>0</v>
      </c>
      <c r="B408" s="82" t="str">
        <f t="shared" si="6"/>
        <v/>
      </c>
    </row>
    <row r="409" spans="1:2" x14ac:dyDescent="0.2">
      <c r="A409" s="82">
        <f>Listas!E404</f>
        <v>0</v>
      </c>
      <c r="B409" s="82" t="str">
        <f t="shared" si="6"/>
        <v/>
      </c>
    </row>
    <row r="410" spans="1:2" x14ac:dyDescent="0.2">
      <c r="A410" s="82">
        <f>Listas!E405</f>
        <v>0</v>
      </c>
      <c r="B410" s="82" t="str">
        <f t="shared" si="6"/>
        <v/>
      </c>
    </row>
    <row r="411" spans="1:2" x14ac:dyDescent="0.2">
      <c r="A411" s="82">
        <f>Listas!E406</f>
        <v>0</v>
      </c>
      <c r="B411" s="82" t="str">
        <f t="shared" si="6"/>
        <v/>
      </c>
    </row>
    <row r="412" spans="1:2" x14ac:dyDescent="0.2">
      <c r="A412" s="82">
        <f>Listas!E407</f>
        <v>0</v>
      </c>
      <c r="B412" s="82" t="str">
        <f t="shared" si="6"/>
        <v/>
      </c>
    </row>
    <row r="413" spans="1:2" x14ac:dyDescent="0.2">
      <c r="A413" s="82">
        <f>Listas!E408</f>
        <v>0</v>
      </c>
      <c r="B413" s="82" t="str">
        <f t="shared" si="6"/>
        <v/>
      </c>
    </row>
    <row r="414" spans="1:2" x14ac:dyDescent="0.2">
      <c r="A414" s="82">
        <f>Listas!E409</f>
        <v>0</v>
      </c>
      <c r="B414" s="82" t="str">
        <f t="shared" si="6"/>
        <v/>
      </c>
    </row>
    <row r="415" spans="1:2" x14ac:dyDescent="0.2">
      <c r="A415" s="82">
        <f>Listas!E410</f>
        <v>0</v>
      </c>
      <c r="B415" s="82" t="str">
        <f t="shared" si="6"/>
        <v/>
      </c>
    </row>
    <row r="416" spans="1:2" x14ac:dyDescent="0.2">
      <c r="A416" s="82">
        <f>Listas!E411</f>
        <v>0</v>
      </c>
      <c r="B416" s="82" t="str">
        <f t="shared" si="6"/>
        <v/>
      </c>
    </row>
    <row r="417" spans="1:2" x14ac:dyDescent="0.2">
      <c r="A417" s="82">
        <f>Listas!E412</f>
        <v>0</v>
      </c>
      <c r="B417" s="82" t="str">
        <f t="shared" si="6"/>
        <v/>
      </c>
    </row>
    <row r="418" spans="1:2" x14ac:dyDescent="0.2">
      <c r="A418" s="82">
        <f>Listas!E413</f>
        <v>0</v>
      </c>
      <c r="B418" s="82" t="str">
        <f t="shared" si="6"/>
        <v/>
      </c>
    </row>
    <row r="419" spans="1:2" x14ac:dyDescent="0.2">
      <c r="A419" s="82">
        <f>Listas!E414</f>
        <v>0</v>
      </c>
      <c r="B419" s="82" t="str">
        <f t="shared" si="6"/>
        <v/>
      </c>
    </row>
    <row r="420" spans="1:2" x14ac:dyDescent="0.2">
      <c r="A420" s="82">
        <f>Listas!E415</f>
        <v>0</v>
      </c>
      <c r="B420" s="82" t="str">
        <f t="shared" si="6"/>
        <v/>
      </c>
    </row>
    <row r="421" spans="1:2" x14ac:dyDescent="0.2">
      <c r="A421" s="82">
        <f>Listas!E416</f>
        <v>0</v>
      </c>
      <c r="B421" s="82" t="str">
        <f t="shared" si="6"/>
        <v/>
      </c>
    </row>
    <row r="422" spans="1:2" x14ac:dyDescent="0.2">
      <c r="A422" s="82">
        <f>Listas!E417</f>
        <v>0</v>
      </c>
      <c r="B422" s="82" t="str">
        <f t="shared" si="6"/>
        <v/>
      </c>
    </row>
    <row r="423" spans="1:2" x14ac:dyDescent="0.2">
      <c r="A423" s="82">
        <f>Listas!E418</f>
        <v>0</v>
      </c>
      <c r="B423" s="82" t="str">
        <f t="shared" si="6"/>
        <v/>
      </c>
    </row>
    <row r="424" spans="1:2" x14ac:dyDescent="0.2">
      <c r="A424" s="82">
        <f>Listas!E419</f>
        <v>0</v>
      </c>
      <c r="B424" s="82" t="str">
        <f t="shared" si="6"/>
        <v/>
      </c>
    </row>
    <row r="425" spans="1:2" x14ac:dyDescent="0.2">
      <c r="A425" s="82">
        <f>Listas!E420</f>
        <v>0</v>
      </c>
      <c r="B425" s="82" t="str">
        <f t="shared" si="6"/>
        <v/>
      </c>
    </row>
    <row r="426" spans="1:2" x14ac:dyDescent="0.2">
      <c r="A426" s="82">
        <f>Listas!E421</f>
        <v>0</v>
      </c>
      <c r="B426" s="82" t="str">
        <f t="shared" si="6"/>
        <v/>
      </c>
    </row>
    <row r="427" spans="1:2" x14ac:dyDescent="0.2">
      <c r="A427" s="82">
        <f>Listas!E422</f>
        <v>0</v>
      </c>
      <c r="B427" s="82" t="str">
        <f t="shared" si="6"/>
        <v/>
      </c>
    </row>
    <row r="428" spans="1:2" x14ac:dyDescent="0.2">
      <c r="A428" s="82">
        <f>Listas!E423</f>
        <v>0</v>
      </c>
      <c r="B428" s="82" t="str">
        <f t="shared" si="6"/>
        <v/>
      </c>
    </row>
    <row r="429" spans="1:2" x14ac:dyDescent="0.2">
      <c r="A429" s="82">
        <f>Listas!E424</f>
        <v>0</v>
      </c>
      <c r="B429" s="82" t="str">
        <f t="shared" si="6"/>
        <v/>
      </c>
    </row>
    <row r="430" spans="1:2" x14ac:dyDescent="0.2">
      <c r="A430" s="82">
        <f>Listas!E425</f>
        <v>0</v>
      </c>
      <c r="B430" s="82" t="str">
        <f t="shared" si="6"/>
        <v/>
      </c>
    </row>
    <row r="431" spans="1:2" x14ac:dyDescent="0.2">
      <c r="A431" s="82">
        <f>Listas!E426</f>
        <v>0</v>
      </c>
      <c r="B431" s="82" t="str">
        <f t="shared" si="6"/>
        <v/>
      </c>
    </row>
    <row r="432" spans="1:2" x14ac:dyDescent="0.2">
      <c r="A432" s="82">
        <f>Listas!E427</f>
        <v>0</v>
      </c>
      <c r="B432" s="82" t="str">
        <f t="shared" si="6"/>
        <v/>
      </c>
    </row>
    <row r="433" spans="1:2" x14ac:dyDescent="0.2">
      <c r="A433" s="82">
        <f>Listas!E428</f>
        <v>0</v>
      </c>
      <c r="B433" s="82" t="str">
        <f t="shared" si="6"/>
        <v/>
      </c>
    </row>
    <row r="434" spans="1:2" x14ac:dyDescent="0.2">
      <c r="A434" s="82">
        <f>Listas!E429</f>
        <v>0</v>
      </c>
      <c r="B434" s="82" t="str">
        <f t="shared" si="6"/>
        <v/>
      </c>
    </row>
    <row r="435" spans="1:2" x14ac:dyDescent="0.2">
      <c r="A435" s="82">
        <f>Listas!E430</f>
        <v>0</v>
      </c>
      <c r="B435" s="82" t="str">
        <f t="shared" si="6"/>
        <v/>
      </c>
    </row>
    <row r="436" spans="1:2" x14ac:dyDescent="0.2">
      <c r="A436" s="82">
        <f>Listas!E431</f>
        <v>0</v>
      </c>
      <c r="B436" s="82" t="str">
        <f t="shared" si="6"/>
        <v/>
      </c>
    </row>
    <row r="437" spans="1:2" x14ac:dyDescent="0.2">
      <c r="A437" s="82">
        <f>Listas!E432</f>
        <v>0</v>
      </c>
      <c r="B437" s="82" t="str">
        <f t="shared" si="6"/>
        <v/>
      </c>
    </row>
    <row r="438" spans="1:2" x14ac:dyDescent="0.2">
      <c r="A438" s="82">
        <f>Listas!E433</f>
        <v>0</v>
      </c>
      <c r="B438" s="82" t="str">
        <f t="shared" si="6"/>
        <v/>
      </c>
    </row>
    <row r="439" spans="1:2" x14ac:dyDescent="0.2">
      <c r="A439" s="82">
        <f>Listas!E434</f>
        <v>0</v>
      </c>
      <c r="B439" s="82" t="str">
        <f t="shared" si="6"/>
        <v/>
      </c>
    </row>
    <row r="440" spans="1:2" x14ac:dyDescent="0.2">
      <c r="A440" s="82">
        <f>Listas!E435</f>
        <v>0</v>
      </c>
      <c r="B440" s="82" t="str">
        <f t="shared" si="6"/>
        <v/>
      </c>
    </row>
    <row r="441" spans="1:2" x14ac:dyDescent="0.2">
      <c r="A441" s="82">
        <f>Listas!E436</f>
        <v>0</v>
      </c>
      <c r="B441" s="82" t="str">
        <f t="shared" si="6"/>
        <v/>
      </c>
    </row>
    <row r="442" spans="1:2" x14ac:dyDescent="0.2">
      <c r="A442" s="82">
        <f>Listas!E437</f>
        <v>0</v>
      </c>
      <c r="B442" s="82" t="str">
        <f t="shared" si="6"/>
        <v/>
      </c>
    </row>
    <row r="443" spans="1:2" x14ac:dyDescent="0.2">
      <c r="A443" s="82">
        <f>Listas!E438</f>
        <v>0</v>
      </c>
      <c r="B443" s="82" t="str">
        <f t="shared" si="6"/>
        <v/>
      </c>
    </row>
    <row r="444" spans="1:2" x14ac:dyDescent="0.2">
      <c r="A444" s="82">
        <f>Listas!E439</f>
        <v>0</v>
      </c>
      <c r="B444" s="82" t="str">
        <f t="shared" si="6"/>
        <v/>
      </c>
    </row>
    <row r="445" spans="1:2" x14ac:dyDescent="0.2">
      <c r="A445" s="82">
        <f>Listas!E440</f>
        <v>0</v>
      </c>
      <c r="B445" s="82" t="str">
        <f t="shared" si="6"/>
        <v/>
      </c>
    </row>
    <row r="446" spans="1:2" x14ac:dyDescent="0.2">
      <c r="A446" s="82">
        <f>Listas!E441</f>
        <v>0</v>
      </c>
      <c r="B446" s="82" t="str">
        <f t="shared" si="6"/>
        <v/>
      </c>
    </row>
    <row r="447" spans="1:2" x14ac:dyDescent="0.2">
      <c r="A447" s="82">
        <f>Listas!E442</f>
        <v>0</v>
      </c>
      <c r="B447" s="82" t="str">
        <f t="shared" si="6"/>
        <v/>
      </c>
    </row>
    <row r="448" spans="1:2" x14ac:dyDescent="0.2">
      <c r="A448" s="82">
        <f>Listas!E443</f>
        <v>0</v>
      </c>
      <c r="B448" s="82" t="str">
        <f t="shared" si="6"/>
        <v/>
      </c>
    </row>
    <row r="449" spans="1:2" x14ac:dyDescent="0.2">
      <c r="A449" s="82">
        <f>Listas!E444</f>
        <v>0</v>
      </c>
      <c r="B449" s="82" t="str">
        <f t="shared" si="6"/>
        <v/>
      </c>
    </row>
    <row r="450" spans="1:2" x14ac:dyDescent="0.2">
      <c r="A450" s="82">
        <f>Listas!E445</f>
        <v>0</v>
      </c>
      <c r="B450" s="82" t="str">
        <f t="shared" si="6"/>
        <v/>
      </c>
    </row>
    <row r="451" spans="1:2" x14ac:dyDescent="0.2">
      <c r="A451" s="82">
        <f>Listas!E446</f>
        <v>0</v>
      </c>
      <c r="B451" s="82" t="str">
        <f t="shared" si="6"/>
        <v/>
      </c>
    </row>
    <row r="452" spans="1:2" x14ac:dyDescent="0.2">
      <c r="A452" s="82">
        <f>Listas!E447</f>
        <v>0</v>
      </c>
      <c r="B452" s="82" t="str">
        <f t="shared" si="6"/>
        <v/>
      </c>
    </row>
    <row r="453" spans="1:2" x14ac:dyDescent="0.2">
      <c r="A453" s="82">
        <f>Listas!E448</f>
        <v>0</v>
      </c>
      <c r="B453" s="82" t="str">
        <f t="shared" si="6"/>
        <v/>
      </c>
    </row>
    <row r="454" spans="1:2" x14ac:dyDescent="0.2">
      <c r="A454" s="82">
        <f>Listas!E449</f>
        <v>0</v>
      </c>
      <c r="B454" s="82" t="str">
        <f t="shared" si="6"/>
        <v/>
      </c>
    </row>
    <row r="455" spans="1:2" x14ac:dyDescent="0.2">
      <c r="A455" s="82">
        <f>Listas!E450</f>
        <v>0</v>
      </c>
      <c r="B455" s="82" t="str">
        <f t="shared" si="6"/>
        <v/>
      </c>
    </row>
    <row r="456" spans="1:2" x14ac:dyDescent="0.2">
      <c r="A456" s="82">
        <f>Listas!E451</f>
        <v>0</v>
      </c>
      <c r="B456" s="82" t="str">
        <f t="shared" si="6"/>
        <v/>
      </c>
    </row>
    <row r="457" spans="1:2" x14ac:dyDescent="0.2">
      <c r="A457" s="82">
        <f>Listas!E452</f>
        <v>0</v>
      </c>
      <c r="B457" s="82" t="str">
        <f t="shared" si="6"/>
        <v/>
      </c>
    </row>
    <row r="458" spans="1:2" x14ac:dyDescent="0.2">
      <c r="A458" s="82">
        <f>Listas!E453</f>
        <v>0</v>
      </c>
      <c r="B458" s="82" t="str">
        <f t="shared" ref="B458:B507" si="7">IF(OR(A458="",A458=0),"",_xlfn.LET(_xlpm.t,A458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459" spans="1:2" x14ac:dyDescent="0.2">
      <c r="A459" s="82">
        <f>Listas!E454</f>
        <v>0</v>
      </c>
      <c r="B459" s="82" t="str">
        <f t="shared" si="7"/>
        <v/>
      </c>
    </row>
    <row r="460" spans="1:2" x14ac:dyDescent="0.2">
      <c r="A460" s="82">
        <f>Listas!E455</f>
        <v>0</v>
      </c>
      <c r="B460" s="82" t="str">
        <f t="shared" si="7"/>
        <v/>
      </c>
    </row>
    <row r="461" spans="1:2" x14ac:dyDescent="0.2">
      <c r="A461" s="82">
        <f>Listas!E456</f>
        <v>0</v>
      </c>
      <c r="B461" s="82" t="str">
        <f t="shared" si="7"/>
        <v/>
      </c>
    </row>
    <row r="462" spans="1:2" x14ac:dyDescent="0.2">
      <c r="A462" s="82">
        <f>Listas!E457</f>
        <v>0</v>
      </c>
      <c r="B462" s="82" t="str">
        <f t="shared" si="7"/>
        <v/>
      </c>
    </row>
    <row r="463" spans="1:2" x14ac:dyDescent="0.2">
      <c r="A463" s="82">
        <f>Listas!E458</f>
        <v>0</v>
      </c>
      <c r="B463" s="82" t="str">
        <f t="shared" si="7"/>
        <v/>
      </c>
    </row>
    <row r="464" spans="1:2" x14ac:dyDescent="0.2">
      <c r="A464" s="82">
        <f>Listas!E459</f>
        <v>0</v>
      </c>
      <c r="B464" s="82" t="str">
        <f t="shared" si="7"/>
        <v/>
      </c>
    </row>
    <row r="465" spans="1:2" x14ac:dyDescent="0.2">
      <c r="A465" s="82">
        <f>Listas!E460</f>
        <v>0</v>
      </c>
      <c r="B465" s="82" t="str">
        <f t="shared" si="7"/>
        <v/>
      </c>
    </row>
    <row r="466" spans="1:2" x14ac:dyDescent="0.2">
      <c r="A466" s="82">
        <f>Listas!E461</f>
        <v>0</v>
      </c>
      <c r="B466" s="82" t="str">
        <f t="shared" si="7"/>
        <v/>
      </c>
    </row>
    <row r="467" spans="1:2" x14ac:dyDescent="0.2">
      <c r="A467" s="82">
        <f>Listas!E462</f>
        <v>0</v>
      </c>
      <c r="B467" s="82" t="str">
        <f t="shared" si="7"/>
        <v/>
      </c>
    </row>
    <row r="468" spans="1:2" x14ac:dyDescent="0.2">
      <c r="A468" s="82">
        <f>Listas!E463</f>
        <v>0</v>
      </c>
      <c r="B468" s="82" t="str">
        <f t="shared" si="7"/>
        <v/>
      </c>
    </row>
    <row r="469" spans="1:2" x14ac:dyDescent="0.2">
      <c r="A469" s="82">
        <f>Listas!E464</f>
        <v>0</v>
      </c>
      <c r="B469" s="82" t="str">
        <f t="shared" si="7"/>
        <v/>
      </c>
    </row>
    <row r="470" spans="1:2" x14ac:dyDescent="0.2">
      <c r="A470" s="82">
        <f>Listas!E465</f>
        <v>0</v>
      </c>
      <c r="B470" s="82" t="str">
        <f t="shared" si="7"/>
        <v/>
      </c>
    </row>
    <row r="471" spans="1:2" x14ac:dyDescent="0.2">
      <c r="A471" s="82">
        <f>Listas!E466</f>
        <v>0</v>
      </c>
      <c r="B471" s="82" t="str">
        <f t="shared" si="7"/>
        <v/>
      </c>
    </row>
    <row r="472" spans="1:2" x14ac:dyDescent="0.2">
      <c r="A472" s="82">
        <f>Listas!E467</f>
        <v>0</v>
      </c>
      <c r="B472" s="82" t="str">
        <f t="shared" si="7"/>
        <v/>
      </c>
    </row>
    <row r="473" spans="1:2" x14ac:dyDescent="0.2">
      <c r="A473" s="82">
        <f>Listas!E468</f>
        <v>0</v>
      </c>
      <c r="B473" s="82" t="str">
        <f t="shared" si="7"/>
        <v/>
      </c>
    </row>
    <row r="474" spans="1:2" x14ac:dyDescent="0.2">
      <c r="A474" s="82">
        <f>Listas!E469</f>
        <v>0</v>
      </c>
      <c r="B474" s="82" t="str">
        <f t="shared" si="7"/>
        <v/>
      </c>
    </row>
    <row r="475" spans="1:2" x14ac:dyDescent="0.2">
      <c r="A475" s="82">
        <f>Listas!E470</f>
        <v>0</v>
      </c>
      <c r="B475" s="82" t="str">
        <f t="shared" si="7"/>
        <v/>
      </c>
    </row>
    <row r="476" spans="1:2" x14ac:dyDescent="0.2">
      <c r="A476" s="82">
        <f>Listas!E471</f>
        <v>0</v>
      </c>
      <c r="B476" s="82" t="str">
        <f t="shared" si="7"/>
        <v/>
      </c>
    </row>
    <row r="477" spans="1:2" x14ac:dyDescent="0.2">
      <c r="A477" s="82">
        <f>Listas!E472</f>
        <v>0</v>
      </c>
      <c r="B477" s="82" t="str">
        <f t="shared" si="7"/>
        <v/>
      </c>
    </row>
    <row r="478" spans="1:2" x14ac:dyDescent="0.2">
      <c r="A478" s="82">
        <f>Listas!E473</f>
        <v>0</v>
      </c>
      <c r="B478" s="82" t="str">
        <f t="shared" si="7"/>
        <v/>
      </c>
    </row>
    <row r="479" spans="1:2" x14ac:dyDescent="0.2">
      <c r="A479" s="82">
        <f>Listas!E474</f>
        <v>0</v>
      </c>
      <c r="B479" s="82" t="str">
        <f t="shared" si="7"/>
        <v/>
      </c>
    </row>
    <row r="480" spans="1:2" x14ac:dyDescent="0.2">
      <c r="A480" s="82">
        <f>Listas!E475</f>
        <v>0</v>
      </c>
      <c r="B480" s="82" t="str">
        <f t="shared" si="7"/>
        <v/>
      </c>
    </row>
    <row r="481" spans="1:2" x14ac:dyDescent="0.2">
      <c r="A481" s="82">
        <f>Listas!E476</f>
        <v>0</v>
      </c>
      <c r="B481" s="82" t="str">
        <f t="shared" si="7"/>
        <v/>
      </c>
    </row>
    <row r="482" spans="1:2" x14ac:dyDescent="0.2">
      <c r="A482" s="82">
        <f>Listas!E477</f>
        <v>0</v>
      </c>
      <c r="B482" s="82" t="str">
        <f t="shared" si="7"/>
        <v/>
      </c>
    </row>
    <row r="483" spans="1:2" x14ac:dyDescent="0.2">
      <c r="A483" s="82">
        <f>Listas!E478</f>
        <v>0</v>
      </c>
      <c r="B483" s="82" t="str">
        <f t="shared" si="7"/>
        <v/>
      </c>
    </row>
    <row r="484" spans="1:2" x14ac:dyDescent="0.2">
      <c r="A484" s="82">
        <f>Listas!E479</f>
        <v>0</v>
      </c>
      <c r="B484" s="82" t="str">
        <f t="shared" si="7"/>
        <v/>
      </c>
    </row>
    <row r="485" spans="1:2" x14ac:dyDescent="0.2">
      <c r="A485" s="82">
        <f>Listas!E480</f>
        <v>0</v>
      </c>
      <c r="B485" s="82" t="str">
        <f t="shared" si="7"/>
        <v/>
      </c>
    </row>
    <row r="486" spans="1:2" x14ac:dyDescent="0.2">
      <c r="A486" s="82">
        <f>Listas!E481</f>
        <v>0</v>
      </c>
      <c r="B486" s="82" t="str">
        <f t="shared" si="7"/>
        <v/>
      </c>
    </row>
    <row r="487" spans="1:2" x14ac:dyDescent="0.2">
      <c r="A487" s="82">
        <f>Listas!E482</f>
        <v>0</v>
      </c>
      <c r="B487" s="82" t="str">
        <f t="shared" si="7"/>
        <v/>
      </c>
    </row>
    <row r="488" spans="1:2" x14ac:dyDescent="0.2">
      <c r="A488" s="82">
        <f>Listas!E483</f>
        <v>0</v>
      </c>
      <c r="B488" s="82" t="str">
        <f t="shared" si="7"/>
        <v/>
      </c>
    </row>
    <row r="489" spans="1:2" x14ac:dyDescent="0.2">
      <c r="A489" s="82">
        <f>Listas!E484</f>
        <v>0</v>
      </c>
      <c r="B489" s="82" t="str">
        <f t="shared" si="7"/>
        <v/>
      </c>
    </row>
    <row r="490" spans="1:2" x14ac:dyDescent="0.2">
      <c r="A490" s="82">
        <f>Listas!E485</f>
        <v>0</v>
      </c>
      <c r="B490" s="82" t="str">
        <f t="shared" si="7"/>
        <v/>
      </c>
    </row>
    <row r="491" spans="1:2" x14ac:dyDescent="0.2">
      <c r="A491" s="82">
        <f>Listas!E486</f>
        <v>0</v>
      </c>
      <c r="B491" s="82" t="str">
        <f t="shared" si="7"/>
        <v/>
      </c>
    </row>
    <row r="492" spans="1:2" x14ac:dyDescent="0.2">
      <c r="A492" s="82">
        <f>Listas!E487</f>
        <v>0</v>
      </c>
      <c r="B492" s="82" t="str">
        <f t="shared" si="7"/>
        <v/>
      </c>
    </row>
    <row r="493" spans="1:2" x14ac:dyDescent="0.2">
      <c r="A493" s="82">
        <f>Listas!E488</f>
        <v>0</v>
      </c>
      <c r="B493" s="82" t="str">
        <f t="shared" si="7"/>
        <v/>
      </c>
    </row>
    <row r="494" spans="1:2" x14ac:dyDescent="0.2">
      <c r="A494" s="82">
        <f>Listas!E489</f>
        <v>0</v>
      </c>
      <c r="B494" s="82" t="str">
        <f t="shared" si="7"/>
        <v/>
      </c>
    </row>
    <row r="495" spans="1:2" x14ac:dyDescent="0.2">
      <c r="A495" s="82">
        <f>Listas!E490</f>
        <v>0</v>
      </c>
      <c r="B495" s="82" t="str">
        <f t="shared" si="7"/>
        <v/>
      </c>
    </row>
    <row r="496" spans="1:2" x14ac:dyDescent="0.2">
      <c r="A496" s="82">
        <f>Listas!E491</f>
        <v>0</v>
      </c>
      <c r="B496" s="82" t="str">
        <f t="shared" si="7"/>
        <v/>
      </c>
    </row>
    <row r="497" spans="1:2" x14ac:dyDescent="0.2">
      <c r="A497" s="82">
        <f>Listas!E492</f>
        <v>0</v>
      </c>
      <c r="B497" s="82" t="str">
        <f t="shared" si="7"/>
        <v/>
      </c>
    </row>
    <row r="498" spans="1:2" x14ac:dyDescent="0.2">
      <c r="A498" s="82">
        <f>Listas!E493</f>
        <v>0</v>
      </c>
      <c r="B498" s="82" t="str">
        <f t="shared" si="7"/>
        <v/>
      </c>
    </row>
    <row r="499" spans="1:2" x14ac:dyDescent="0.2">
      <c r="A499" s="82">
        <f>Listas!E494</f>
        <v>0</v>
      </c>
      <c r="B499" s="82" t="str">
        <f t="shared" si="7"/>
        <v/>
      </c>
    </row>
    <row r="500" spans="1:2" x14ac:dyDescent="0.2">
      <c r="A500" s="82">
        <f>Listas!E495</f>
        <v>0</v>
      </c>
      <c r="B500" s="82" t="str">
        <f t="shared" si="7"/>
        <v/>
      </c>
    </row>
    <row r="501" spans="1:2" x14ac:dyDescent="0.2">
      <c r="A501" s="82">
        <f>Listas!E496</f>
        <v>0</v>
      </c>
      <c r="B501" s="82" t="str">
        <f t="shared" si="7"/>
        <v/>
      </c>
    </row>
    <row r="502" spans="1:2" x14ac:dyDescent="0.2">
      <c r="A502" s="82">
        <f>Listas!E497</f>
        <v>0</v>
      </c>
      <c r="B502" s="82" t="str">
        <f t="shared" si="7"/>
        <v/>
      </c>
    </row>
    <row r="503" spans="1:2" x14ac:dyDescent="0.2">
      <c r="A503" s="82">
        <f>Listas!E498</f>
        <v>0</v>
      </c>
      <c r="B503" s="82" t="str">
        <f t="shared" si="7"/>
        <v/>
      </c>
    </row>
    <row r="504" spans="1:2" x14ac:dyDescent="0.2">
      <c r="A504" s="82">
        <f>Listas!E499</f>
        <v>0</v>
      </c>
      <c r="B504" s="82" t="str">
        <f t="shared" si="7"/>
        <v/>
      </c>
    </row>
    <row r="505" spans="1:2" x14ac:dyDescent="0.2">
      <c r="A505" s="82">
        <f>Listas!E500</f>
        <v>0</v>
      </c>
      <c r="B505" s="82" t="str">
        <f t="shared" si="7"/>
        <v/>
      </c>
    </row>
    <row r="506" spans="1:2" x14ac:dyDescent="0.2">
      <c r="A506" s="82">
        <f>Listas!E501</f>
        <v>0</v>
      </c>
      <c r="B506" s="82" t="str">
        <f t="shared" si="7"/>
        <v/>
      </c>
    </row>
    <row r="507" spans="1:2" x14ac:dyDescent="0.2">
      <c r="A507" s="82">
        <f>Listas!E502</f>
        <v>0</v>
      </c>
      <c r="B507" s="82" t="str">
        <f t="shared" si="7"/>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82" customWidth="1"/>
    <col min="2" max="2" width="44" style="82" bestFit="1" customWidth="1"/>
    <col min="3" max="3" width="6.6640625" style="82" bestFit="1" customWidth="1"/>
    <col min="4" max="4" width="30" style="82" customWidth="1"/>
    <col min="5" max="5" width="36.6640625" style="82" customWidth="1"/>
    <col min="6" max="6" width="13.33203125" style="82" customWidth="1"/>
    <col min="7" max="7" width="58.33203125" style="82" customWidth="1"/>
    <col min="8" max="16384" width="10.83203125" style="82"/>
  </cols>
  <sheetData>
    <row r="1" spans="1:3" x14ac:dyDescent="0.2">
      <c r="A1" s="84" t="s">
        <v>1959</v>
      </c>
      <c r="B1" s="84" t="s">
        <v>1960</v>
      </c>
      <c r="C1" s="84" t="s">
        <v>1958</v>
      </c>
    </row>
    <row r="2" spans="1:3" x14ac:dyDescent="0.2">
      <c r="A2" s="111" t="s">
        <v>1961</v>
      </c>
      <c r="B2" s="82" t="s">
        <v>1002</v>
      </c>
      <c r="C2" s="112" t="s">
        <v>1962</v>
      </c>
    </row>
    <row r="3" spans="1:3" x14ac:dyDescent="0.2">
      <c r="A3" s="111" t="s">
        <v>1963</v>
      </c>
      <c r="B3" s="82" t="s">
        <v>1002</v>
      </c>
      <c r="C3" s="112" t="s">
        <v>1962</v>
      </c>
    </row>
    <row r="4" spans="1:3" x14ac:dyDescent="0.2">
      <c r="A4" s="111" t="s">
        <v>1964</v>
      </c>
      <c r="B4" s="82" t="s">
        <v>1002</v>
      </c>
      <c r="C4" s="112" t="s">
        <v>1962</v>
      </c>
    </row>
    <row r="5" spans="1:3" x14ac:dyDescent="0.2">
      <c r="A5" s="111" t="s">
        <v>1965</v>
      </c>
      <c r="B5" s="82" t="s">
        <v>1002</v>
      </c>
      <c r="C5" s="112" t="s">
        <v>1962</v>
      </c>
    </row>
    <row r="6" spans="1:3" x14ac:dyDescent="0.2">
      <c r="A6" s="111" t="s">
        <v>1966</v>
      </c>
      <c r="B6" s="82" t="s">
        <v>1017</v>
      </c>
      <c r="C6" s="112" t="s">
        <v>1962</v>
      </c>
    </row>
    <row r="7" spans="1:3" x14ac:dyDescent="0.2">
      <c r="A7" s="111" t="s">
        <v>1967</v>
      </c>
      <c r="B7" s="82" t="s">
        <v>1002</v>
      </c>
      <c r="C7" s="112" t="s">
        <v>1962</v>
      </c>
    </row>
    <row r="8" spans="1:3" x14ac:dyDescent="0.2">
      <c r="A8" s="111" t="s">
        <v>1968</v>
      </c>
      <c r="B8" s="82" t="s">
        <v>1002</v>
      </c>
      <c r="C8" s="112" t="s">
        <v>1962</v>
      </c>
    </row>
    <row r="9" spans="1:3" x14ac:dyDescent="0.2">
      <c r="A9" s="111" t="s">
        <v>1969</v>
      </c>
      <c r="B9" s="82" t="s">
        <v>1002</v>
      </c>
      <c r="C9" s="112" t="s">
        <v>1962</v>
      </c>
    </row>
    <row r="10" spans="1:3" x14ac:dyDescent="0.2">
      <c r="A10" s="111" t="s">
        <v>1970</v>
      </c>
      <c r="B10" s="82" t="s">
        <v>1002</v>
      </c>
      <c r="C10" s="112" t="s">
        <v>1962</v>
      </c>
    </row>
    <row r="11" spans="1:3" x14ac:dyDescent="0.2">
      <c r="A11" s="111" t="s">
        <v>1971</v>
      </c>
      <c r="B11" s="82" t="s">
        <v>1002</v>
      </c>
      <c r="C11" s="112" t="s">
        <v>1962</v>
      </c>
    </row>
    <row r="12" spans="1:3" x14ac:dyDescent="0.2">
      <c r="A12" s="111" t="s">
        <v>1972</v>
      </c>
      <c r="B12" s="82" t="s">
        <v>1002</v>
      </c>
      <c r="C12" s="112" t="s">
        <v>1962</v>
      </c>
    </row>
    <row r="13" spans="1:3" x14ac:dyDescent="0.2">
      <c r="A13" s="111" t="s">
        <v>1973</v>
      </c>
      <c r="B13" s="82" t="s">
        <v>1002</v>
      </c>
      <c r="C13" s="112" t="s">
        <v>1962</v>
      </c>
    </row>
    <row r="14" spans="1:3" x14ac:dyDescent="0.2">
      <c r="A14" s="111" t="s">
        <v>1974</v>
      </c>
      <c r="B14" s="82" t="s">
        <v>1002</v>
      </c>
      <c r="C14" s="112" t="s">
        <v>1962</v>
      </c>
    </row>
    <row r="15" spans="1:3" x14ac:dyDescent="0.2">
      <c r="A15" s="111" t="s">
        <v>1975</v>
      </c>
      <c r="B15" s="82" t="s">
        <v>1002</v>
      </c>
      <c r="C15" s="112" t="s">
        <v>1962</v>
      </c>
    </row>
    <row r="16" spans="1:3" x14ac:dyDescent="0.2">
      <c r="A16" s="111" t="s">
        <v>1976</v>
      </c>
      <c r="B16" s="82" t="s">
        <v>1002</v>
      </c>
      <c r="C16" s="112" t="s">
        <v>1962</v>
      </c>
    </row>
    <row r="17" spans="1:3" x14ac:dyDescent="0.2">
      <c r="A17" s="111" t="s">
        <v>1977</v>
      </c>
      <c r="B17" s="82" t="s">
        <v>1002</v>
      </c>
      <c r="C17" s="112" t="s">
        <v>1962</v>
      </c>
    </row>
    <row r="18" spans="1:3" x14ac:dyDescent="0.2">
      <c r="A18" s="111" t="s">
        <v>1978</v>
      </c>
      <c r="B18" s="82" t="s">
        <v>1003</v>
      </c>
      <c r="C18" s="112" t="s">
        <v>1962</v>
      </c>
    </row>
    <row r="19" spans="1:3" x14ac:dyDescent="0.2">
      <c r="A19" s="111" t="s">
        <v>1979</v>
      </c>
      <c r="B19" s="82" t="s">
        <v>1003</v>
      </c>
      <c r="C19" s="112" t="s">
        <v>1962</v>
      </c>
    </row>
    <row r="20" spans="1:3" x14ac:dyDescent="0.2">
      <c r="A20" s="111" t="s">
        <v>1980</v>
      </c>
      <c r="B20" s="82" t="s">
        <v>1003</v>
      </c>
      <c r="C20" s="112" t="s">
        <v>1962</v>
      </c>
    </row>
    <row r="21" spans="1:3" x14ac:dyDescent="0.2">
      <c r="A21" s="111" t="s">
        <v>1981</v>
      </c>
      <c r="B21" s="82" t="s">
        <v>1003</v>
      </c>
      <c r="C21" s="112" t="s">
        <v>1962</v>
      </c>
    </row>
    <row r="22" spans="1:3" x14ac:dyDescent="0.2">
      <c r="A22" s="111" t="s">
        <v>1982</v>
      </c>
      <c r="B22" s="82" t="s">
        <v>1004</v>
      </c>
      <c r="C22" s="113" t="s">
        <v>1983</v>
      </c>
    </row>
    <row r="23" spans="1:3" x14ac:dyDescent="0.2">
      <c r="A23" s="111" t="s">
        <v>1984</v>
      </c>
      <c r="B23" s="82" t="s">
        <v>1004</v>
      </c>
      <c r="C23" s="113" t="s">
        <v>1983</v>
      </c>
    </row>
    <row r="24" spans="1:3" x14ac:dyDescent="0.2">
      <c r="A24" s="111" t="s">
        <v>1985</v>
      </c>
      <c r="B24" s="82" t="s">
        <v>1004</v>
      </c>
      <c r="C24" s="113" t="s">
        <v>1983</v>
      </c>
    </row>
    <row r="25" spans="1:3" x14ac:dyDescent="0.2">
      <c r="A25" s="111" t="s">
        <v>1986</v>
      </c>
      <c r="B25" s="82" t="s">
        <v>1005</v>
      </c>
      <c r="C25" s="113" t="s">
        <v>1983</v>
      </c>
    </row>
    <row r="26" spans="1:3" x14ac:dyDescent="0.2">
      <c r="A26" s="111" t="s">
        <v>1987</v>
      </c>
      <c r="B26" s="82" t="s">
        <v>1005</v>
      </c>
      <c r="C26" s="113" t="s">
        <v>1983</v>
      </c>
    </row>
    <row r="27" spans="1:3" x14ac:dyDescent="0.2">
      <c r="A27" s="111" t="s">
        <v>1988</v>
      </c>
      <c r="B27" s="82" t="s">
        <v>1005</v>
      </c>
      <c r="C27" s="113" t="s">
        <v>1983</v>
      </c>
    </row>
    <row r="28" spans="1:3" x14ac:dyDescent="0.2">
      <c r="A28" s="111" t="s">
        <v>1989</v>
      </c>
      <c r="B28" s="82" t="s">
        <v>1005</v>
      </c>
      <c r="C28" s="113" t="s">
        <v>1983</v>
      </c>
    </row>
    <row r="29" spans="1:3" x14ac:dyDescent="0.2">
      <c r="A29" s="111" t="s">
        <v>1990</v>
      </c>
      <c r="B29" s="82" t="s">
        <v>1006</v>
      </c>
      <c r="C29" s="113" t="s">
        <v>1983</v>
      </c>
    </row>
    <row r="30" spans="1:3" x14ac:dyDescent="0.2">
      <c r="A30" s="111" t="s">
        <v>1991</v>
      </c>
      <c r="B30" s="82" t="s">
        <v>1006</v>
      </c>
      <c r="C30" s="113" t="s">
        <v>1983</v>
      </c>
    </row>
    <row r="31" spans="1:3" x14ac:dyDescent="0.2">
      <c r="A31" s="111" t="s">
        <v>1992</v>
      </c>
      <c r="B31" s="82" t="s">
        <v>1007</v>
      </c>
      <c r="C31" s="114" t="s">
        <v>1993</v>
      </c>
    </row>
    <row r="32" spans="1:3" x14ac:dyDescent="0.2">
      <c r="A32" s="111" t="s">
        <v>1994</v>
      </c>
      <c r="B32" s="82" t="s">
        <v>1007</v>
      </c>
      <c r="C32" s="114" t="s">
        <v>1993</v>
      </c>
    </row>
    <row r="33" spans="1:3" x14ac:dyDescent="0.2">
      <c r="A33" s="111" t="s">
        <v>1995</v>
      </c>
      <c r="B33" s="82" t="s">
        <v>1008</v>
      </c>
      <c r="C33" s="113" t="s">
        <v>1983</v>
      </c>
    </row>
    <row r="34" spans="1:3" x14ac:dyDescent="0.2">
      <c r="A34" s="111" t="s">
        <v>1996</v>
      </c>
      <c r="B34" s="82" t="s">
        <v>1008</v>
      </c>
      <c r="C34" s="113" t="s">
        <v>1983</v>
      </c>
    </row>
    <row r="35" spans="1:3" x14ac:dyDescent="0.2">
      <c r="A35" s="111" t="s">
        <v>1997</v>
      </c>
      <c r="B35" s="82" t="s">
        <v>1009</v>
      </c>
      <c r="C35" s="112" t="s">
        <v>1962</v>
      </c>
    </row>
    <row r="36" spans="1:3" x14ac:dyDescent="0.2">
      <c r="A36" s="111" t="s">
        <v>1998</v>
      </c>
      <c r="B36" s="82" t="s">
        <v>1009</v>
      </c>
      <c r="C36" s="112" t="s">
        <v>1962</v>
      </c>
    </row>
    <row r="37" spans="1:3" x14ac:dyDescent="0.2">
      <c r="A37" s="111" t="s">
        <v>1999</v>
      </c>
      <c r="B37" s="82" t="s">
        <v>1009</v>
      </c>
      <c r="C37" s="112" t="s">
        <v>1962</v>
      </c>
    </row>
    <row r="38" spans="1:3" x14ac:dyDescent="0.2">
      <c r="A38" s="111" t="s">
        <v>2000</v>
      </c>
      <c r="B38" s="82" t="s">
        <v>1010</v>
      </c>
      <c r="C38" s="114" t="s">
        <v>1993</v>
      </c>
    </row>
    <row r="39" spans="1:3" x14ac:dyDescent="0.2">
      <c r="A39" s="111" t="s">
        <v>2001</v>
      </c>
      <c r="B39" s="82" t="s">
        <v>1010</v>
      </c>
      <c r="C39" s="114" t="s">
        <v>1993</v>
      </c>
    </row>
    <row r="40" spans="1:3" x14ac:dyDescent="0.2">
      <c r="A40" s="111" t="s">
        <v>2002</v>
      </c>
      <c r="B40" s="82" t="s">
        <v>1010</v>
      </c>
      <c r="C40" s="114" t="s">
        <v>1993</v>
      </c>
    </row>
    <row r="41" spans="1:3" x14ac:dyDescent="0.2">
      <c r="A41" s="111" t="s">
        <v>2003</v>
      </c>
      <c r="B41" s="82" t="s">
        <v>1010</v>
      </c>
      <c r="C41" s="114" t="s">
        <v>1993</v>
      </c>
    </row>
    <row r="42" spans="1:3" x14ac:dyDescent="0.2">
      <c r="A42" s="111" t="s">
        <v>2004</v>
      </c>
      <c r="B42" s="82" t="s">
        <v>1011</v>
      </c>
      <c r="C42" s="113" t="s">
        <v>1983</v>
      </c>
    </row>
    <row r="43" spans="1:3" x14ac:dyDescent="0.2">
      <c r="A43" s="111" t="s">
        <v>2005</v>
      </c>
      <c r="B43" s="82" t="s">
        <v>1011</v>
      </c>
      <c r="C43" s="113" t="s">
        <v>1983</v>
      </c>
    </row>
    <row r="44" spans="1:3" x14ac:dyDescent="0.2">
      <c r="A44" s="111" t="s">
        <v>2006</v>
      </c>
      <c r="B44" s="82" t="s">
        <v>1012</v>
      </c>
      <c r="C44" s="113" t="s">
        <v>1983</v>
      </c>
    </row>
    <row r="45" spans="1:3" x14ac:dyDescent="0.2">
      <c r="A45" s="111" t="s">
        <v>2007</v>
      </c>
      <c r="B45" s="82" t="s">
        <v>1012</v>
      </c>
      <c r="C45" s="113" t="s">
        <v>1983</v>
      </c>
    </row>
    <row r="46" spans="1:3" x14ac:dyDescent="0.2">
      <c r="A46" s="111" t="s">
        <v>2008</v>
      </c>
      <c r="B46" s="82" t="s">
        <v>1013</v>
      </c>
      <c r="C46" s="114" t="s">
        <v>1993</v>
      </c>
    </row>
    <row r="47" spans="1:3" x14ac:dyDescent="0.2">
      <c r="A47" s="111" t="s">
        <v>2009</v>
      </c>
      <c r="B47" s="82" t="s">
        <v>1014</v>
      </c>
      <c r="C47" s="114" t="s">
        <v>1993</v>
      </c>
    </row>
    <row r="48" spans="1:3" x14ac:dyDescent="0.2">
      <c r="A48" s="111" t="s">
        <v>2010</v>
      </c>
      <c r="B48" s="82" t="s">
        <v>1014</v>
      </c>
      <c r="C48" s="114" t="s">
        <v>1993</v>
      </c>
    </row>
    <row r="49" spans="1:3" x14ac:dyDescent="0.2">
      <c r="A49" s="111" t="s">
        <v>2011</v>
      </c>
      <c r="B49" s="82" t="s">
        <v>1015</v>
      </c>
      <c r="C49" s="113" t="s">
        <v>1983</v>
      </c>
    </row>
    <row r="50" spans="1:3" x14ac:dyDescent="0.2">
      <c r="A50" s="111" t="s">
        <v>2012</v>
      </c>
      <c r="B50" s="82" t="s">
        <v>1016</v>
      </c>
      <c r="C50" s="114" t="s">
        <v>1983</v>
      </c>
    </row>
    <row r="51" spans="1:3" x14ac:dyDescent="0.2">
      <c r="A51" s="111" t="s">
        <v>2013</v>
      </c>
      <c r="B51" s="82" t="s">
        <v>1016</v>
      </c>
      <c r="C51" s="114" t="s">
        <v>1983</v>
      </c>
    </row>
    <row r="52" spans="1:3" x14ac:dyDescent="0.2">
      <c r="A52" s="111" t="s">
        <v>2014</v>
      </c>
      <c r="B52" s="82" t="s">
        <v>1016</v>
      </c>
      <c r="C52" s="114" t="s">
        <v>1983</v>
      </c>
    </row>
    <row r="53" spans="1:3" x14ac:dyDescent="0.2">
      <c r="A53" s="111" t="s">
        <v>2015</v>
      </c>
      <c r="B53" s="82" t="s">
        <v>1017</v>
      </c>
      <c r="C53" s="113" t="s">
        <v>1983</v>
      </c>
    </row>
    <row r="54" spans="1:3" x14ac:dyDescent="0.2">
      <c r="A54" s="111" t="s">
        <v>2016</v>
      </c>
      <c r="B54" s="82" t="s">
        <v>1017</v>
      </c>
      <c r="C54" s="113" t="s">
        <v>1983</v>
      </c>
    </row>
    <row r="55" spans="1:3" x14ac:dyDescent="0.2">
      <c r="A55" s="111" t="s">
        <v>2017</v>
      </c>
      <c r="B55" s="82" t="s">
        <v>1018</v>
      </c>
      <c r="C55" s="114" t="s">
        <v>1983</v>
      </c>
    </row>
    <row r="56" spans="1:3" x14ac:dyDescent="0.2">
      <c r="A56" s="111" t="s">
        <v>2018</v>
      </c>
      <c r="B56" s="82" t="s">
        <v>1018</v>
      </c>
      <c r="C56" s="114" t="s">
        <v>1983</v>
      </c>
    </row>
    <row r="57" spans="1:3" x14ac:dyDescent="0.2">
      <c r="A57" s="111" t="s">
        <v>2019</v>
      </c>
      <c r="B57" s="82" t="s">
        <v>1019</v>
      </c>
      <c r="C57" s="113" t="s">
        <v>1983</v>
      </c>
    </row>
    <row r="58" spans="1:3" x14ac:dyDescent="0.2">
      <c r="A58" s="111" t="s">
        <v>2020</v>
      </c>
      <c r="B58" s="82" t="s">
        <v>1019</v>
      </c>
      <c r="C58" s="113" t="s">
        <v>1983</v>
      </c>
    </row>
    <row r="59" spans="1:3" x14ac:dyDescent="0.2">
      <c r="A59" s="111" t="s">
        <v>2021</v>
      </c>
      <c r="B59" s="82" t="s">
        <v>1019</v>
      </c>
      <c r="C59" s="113" t="s">
        <v>1983</v>
      </c>
    </row>
    <row r="60" spans="1:3" x14ac:dyDescent="0.2">
      <c r="A60" s="111" t="s">
        <v>2022</v>
      </c>
      <c r="B60" s="82" t="s">
        <v>1020</v>
      </c>
      <c r="C60" s="113" t="s">
        <v>1983</v>
      </c>
    </row>
    <row r="61" spans="1:3" x14ac:dyDescent="0.2">
      <c r="A61" s="111" t="s">
        <v>2023</v>
      </c>
      <c r="B61" s="82" t="s">
        <v>1021</v>
      </c>
      <c r="C61" s="114" t="s">
        <v>1993</v>
      </c>
    </row>
    <row r="62" spans="1:3" x14ac:dyDescent="0.2">
      <c r="A62" s="111" t="s">
        <v>2024</v>
      </c>
      <c r="B62" s="82" t="s">
        <v>1021</v>
      </c>
      <c r="C62" s="114" t="s">
        <v>1993</v>
      </c>
    </row>
    <row r="63" spans="1:3" x14ac:dyDescent="0.2">
      <c r="A63" s="111" t="s">
        <v>2025</v>
      </c>
      <c r="B63" s="82" t="s">
        <v>1022</v>
      </c>
      <c r="C63" s="113" t="s">
        <v>1983</v>
      </c>
    </row>
    <row r="64" spans="1:3" x14ac:dyDescent="0.2">
      <c r="A64" s="111" t="s">
        <v>2026</v>
      </c>
      <c r="B64" s="82" t="s">
        <v>1022</v>
      </c>
      <c r="C64" s="113" t="s">
        <v>1983</v>
      </c>
    </row>
    <row r="65" spans="1:3" x14ac:dyDescent="0.2">
      <c r="A65" s="111" t="s">
        <v>2027</v>
      </c>
      <c r="B65" s="82" t="s">
        <v>1022</v>
      </c>
      <c r="C65" s="113" t="s">
        <v>1983</v>
      </c>
    </row>
    <row r="66" spans="1:3" x14ac:dyDescent="0.2">
      <c r="A66" s="111" t="s">
        <v>2028</v>
      </c>
      <c r="B66" s="82" t="s">
        <v>1022</v>
      </c>
      <c r="C66" s="113" t="s">
        <v>1983</v>
      </c>
    </row>
    <row r="67" spans="1:3" x14ac:dyDescent="0.2">
      <c r="A67" s="111" t="s">
        <v>2029</v>
      </c>
      <c r="B67" s="82" t="s">
        <v>1022</v>
      </c>
      <c r="C67" s="113" t="s">
        <v>1983</v>
      </c>
    </row>
    <row r="68" spans="1:3" x14ac:dyDescent="0.2">
      <c r="A68" s="111" t="s">
        <v>2030</v>
      </c>
      <c r="B68" s="82" t="s">
        <v>1022</v>
      </c>
      <c r="C68" s="113" t="s">
        <v>1983</v>
      </c>
    </row>
    <row r="69" spans="1:3" x14ac:dyDescent="0.2">
      <c r="A69" s="111" t="s">
        <v>2031</v>
      </c>
      <c r="B69" s="82" t="s">
        <v>1022</v>
      </c>
      <c r="C69" s="113" t="s">
        <v>1983</v>
      </c>
    </row>
    <row r="70" spans="1:3" x14ac:dyDescent="0.2">
      <c r="A70" s="111" t="s">
        <v>2032</v>
      </c>
      <c r="B70" s="82" t="s">
        <v>1023</v>
      </c>
      <c r="C70" s="113" t="s">
        <v>1983</v>
      </c>
    </row>
    <row r="71" spans="1:3" x14ac:dyDescent="0.2">
      <c r="A71" s="111" t="s">
        <v>2033</v>
      </c>
      <c r="B71" s="82" t="s">
        <v>1024</v>
      </c>
      <c r="C71" s="114" t="s">
        <v>1993</v>
      </c>
    </row>
    <row r="72" spans="1:3" x14ac:dyDescent="0.2">
      <c r="A72" s="111" t="s">
        <v>2034</v>
      </c>
      <c r="B72" s="82" t="s">
        <v>1024</v>
      </c>
      <c r="C72" s="114" t="s">
        <v>1993</v>
      </c>
    </row>
    <row r="73" spans="1:3" x14ac:dyDescent="0.2">
      <c r="A73" s="111" t="s">
        <v>2035</v>
      </c>
      <c r="B73" s="82" t="s">
        <v>1025</v>
      </c>
      <c r="C73" s="113" t="s">
        <v>1983</v>
      </c>
    </row>
    <row r="74" spans="1:3" x14ac:dyDescent="0.2">
      <c r="A74" s="111" t="s">
        <v>2036</v>
      </c>
      <c r="B74" s="82" t="s">
        <v>1026</v>
      </c>
      <c r="C74" s="114" t="s">
        <v>1993</v>
      </c>
    </row>
    <row r="75" spans="1:3" x14ac:dyDescent="0.2">
      <c r="A75" s="111" t="s">
        <v>2037</v>
      </c>
      <c r="B75" s="82" t="s">
        <v>1026</v>
      </c>
      <c r="C75" s="114" t="s">
        <v>1993</v>
      </c>
    </row>
    <row r="76" spans="1:3" x14ac:dyDescent="0.2">
      <c r="A76" s="111" t="s">
        <v>2038</v>
      </c>
      <c r="B76" s="82" t="s">
        <v>1027</v>
      </c>
      <c r="C76" s="113" t="s">
        <v>1983</v>
      </c>
    </row>
    <row r="77" spans="1:3" x14ac:dyDescent="0.2">
      <c r="A77" s="111" t="s">
        <v>6</v>
      </c>
      <c r="B77" s="82" t="s">
        <v>1027</v>
      </c>
      <c r="C77" s="113" t="s">
        <v>1983</v>
      </c>
    </row>
    <row r="78" spans="1:3" x14ac:dyDescent="0.2">
      <c r="A78" s="111" t="s">
        <v>2039</v>
      </c>
      <c r="B78" s="82" t="s">
        <v>1532</v>
      </c>
      <c r="C78" s="115" t="s">
        <v>2040</v>
      </c>
    </row>
    <row r="79" spans="1:3" x14ac:dyDescent="0.2">
      <c r="A79" s="111" t="s">
        <v>2041</v>
      </c>
      <c r="B79" s="82" t="s">
        <v>1532</v>
      </c>
      <c r="C79" s="115" t="s">
        <v>2040</v>
      </c>
    </row>
    <row r="80" spans="1:3" x14ac:dyDescent="0.2">
      <c r="A80" s="111" t="s">
        <v>2042</v>
      </c>
      <c r="B80" s="82" t="s">
        <v>1534</v>
      </c>
      <c r="C80" s="115" t="s">
        <v>2040</v>
      </c>
    </row>
    <row r="81" spans="1:3" x14ac:dyDescent="0.2">
      <c r="A81" s="111" t="s">
        <v>2043</v>
      </c>
      <c r="B81" s="82" t="s">
        <v>1534</v>
      </c>
      <c r="C81" s="115" t="s">
        <v>2040</v>
      </c>
    </row>
    <row r="82" spans="1:3" x14ac:dyDescent="0.2">
      <c r="A82" s="111" t="s">
        <v>2044</v>
      </c>
      <c r="B82" s="82" t="s">
        <v>1533</v>
      </c>
      <c r="C82" s="115" t="s">
        <v>2040</v>
      </c>
    </row>
    <row r="83" spans="1:3" x14ac:dyDescent="0.2">
      <c r="A83" s="111" t="s">
        <v>2045</v>
      </c>
      <c r="B83" s="82" t="s">
        <v>1533</v>
      </c>
      <c r="C83" s="115" t="s">
        <v>2040</v>
      </c>
    </row>
    <row r="84" spans="1:3" x14ac:dyDescent="0.2">
      <c r="A84" s="111" t="s">
        <v>2046</v>
      </c>
      <c r="B84" s="82" t="s">
        <v>1533</v>
      </c>
      <c r="C84" s="115" t="s">
        <v>2040</v>
      </c>
    </row>
    <row r="85" spans="1:3" x14ac:dyDescent="0.2">
      <c r="A85" s="111" t="s">
        <v>2047</v>
      </c>
      <c r="B85" s="111" t="s">
        <v>1002</v>
      </c>
      <c r="C85" s="111" t="s">
        <v>1962</v>
      </c>
    </row>
    <row r="86" spans="1:3" x14ac:dyDescent="0.2">
      <c r="A86" s="111" t="s">
        <v>2048</v>
      </c>
      <c r="B86" s="111" t="s">
        <v>1002</v>
      </c>
      <c r="C86" s="111" t="s">
        <v>1962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3"/>
  <sheetViews>
    <sheetView workbookViewId="0">
      <pane xSplit="1" ySplit="1" topLeftCell="B2" activePane="bottomRight" state="frozen"/>
      <selection pane="topRight" activeCell="B1" sqref="B1"/>
      <selection pane="bottomLeft" activeCell="A2" sqref="A2"/>
      <selection pane="bottomRight" activeCell="B8" sqref="B8:I8"/>
    </sheetView>
  </sheetViews>
  <sheetFormatPr baseColWidth="10" defaultRowHeight="15" x14ac:dyDescent="0.2"/>
  <cols>
    <col min="1" max="1" width="39.83203125" style="82" bestFit="1" customWidth="1"/>
    <col min="2" max="2" width="34.6640625" style="82" bestFit="1" customWidth="1"/>
    <col min="3" max="3" width="7.5" style="82" bestFit="1" customWidth="1"/>
    <col min="4" max="4" width="9.33203125" style="82" bestFit="1" customWidth="1"/>
    <col min="5" max="5" width="8" style="82" bestFit="1" customWidth="1"/>
    <col min="6" max="6" width="29.1640625" style="82" bestFit="1" customWidth="1"/>
    <col min="7" max="7" width="7.5" style="82" bestFit="1" customWidth="1"/>
    <col min="8" max="8" width="9.33203125" style="82" bestFit="1" customWidth="1"/>
    <col min="9" max="9" width="8" style="82" bestFit="1" customWidth="1"/>
    <col min="10" max="10" width="24.5" style="82" bestFit="1" customWidth="1"/>
    <col min="11" max="11" width="7.5" style="82" bestFit="1" customWidth="1"/>
    <col min="12" max="12" width="9.33203125" style="82" bestFit="1" customWidth="1"/>
    <col min="13" max="13" width="8" style="82" bestFit="1" customWidth="1"/>
    <col min="14" max="16384" width="10.83203125" style="82"/>
  </cols>
  <sheetData>
    <row r="1" spans="1:13" x14ac:dyDescent="0.2">
      <c r="A1" s="116" t="s">
        <v>2049</v>
      </c>
      <c r="B1" s="116" t="s">
        <v>41</v>
      </c>
      <c r="C1" s="116" t="s">
        <v>2078</v>
      </c>
      <c r="D1" s="116" t="s">
        <v>2079</v>
      </c>
      <c r="E1" s="116" t="s">
        <v>2050</v>
      </c>
      <c r="F1" s="116" t="s">
        <v>45</v>
      </c>
      <c r="G1" s="116" t="s">
        <v>2080</v>
      </c>
      <c r="H1" s="116" t="s">
        <v>2081</v>
      </c>
      <c r="I1" s="116" t="s">
        <v>2051</v>
      </c>
      <c r="J1" s="116" t="s">
        <v>49</v>
      </c>
      <c r="K1" s="116" t="s">
        <v>2082</v>
      </c>
      <c r="L1" s="116" t="s">
        <v>2083</v>
      </c>
      <c r="M1" s="116" t="s">
        <v>2052</v>
      </c>
    </row>
    <row r="2" spans="1:13" x14ac:dyDescent="0.2">
      <c r="A2" s="110" t="s">
        <v>2053</v>
      </c>
      <c r="B2" s="82" t="s">
        <v>214</v>
      </c>
      <c r="C2" s="82">
        <v>0</v>
      </c>
      <c r="D2" s="82">
        <v>1</v>
      </c>
      <c r="E2" s="82" t="s">
        <v>797</v>
      </c>
      <c r="G2" s="82">
        <v>0</v>
      </c>
      <c r="H2" s="82">
        <v>1</v>
      </c>
      <c r="K2" s="82">
        <v>0</v>
      </c>
      <c r="L2" s="82">
        <v>1</v>
      </c>
    </row>
    <row r="3" spans="1:13" x14ac:dyDescent="0.2">
      <c r="A3" s="110" t="s">
        <v>2054</v>
      </c>
      <c r="B3" s="82" t="s">
        <v>180</v>
      </c>
      <c r="C3" s="82">
        <v>0</v>
      </c>
      <c r="D3" s="82">
        <v>1</v>
      </c>
      <c r="E3" s="82" t="s">
        <v>2068</v>
      </c>
      <c r="G3" s="82">
        <v>0</v>
      </c>
      <c r="H3" s="82">
        <v>1</v>
      </c>
      <c r="K3" s="82">
        <v>0</v>
      </c>
      <c r="L3" s="82">
        <v>1</v>
      </c>
    </row>
    <row r="4" spans="1:13" x14ac:dyDescent="0.2">
      <c r="A4" s="110" t="s">
        <v>2055</v>
      </c>
      <c r="B4" s="82" t="s">
        <v>162</v>
      </c>
      <c r="C4" s="82">
        <v>0</v>
      </c>
      <c r="D4" s="82">
        <v>1</v>
      </c>
      <c r="E4" s="82" t="s">
        <v>797</v>
      </c>
      <c r="G4" s="82">
        <v>0</v>
      </c>
      <c r="H4" s="82">
        <v>1</v>
      </c>
      <c r="K4" s="82">
        <v>0</v>
      </c>
      <c r="L4" s="82">
        <v>1</v>
      </c>
    </row>
    <row r="5" spans="1:13" x14ac:dyDescent="0.2">
      <c r="A5" s="110" t="s">
        <v>2056</v>
      </c>
      <c r="B5" s="82" t="s">
        <v>162</v>
      </c>
      <c r="C5" s="82">
        <v>0</v>
      </c>
      <c r="D5" s="82">
        <v>1</v>
      </c>
      <c r="E5" s="82" t="s">
        <v>797</v>
      </c>
      <c r="F5" s="82" t="s">
        <v>121</v>
      </c>
      <c r="G5" s="82">
        <v>0</v>
      </c>
      <c r="H5" s="82">
        <v>1</v>
      </c>
      <c r="I5" s="82" t="s">
        <v>2057</v>
      </c>
      <c r="K5" s="82">
        <v>0</v>
      </c>
      <c r="L5" s="82">
        <v>1</v>
      </c>
    </row>
    <row r="6" spans="1:13" x14ac:dyDescent="0.2">
      <c r="A6" s="110" t="s">
        <v>2058</v>
      </c>
      <c r="B6" s="82" t="s">
        <v>162</v>
      </c>
      <c r="C6" s="82">
        <v>0</v>
      </c>
      <c r="D6" s="82">
        <v>1</v>
      </c>
      <c r="E6" s="82" t="s">
        <v>797</v>
      </c>
      <c r="F6" s="82" t="s">
        <v>208</v>
      </c>
      <c r="G6" s="82">
        <v>0</v>
      </c>
      <c r="H6" s="82">
        <v>1</v>
      </c>
      <c r="I6" s="82" t="s">
        <v>2057</v>
      </c>
      <c r="K6" s="82">
        <v>0</v>
      </c>
      <c r="L6" s="82">
        <v>1</v>
      </c>
    </row>
    <row r="7" spans="1:13" x14ac:dyDescent="0.2">
      <c r="A7" s="110" t="s">
        <v>2059</v>
      </c>
      <c r="B7" s="82" t="s">
        <v>153</v>
      </c>
      <c r="C7" s="82">
        <v>0</v>
      </c>
      <c r="D7" s="82">
        <v>1</v>
      </c>
      <c r="E7" s="82" t="s">
        <v>797</v>
      </c>
      <c r="G7" s="82">
        <v>0</v>
      </c>
      <c r="H7" s="82">
        <v>1</v>
      </c>
      <c r="K7" s="82">
        <v>0</v>
      </c>
      <c r="L7" s="82">
        <v>1</v>
      </c>
    </row>
    <row r="8" spans="1:13" x14ac:dyDescent="0.2">
      <c r="A8" s="110" t="s">
        <v>2060</v>
      </c>
      <c r="B8" s="82" t="s">
        <v>153</v>
      </c>
      <c r="C8" s="82">
        <v>0</v>
      </c>
      <c r="D8" s="82">
        <v>1</v>
      </c>
      <c r="E8" s="82" t="s">
        <v>797</v>
      </c>
      <c r="F8" s="82" t="s">
        <v>214</v>
      </c>
      <c r="G8" s="82">
        <v>0</v>
      </c>
      <c r="H8" s="82">
        <v>1</v>
      </c>
      <c r="I8" s="82" t="s">
        <v>797</v>
      </c>
      <c r="K8" s="82">
        <v>0</v>
      </c>
      <c r="L8" s="82">
        <v>1</v>
      </c>
    </row>
    <row r="9" spans="1:13" x14ac:dyDescent="0.2">
      <c r="A9" s="110" t="s">
        <v>2062</v>
      </c>
      <c r="B9" s="82" t="s">
        <v>153</v>
      </c>
      <c r="C9" s="82">
        <v>0</v>
      </c>
      <c r="D9" s="82">
        <v>1</v>
      </c>
      <c r="E9" s="82" t="s">
        <v>797</v>
      </c>
      <c r="F9" s="82" t="s">
        <v>214</v>
      </c>
      <c r="G9" s="82">
        <v>0</v>
      </c>
      <c r="H9" s="82">
        <v>1</v>
      </c>
      <c r="I9" s="82" t="s">
        <v>797</v>
      </c>
      <c r="J9" s="82" t="s">
        <v>121</v>
      </c>
      <c r="K9" s="82">
        <v>0</v>
      </c>
      <c r="L9" s="82">
        <v>1</v>
      </c>
      <c r="M9" s="82" t="s">
        <v>2057</v>
      </c>
    </row>
    <row r="10" spans="1:13" x14ac:dyDescent="0.2">
      <c r="A10" s="110" t="s">
        <v>2061</v>
      </c>
      <c r="B10" s="82" t="s">
        <v>153</v>
      </c>
      <c r="C10" s="82">
        <v>0</v>
      </c>
      <c r="D10" s="82">
        <v>1</v>
      </c>
      <c r="E10" s="82" t="s">
        <v>797</v>
      </c>
      <c r="F10" s="82" t="s">
        <v>214</v>
      </c>
      <c r="G10" s="82">
        <v>0</v>
      </c>
      <c r="H10" s="82">
        <v>1</v>
      </c>
      <c r="I10" s="82" t="s">
        <v>797</v>
      </c>
      <c r="J10" s="82" t="s">
        <v>208</v>
      </c>
      <c r="K10" s="82">
        <v>0</v>
      </c>
      <c r="L10" s="82">
        <v>1</v>
      </c>
      <c r="M10" s="82" t="s">
        <v>2057</v>
      </c>
    </row>
    <row r="11" spans="1:13" x14ac:dyDescent="0.2">
      <c r="A11" s="110" t="s">
        <v>2064</v>
      </c>
      <c r="B11" s="82" t="s">
        <v>153</v>
      </c>
      <c r="C11" s="82">
        <v>0</v>
      </c>
      <c r="D11" s="82">
        <v>1</v>
      </c>
      <c r="E11" s="82" t="s">
        <v>797</v>
      </c>
      <c r="G11" s="82">
        <v>0</v>
      </c>
      <c r="H11" s="82">
        <v>1</v>
      </c>
      <c r="K11" s="82">
        <v>0</v>
      </c>
      <c r="L11" s="82">
        <v>1</v>
      </c>
    </row>
    <row r="12" spans="1:13" x14ac:dyDescent="0.2">
      <c r="A12" s="110" t="s">
        <v>2063</v>
      </c>
      <c r="B12" s="82" t="s">
        <v>153</v>
      </c>
      <c r="C12" s="82">
        <v>0</v>
      </c>
      <c r="D12" s="82">
        <v>1</v>
      </c>
      <c r="E12" s="82" t="s">
        <v>797</v>
      </c>
      <c r="F12" s="82" t="s">
        <v>214</v>
      </c>
      <c r="G12" s="82">
        <v>0</v>
      </c>
      <c r="H12" s="82">
        <v>1</v>
      </c>
      <c r="I12" s="82" t="s">
        <v>797</v>
      </c>
      <c r="J12" s="82" t="s">
        <v>208</v>
      </c>
      <c r="K12" s="82">
        <v>0</v>
      </c>
      <c r="L12" s="82">
        <v>1</v>
      </c>
      <c r="M12" s="82" t="s">
        <v>2057</v>
      </c>
    </row>
    <row r="13" spans="1:13" x14ac:dyDescent="0.2">
      <c r="A13" s="110" t="s">
        <v>2065</v>
      </c>
      <c r="B13" s="82" t="s">
        <v>121</v>
      </c>
      <c r="C13" s="82">
        <v>0</v>
      </c>
      <c r="D13" s="82">
        <v>1</v>
      </c>
      <c r="E13" s="82" t="s">
        <v>2057</v>
      </c>
      <c r="G13" s="82">
        <v>0</v>
      </c>
      <c r="H13" s="82">
        <v>1</v>
      </c>
      <c r="K13" s="82">
        <v>0</v>
      </c>
      <c r="L13" s="82">
        <v>1</v>
      </c>
    </row>
    <row r="14" spans="1:13" x14ac:dyDescent="0.2">
      <c r="A14" s="110" t="s">
        <v>2066</v>
      </c>
      <c r="B14" s="82" t="s">
        <v>208</v>
      </c>
      <c r="C14" s="82">
        <v>0</v>
      </c>
      <c r="D14" s="82">
        <v>1</v>
      </c>
      <c r="E14" s="82" t="s">
        <v>2057</v>
      </c>
      <c r="G14" s="82">
        <v>0</v>
      </c>
      <c r="H14" s="82">
        <v>1</v>
      </c>
      <c r="K14" s="82">
        <v>0</v>
      </c>
      <c r="L14" s="82">
        <v>1</v>
      </c>
    </row>
    <row r="15" spans="1:13" x14ac:dyDescent="0.2">
      <c r="A15" s="110" t="s">
        <v>2067</v>
      </c>
      <c r="B15" s="82" t="s">
        <v>130</v>
      </c>
      <c r="C15" s="82">
        <v>0</v>
      </c>
      <c r="D15" s="82">
        <v>1</v>
      </c>
      <c r="E15" s="82" t="s">
        <v>2068</v>
      </c>
      <c r="G15" s="82">
        <v>0</v>
      </c>
      <c r="H15" s="82">
        <v>1</v>
      </c>
      <c r="K15" s="82">
        <v>0</v>
      </c>
      <c r="L15" s="82">
        <v>1</v>
      </c>
    </row>
    <row r="16" spans="1:13" x14ac:dyDescent="0.2">
      <c r="A16" s="110" t="s">
        <v>2069</v>
      </c>
      <c r="B16" s="82" t="s">
        <v>153</v>
      </c>
      <c r="C16" s="82">
        <v>0</v>
      </c>
      <c r="D16" s="82">
        <v>1</v>
      </c>
      <c r="E16" s="82" t="s">
        <v>797</v>
      </c>
      <c r="G16" s="82">
        <v>0</v>
      </c>
      <c r="H16" s="82">
        <v>1</v>
      </c>
      <c r="K16" s="82">
        <v>0</v>
      </c>
      <c r="L16" s="82">
        <v>1</v>
      </c>
    </row>
    <row r="17" spans="1:13" x14ac:dyDescent="0.2">
      <c r="A17" s="110" t="s">
        <v>2070</v>
      </c>
      <c r="B17" s="82" t="s">
        <v>999</v>
      </c>
      <c r="C17" s="82">
        <v>0</v>
      </c>
      <c r="D17" s="82">
        <v>1</v>
      </c>
      <c r="E17" s="82" t="s">
        <v>797</v>
      </c>
      <c r="F17" s="82" t="s">
        <v>214</v>
      </c>
      <c r="G17" s="82">
        <v>0</v>
      </c>
      <c r="H17" s="82">
        <v>1</v>
      </c>
      <c r="I17" s="82" t="s">
        <v>797</v>
      </c>
      <c r="K17" s="82">
        <v>0</v>
      </c>
      <c r="L17" s="82">
        <v>1</v>
      </c>
    </row>
    <row r="18" spans="1:13" x14ac:dyDescent="0.2">
      <c r="A18" s="110" t="s">
        <v>2071</v>
      </c>
      <c r="B18" s="82" t="s">
        <v>130</v>
      </c>
      <c r="C18" s="82">
        <v>0</v>
      </c>
      <c r="D18" s="82">
        <v>1</v>
      </c>
      <c r="E18" s="82" t="s">
        <v>2068</v>
      </c>
      <c r="G18" s="82">
        <v>0</v>
      </c>
      <c r="H18" s="82">
        <v>1</v>
      </c>
      <c r="K18" s="82">
        <v>0</v>
      </c>
      <c r="L18" s="82">
        <v>1</v>
      </c>
    </row>
    <row r="19" spans="1:13" x14ac:dyDescent="0.2">
      <c r="A19" s="110" t="s">
        <v>2072</v>
      </c>
      <c r="B19" s="82" t="s">
        <v>113</v>
      </c>
      <c r="C19" s="82">
        <v>0</v>
      </c>
      <c r="D19" s="82">
        <v>1</v>
      </c>
      <c r="E19" s="82" t="s">
        <v>797</v>
      </c>
      <c r="F19" s="82" t="s">
        <v>214</v>
      </c>
      <c r="G19" s="82">
        <v>0</v>
      </c>
      <c r="H19" s="82">
        <v>1</v>
      </c>
      <c r="I19" s="82" t="s">
        <v>797</v>
      </c>
      <c r="K19" s="82">
        <v>0</v>
      </c>
      <c r="L19" s="82">
        <v>1</v>
      </c>
    </row>
    <row r="20" spans="1:13" x14ac:dyDescent="0.2">
      <c r="A20" s="110" t="s">
        <v>2073</v>
      </c>
      <c r="B20" s="82" t="s">
        <v>113</v>
      </c>
      <c r="C20" s="82">
        <v>0</v>
      </c>
      <c r="D20" s="82">
        <v>1</v>
      </c>
      <c r="E20" s="82" t="s">
        <v>797</v>
      </c>
      <c r="F20" s="82" t="s">
        <v>214</v>
      </c>
      <c r="G20" s="82">
        <v>0</v>
      </c>
      <c r="H20" s="82">
        <v>1</v>
      </c>
      <c r="I20" s="82" t="s">
        <v>797</v>
      </c>
      <c r="J20" s="82" t="s">
        <v>121</v>
      </c>
      <c r="K20" s="82">
        <v>0</v>
      </c>
      <c r="L20" s="82">
        <v>1</v>
      </c>
      <c r="M20" s="82" t="s">
        <v>2057</v>
      </c>
    </row>
    <row r="21" spans="1:13" x14ac:dyDescent="0.2">
      <c r="A21" s="110" t="s">
        <v>2074</v>
      </c>
      <c r="B21" s="82" t="s">
        <v>113</v>
      </c>
      <c r="C21" s="82">
        <v>0</v>
      </c>
      <c r="D21" s="82">
        <v>1</v>
      </c>
      <c r="E21" s="82" t="s">
        <v>797</v>
      </c>
      <c r="F21" s="82" t="s">
        <v>214</v>
      </c>
      <c r="G21" s="82">
        <v>0</v>
      </c>
      <c r="H21" s="82">
        <v>1</v>
      </c>
      <c r="I21" s="82" t="s">
        <v>797</v>
      </c>
      <c r="J21" s="82" t="s">
        <v>208</v>
      </c>
      <c r="K21" s="82">
        <v>0</v>
      </c>
      <c r="L21" s="82">
        <v>1</v>
      </c>
      <c r="M21" s="82" t="s">
        <v>2057</v>
      </c>
    </row>
    <row r="22" spans="1:13" x14ac:dyDescent="0.2">
      <c r="A22" s="110" t="s">
        <v>2075</v>
      </c>
      <c r="B22" s="82" t="s">
        <v>113</v>
      </c>
      <c r="C22" s="82">
        <v>0</v>
      </c>
      <c r="D22" s="82">
        <v>1</v>
      </c>
      <c r="E22" s="82" t="s">
        <v>797</v>
      </c>
      <c r="G22" s="82">
        <v>0</v>
      </c>
      <c r="H22" s="82">
        <v>1</v>
      </c>
      <c r="K22" s="82">
        <v>0</v>
      </c>
      <c r="L22" s="82">
        <v>1</v>
      </c>
    </row>
    <row r="23" spans="1:13" x14ac:dyDescent="0.2">
      <c r="A23" s="110" t="s">
        <v>2076</v>
      </c>
      <c r="B23" s="82" t="s">
        <v>188</v>
      </c>
      <c r="C23" s="82">
        <v>0</v>
      </c>
      <c r="D23" s="82">
        <v>1</v>
      </c>
      <c r="E23" s="82" t="s">
        <v>2068</v>
      </c>
      <c r="G23" s="82">
        <v>0</v>
      </c>
      <c r="H23" s="82">
        <v>1</v>
      </c>
      <c r="K23" s="82">
        <v>0</v>
      </c>
      <c r="L23" s="82">
        <v>1</v>
      </c>
    </row>
  </sheetData>
  <sortState xmlns:xlrd2="http://schemas.microsoft.com/office/spreadsheetml/2017/richdata2" ref="A2:M23">
    <sortCondition ref="A1:A2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2026-05-28T12:52:14Z</dcterms:modified>
  <dc:language>en-US</dc:language>
</cp:coreProperties>
</file>