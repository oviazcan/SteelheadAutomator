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169" documentId="8_{91A4222D-1179-D343-800B-32272256612A}" xr6:coauthVersionLast="47" xr6:coauthVersionMax="47" xr10:uidLastSave="{B9705A58-5451-0A48-8F6A-1DEBC4327A6F}"/>
  <bookViews>
    <workbookView xWindow="0" yWindow="680" windowWidth="34200" windowHeight="2002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L2" i="5" a="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9" i="6"/>
  <c r="X508" i="1"/>
  <c r="Z508" i="1"/>
  <c r="AB508" i="1"/>
  <c r="AD508" i="1"/>
  <c r="K2" i="5" a="1"/>
  <c r="J2" i="5" a="1"/>
  <c r="T508" i="1" a="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AT61" i="1"/>
  <c r="M90" i="3"/>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A12" i="1" s="1"/>
  <c r="F22" i="3"/>
  <c r="R22" i="3" s="1"/>
  <c r="AZ12" i="1" s="1"/>
  <c r="G21" i="3"/>
  <c r="F21" i="3"/>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AZ126" i="1" s="1"/>
  <c r="S131" i="3"/>
  <c r="BA121" i="1" s="1"/>
  <c r="R126" i="3"/>
  <c r="AZ116" i="1" s="1"/>
  <c r="S122" i="3"/>
  <c r="BA112" i="1" s="1"/>
  <c r="R119" i="3"/>
  <c r="AZ109" i="1" s="1"/>
  <c r="S116" i="3"/>
  <c r="BA106" i="1" s="1"/>
  <c r="R114" i="3"/>
  <c r="AZ104" i="1" s="1"/>
  <c r="R111" i="3"/>
  <c r="AZ101" i="1" s="1"/>
  <c r="S107" i="3"/>
  <c r="BA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AZ142" i="1" s="1"/>
  <c r="R149" i="3"/>
  <c r="AZ139" i="1" s="1"/>
  <c r="R148" i="3"/>
  <c r="AZ138" i="1" s="1"/>
  <c r="S145" i="3"/>
  <c r="BA135" i="1" s="1"/>
  <c r="S144" i="3"/>
  <c r="BA134" i="1" s="1"/>
  <c r="R142" i="3"/>
  <c r="AZ132" i="1" s="1"/>
  <c r="R139" i="3"/>
  <c r="AZ129" i="1" s="1"/>
  <c r="R138" i="3"/>
  <c r="AZ128" i="1" s="1"/>
  <c r="R135" i="3"/>
  <c r="AZ125" i="1" s="1"/>
  <c r="R133" i="3"/>
  <c r="AZ123" i="1" s="1"/>
  <c r="S130" i="3"/>
  <c r="BA120" i="1" s="1"/>
  <c r="S128" i="3"/>
  <c r="BA118" i="1" s="1"/>
  <c r="R127" i="3"/>
  <c r="AZ117" i="1" s="1"/>
  <c r="R124" i="3"/>
  <c r="AZ114" i="1" s="1"/>
  <c r="R123" i="3"/>
  <c r="AZ113" i="1" s="1"/>
  <c r="S121" i="3"/>
  <c r="BA111" i="1" s="1"/>
  <c r="S119" i="3"/>
  <c r="BA109" i="1" s="1"/>
  <c r="S118" i="3"/>
  <c r="BA108" i="1" s="1"/>
  <c r="R117" i="3"/>
  <c r="AZ107" i="1" s="1"/>
  <c r="S114" i="3"/>
  <c r="BA104" i="1" s="1"/>
  <c r="S113" i="3"/>
  <c r="BA103" i="1" s="1"/>
  <c r="S111" i="3"/>
  <c r="BA101" i="1" s="1"/>
  <c r="S109" i="3"/>
  <c r="BA99" i="1" s="1"/>
  <c r="S108" i="3"/>
  <c r="BA98" i="1" s="1"/>
  <c r="R106" i="3"/>
  <c r="AZ96" i="1" s="1"/>
  <c r="R105" i="3"/>
  <c r="AZ95" i="1" s="1"/>
  <c r="R103" i="3"/>
  <c r="AZ93" i="1" s="1"/>
  <c r="R101" i="3"/>
  <c r="AZ91" i="1" s="1"/>
  <c r="S99" i="3"/>
  <c r="BA89" i="1" s="1"/>
  <c r="S97" i="3"/>
  <c r="BA87" i="1" s="1"/>
  <c r="S95" i="3"/>
  <c r="BA85" i="1" s="1"/>
  <c r="R93" i="3"/>
  <c r="AZ83" i="1" s="1"/>
  <c r="S91" i="3"/>
  <c r="BA81" i="1" s="1"/>
  <c r="S88" i="3"/>
  <c r="BA78" i="1" s="1"/>
  <c r="S87" i="3"/>
  <c r="BA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A93" i="1" s="1"/>
  <c r="R98" i="3"/>
  <c r="AZ88" i="1" s="1"/>
  <c r="R94" i="3"/>
  <c r="AZ84" i="1" s="1"/>
  <c r="S89" i="3"/>
  <c r="BA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A151" i="1" s="1"/>
  <c r="R159" i="3"/>
  <c r="AZ149" i="1" s="1"/>
  <c r="R157" i="3"/>
  <c r="AZ147" i="1" s="1"/>
  <c r="S156" i="3"/>
  <c r="BA146" i="1" s="1"/>
  <c r="S154" i="3"/>
  <c r="BA144" i="1" s="1"/>
  <c r="S153" i="3"/>
  <c r="BA143" i="1" s="1"/>
  <c r="S151" i="3"/>
  <c r="BA141" i="1" s="1"/>
  <c r="S150" i="3"/>
  <c r="BA140" i="1" s="1"/>
  <c r="S148" i="3"/>
  <c r="BA138" i="1" s="1"/>
  <c r="S147" i="3"/>
  <c r="BA137" i="1" s="1"/>
  <c r="R145" i="3"/>
  <c r="AZ135" i="1" s="1"/>
  <c r="S142" i="3"/>
  <c r="BA132" i="1" s="1"/>
  <c r="S141" i="3"/>
  <c r="BA131" i="1" s="1"/>
  <c r="R140" i="3"/>
  <c r="AZ130" i="1" s="1"/>
  <c r="S138" i="3"/>
  <c r="BA128" i="1" s="1"/>
  <c r="S136" i="3"/>
  <c r="BA126" i="1" s="1"/>
  <c r="S134" i="3"/>
  <c r="BA124" i="1" s="1"/>
  <c r="S133" i="3"/>
  <c r="BA123" i="1" s="1"/>
  <c r="R131" i="3"/>
  <c r="AZ121" i="1" s="1"/>
  <c r="S129" i="3"/>
  <c r="BA119" i="1" s="1"/>
  <c r="S127" i="3"/>
  <c r="BA117" i="1" s="1"/>
  <c r="S125" i="3"/>
  <c r="BA115" i="1" s="1"/>
  <c r="S123" i="3"/>
  <c r="BA113" i="1" s="1"/>
  <c r="R122" i="3"/>
  <c r="AZ112" i="1" s="1"/>
  <c r="R120" i="3"/>
  <c r="AZ110" i="1" s="1"/>
  <c r="S98" i="3"/>
  <c r="BA88" i="1" s="1"/>
  <c r="R96" i="3"/>
  <c r="AZ86" i="1" s="1"/>
  <c r="S94" i="3"/>
  <c r="BA84" i="1" s="1"/>
  <c r="S92" i="3"/>
  <c r="BA82" i="1" s="1"/>
  <c r="R91" i="3"/>
  <c r="AZ81" i="1" s="1"/>
  <c r="R89" i="3"/>
  <c r="AZ79" i="1" s="1"/>
  <c r="S164" i="3"/>
  <c r="BA154" i="1" s="1"/>
  <c r="S162" i="3"/>
  <c r="BA152" i="1" s="1"/>
  <c r="R160" i="3"/>
  <c r="AZ150" i="1" s="1"/>
  <c r="R158" i="3"/>
  <c r="AZ148" i="1" s="1"/>
  <c r="R155" i="3"/>
  <c r="AZ145" i="1" s="1"/>
  <c r="R153" i="3"/>
  <c r="AZ143" i="1" s="1"/>
  <c r="R150" i="3"/>
  <c r="AZ140" i="1" s="1"/>
  <c r="R146" i="3"/>
  <c r="AZ136" i="1" s="1"/>
  <c r="S143" i="3"/>
  <c r="BA133" i="1" s="1"/>
  <c r="S140" i="3"/>
  <c r="BA130" i="1" s="1"/>
  <c r="S137" i="3"/>
  <c r="BA127" i="1" s="1"/>
  <c r="R132" i="3"/>
  <c r="AZ122" i="1" s="1"/>
  <c r="R128" i="3"/>
  <c r="AZ118" i="1" s="1"/>
  <c r="S124" i="3"/>
  <c r="BA114" i="1" s="1"/>
  <c r="R121" i="3"/>
  <c r="AZ111" i="1" s="1"/>
  <c r="R118" i="3"/>
  <c r="AZ108" i="1" s="1"/>
  <c r="R116" i="3"/>
  <c r="AZ106" i="1" s="1"/>
  <c r="R113" i="3"/>
  <c r="AZ103" i="1" s="1"/>
  <c r="S110" i="3"/>
  <c r="BA100" i="1" s="1"/>
  <c r="R108" i="3"/>
  <c r="AZ98" i="1" s="1"/>
  <c r="R104" i="3"/>
  <c r="AZ94" i="1" s="1"/>
  <c r="S101" i="3"/>
  <c r="BA91" i="1" s="1"/>
  <c r="R99" i="3"/>
  <c r="AZ89" i="1" s="1"/>
  <c r="R95" i="3"/>
  <c r="AZ85" i="1" s="1"/>
  <c r="R90" i="3"/>
  <c r="AZ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A156" i="1" s="1"/>
  <c r="R166" i="3"/>
  <c r="AZ156" i="1" s="1"/>
  <c r="R165" i="3"/>
  <c r="AZ155" i="1" s="1"/>
  <c r="R164" i="3"/>
  <c r="AZ154" i="1" s="1"/>
  <c r="R163" i="3"/>
  <c r="AZ153" i="1" s="1"/>
  <c r="R161" i="3"/>
  <c r="AZ151" i="1" s="1"/>
  <c r="S159" i="3"/>
  <c r="BA149" i="1" s="1"/>
  <c r="S157" i="3"/>
  <c r="BA147" i="1" s="1"/>
  <c r="S155" i="3"/>
  <c r="BA145" i="1" s="1"/>
  <c r="R154" i="3"/>
  <c r="AZ144" i="1" s="1"/>
  <c r="R151" i="3"/>
  <c r="AZ141" i="1" s="1"/>
  <c r="R147" i="3"/>
  <c r="AZ137" i="1" s="1"/>
  <c r="R144" i="3"/>
  <c r="AZ134" i="1" s="1"/>
  <c r="R141" i="3"/>
  <c r="AZ131" i="1" s="1"/>
  <c r="R137" i="3"/>
  <c r="AZ127" i="1" s="1"/>
  <c r="R134" i="3"/>
  <c r="AZ124" i="1" s="1"/>
  <c r="R130" i="3"/>
  <c r="AZ120" i="1" s="1"/>
  <c r="S126" i="3"/>
  <c r="BA116" i="1" s="1"/>
  <c r="S115" i="3"/>
  <c r="BA105" i="1" s="1"/>
  <c r="R112" i="3"/>
  <c r="AZ102" i="1" s="1"/>
  <c r="R109" i="3"/>
  <c r="AZ99" i="1" s="1"/>
  <c r="S106" i="3"/>
  <c r="BA96" i="1" s="1"/>
  <c r="S104" i="3"/>
  <c r="BA94" i="1" s="1"/>
  <c r="R102" i="3"/>
  <c r="AZ92" i="1" s="1"/>
  <c r="R100" i="3"/>
  <c r="AZ90" i="1" s="1"/>
  <c r="S96" i="3"/>
  <c r="BA86" i="1" s="1"/>
  <c r="S93" i="3"/>
  <c r="BA83" i="1" s="1"/>
  <c r="S90" i="3"/>
  <c r="BA80"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S165" i="3"/>
  <c r="BA155" i="1" s="1"/>
  <c r="S163" i="3"/>
  <c r="BA153" i="1" s="1"/>
  <c r="R162" i="3"/>
  <c r="AZ152" i="1" s="1"/>
  <c r="S160" i="3"/>
  <c r="BA150" i="1" s="1"/>
  <c r="S158" i="3"/>
  <c r="BA148" i="1" s="1"/>
  <c r="R156" i="3"/>
  <c r="AZ146" i="1" s="1"/>
  <c r="S152" i="3"/>
  <c r="BA142" i="1" s="1"/>
  <c r="S149" i="3"/>
  <c r="BA139" i="1" s="1"/>
  <c r="S146" i="3"/>
  <c r="BA136" i="1" s="1"/>
  <c r="R143" i="3"/>
  <c r="AZ133" i="1" s="1"/>
  <c r="S139" i="3"/>
  <c r="BA129" i="1" s="1"/>
  <c r="S135" i="3"/>
  <c r="BA125" i="1" s="1"/>
  <c r="S132" i="3"/>
  <c r="BA122" i="1" s="1"/>
  <c r="R129" i="3"/>
  <c r="AZ119" i="1" s="1"/>
  <c r="R125" i="3"/>
  <c r="AZ115" i="1" s="1"/>
  <c r="S120" i="3"/>
  <c r="BA110" i="1" s="1"/>
  <c r="S117" i="3"/>
  <c r="BA107" i="1" s="1"/>
  <c r="R115" i="3"/>
  <c r="AZ105" i="1" s="1"/>
  <c r="S112" i="3"/>
  <c r="BA102" i="1" s="1"/>
  <c r="R110" i="3"/>
  <c r="AZ100" i="1" s="1"/>
  <c r="R107" i="3"/>
  <c r="AZ97" i="1" s="1"/>
  <c r="S105" i="3"/>
  <c r="BA95" i="1" s="1"/>
  <c r="S102" i="3"/>
  <c r="BA92" i="1" s="1"/>
  <c r="S100" i="3"/>
  <c r="BA90" i="1" s="1"/>
  <c r="R97" i="3"/>
  <c r="AZ87" i="1" s="1"/>
  <c r="R92" i="3"/>
  <c r="AZ82" i="1" s="1"/>
  <c r="R88" i="3"/>
  <c r="AZ78" i="1" s="1"/>
  <c r="R87" i="3"/>
  <c r="AZ77" i="1" s="1"/>
  <c r="S86" i="3"/>
  <c r="BA76" i="1" s="1"/>
  <c r="R86" i="3"/>
  <c r="AZ76" i="1" s="1"/>
  <c r="S85" i="3"/>
  <c r="BA75" i="1" s="1"/>
  <c r="R85" i="3"/>
  <c r="AZ75" i="1" s="1"/>
  <c r="S84" i="3"/>
  <c r="BA74" i="1" s="1"/>
  <c r="R84" i="3"/>
  <c r="AZ74" i="1" s="1"/>
  <c r="S83" i="3"/>
  <c r="BA73" i="1" s="1"/>
  <c r="R83" i="3"/>
  <c r="AZ73" i="1" s="1"/>
  <c r="S82" i="3"/>
  <c r="BA72" i="1" s="1"/>
  <c r="R82" i="3"/>
  <c r="AZ72" i="1" s="1"/>
  <c r="S81" i="3"/>
  <c r="BA71" i="1" s="1"/>
  <c r="R81" i="3"/>
  <c r="AZ71" i="1" s="1"/>
  <c r="S80" i="3"/>
  <c r="BA70" i="1" s="1"/>
  <c r="R80" i="3"/>
  <c r="AZ70" i="1" s="1"/>
  <c r="S79" i="3"/>
  <c r="BA69"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1" i="3"/>
  <c r="BA11" i="1" s="1"/>
  <c r="R21" i="3"/>
  <c r="AZ11"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Q492" i="5" l="1"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0" i="6"/>
  <c r="I105" i="6"/>
  <c r="I186" i="6"/>
  <c r="I50" i="6"/>
  <c r="I38" i="6"/>
  <c r="I82" i="6"/>
  <c r="I24" i="6"/>
  <c r="I35" i="6"/>
  <c r="I57" i="6"/>
  <c r="I103" i="6"/>
  <c r="I158" i="6"/>
  <c r="I195" i="6"/>
  <c r="I11" i="6"/>
  <c r="I26" i="6"/>
  <c r="I60" i="6"/>
  <c r="I81" i="6"/>
  <c r="I87" i="6"/>
  <c r="I104" i="6"/>
  <c r="I119" i="6"/>
  <c r="I157" i="6"/>
  <c r="I181" i="6"/>
  <c r="I188" i="6"/>
  <c r="I192" i="6"/>
  <c r="I276" i="6"/>
  <c r="I273" i="6"/>
  <c r="I270"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7" i="6"/>
  <c r="I226" i="6"/>
  <c r="I224" i="6"/>
  <c r="I221" i="6"/>
  <c r="I220" i="6"/>
  <c r="I218" i="6"/>
  <c r="I216" i="6"/>
  <c r="I207" i="6"/>
  <c r="I204" i="6"/>
  <c r="I199" i="6"/>
  <c r="I196" i="6"/>
  <c r="C78" i="6"/>
  <c r="C11" i="6"/>
  <c r="C354" i="6"/>
  <c r="C59" i="6"/>
  <c r="C45" i="6"/>
  <c r="C21" i="6"/>
  <c r="C335" i="6"/>
  <c r="C368" i="6"/>
  <c r="C376" i="6"/>
  <c r="C387" i="6"/>
  <c r="C409" i="6"/>
  <c r="C442" i="6"/>
  <c r="C465" i="6"/>
  <c r="C491" i="6"/>
  <c r="C20" i="6"/>
  <c r="C193" i="6"/>
  <c r="C206" i="6"/>
  <c r="C264" i="6"/>
  <c r="C306" i="6"/>
  <c r="C343" i="6"/>
  <c r="C350" i="6"/>
  <c r="C403" i="6"/>
  <c r="C413" i="6"/>
  <c r="C469" i="6"/>
  <c r="C295" i="6"/>
  <c r="C327" i="6"/>
  <c r="C381" i="6"/>
  <c r="C428" i="6"/>
  <c r="C432" i="6"/>
  <c r="C457" i="6"/>
  <c r="C475" i="6"/>
  <c r="C486" i="6"/>
  <c r="C100" i="6"/>
  <c r="C241" i="6"/>
  <c r="C380" i="6"/>
  <c r="C501" i="6"/>
  <c r="C451" i="6"/>
  <c r="C462" i="6"/>
  <c r="C222" i="6"/>
  <c r="C262" i="6"/>
  <c r="C379" i="6"/>
  <c r="C424" i="6"/>
  <c r="C300" i="6"/>
  <c r="C219" i="6"/>
  <c r="C291" i="6"/>
  <c r="C351" i="6"/>
  <c r="C500" i="6"/>
  <c r="C235" i="6"/>
  <c r="C248" i="6"/>
  <c r="C359" i="6"/>
  <c r="C356" i="6"/>
  <c r="C392" i="6"/>
  <c r="C192" i="6"/>
  <c r="C256" i="6"/>
  <c r="C270" i="6"/>
  <c r="C406" i="6"/>
  <c r="C123" i="6"/>
  <c r="C207" i="6"/>
  <c r="C234" i="6"/>
  <c r="C274" i="6"/>
  <c r="C293" i="6"/>
  <c r="C321" i="6"/>
  <c r="C344" i="6"/>
  <c r="C393" i="6"/>
  <c r="C400" i="6"/>
  <c r="C55" i="6"/>
  <c r="C250" i="6"/>
  <c r="C480" i="6"/>
  <c r="C216" i="6"/>
  <c r="C330" i="6"/>
  <c r="C423" i="6"/>
  <c r="C46" i="6"/>
  <c r="C277" i="6"/>
  <c r="C338" i="6"/>
  <c r="C388" i="6"/>
  <c r="C444" i="6"/>
  <c r="C181" i="6"/>
  <c r="C286" i="6"/>
  <c r="C214" i="6"/>
  <c r="C246" i="6"/>
  <c r="C58" i="6"/>
  <c r="C443" i="6"/>
  <c r="C24" i="6"/>
  <c r="C182" i="6"/>
  <c r="C220" i="6"/>
  <c r="C280" i="6"/>
  <c r="C86" i="6"/>
  <c r="C271" i="6"/>
  <c r="C347" i="6"/>
  <c r="C358" i="6"/>
  <c r="C495"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46" i="6"/>
  <c r="I86" i="6"/>
  <c r="I88" i="6"/>
  <c r="I90" i="6"/>
  <c r="I102" i="6"/>
  <c r="I15" i="6"/>
  <c r="I55" i="6"/>
  <c r="I27" i="6"/>
  <c r="I45" i="6"/>
  <c r="I114" i="6"/>
  <c r="I182" i="6"/>
  <c r="I9" i="6"/>
  <c r="I19" i="6"/>
  <c r="I25" i="6"/>
  <c r="I78" i="6"/>
  <c r="I85" i="6"/>
  <c r="I101" i="6"/>
  <c r="I121" i="6"/>
  <c r="I184" i="6"/>
  <c r="I187" i="6"/>
  <c r="I190" i="6"/>
  <c r="I191" i="6"/>
  <c r="I194" i="6"/>
  <c r="I197" i="6"/>
  <c r="I507" i="6"/>
  <c r="I506" i="6"/>
  <c r="I505" i="6"/>
  <c r="I504" i="6"/>
  <c r="I503" i="6"/>
  <c r="I502" i="6"/>
  <c r="I501" i="6"/>
  <c r="I500" i="6"/>
  <c r="I499" i="6"/>
  <c r="I498" i="6"/>
  <c r="I497" i="6"/>
  <c r="I496" i="6"/>
  <c r="I495" i="6"/>
  <c r="I494" i="6"/>
  <c r="I493" i="6"/>
  <c r="I492" i="6"/>
  <c r="I490" i="6"/>
  <c r="I489" i="6"/>
  <c r="I488" i="6"/>
  <c r="I487" i="6"/>
  <c r="I486" i="6"/>
  <c r="I485" i="6"/>
  <c r="I483" i="6"/>
  <c r="I482" i="6"/>
  <c r="I481" i="6"/>
  <c r="I480" i="6"/>
  <c r="I478" i="6"/>
  <c r="I477" i="6"/>
  <c r="I475" i="6"/>
  <c r="I474" i="6"/>
  <c r="I473" i="6"/>
  <c r="I472" i="6"/>
  <c r="I470" i="6"/>
  <c r="I469" i="6"/>
  <c r="I468" i="6"/>
  <c r="I467" i="6"/>
  <c r="I465" i="6"/>
  <c r="I464" i="6"/>
  <c r="I462" i="6"/>
  <c r="I461" i="6"/>
  <c r="I460" i="6"/>
  <c r="I459" i="6"/>
  <c r="I457" i="6"/>
  <c r="I456" i="6"/>
  <c r="I455" i="6"/>
  <c r="I453" i="6"/>
  <c r="I452" i="6"/>
  <c r="I451" i="6"/>
  <c r="I450" i="6"/>
  <c r="I448" i="6"/>
  <c r="I447" i="6"/>
  <c r="I445" i="6"/>
  <c r="I444" i="6"/>
  <c r="I443" i="6"/>
  <c r="I442" i="6"/>
  <c r="I440" i="6"/>
  <c r="I439" i="6"/>
  <c r="I438" i="6"/>
  <c r="I437" i="6"/>
  <c r="I435" i="6"/>
  <c r="I434" i="6"/>
  <c r="I433" i="6"/>
  <c r="I432" i="6"/>
  <c r="I430" i="6"/>
  <c r="I429" i="6"/>
  <c r="I428"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5" i="6"/>
  <c r="I324" i="6"/>
  <c r="I323" i="6"/>
  <c r="I322" i="6"/>
  <c r="I320" i="6"/>
  <c r="I319" i="6"/>
  <c r="I318" i="6"/>
  <c r="I316" i="6"/>
  <c r="I315" i="6"/>
  <c r="I314" i="6"/>
  <c r="I313" i="6"/>
  <c r="I311" i="6"/>
  <c r="I310" i="6"/>
  <c r="I309" i="6"/>
  <c r="I307" i="6"/>
  <c r="I306" i="6"/>
  <c r="I305" i="6"/>
  <c r="I303" i="6"/>
  <c r="I302" i="6"/>
  <c r="I301" i="6"/>
  <c r="I300" i="6"/>
  <c r="I298" i="6"/>
  <c r="I297" i="6"/>
  <c r="I296" i="6"/>
  <c r="I295" i="6"/>
  <c r="I293" i="6"/>
  <c r="I292" i="6"/>
  <c r="I291" i="6"/>
  <c r="I289" i="6"/>
  <c r="I288" i="6"/>
  <c r="I287" i="6"/>
  <c r="I285" i="6"/>
  <c r="I284" i="6"/>
  <c r="I283" i="6"/>
  <c r="I281" i="6"/>
  <c r="I280" i="6"/>
  <c r="I279" i="6"/>
  <c r="I277" i="6"/>
  <c r="I275" i="6"/>
  <c r="I272" i="6"/>
  <c r="I269" i="6"/>
  <c r="I225" i="6"/>
  <c r="I222" i="6"/>
  <c r="I219" i="6"/>
  <c r="I215" i="6"/>
  <c r="I206" i="6"/>
  <c r="I205" i="6"/>
  <c r="I203" i="6"/>
  <c r="I202" i="6"/>
  <c r="I200" i="6"/>
  <c r="I198" i="6"/>
  <c r="C50" i="6"/>
  <c r="C232" i="6"/>
  <c r="C8" i="6"/>
  <c r="C23" i="6"/>
  <c r="C101" i="6"/>
  <c r="C247" i="6"/>
  <c r="C273" i="6"/>
  <c r="C325" i="6"/>
  <c r="C345" i="6"/>
  <c r="C373" i="6"/>
  <c r="C389" i="6"/>
  <c r="C399" i="6"/>
  <c r="C414" i="6"/>
  <c r="C121" i="6"/>
  <c r="C201" i="6"/>
  <c r="C397" i="6"/>
  <c r="C87" i="6"/>
  <c r="C493" i="6"/>
  <c r="C447" i="6"/>
  <c r="C218" i="6"/>
  <c r="C296" i="6"/>
  <c r="C27" i="6"/>
  <c r="C224" i="6"/>
  <c r="C251" i="6"/>
  <c r="C268" i="6"/>
  <c r="C294" i="6"/>
  <c r="C309" i="6"/>
  <c r="C326" i="6"/>
  <c r="C348" i="6"/>
  <c r="C367" i="6"/>
  <c r="C371" i="6"/>
  <c r="C374" i="6"/>
  <c r="C394" i="6"/>
  <c r="C431" i="6"/>
  <c r="C460" i="6"/>
  <c r="C498" i="6"/>
  <c r="C184" i="6"/>
  <c r="C190" i="6"/>
  <c r="C197" i="6"/>
  <c r="C260" i="6"/>
  <c r="C275" i="6"/>
  <c r="C331" i="6"/>
  <c r="C362" i="6"/>
  <c r="C408" i="6"/>
  <c r="C2" i="6"/>
  <c r="C336" i="6"/>
  <c r="C425" i="6"/>
  <c r="C461" i="6"/>
  <c r="C503" i="6"/>
  <c r="C276" i="6"/>
  <c r="C25" i="6"/>
  <c r="C505" i="6"/>
  <c r="C119" i="6"/>
  <c r="C265" i="6"/>
  <c r="C391" i="6"/>
  <c r="C405" i="6"/>
  <c r="C445" i="6"/>
  <c r="C506" i="6"/>
  <c r="C237" i="6"/>
  <c r="C407" i="6"/>
  <c r="C60" i="6"/>
  <c r="C202" i="6"/>
  <c r="C281" i="6"/>
  <c r="C307" i="6"/>
  <c r="C314" i="6"/>
  <c r="C470" i="6"/>
  <c r="C245" i="6"/>
  <c r="C266" i="6"/>
  <c r="C315" i="6"/>
  <c r="C429" i="6"/>
  <c r="C466" i="6"/>
  <c r="C15" i="6"/>
  <c r="C208" i="6"/>
  <c r="C284" i="6"/>
  <c r="C308" i="6"/>
  <c r="C364" i="6"/>
  <c r="C422" i="6"/>
  <c r="C459" i="6"/>
  <c r="C488" i="6"/>
  <c r="C226" i="6"/>
  <c r="C282" i="6"/>
  <c r="C35" i="6"/>
  <c r="C252" i="6"/>
  <c r="C435" i="6"/>
  <c r="C89" i="6"/>
  <c r="C292" i="6"/>
  <c r="C221" i="6"/>
  <c r="C323" i="6"/>
  <c r="C360" i="6"/>
  <c r="C225" i="6"/>
  <c r="C231" i="6"/>
  <c r="C404" i="6"/>
  <c r="C212" i="6"/>
  <c r="C299" i="6"/>
  <c r="C18" i="6"/>
  <c r="C189" i="6"/>
  <c r="C240" i="6"/>
  <c r="C9" i="6"/>
  <c r="C102" i="6"/>
  <c r="C227" i="6"/>
  <c r="C322" i="6"/>
  <c r="C269"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84" i="6"/>
  <c r="I159" i="6"/>
  <c r="I58" i="6"/>
  <c r="I21" i="6"/>
  <c r="I59" i="6"/>
  <c r="I22" i="6"/>
  <c r="I56" i="6"/>
  <c r="I18" i="6"/>
  <c r="I61" i="6"/>
  <c r="I183" i="6"/>
  <c r="I23" i="6"/>
  <c r="I20" i="6"/>
  <c r="I76" i="6"/>
  <c r="I83" i="6"/>
  <c r="I89" i="6"/>
  <c r="I123" i="6"/>
  <c r="I185" i="6"/>
  <c r="I189" i="6"/>
  <c r="I193" i="6"/>
  <c r="I491" i="6"/>
  <c r="I484" i="6"/>
  <c r="I479" i="6"/>
  <c r="I476" i="6"/>
  <c r="I471" i="6"/>
  <c r="I466" i="6"/>
  <c r="I463" i="6"/>
  <c r="I458" i="6"/>
  <c r="I454" i="6"/>
  <c r="I449" i="6"/>
  <c r="I446" i="6"/>
  <c r="I441" i="6"/>
  <c r="I436" i="6"/>
  <c r="I431" i="6"/>
  <c r="I427" i="6"/>
  <c r="I326" i="6"/>
  <c r="I321" i="6"/>
  <c r="I317" i="6"/>
  <c r="I312" i="6"/>
  <c r="I308" i="6"/>
  <c r="I304" i="6"/>
  <c r="I299" i="6"/>
  <c r="I294" i="6"/>
  <c r="I290" i="6"/>
  <c r="I286" i="6"/>
  <c r="I282" i="6"/>
  <c r="I278" i="6"/>
  <c r="I274" i="6"/>
  <c r="I271" i="6"/>
  <c r="I268" i="6"/>
  <c r="I228" i="6"/>
  <c r="I223" i="6"/>
  <c r="I217" i="6"/>
  <c r="I214" i="6"/>
  <c r="I213" i="6"/>
  <c r="I212" i="6"/>
  <c r="I209" i="6"/>
  <c r="I201" i="6"/>
  <c r="C159" i="6"/>
  <c r="C290" i="6"/>
  <c r="C83" i="6"/>
  <c r="C205" i="6"/>
  <c r="C305" i="6"/>
  <c r="C366" i="6"/>
  <c r="C384" i="6"/>
  <c r="C446" i="6"/>
  <c r="C185" i="6"/>
  <c r="C236" i="6"/>
  <c r="C105" i="6"/>
  <c r="C430" i="6"/>
  <c r="C82" i="6"/>
  <c r="C259" i="6"/>
  <c r="C76" i="6"/>
  <c r="C213" i="6"/>
  <c r="C233" i="6"/>
  <c r="C278" i="6"/>
  <c r="C317" i="6"/>
  <c r="C355" i="6"/>
  <c r="C385" i="6"/>
  <c r="C456" i="6"/>
  <c r="C468" i="6"/>
  <c r="C7" i="6"/>
  <c r="C187" i="6"/>
  <c r="C199" i="6"/>
  <c r="C346" i="6"/>
  <c r="C464" i="6"/>
  <c r="C304" i="6"/>
  <c r="C334" i="6"/>
  <c r="C455" i="6"/>
  <c r="C476" i="6"/>
  <c r="C204" i="6"/>
  <c r="C426" i="6"/>
  <c r="C288" i="6"/>
  <c r="C333" i="6"/>
  <c r="C244" i="6"/>
  <c r="C319" i="6"/>
  <c r="C194" i="6"/>
  <c r="C337" i="6"/>
  <c r="C439" i="6"/>
  <c r="C6" i="6"/>
  <c r="C243" i="6"/>
  <c r="C324" i="6"/>
  <c r="C437" i="6"/>
  <c r="C472" i="6"/>
  <c r="C57" i="6"/>
  <c r="C81" i="6"/>
  <c r="C497" i="6"/>
  <c r="C361" i="6"/>
  <c r="C228" i="6"/>
  <c r="C19" i="6"/>
  <c r="C272" i="6"/>
  <c r="C372" i="6"/>
  <c r="C396" i="6"/>
  <c r="C196" i="6"/>
  <c r="C88" i="6"/>
  <c r="C329" i="6"/>
  <c r="C257" i="6"/>
  <c r="C195" i="6"/>
  <c r="C436" i="6"/>
  <c r="C203" i="6"/>
  <c r="C402"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C363" i="6"/>
  <c r="C157" i="6"/>
  <c r="C217" i="6"/>
  <c r="C229" i="6"/>
  <c r="C238" i="6"/>
  <c r="C267" i="6"/>
  <c r="C285" i="6"/>
  <c r="C297" i="6"/>
  <c r="C313" i="6"/>
  <c r="C328" i="6"/>
  <c r="C342" i="6"/>
  <c r="C349" i="6"/>
  <c r="C365" i="6"/>
  <c r="C369" i="6"/>
  <c r="C370" i="6"/>
  <c r="C375" i="6"/>
  <c r="C383" i="6"/>
  <c r="C386" i="6"/>
  <c r="C401" i="6"/>
  <c r="C412" i="6"/>
  <c r="C416" i="6"/>
  <c r="C420" i="6"/>
  <c r="C433" i="6"/>
  <c r="C441" i="6"/>
  <c r="C449" i="6"/>
  <c r="C450" i="6"/>
  <c r="C454" i="6"/>
  <c r="C458" i="6"/>
  <c r="C463" i="6"/>
  <c r="C479" i="6"/>
  <c r="C22" i="6"/>
  <c r="C38" i="6"/>
  <c r="C183" i="6"/>
  <c r="C186" i="6"/>
  <c r="C188" i="6"/>
  <c r="C191" i="6"/>
  <c r="C230" i="6"/>
  <c r="C239" i="6"/>
  <c r="C249" i="6"/>
  <c r="C258" i="6"/>
  <c r="C261" i="6"/>
  <c r="C302" i="6"/>
  <c r="C311" i="6"/>
  <c r="C320" i="6"/>
  <c r="C340" i="6"/>
  <c r="C357" i="6"/>
  <c r="C411" i="6"/>
  <c r="C417" i="6"/>
  <c r="C421" i="6"/>
  <c r="C473" i="6"/>
  <c r="C474" i="6"/>
  <c r="C502" i="6"/>
  <c r="C279" i="6"/>
  <c r="C289" i="6"/>
  <c r="C298" i="6"/>
  <c r="C390" i="6"/>
  <c r="C395" i="6"/>
  <c r="C415" i="6"/>
  <c r="C419" i="6"/>
  <c r="C484" i="6"/>
  <c r="C499" i="6"/>
  <c r="C507" i="6"/>
  <c r="C56" i="6"/>
  <c r="C61" i="6"/>
  <c r="C434" i="6"/>
  <c r="C487" i="6"/>
  <c r="C494" i="6"/>
  <c r="C496" i="6"/>
  <c r="C482" i="6"/>
  <c r="C489" i="6"/>
  <c r="C242" i="6"/>
  <c r="C283" i="6"/>
  <c r="C318" i="6"/>
  <c r="C353" i="6"/>
  <c r="C377" i="6"/>
  <c r="C418" i="6"/>
  <c r="C427" i="6"/>
  <c r="C440" i="6"/>
  <c r="C471" i="6"/>
  <c r="C478" i="6"/>
  <c r="C492" i="6"/>
  <c r="C209" i="6"/>
  <c r="C254" i="6"/>
  <c r="C303" i="6"/>
  <c r="C310" i="6"/>
  <c r="C332" i="6"/>
  <c r="C104" i="6"/>
  <c r="C438" i="6"/>
  <c r="C448" i="6"/>
  <c r="C452" i="6"/>
  <c r="C467" i="6"/>
  <c r="C504" i="6"/>
  <c r="C477" i="6"/>
  <c r="C84" i="6"/>
  <c r="C312" i="6"/>
  <c r="C339" i="6"/>
  <c r="C352" i="6"/>
  <c r="C85" i="6"/>
  <c r="C263" i="6"/>
  <c r="C215" i="6"/>
  <c r="C255" i="6"/>
  <c r="C287" i="6"/>
  <c r="C90" i="6"/>
  <c r="C198" i="6"/>
  <c r="C378" i="6"/>
  <c r="C490" i="6"/>
  <c r="C158" i="6"/>
  <c r="C223" i="6"/>
  <c r="C253" i="6"/>
  <c r="C341" i="6"/>
  <c r="C398" i="6"/>
  <c r="C453" i="6"/>
  <c r="C483" i="6"/>
  <c r="C114" i="6"/>
  <c r="C481" i="6"/>
  <c r="C485" i="6"/>
  <c r="C410" i="6"/>
  <c r="C103" i="6"/>
  <c r="C301" i="6"/>
  <c r="C382" i="6"/>
  <c r="C26" i="6"/>
  <c r="C200" i="6"/>
  <c r="C316" i="6"/>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A508" i="1"/>
  <c r="U4" i="1"/>
  <c r="U1" i="1"/>
  <c r="C3" i="6" l="1"/>
  <c r="R2" i="5"/>
  <c r="M2" i="5" s="1"/>
  <c r="R1301" i="5"/>
  <c r="R1299" i="5"/>
  <c r="R1165" i="5"/>
  <c r="R1102" i="5"/>
  <c r="I10" i="6"/>
  <c r="R1297" i="5"/>
  <c r="R1178" i="5"/>
  <c r="C4" i="6" l="1"/>
  <c r="I12" i="6"/>
  <c r="C5" i="6" l="1"/>
  <c r="C10" i="6" s="1"/>
  <c r="C12" i="6"/>
  <c r="I14" i="6"/>
  <c r="I13" i="6"/>
  <c r="G2" i="6" l="1"/>
  <c r="C13" i="6"/>
  <c r="I16" i="6"/>
  <c r="C14" i="6"/>
  <c r="I17" i="6" l="1"/>
  <c r="C16" i="6"/>
  <c r="I33" i="6"/>
  <c r="O2" i="5" l="1"/>
  <c r="I28" i="6"/>
  <c r="C17" i="6"/>
  <c r="I34" i="6"/>
  <c r="C33" i="6"/>
  <c r="C29" i="6" l="1"/>
  <c r="I29" i="6"/>
  <c r="G3" i="6"/>
  <c r="C28" i="6"/>
  <c r="I37" i="6"/>
  <c r="C34" i="6"/>
  <c r="O3" i="5" l="1"/>
  <c r="C30" i="6"/>
  <c r="I30" i="6"/>
  <c r="G4" i="6"/>
  <c r="C37" i="6"/>
  <c r="C31" i="6" l="1"/>
  <c r="O4" i="5"/>
  <c r="I31" i="6"/>
  <c r="G5" i="6"/>
  <c r="I32" i="6" l="1"/>
  <c r="C32" i="6"/>
  <c r="I43" i="6"/>
  <c r="C43" i="6"/>
  <c r="C44" i="6" s="1"/>
  <c r="I36" i="6" l="1"/>
  <c r="C36" i="6"/>
  <c r="C47" i="6"/>
  <c r="I44" i="6"/>
  <c r="I47" i="6"/>
  <c r="I62" i="6"/>
  <c r="I39" i="6" l="1"/>
  <c r="C41" i="6"/>
  <c r="C39" i="6"/>
  <c r="C40" i="6" s="1"/>
  <c r="C48" i="6"/>
  <c r="C49" i="6" s="1"/>
  <c r="C51" i="6" s="1"/>
  <c r="C52" i="6" s="1"/>
  <c r="C53" i="6" s="1"/>
  <c r="C54" i="6" s="1"/>
  <c r="C62" i="6" s="1"/>
  <c r="C63" i="6" s="1"/>
  <c r="C64" i="6" s="1"/>
  <c r="C65" i="6" s="1"/>
  <c r="C66" i="6" s="1"/>
  <c r="C67" i="6" s="1"/>
  <c r="C68" i="6" s="1"/>
  <c r="G6" i="6"/>
  <c r="I48" i="6"/>
  <c r="I63" i="6"/>
  <c r="I64" i="6" s="1"/>
  <c r="I65" i="6" s="1"/>
  <c r="I66" i="6" s="1"/>
  <c r="I67" i="6" s="1"/>
  <c r="I68" i="6" s="1"/>
  <c r="I40" i="6" l="1"/>
  <c r="I41" i="6"/>
  <c r="C42" i="6"/>
  <c r="G8" i="6"/>
  <c r="G7" i="6"/>
  <c r="G10" i="6"/>
  <c r="G9" i="6"/>
  <c r="G11" i="6"/>
  <c r="G12" i="6"/>
  <c r="C69" i="6"/>
  <c r="I49" i="6"/>
  <c r="O6" i="5"/>
  <c r="I42" i="6" l="1"/>
  <c r="C70" i="6"/>
  <c r="O7" i="5"/>
  <c r="I51" i="6"/>
  <c r="C71" i="6"/>
  <c r="C72" i="6" l="1"/>
  <c r="I52" i="6"/>
  <c r="O8" i="5"/>
  <c r="O9" i="5"/>
  <c r="C73" i="6" l="1"/>
  <c r="I53" i="6"/>
  <c r="C74" i="6"/>
  <c r="O10" i="5" l="1"/>
  <c r="I54" i="6"/>
  <c r="C75" i="6"/>
  <c r="O11" i="5" l="1"/>
  <c r="I69" i="6"/>
  <c r="I113" i="6"/>
  <c r="C77" i="6"/>
  <c r="O5" i="5"/>
  <c r="I70" i="6" l="1"/>
  <c r="C79" i="6"/>
  <c r="I118" i="6"/>
  <c r="C80" i="6" l="1"/>
  <c r="I71" i="6"/>
  <c r="I122" i="6"/>
  <c r="I162" i="6"/>
  <c r="I163" i="6" s="1"/>
  <c r="I164" i="6" s="1"/>
  <c r="I165" i="6" s="1"/>
  <c r="I166" i="6" s="1"/>
  <c r="I167" i="6" s="1"/>
  <c r="I168" i="6" s="1"/>
  <c r="I169" i="6" s="1"/>
  <c r="I170" i="6" s="1"/>
  <c r="I171" i="6" s="1"/>
  <c r="I172" i="6" s="1"/>
  <c r="I173" i="6" s="1"/>
  <c r="I174" i="6" s="1"/>
  <c r="I175" i="6" s="1"/>
  <c r="I176" i="6" s="1"/>
  <c r="I177" i="6" s="1"/>
  <c r="C91" i="6"/>
  <c r="I72" i="6" l="1"/>
  <c r="I208" i="6"/>
  <c r="C92" i="6"/>
  <c r="C93" i="6" s="1"/>
  <c r="C94" i="6" s="1"/>
  <c r="C95" i="6" s="1"/>
  <c r="C96" i="6" s="1"/>
  <c r="C97" i="6" s="1"/>
  <c r="C98" i="6" s="1"/>
  <c r="C99" i="6" s="1"/>
  <c r="I73" i="6" l="1"/>
  <c r="I210" i="6"/>
  <c r="C106" i="6"/>
  <c r="C107" i="6" s="1"/>
  <c r="C108" i="6" s="1"/>
  <c r="C109" i="6" s="1"/>
  <c r="C110" i="6" s="1"/>
  <c r="C111" i="6" s="1"/>
  <c r="C112" i="6" s="1"/>
  <c r="C113" i="6" s="1"/>
  <c r="I74" i="6" l="1"/>
  <c r="I75" i="6" s="1"/>
  <c r="C115" i="6"/>
  <c r="C116" i="6" s="1"/>
  <c r="I79" i="6" l="1"/>
  <c r="I80" i="6" s="1"/>
  <c r="I91" i="6" s="1"/>
  <c r="I92" i="6" s="1"/>
  <c r="I93" i="6" s="1"/>
  <c r="I94" i="6" s="1"/>
  <c r="I95" i="6" s="1"/>
  <c r="I96" i="6" s="1"/>
  <c r="I97" i="6" s="1"/>
  <c r="I98" i="6" s="1"/>
  <c r="I99" i="6" s="1"/>
  <c r="I77" i="6"/>
  <c r="I115" i="6"/>
  <c r="I116" i="6" s="1"/>
  <c r="C117" i="6"/>
  <c r="C118" i="6" s="1"/>
  <c r="I106" i="6" l="1"/>
  <c r="O13" i="5"/>
  <c r="I124" i="6"/>
  <c r="I125" i="6" s="1"/>
  <c r="I126" i="6" s="1"/>
  <c r="I127" i="6" s="1"/>
  <c r="I128" i="6" s="1"/>
  <c r="I129" i="6" s="1"/>
  <c r="I130" i="6" s="1"/>
  <c r="I131" i="6" s="1"/>
  <c r="I132" i="6" s="1"/>
  <c r="I133" i="6" s="1"/>
  <c r="I134" i="6" s="1"/>
  <c r="I135" i="6" s="1"/>
  <c r="I136" i="6" s="1"/>
  <c r="C120" i="6"/>
  <c r="C122" i="6" s="1"/>
  <c r="I107" i="6" l="1"/>
  <c r="C124" i="6"/>
  <c r="G20" i="6"/>
  <c r="O14" i="5" l="1"/>
  <c r="I108" i="6"/>
  <c r="O15" i="5"/>
  <c r="C125" i="6"/>
  <c r="C126" i="6" s="1"/>
  <c r="C127" i="6"/>
  <c r="I109" i="6" l="1"/>
  <c r="O16" i="5"/>
  <c r="C128" i="6"/>
  <c r="C129" i="6" s="1"/>
  <c r="C130" i="6" s="1"/>
  <c r="C131" i="6" s="1"/>
  <c r="C132" i="6" s="1"/>
  <c r="C133" i="6" s="1"/>
  <c r="C134" i="6" s="1"/>
  <c r="C135" i="6" s="1"/>
  <c r="C136" i="6" s="1"/>
  <c r="C137" i="6" s="1"/>
  <c r="I110" i="6" l="1"/>
  <c r="C138" i="6"/>
  <c r="C139" i="6"/>
  <c r="I111" i="6" l="1"/>
  <c r="O17" i="5"/>
  <c r="O18" i="5"/>
  <c r="C140" i="6"/>
  <c r="I112" i="6" l="1"/>
  <c r="C141" i="6"/>
  <c r="I117" i="6" l="1"/>
  <c r="C142" i="6"/>
  <c r="I120" i="6" l="1"/>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I160" i="6" s="1"/>
  <c r="I161" i="6" s="1"/>
  <c r="I178" i="6" s="1"/>
  <c r="I179" i="6" s="1"/>
  <c r="I180" i="6" s="1"/>
  <c r="I211" i="6" s="1"/>
  <c r="C143" i="6"/>
  <c r="O40" i="5" l="1"/>
  <c r="O34" i="5"/>
  <c r="O45" i="5"/>
  <c r="O35" i="5"/>
  <c r="O52" i="5"/>
  <c r="O43" i="5"/>
  <c r="O58" i="5"/>
  <c r="O37" i="5"/>
  <c r="O59" i="5"/>
  <c r="O30" i="5"/>
  <c r="O31" i="5"/>
  <c r="O24" i="5"/>
  <c r="O12" i="5"/>
  <c r="O19" i="5"/>
  <c r="O26" i="5"/>
  <c r="O23" i="5"/>
  <c r="O20" i="5"/>
  <c r="O29" i="5"/>
  <c r="O27" i="5"/>
  <c r="O25" i="5"/>
  <c r="O22" i="5"/>
  <c r="O21" i="5"/>
  <c r="O28" i="5"/>
  <c r="O46" i="5"/>
  <c r="O44" i="5"/>
  <c r="O33" i="5"/>
  <c r="O42" i="5"/>
  <c r="O36" i="5"/>
  <c r="O57" i="5"/>
  <c r="O60" i="5"/>
  <c r="O41" i="5"/>
  <c r="O55" i="5"/>
  <c r="O53" i="5"/>
  <c r="O38" i="5"/>
  <c r="O51" i="5"/>
  <c r="O39" i="5"/>
  <c r="O32" i="5"/>
  <c r="O49" i="5"/>
  <c r="O47" i="5"/>
  <c r="O54" i="5"/>
  <c r="O50" i="5"/>
  <c r="O48" i="5"/>
  <c r="O56" i="5"/>
  <c r="C144" i="6"/>
  <c r="C145" i="6" l="1"/>
  <c r="C146" i="6" s="1"/>
  <c r="C147" i="6" s="1"/>
  <c r="C148" i="6" s="1"/>
  <c r="C149" i="6" s="1"/>
  <c r="C150" i="6" s="1"/>
  <c r="C151" i="6" s="1"/>
  <c r="C152" i="6" s="1"/>
  <c r="C153" i="6" s="1"/>
  <c r="C154" i="6" s="1"/>
  <c r="C155" i="6" s="1"/>
  <c r="C156" i="6" s="1"/>
  <c r="C160" i="6" s="1"/>
  <c r="C161" i="6" s="1"/>
  <c r="C162" i="6" l="1"/>
  <c r="C163" i="6" s="1"/>
  <c r="C164" i="6" s="1"/>
  <c r="C165" i="6" s="1"/>
  <c r="C166" i="6" s="1"/>
  <c r="C167" i="6" s="1"/>
  <c r="C168" i="6" s="1"/>
  <c r="C169" i="6" s="1"/>
  <c r="C170" i="6" s="1"/>
  <c r="C171" i="6" s="1"/>
  <c r="C172" i="6" s="1"/>
  <c r="C173" i="6" s="1"/>
  <c r="C174" i="6" s="1"/>
  <c r="C175" i="6" s="1"/>
  <c r="C176" i="6" s="1"/>
  <c r="C177" i="6" s="1"/>
  <c r="G17" i="6"/>
  <c r="G18" i="6"/>
  <c r="G15" i="6"/>
  <c r="G14" i="6"/>
  <c r="G13" i="6"/>
  <c r="G16" i="6"/>
  <c r="G19" i="6"/>
  <c r="C178" i="6" l="1"/>
  <c r="C179" i="6" s="1"/>
  <c r="C180" i="6" s="1"/>
  <c r="G29" i="6"/>
  <c r="G23" i="6"/>
  <c r="G26" i="6"/>
  <c r="G32" i="6"/>
  <c r="G27" i="6"/>
  <c r="G24" i="6"/>
  <c r="G30" i="6"/>
  <c r="G28" i="6"/>
  <c r="G35" i="6"/>
  <c r="G36" i="6"/>
  <c r="G34" i="6"/>
  <c r="G25" i="6"/>
  <c r="G31" i="6"/>
  <c r="G33" i="6"/>
  <c r="C210" i="6"/>
  <c r="C211" i="6"/>
  <c r="G460" i="6" l="1"/>
  <c r="G180" i="6"/>
  <c r="G430" i="6"/>
  <c r="G442" i="6"/>
  <c r="G250" i="6"/>
  <c r="G52" i="6"/>
  <c r="G295" i="6"/>
  <c r="G496" i="6"/>
  <c r="G391" i="6"/>
  <c r="G304" i="6"/>
  <c r="G216" i="6"/>
  <c r="G201" i="6"/>
  <c r="G196" i="6"/>
  <c r="G468" i="6"/>
  <c r="G96" i="6"/>
  <c r="G242" i="6"/>
  <c r="G434" i="6"/>
  <c r="G220" i="6"/>
  <c r="G332" i="6"/>
  <c r="G238" i="6"/>
  <c r="G84" i="6"/>
  <c r="G395" i="6"/>
  <c r="G142" i="6"/>
  <c r="G157" i="6"/>
  <c r="G194" i="6"/>
  <c r="G228" i="6"/>
  <c r="G195" i="6"/>
  <c r="G333" i="6"/>
  <c r="G130" i="6"/>
  <c r="G437" i="6"/>
  <c r="G355" i="6"/>
  <c r="G420" i="6"/>
  <c r="G202" i="6"/>
  <c r="G402" i="6"/>
  <c r="G245" i="6"/>
  <c r="G66" i="6"/>
  <c r="G197" i="6"/>
  <c r="G378" i="6"/>
  <c r="G239" i="6"/>
  <c r="G451" i="6"/>
  <c r="G179" i="6"/>
  <c r="G178" i="6"/>
  <c r="G89" i="6"/>
  <c r="G225" i="6"/>
  <c r="G343" i="6"/>
  <c r="G461" i="6"/>
  <c r="G346" i="6"/>
  <c r="G275" i="6"/>
  <c r="G42" i="6"/>
  <c r="G219" i="6"/>
  <c r="G155" i="6"/>
  <c r="G312" i="6"/>
  <c r="G478" i="6"/>
  <c r="G158" i="6"/>
  <c r="G404" i="6"/>
  <c r="G299" i="6"/>
  <c r="G173" i="6"/>
  <c r="G311" i="6"/>
  <c r="G182" i="6"/>
  <c r="G454" i="6"/>
  <c r="G274" i="6"/>
  <c r="G104" i="6"/>
  <c r="G244" i="6"/>
  <c r="G285" i="6"/>
  <c r="G79" i="6"/>
  <c r="G401" i="6"/>
  <c r="G224" i="6"/>
  <c r="G290" i="6"/>
  <c r="G291" i="6"/>
  <c r="G288" i="6"/>
  <c r="G135" i="6"/>
  <c r="G268" i="6"/>
  <c r="G73" i="6"/>
  <c r="G237" i="6"/>
  <c r="G81" i="6"/>
  <c r="G438" i="6"/>
  <c r="G499" i="6"/>
  <c r="G358" i="6"/>
  <c r="G177" i="6"/>
  <c r="G330" i="6"/>
  <c r="G213" i="6"/>
  <c r="G168" i="6"/>
  <c r="G256" i="6"/>
  <c r="G371" i="6"/>
  <c r="G187" i="6"/>
  <c r="G494" i="6"/>
  <c r="G443" i="6"/>
  <c r="G491" i="6"/>
  <c r="G283" i="6"/>
  <c r="G141" i="6"/>
  <c r="G465" i="6"/>
  <c r="G164" i="6"/>
  <c r="G329" i="6"/>
  <c r="G367" i="6"/>
  <c r="G214" i="6"/>
  <c r="G258" i="6"/>
  <c r="G445" i="6"/>
  <c r="G93" i="6"/>
  <c r="G83" i="6"/>
  <c r="G492" i="6"/>
  <c r="G262" i="6"/>
  <c r="G230" i="6"/>
  <c r="G360" i="6"/>
  <c r="G314" i="6"/>
  <c r="G408" i="6"/>
  <c r="G186" i="6"/>
  <c r="G149" i="6"/>
  <c r="G147" i="6"/>
  <c r="G64" i="6"/>
  <c r="G82" i="6"/>
  <c r="G234" i="6"/>
  <c r="G253" i="6"/>
  <c r="G98" i="6"/>
  <c r="G331" i="6"/>
  <c r="G266" i="6"/>
  <c r="G432" i="6"/>
  <c r="G206" i="6"/>
  <c r="G327" i="6"/>
  <c r="G203" i="6"/>
  <c r="G413" i="6"/>
  <c r="G297" i="6"/>
  <c r="G189" i="6"/>
  <c r="G223" i="6"/>
  <c r="G44" i="6"/>
  <c r="G289" i="6"/>
  <c r="G336" i="6"/>
  <c r="G337" i="6"/>
  <c r="G368" i="6"/>
  <c r="G429" i="6"/>
  <c r="G198" i="6"/>
  <c r="G192" i="6"/>
  <c r="G90" i="6"/>
  <c r="G340" i="6"/>
  <c r="G325" i="6"/>
  <c r="G448" i="6"/>
  <c r="G397" i="6"/>
  <c r="G123" i="6"/>
  <c r="G152" i="6"/>
  <c r="G473" i="6"/>
  <c r="G113" i="6"/>
  <c r="G76" i="6"/>
  <c r="G255" i="6"/>
  <c r="G111" i="6"/>
  <c r="G229" i="6"/>
  <c r="G370" i="6"/>
  <c r="G424" i="6"/>
  <c r="G156" i="6"/>
  <c r="G416" i="6"/>
  <c r="G405" i="6"/>
  <c r="G428" i="6"/>
  <c r="G217" i="6"/>
  <c r="G231" i="6"/>
  <c r="G97" i="6"/>
  <c r="G190" i="6"/>
  <c r="G399" i="6"/>
  <c r="G319" i="6"/>
  <c r="G92" i="6"/>
  <c r="G441" i="6"/>
  <c r="G56" i="6"/>
  <c r="G282" i="6"/>
  <c r="G422" i="6"/>
  <c r="G309" i="6"/>
  <c r="G159" i="6"/>
  <c r="G134" i="6"/>
  <c r="G240" i="6"/>
  <c r="G475" i="6"/>
  <c r="G110" i="6"/>
  <c r="G287" i="6"/>
  <c r="G109" i="6"/>
  <c r="G382" i="6"/>
  <c r="G310" i="6"/>
  <c r="G241" i="6"/>
  <c r="G374" i="6"/>
  <c r="G185" i="6"/>
  <c r="G153" i="6"/>
  <c r="G351" i="6"/>
  <c r="G61" i="6"/>
  <c r="G464" i="6"/>
  <c r="G342" i="6"/>
  <c r="G453" i="6"/>
  <c r="G493" i="6"/>
  <c r="G254" i="6"/>
  <c r="G129" i="6"/>
  <c r="G433" i="6"/>
  <c r="G58" i="6"/>
  <c r="G477" i="6"/>
  <c r="G298" i="6"/>
  <c r="G372" i="6"/>
  <c r="G126" i="6"/>
  <c r="G243" i="6"/>
  <c r="G474" i="6"/>
  <c r="G396" i="6"/>
  <c r="G363" i="6"/>
  <c r="G379" i="6"/>
  <c r="G417" i="6"/>
  <c r="G222" i="6"/>
  <c r="G388" i="6"/>
  <c r="G472" i="6"/>
  <c r="G124" i="6"/>
  <c r="G181" i="6"/>
  <c r="G60" i="6"/>
  <c r="G263" i="6"/>
  <c r="G488" i="6"/>
  <c r="G162" i="6"/>
  <c r="G486" i="6"/>
  <c r="G354" i="6"/>
  <c r="G322" i="6"/>
  <c r="G55" i="6"/>
  <c r="G393" i="6"/>
  <c r="G423" i="6"/>
  <c r="G390" i="6"/>
  <c r="G235" i="6"/>
  <c r="G439" i="6"/>
  <c r="G281" i="6"/>
  <c r="G497" i="6"/>
  <c r="G369" i="6"/>
  <c r="G490" i="6"/>
  <c r="G353" i="6"/>
  <c r="G105" i="6"/>
  <c r="G144" i="6"/>
  <c r="G103" i="6"/>
  <c r="G383" i="6"/>
  <c r="G457" i="6"/>
  <c r="G215" i="6"/>
  <c r="G100" i="6"/>
  <c r="G482" i="6"/>
  <c r="G205" i="6"/>
  <c r="G485" i="6"/>
  <c r="G78" i="6"/>
  <c r="G166" i="6"/>
  <c r="G364" i="6"/>
  <c r="G143" i="6"/>
  <c r="G86" i="6"/>
  <c r="G365" i="6"/>
  <c r="G120" i="6"/>
  <c r="G307" i="6"/>
  <c r="G323" i="6"/>
  <c r="G380" i="6"/>
  <c r="G46" i="6"/>
  <c r="G398" i="6"/>
  <c r="G305" i="6"/>
  <c r="G236" i="6"/>
  <c r="G163" i="6"/>
  <c r="G125" i="6"/>
  <c r="G389" i="6"/>
  <c r="G122" i="6"/>
  <c r="G452" i="6"/>
  <c r="G470" i="6"/>
  <c r="G212" i="6"/>
  <c r="G77" i="6"/>
  <c r="G418" i="6"/>
  <c r="G381" i="6"/>
  <c r="G171" i="6"/>
  <c r="G165" i="6"/>
  <c r="G324" i="6"/>
  <c r="G116" i="6"/>
  <c r="G334" i="6"/>
  <c r="G306" i="6"/>
  <c r="G348" i="6"/>
  <c r="G102" i="6"/>
  <c r="G296" i="6"/>
  <c r="G456" i="6"/>
  <c r="G167" i="6"/>
  <c r="G270" i="6"/>
  <c r="G286" i="6"/>
  <c r="G41" i="6"/>
  <c r="G62" i="6"/>
  <c r="G232" i="6"/>
  <c r="G406" i="6"/>
  <c r="G301" i="6"/>
  <c r="G133" i="6"/>
  <c r="G403" i="6"/>
  <c r="G335" i="6"/>
  <c r="G48" i="6"/>
  <c r="G279" i="6"/>
  <c r="G412" i="6"/>
  <c r="G487" i="6"/>
  <c r="G193" i="6"/>
  <c r="G117" i="6"/>
  <c r="G150" i="6"/>
  <c r="G101" i="6"/>
  <c r="G313" i="6"/>
  <c r="G207" i="6"/>
  <c r="G483" i="6"/>
  <c r="G160" i="6"/>
  <c r="G121" i="6"/>
  <c r="G119" i="6"/>
  <c r="G479" i="6"/>
  <c r="G39" i="6"/>
  <c r="G293" i="6"/>
  <c r="G45" i="6"/>
  <c r="G466" i="6"/>
  <c r="G446" i="6"/>
  <c r="G63" i="6"/>
  <c r="G136" i="6"/>
  <c r="G294" i="6"/>
  <c r="G427" i="6"/>
  <c r="G51" i="6"/>
  <c r="G436" i="6"/>
  <c r="G65" i="6"/>
  <c r="G43" i="6"/>
  <c r="G151" i="6"/>
  <c r="G315" i="6"/>
  <c r="G69" i="6"/>
  <c r="G211" i="6"/>
  <c r="G247" i="6"/>
  <c r="G95" i="6"/>
  <c r="G471" i="6"/>
  <c r="G320" i="6"/>
  <c r="G498" i="6"/>
  <c r="G356" i="6"/>
  <c r="G146" i="6"/>
  <c r="G277" i="6"/>
  <c r="G476" i="6"/>
  <c r="G161" i="6"/>
  <c r="G72" i="6"/>
  <c r="G387" i="6"/>
  <c r="G107" i="6"/>
  <c r="G425" i="6"/>
  <c r="G114" i="6"/>
  <c r="G440" i="6"/>
  <c r="G94" i="6"/>
  <c r="G54" i="6"/>
  <c r="G469" i="6"/>
  <c r="G272" i="6"/>
  <c r="G435" i="6"/>
  <c r="G87" i="6"/>
  <c r="G174" i="6"/>
  <c r="G265" i="6"/>
  <c r="G264" i="6"/>
  <c r="G131" i="6"/>
  <c r="G459" i="6"/>
  <c r="G317" i="6"/>
  <c r="G170" i="6"/>
  <c r="G484" i="6"/>
  <c r="G480" i="6"/>
  <c r="G226" i="6"/>
  <c r="G463" i="6"/>
  <c r="G449" i="6"/>
  <c r="G303" i="6"/>
  <c r="G246" i="6"/>
  <c r="G421" i="6"/>
  <c r="G137" i="6"/>
  <c r="G132" i="6"/>
  <c r="G145" i="6"/>
  <c r="G227" i="6"/>
  <c r="G359" i="6"/>
  <c r="G414" i="6"/>
  <c r="G384" i="6"/>
  <c r="G316" i="6"/>
  <c r="G386" i="6"/>
  <c r="G106" i="6"/>
  <c r="G415" i="6"/>
  <c r="G140" i="6"/>
  <c r="G467" i="6"/>
  <c r="G377" i="6"/>
  <c r="G175" i="6"/>
  <c r="G191" i="6"/>
  <c r="G409" i="6"/>
  <c r="G210" i="6"/>
  <c r="G385" i="6"/>
  <c r="G407" i="6"/>
  <c r="G127" i="6"/>
  <c r="G344" i="6"/>
  <c r="G300" i="6"/>
  <c r="G188" i="6"/>
  <c r="G112" i="6"/>
  <c r="G450" i="6"/>
  <c r="G489" i="6"/>
  <c r="G80" i="6"/>
  <c r="G349" i="6"/>
  <c r="G339" i="6"/>
  <c r="G495" i="6"/>
  <c r="G59" i="6"/>
  <c r="G74" i="6"/>
  <c r="G252" i="6"/>
  <c r="G183" i="6"/>
  <c r="G67" i="6"/>
  <c r="G260" i="6"/>
  <c r="G248" i="6"/>
  <c r="G233" i="6"/>
  <c r="G99" i="6"/>
  <c r="G462" i="6"/>
  <c r="G302" i="6"/>
  <c r="G338" i="6"/>
  <c r="G444" i="6"/>
  <c r="G361" i="6"/>
  <c r="G49" i="6"/>
  <c r="G204" i="6"/>
  <c r="G38" i="6"/>
  <c r="G273" i="6"/>
  <c r="G200" i="6"/>
  <c r="G326" i="6"/>
  <c r="G308" i="6"/>
  <c r="G172" i="6"/>
  <c r="G108" i="6"/>
  <c r="G362" i="6"/>
  <c r="G284" i="6"/>
  <c r="G148" i="6"/>
  <c r="G75" i="6"/>
  <c r="G154" i="6"/>
  <c r="G400" i="6"/>
  <c r="G85" i="6"/>
  <c r="G257" i="6"/>
  <c r="G251" i="6"/>
  <c r="G373" i="6"/>
  <c r="G115" i="6"/>
  <c r="G138" i="6"/>
  <c r="G40" i="6"/>
  <c r="G176" i="6"/>
  <c r="G350" i="6"/>
  <c r="G139" i="6"/>
  <c r="G37" i="6"/>
  <c r="G352" i="6"/>
  <c r="G376" i="6"/>
  <c r="G267" i="6"/>
  <c r="G318" i="6"/>
  <c r="G261" i="6"/>
  <c r="G271" i="6"/>
  <c r="G411" i="6"/>
  <c r="G321" i="6"/>
  <c r="G118" i="6"/>
  <c r="G249" i="6"/>
  <c r="G357" i="6"/>
  <c r="G128" i="6"/>
  <c r="G209" i="6"/>
  <c r="G345" i="6"/>
  <c r="G426" i="6"/>
  <c r="G481" i="6"/>
  <c r="G410" i="6"/>
  <c r="G292" i="6"/>
  <c r="G208" i="6"/>
  <c r="G199" i="6"/>
  <c r="G184" i="6"/>
  <c r="G269" i="6"/>
  <c r="G328" i="6"/>
  <c r="G455" i="6"/>
  <c r="G88" i="6"/>
  <c r="G431" i="6"/>
  <c r="G70" i="6"/>
  <c r="G50" i="6"/>
  <c r="G341" i="6"/>
  <c r="G347" i="6"/>
  <c r="G375" i="6"/>
  <c r="G366" i="6"/>
  <c r="G91" i="6"/>
  <c r="G259" i="6"/>
  <c r="G53" i="6"/>
  <c r="G447" i="6"/>
  <c r="G458" i="6"/>
  <c r="G57" i="6"/>
  <c r="G278" i="6"/>
  <c r="G68" i="6"/>
  <c r="G221" i="6"/>
  <c r="G419" i="6"/>
  <c r="G280" i="6"/>
  <c r="G394" i="6"/>
  <c r="G169" i="6"/>
  <c r="G47" i="6"/>
  <c r="G276" i="6"/>
  <c r="G392" i="6"/>
  <c r="G218" i="6"/>
  <c r="G71" i="6"/>
  <c r="G22" i="6"/>
  <c r="G2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<sst xmlns="http://schemas.openxmlformats.org/spreadsheetml/2006/main" count="23879" uniqueCount="2271">
  <si>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</si>
  <si>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</si>
  <si>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</si>
  <si>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</si>
  <si>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</si>
  <si>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</si>
  <si>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</si>
  <si>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</si>
  <si>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</si>
  <si>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</si>
  <si>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</si>
  <si>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</si>
  <si>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</si>
  <si>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</si>
  <si>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</si>
  <si>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</si>
  <si>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</si>
  <si>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</si>
  <si>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</si>
  <si>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</si>
  <si>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</si>
  <si>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</si>
  <si>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</si>
  <si>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</si>
  <si>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</si>
  <si>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</si>
  <si>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</si>
  <si>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</si>
  <si>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</si>
  <si>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</si>
  <si>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</si>
  <si>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</si>
  <si>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</si>
  <si>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</si>
  <si>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</si>
  <si>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</si>
  <si>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</si>
  <si>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</si>
  <si>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</si>
  <si>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</si>
  <si>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</si>
  <si>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</si>
  <si>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</si>
  <si>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</si>
  <si>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</si>
  <si>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</si>
  <si>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</si>
  <si>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</si>
  <si>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</si>
  <si>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</si>
  <si>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</si>
  <si>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</si>
  <si>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</si>
  <si>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</si>
  <si>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</si>
  <si>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</si>
  <si>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</si>
  <si>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</si>
  <si>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</si>
  <si>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</si>
  <si>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</si>
  <si>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</si>
  <si>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</si>
  <si>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</si>
  <si>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</si>
  <si>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</si>
  <si>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</si>
  <si>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</si>
  <si>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</si>
  <si>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</si>
  <si>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</si>
  <si>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</si>
  <si>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</si>
  <si>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</si>
  <si>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</si>
  <si>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</si>
  <si>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</si>
  <si>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</si>
  <si>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</si>
  <si>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</si>
  <si>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</si>
  <si>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</si>
  <si>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</si>
  <si>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</si>
  <si>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</si>
  <si>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</si>
  <si>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</si>
  <si>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</si>
  <si>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</si>
  <si>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</si>
  <si>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</si>
  <si>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</si>
  <si>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</si>
  <si>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</si>
  <si>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</si>
  <si>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</si>
  <si>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</si>
  <si>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</si>
  <si>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</si>
  <si>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</si>
  <si>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</si>
  <si>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</si>
  <si>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</si>
  <si>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</si>
  <si>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</si>
  <si>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</si>
  <si>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</si>
  <si>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</si>
  <si>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</si>
  <si>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</si>
  <si>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</si>
  <si>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</si>
  <si>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</si>
  <si>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</si>
  <si>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</si>
  <si>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</si>
  <si>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</si>
  <si>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</si>
  <si>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</si>
  <si>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</si>
  <si>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</si>
  <si>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</si>
  <si>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</si>
  <si>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</si>
  <si>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</si>
  <si>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</si>
  <si>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</si>
  <si>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</si>
  <si>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</si>
  <si>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</si>
  <si>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</si>
  <si>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</si>
  <si>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</si>
  <si>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</si>
  <si>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</si>
  <si>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</si>
  <si>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</si>
  <si>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</si>
  <si>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</si>
  <si>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</si>
  <si>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</si>
  <si>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</si>
  <si>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</si>
  <si>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</si>
  <si>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</si>
  <si>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</si>
  <si>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</si>
  <si>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</si>
  <si>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</si>
  <si>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</si>
  <si>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</si>
  <si>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</si>
  <si>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</si>
  <si>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</si>
  <si>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</si>
  <si>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</si>
  <si>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</si>
  <si>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</si>
  <si>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</si>
  <si>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</si>
  <si>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</si>
  <si>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</si>
  <si>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</si>
  <si>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</si>
  <si>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</si>
  <si>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</si>
  <si>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</si>
  <si>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</si>
  <si>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</si>
  <si>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</si>
  <si>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</si>
  <si>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</si>
  <si>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</si>
  <si>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</si>
  <si>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</si>
  <si>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</si>
  <si>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</si>
  <si>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</si>
  <si>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</si>
  <si>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</si>
  <si>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</si>
  <si>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</si>
  <si>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</si>
  <si>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</si>
  <si>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</si>
  <si>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</si>
  <si>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</si>
  <si>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</si>
  <si>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</si>
  <si>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</si>
  <si>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</si>
  <si>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</si>
  <si>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</si>
  <si>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</si>
  <si>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</si>
  <si>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</si>
  <si>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</si>
  <si>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</si>
  <si>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</si>
  <si>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</si>
  <si>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</si>
  <si>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</si>
  <si>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</si>
  <si>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</si>
  <si>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</si>
  <si>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</si>
  <si>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</si>
  <si>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</si>
  <si>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</si>
  <si>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</si>
  <si>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</si>
  <si>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</si>
  <si>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</si>
  <si>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</si>
  <si>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</si>
  <si>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</si>
  <si>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</si>
  <si>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</si>
  <si>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</si>
  <si>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</si>
  <si>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</si>
  <si>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</si>
  <si>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</si>
  <si>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</si>
  <si>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</si>
  <si>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</si>
  <si>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</si>
  <si>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</si>
  <si>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</si>
  <si>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</si>
  <si>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</si>
  <si>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</si>
  <si>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</si>
  <si>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</si>
  <si>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</si>
  <si>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</si>
  <si>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</si>
  <si>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</si>
  <si>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</si>
  <si>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</si>
  <si>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</si>
  <si>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</si>
  <si>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</si>
  <si>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</si>
  <si>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</si>
  <si>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</si>
  <si>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</si>
  <si>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</si>
  <si>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</si>
  <si>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</si>
  <si>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</si>
  <si>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</si>
  <si>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</si>
  <si>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</si>
  <si>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</si>
  <si>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</si>
  <si>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</si>
  <si>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</si>
  <si>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</si>
  <si>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</si>
  <si>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</si>
  <si>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</si>
  <si>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</si>
  <si>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</si>
  <si>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</si>
  <si>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</si>
  <si>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</si>
  <si>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</si>
  <si>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</si>
  <si>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</si>
  <si>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</si>
  <si>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</si>
  <si>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</si>
  <si>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</si>
  <si>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</si>
  <si>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</si>
  <si>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</si>
  <si>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</si>
  <si>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</si>
  <si>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</si>
  <si>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</si>
  <si>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</si>
  <si>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</si>
  <si>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</si>
  <si>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</si>
  <si>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</si>
  <si>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</si>
  <si>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</si>
  <si>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</si>
  <si>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</si>
  <si>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</si>
  <si>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</si>
  <si>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</si>
  <si>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</si>
  <si>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</si>
  <si>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</si>
  <si>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</si>
  <si>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</si>
  <si>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</si>
  <si>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</si>
  <si>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</si>
  <si>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</si>
  <si>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</si>
  <si>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</si>
  <si>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</si>
  <si>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</si>
  <si>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</si>
  <si>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</si>
  <si>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</si>
  <si>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</si>
  <si>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</si>
  <si>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</si>
  <si>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</si>
  <si>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</si>
  <si>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</si>
  <si>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</si>
  <si>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</si>
  <si>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</si>
  <si>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</si>
  <si>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</si>
  <si>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</si>
  <si>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</si>
  <si>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</si>
  <si>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</si>
  <si>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</si>
  <si>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</si>
  <si>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</si>
  <si>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</si>
  <si>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</si>
  <si>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</si>
  <si>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</si>
  <si>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</si>
  <si>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</si>
  <si>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</si>
  <si>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</si>
  <si>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</si>
  <si>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</si>
  <si>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</si>
  <si>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</si>
  <si>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</si>
  <si>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</si>
  <si>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</si>
  <si>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</si>
  <si>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</si>
  <si>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</si>
  <si>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</si>
  <si>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</si>
  <si>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</si>
  <si>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</si>
  <si>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</si>
  <si>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</si>
  <si>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</si>
  <si>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</si>
  <si>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</si>
  <si>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</si>
  <si>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</si>
  <si>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</si>
  <si>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</si>
  <si>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</si>
  <si>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</si>
  <si>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</si>
  <si>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</si>
  <si>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</si>
  <si>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</si>
  <si>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</si>
  <si>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</si>
  <si>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</si>
  <si>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</si>
  <si>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</si>
  <si>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</si>
  <si>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</si>
  <si>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</si>
  <si>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</si>
  <si>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</si>
  <si>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</si>
  <si>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</si>
  <si>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</si>
  <si>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</si>
  <si>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</si>
  <si>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</si>
  <si>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</si>
  <si>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</si>
  <si>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</si>
  <si>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</si>
  <si>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</si>
  <si>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</si>
  <si>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</si>
  <si>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</si>
  <si>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</si>
  <si>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</si>
  <si>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</si>
  <si>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</si>
  <si>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</si>
  <si>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</si>
  <si>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</si>
  <si>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</si>
  <si>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</si>
  <si>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</si>
  <si>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</si>
  <si>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</si>
  <si>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</si>
  <si>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</si>
  <si>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</si>
  <si>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</si>
  <si>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</si>
  <si>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</si>
  <si>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</si>
  <si>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</si>
  <si>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</si>
  <si>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</si>
  <si>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</si>
  <si>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</si>
  <si>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</si>
  <si>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</si>
  <si>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</si>
  <si>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</si>
  <si>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</si>
  <si>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</si>
  <si>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</si>
  <si>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</si>
  <si>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</si>
  <si>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</si>
  <si>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</si>
  <si>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</si>
  <si>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</si>
  <si>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</si>
  <si>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</si>
  <si>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</si>
  <si>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</si>
  <si>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</si>
  <si>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</si>
  <si>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</si>
  <si>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</si>
  <si>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</si>
  <si>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</si>
  <si>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</si>
  <si>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</si>
  <si>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</si>
  <si>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</si>
  <si>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</si>
  <si>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</si>
  <si>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</si>
  <si>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</si>
  <si>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</si>
  <si>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</si>
  <si>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</si>
  <si>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</si>
  <si>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</si>
  <si>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</si>
  <si>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</si>
  <si>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</si>
  <si>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</si>
  <si>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</si>
  <si>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</si>
  <si>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</si>
  <si>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</si>
  <si>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</si>
  <si>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</si>
  <si>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</si>
  <si>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</si>
  <si>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</si>
  <si>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</si>
  <si>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</si>
  <si>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</si>
  <si>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</si>
  <si>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</si>
  <si>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</si>
  <si>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</si>
  <si>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</si>
  <si>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</si>
  <si>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</si>
  <si>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</si>
  <si>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</si>
  <si>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</si>
  <si>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</si>
  <si>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</si>
  <si>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</si>
  <si>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</si>
  <si>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</si>
  <si>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</si>
  <si>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</si>
  <si>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</si>
  <si>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</si>
  <si>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</si>
  <si>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</si>
  <si>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</si>
  <si>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</si>
  <si>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</si>
  <si>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</si>
  <si>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</si>
  <si>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</si>
  <si>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</si>
  <si>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</si>
  <si>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</si>
  <si>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</si>
  <si>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</si>
  <si>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</si>
  <si>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</si>
  <si>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</si>
  <si>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</si>
  <si>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</si>
  <si>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</si>
  <si>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</si>
  <si>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</si>
  <si>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</si>
  <si>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</si>
  <si>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</si>
  <si>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</si>
  <si>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</si>
  <si>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</si>
  <si>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</si>
  <si>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</si>
  <si>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</si>
  <si>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</si>
  <si>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</si>
  <si>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</si>
  <si>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</si>
  <si>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</si>
  <si>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</si>
  <si>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</si>
  <si>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</si>
  <si>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</si>
  <si>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</si>
  <si>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</si>
  <si>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</si>
  <si>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</si>
  <si>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</si>
  <si>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</si>
  <si>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</si>
  <si>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</si>
  <si>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</si>
  <si>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</si>
  <si>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</si>
  <si>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</si>
  <si>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</si>
  <si>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</si>
  <si>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</si>
  <si>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</si>
  <si>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</si>
  <si>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</si>
  <si>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</si>
  <si>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</si>
  <si>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</si>
  <si>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</si>
  <si>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</si>
  <si>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</si>
  <si>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</si>
  <si>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</si>
  <si>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</si>
  <si>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</si>
  <si>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</si>
  <si>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</si>
  <si>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</si>
  <si>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</si>
  <si>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</si>
  <si>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</si>
  <si>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</si>
  <si>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</si>
  <si>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</si>
  <si>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</si>
  <si>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</si>
  <si>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</si>
  <si>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</si>
  <si>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</si>
  <si>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</si>
  <si>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</si>
  <si>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</si>
  <si>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</si>
  <si>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</si>
  <si>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</si>
  <si>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</si>
  <si>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</si>
  <si>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</si>
  <si>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</si>
  <si>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</si>
  <si>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</si>
  <si>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</si>
  <si>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</si>
  <si>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</si>
  <si>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</si>
  <si>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</si>
  <si>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</si>
  <si>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</si>
  <si>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</si>
  <si>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</si>
  <si>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</si>
  <si>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</si>
  <si>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</si>
  <si>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</si>
  <si>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</si>
  <si>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</si>
  <si>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</si>
  <si>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</si>
  <si>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</si>
  <si>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</si>
  <si>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</si>
  <si>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</si>
  <si>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</si>
  <si>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</si>
  <si>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</si>
  <si>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</si>
  <si>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</si>
  <si>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</si>
  <si>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</si>
  <si>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</si>
  <si>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</si>
  <si>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</si>
  <si>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</si>
  <si>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</si>
  <si>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</si>
  <si>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</si>
  <si>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</si>
  <si>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</si>
  <si>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</si>
  <si>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</si>
  <si>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</si>
  <si>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</si>
  <si>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</si>
  <si>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</si>
  <si>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</si>
  <si>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</si>
  <si>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</si>
  <si>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</si>
  <si>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</si>
  <si>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</si>
  <si>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</si>
  <si>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</si>
  <si>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</si>
  <si>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</si>
  <si>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</si>
  <si>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</si>
  <si>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</si>
  <si>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</si>
  <si>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</si>
  <si>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</si>
  <si>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</si>
  <si>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</si>
  <si>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</si>
  <si>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</si>
  <si>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</si>
  <si>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</si>
  <si>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</si>
  <si>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</si>
  <si>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</si>
  <si>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</si>
  <si>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</si>
  <si>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</si>
  <si>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</si>
  <si>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</si>
  <si>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</si>
  <si>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</si>
  <si>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</si>
  <si>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</si>
  <si>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</si>
  <si>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</si>
  <si>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</si>
  <si>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</si>
  <si>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</si>
  <si>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</si>
  <si>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</si>
  <si>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</si>
  <si>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</si>
  <si>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</si>
  <si>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</si>
  <si>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</si>
  <si>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</si>
  <si>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</si>
  <si>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</si>
  <si>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</si>
  <si>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</si>
  <si>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</si>
  <si>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</si>
  <si>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</si>
  <si>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</si>
  <si>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</si>
  <si>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</si>
  <si>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</si>
  <si>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</si>
  <si>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</si>
  <si>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</si>
  <si>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</si>
  <si>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</si>
  <si>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</si>
  <si>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</si>
  <si>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</si>
  <si>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</si>
  <si>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</si>
  <si>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</si>
  <si>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</si>
  <si>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</si>
  <si>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</si>
  <si>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</si>
  <si>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</si>
  <si>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</si>
  <si>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</si>
  <si>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</si>
  <si>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</si>
  <si>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</si>
  <si>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</si>
  <si>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</si>
  <si>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</si>
  <si>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</si>
  <si>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</si>
  <si>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</si>
  <si>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</si>
  <si>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</si>
  <si>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</si>
  <si>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</si>
  <si>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</si>
  <si>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</si>
  <si>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</si>
  <si>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</si>
  <si>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</si>
  <si>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</si>
  <si>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</si>
  <si>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</si>
  <si>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</si>
  <si>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</si>
  <si>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</si>
  <si>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</si>
  <si>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</si>
  <si>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</si>
  <si>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</si>
  <si>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</si>
  <si>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</si>
  <si>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</si>
  <si>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</si>
  <si>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</si>
  <si>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</si>
  <si>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</si>
  <si>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</si>
  <si>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</si>
  <si>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</si>
  <si>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</si>
  <si>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</si>
  <si>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</si>
  <si>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</si>
  <si>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</si>
  <si>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</si>
  <si>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</si>
  <si>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</si>
  <si>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</si>
  <si>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</si>
  <si>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</si>
  <si>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</si>
  <si>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</si>
  <si>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</si>
  <si>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</si>
  <si>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</si>
  <si>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</si>
  <si>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</si>
  <si>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</si>
  <si>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</si>
  <si>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</si>
  <si>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</si>
  <si>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</si>
  <si>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</si>
  <si>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</si>
  <si>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</si>
  <si>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</si>
  <si>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</si>
  <si>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</si>
  <si>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</si>
  <si>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</si>
  <si>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</si>
  <si>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</si>
  <si>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</si>
  <si>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</si>
  <si>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</si>
  <si>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</si>
  <si>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</si>
  <si>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</si>
  <si>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</si>
  <si>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</si>
  <si>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</si>
  <si>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</si>
  <si>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</si>
  <si>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</si>
  <si>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</si>
  <si>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</si>
  <si>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</si>
  <si>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</si>
  <si>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</si>
  <si>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</si>
  <si>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</si>
  <si>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</si>
  <si>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</si>
  <si>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</si>
  <si>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</si>
  <si>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</si>
  <si>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</si>
  <si>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</si>
  <si>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</si>
  <si>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</si>
  <si>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</si>
  <si>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</si>
  <si>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</si>
  <si>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</si>
  <si>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</si>
  <si>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</si>
  <si>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</si>
  <si>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</si>
  <si>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</si>
  <si>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</si>
  <si>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</si>
  <si>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</si>
  <si>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</si>
  <si>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</si>
  <si>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</si>
  <si>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</si>
  <si>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</si>
  <si>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</si>
  <si>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</si>
  <si>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</si>
  <si>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</si>
  <si>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</si>
  <si>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</si>
  <si>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</si>
  <si>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</si>
  <si>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</si>
  <si>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</si>
  <si>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</si>
  <si>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</si>
  <si>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</si>
  <si>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</si>
  <si>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</si>
  <si>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</si>
  <si>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</si>
  <si>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</si>
  <si>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</si>
  <si>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</si>
  <si>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</si>
  <si>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</si>
  <si>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</si>
  <si>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</si>
  <si>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</si>
  <si>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</si>
  <si>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</si>
  <si>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</si>
  <si>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</si>
  <si>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</si>
  <si>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</si>
  <si>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</si>
  <si>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</si>
  <si>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</si>
  <si>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</si>
  <si>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</si>
  <si>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</si>
  <si>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</si>
  <si>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</si>
  <si>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</si>
  <si>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</si>
  <si>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</si>
  <si>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</si>
  <si>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</si>
  <si>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</si>
  <si>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</si>
  <si>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</si>
  <si>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</si>
  <si>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</si>
  <si>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</si>
  <si>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</si>
  <si>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</si>
  <si>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</si>
  <si>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</si>
  <si>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</si>
  <si>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</si>
  <si>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</si>
  <si>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</si>
  <si>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</si>
  <si>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</si>
  <si>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</si>
  <si>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</si>
  <si>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</si>
  <si>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</si>
  <si>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</si>
  <si>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</si>
  <si>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</si>
  <si>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</si>
  <si>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</si>
  <si>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</si>
  <si>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</si>
  <si>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</si>
  <si>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</si>
  <si>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</si>
  <si>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</si>
  <si>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</si>
  <si>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</si>
  <si>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</si>
  <si>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</si>
  <si>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</si>
  <si>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</si>
  <si>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</si>
  <si>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</si>
  <si>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</si>
  <si>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</si>
  <si>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</si>
  <si>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</si>
  <si>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</si>
  <si>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</si>
  <si>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</si>
  <si>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</si>
  <si>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</si>
  <si>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</si>
  <si>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</si>
  <si>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</si>
  <si>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</si>
  <si>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</si>
  <si>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</si>
  <si>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</si>
  <si>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</si>
  <si>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</si>
  <si>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</si>
  <si>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</si>
  <si>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</si>
  <si>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</si>
  <si>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</si>
  <si>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</si>
  <si>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</si>
  <si>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</si>
  <si>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</si>
  <si>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</si>
  <si>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</si>
  <si>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</si>
  <si>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</si>
  <si>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</si>
  <si>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</si>
  <si>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</si>
  <si>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</si>
  <si>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</si>
  <si>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</si>
  <si>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</si>
  <si>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</si>
  <si>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</si>
  <si>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</si>
  <si>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</si>
  <si>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</si>
  <si>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</si>
  <si>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</si>
  <si>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</si>
  <si>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</si>
  <si>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</si>
  <si>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</si>
  <si>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</si>
  <si>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</si>
  <si>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</si>
  <si>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</si>
  <si>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</si>
  <si>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</si>
  <si>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</si>
  <si>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</si>
  <si>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</si>
  <si>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</si>
  <si>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</si>
  <si>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</si>
  <si>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</si>
  <si>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</si>
  <si>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</si>
  <si>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</si>
  <si>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</si>
  <si>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</si>
  <si>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</si>
  <si>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</si>
  <si>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</si>
  <si>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</si>
  <si>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</si>
  <si>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</si>
  <si>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</si>
  <si>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</si>
  <si>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</si>
  <si>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</si>
  <si>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</si>
  <si>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</si>
  <si>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</si>
  <si>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</si>
  <si>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</si>
  <si>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</si>
  <si>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</si>
  <si>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</si>
  <si>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</si>
  <si>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</si>
  <si>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</si>
  <si>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</si>
  <si>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</si>
  <si>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</si>
  <si>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</si>
  <si>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</si>
  <si>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</si>
  <si>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</si>
  <si>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</si>
  <si>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</si>
  <si>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</si>
  <si>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</si>
  <si>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</si>
  <si>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</si>
  <si>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</si>
  <si>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</si>
  <si>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</si>
  <si>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</si>
  <si>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</si>
  <si>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</si>
  <si>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</si>
  <si>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</si>
  <si>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</si>
  <si>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</si>
  <si>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</si>
  <si>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</si>
  <si>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</si>
  <si>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</si>
  <si>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</si>
  <si>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</si>
  <si>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</si>
  <si>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</si>
  <si>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</si>
  <si>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</si>
  <si>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</si>
  <si>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</si>
  <si>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</si>
  <si>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</si>
  <si>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</si>
  <si>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</si>
  <si>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</si>
  <si>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</si>
  <si>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</si>
  <si>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</si>
  <si>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</si>
  <si>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</si>
  <si>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</si>
  <si>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</si>
  <si>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</si>
  <si>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</si>
  <si>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</si>
  <si>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</si>
  <si>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</si>
  <si>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</si>
  <si>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</si>
  <si>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</si>
  <si>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</si>
  <si>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</si>
  <si>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</si>
  <si>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</si>
  <si>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</si>
  <si>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</si>
  <si>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</si>
  <si>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</si>
  <si>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</si>
  <si>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</si>
  <si>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</si>
  <si>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</si>
  <si>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</si>
  <si>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</si>
  <si>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</si>
  <si>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</si>
  <si>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</si>
  <si>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</si>
  <si>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</si>
  <si>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</si>
  <si>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</si>
  <si>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</si>
  <si>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</si>
  <si>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</si>
  <si>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</si>
  <si>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</si>
  <si>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</si>
  <si>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</si>
  <si>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</si>
  <si>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</si>
  <si>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</si>
  <si>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</si>
  <si>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</si>
  <si>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</si>
  <si>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</si>
  <si>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</si>
  <si>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</si>
  <si>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</si>
  <si>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</si>
  <si>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</si>
  <si>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</si>
  <si>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</si>
  <si>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</si>
  <si>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</si>
  <si>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</si>
  <si>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</si>
  <si>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</si>
  <si>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</si>
  <si>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</si>
  <si>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</si>
  <si>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</si>
  <si>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</si>
  <si>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</si>
  <si>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</si>
  <si>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</si>
  <si>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</si>
  <si>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</si>
  <si>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</si>
  <si>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</si>
  <si>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</si>
  <si>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</si>
  <si>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</si>
  <si>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</si>
  <si>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</si>
  <si>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</si>
  <si>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</si>
  <si>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</si>
  <si>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</si>
  <si>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</si>
  <si>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</si>
  <si>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</si>
  <si>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</si>
  <si>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</si>
  <si>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</si>
  <si>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</si>
  <si>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</si>
  <si>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</si>
  <si>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</si>
  <si>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</si>
  <si>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</si>
  <si>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</si>
  <si>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</si>
  <si>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</si>
  <si>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</si>
  <si>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</si>
  <si>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</si>
  <si>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</si>
  <si>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</si>
  <si>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</si>
  <si>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</si>
  <si>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</si>
  <si>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</si>
  <si>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</si>
  <si>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</si>
  <si>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</si>
  <si>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</si>
  <si>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</si>
  <si>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</si>
  <si>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</si>
  <si>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</si>
  <si>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</si>
  <si>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</si>
  <si>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</si>
  <si>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</si>
  <si>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</si>
  <si>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</si>
  <si>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</si>
  <si>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</si>
  <si>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</si>
  <si>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</si>
  <si>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</si>
  <si>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</si>
  <si>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</si>
  <si>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</si>
  <si>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</si>
  <si>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</si>
  <si>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</si>
  <si>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</si>
  <si>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</si>
  <si>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</si>
  <si>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</si>
  <si>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</si>
  <si>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</si>
  <si>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</si>
  <si>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</si>
  <si>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</si>
  <si>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</si>
  <si>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</si>
  <si>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</si>
  <si>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</si>
  <si>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</si>
  <si>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</si>
  <si>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</si>
  <si>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</si>
  <si>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</si>
  <si>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</si>
  <si>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</si>
  <si>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</si>
  <si>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</si>
  <si>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</si>
  <si>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</si>
  <si>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</si>
  <si>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</si>
  <si>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</si>
  <si>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</si>
  <si>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</si>
  <si>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</si>
  <si>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</si>
  <si>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</si>
  <si>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</si>
  <si>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</si>
  <si>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</si>
  <si>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</si>
  <si>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</si>
  <si>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</si>
  <si>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</si>
  <si>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</si>
  <si>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</si>
  <si>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</si>
  <si>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</si>
  <si>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</si>
  <si>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</si>
  <si>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</si>
  <si>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</si>
  <si>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</si>
  <si>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</si>
  <si>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</si>
  <si>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</si>
  <si>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</si>
  <si>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</si>
  <si>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</si>
  <si>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</si>
  <si>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</si>
  <si>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</si>
  <si>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</si>
  <si>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</si>
  <si>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</si>
  <si>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</si>
  <si>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</si>
  <si>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</si>
  <si>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</si>
  <si>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</si>
  <si>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</si>
  <si>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</si>
  <si>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</si>
  <si>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</si>
  <si>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</si>
  <si>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</si>
  <si>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</si>
  <si>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</si>
  <si>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</si>
  <si>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</si>
  <si>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</si>
  <si>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</si>
  <si>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</si>
  <si>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</si>
  <si>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</si>
  <si>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</si>
  <si>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</si>
  <si>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</si>
  <si>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</si>
  <si>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</si>
  <si>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</si>
  <si>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</si>
  <si>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</si>
  <si>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</si>
  <si>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</si>
  <si>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</si>
  <si>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</si>
  <si>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</si>
  <si>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</si>
  <si>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</si>
  <si>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</si>
  <si>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</si>
  <si>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</si>
  <si>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</si>
  <si>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</si>
  <si>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</si>
  <si>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</si>
  <si>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</si>
  <si>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</si>
  <si>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</si>
  <si>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</si>
  <si>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</si>
  <si>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</si>
  <si>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</si>
  <si>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</si>
  <si>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</si>
  <si>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</si>
  <si>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</si>
  <si>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</si>
  <si>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</si>
  <si>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</si>
  <si>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</si>
  <si>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</si>
  <si>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</si>
  <si>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</si>
  <si>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</si>
  <si>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</si>
  <si>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</si>
  <si>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</si>
  <si>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</si>
  <si>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</si>
  <si>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</si>
  <si>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</si>
  <si>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</si>
  <si>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</si>
  <si>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</si>
  <si>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</si>
  <si>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</si>
  <si>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</si>
  <si>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</si>
  <si>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</si>
  <si>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</si>
  <si>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</si>
  <si>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</si>
  <si>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</si>
  <si>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</si>
  <si>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</si>
  <si>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</si>
  <si>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</si>
  <si>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</si>
  <si>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</si>
  <si>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</si>
  <si>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</si>
  <si>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</si>
  <si>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</si>
  <si>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</si>
  <si>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</si>
  <si>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</si>
  <si>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</si>
  <si>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</si>
  <si>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</si>
  <si>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</si>
  <si>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</si>
  <si>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</si>
  <si>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</si>
  <si>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</si>
  <si>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</si>
  <si>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</si>
  <si>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</si>
  <si>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</si>
  <si>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</si>
  <si>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</si>
  <si>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</si>
  <si>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</si>
  <si>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</si>
  <si>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</si>
  <si>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</si>
  <si>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</si>
  <si>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</si>
  <si>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</si>
  <si>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</si>
  <si>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</si>
  <si>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</si>
  <si>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</si>
  <si>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</si>
  <si>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</si>
  <si>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</si>
  <si>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</si>
  <si>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</si>
  <si>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</si>
  <si>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</si>
  <si>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</si>
  <si>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</si>
  <si>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</si>
  <si>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</si>
  <si>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</si>
  <si>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</si>
  <si>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</si>
  <si>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</si>
  <si>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</si>
  <si>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</si>
  <si>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</si>
  <si>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</si>
  <si>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</si>
  <si>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</si>
  <si>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</si>
  <si>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</si>
  <si>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</si>
  <si>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</si>
  <si>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</si>
  <si>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</si>
  <si>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</si>
  <si>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</si>
  <si>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</si>
  <si>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</si>
  <si>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</si>
  <si>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</si>
  <si>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</si>
  <si>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</si>
  <si>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</si>
  <si>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</si>
  <si>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</si>
  <si>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</si>
  <si>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</si>
  <si>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</si>
  <si>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</si>
  <si>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</si>
  <si>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</si>
  <si>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</si>
  <si>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</si>
  <si>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</si>
  <si>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</si>
  <si>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</si>
  <si>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</si>
  <si>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</si>
  <si>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</si>
  <si>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</si>
  <si>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</si>
  <si>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</si>
  <si>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</si>
  <si>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</si>
  <si>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</si>
  <si>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</si>
  <si>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</si>
  <si>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</si>
  <si>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</si>
  <si>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</si>
  <si>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</si>
  <si>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</si>
  <si>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</si>
  <si>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</si>
  <si>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</si>
  <si>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</si>
  <si>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</si>
  <si>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</si>
  <si>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</si>
  <si>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</si>
  <si>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</si>
  <si>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</si>
  <si>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</si>
  <si>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</si>
  <si>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</si>
  <si>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</si>
  <si>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</si>
  <si>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</si>
  <si>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</si>
  <si>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</si>
  <si>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</si>
  <si>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</si>
  <si>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</si>
  <si>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</si>
  <si>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</si>
  <si>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</si>
  <si>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</si>
  <si>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</si>
  <si>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</si>
  <si>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</si>
  <si>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</si>
  <si>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</si>
  <si>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</si>
  <si>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</si>
  <si>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</si>
  <si>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</si>
  <si>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</si>
  <si>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</si>
  <si>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</si>
  <si>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</si>
  <si>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</si>
  <si>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</si>
  <si>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</si>
  <si>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</si>
  <si>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</si>
  <si>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</si>
  <si>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</si>
  <si>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</si>
  <si>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</si>
  <si>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</si>
  <si>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</si>
  <si>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</si>
  <si>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</si>
  <si>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</si>
  <si>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</si>
  <si>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</si>
  <si>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</si>
  <si>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</si>
  <si>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</si>
  <si>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</si>
  <si>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</si>
  <si>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</si>
  <si>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</si>
  <si>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</si>
  <si>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</si>
  <si>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</si>
  <si>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</si>
  <si>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</si>
  <si>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</si>
  <si>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</si>
  <si>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</si>
  <si>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</si>
  <si>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</si>
  <si>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</si>
  <si>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</si>
  <si>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</si>
  <si>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</si>
  <si>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</si>
  <si>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</si>
  <si>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</si>
  <si>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</si>
  <si>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</si>
  <si>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</si>
  <si>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</si>
  <si>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</si>
  <si>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</si>
  <si>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</si>
  <si>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</si>
  <si>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</si>
  <si>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</si>
  <si>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</si>
  <si>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</si>
  <si>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</si>
  <si>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</si>
  <si>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</si>
  <si>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</si>
  <si>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</si>
  <si>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</si>
  <si>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</si>
  <si>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</si>
  <si>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</si>
  <si>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</si>
  <si>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</si>
  <si>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</si>
  <si>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</si>
  <si>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</si>
  <si>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</si>
  <si>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</si>
  <si>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</si>
  <si>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</si>
  <si>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</si>
  <si>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</si>
  <si>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</si>
  <si>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</si>
  <si>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</si>
  <si>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</si>
  <si>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</si>
  <si>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</si>
  <si>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</si>
  <si>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</si>
  <si>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</si>
  <si>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</si>
  <si>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</si>
  <si>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</si>
  <si>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</si>
  <si>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</si>
  <si>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</si>
  <si>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</si>
  <si>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</si>
  <si>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</si>
  <si>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</si>
  <si>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</si>
  <si>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</si>
  <si>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</si>
  <si>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</si>
  <si>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</si>
  <si>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</si>
  <si>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</si>
  <si>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</si>
  <si>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</si>
  <si>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</si>
  <si>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</si>
  <si>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</si>
  <si>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</si>
  <si>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</si>
  <si>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</si>
  <si>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</si>
  <si>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</si>
  <si>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</si>
  <si>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</si>
  <si>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</si>
  <si>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</si>
  <si>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</si>
  <si>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</si>
  <si>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</si>
  <si>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</si>
  <si>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</si>
  <si>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</si>
  <si>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</si>
  <si>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</si>
  <si>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</si>
  <si>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</si>
  <si>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</si>
  <si>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</si>
  <si>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</si>
  <si>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</si>
  <si>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</si>
  <si>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</si>
  <si>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</si>
  <si>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</si>
  <si>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</si>
  <si>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</si>
  <si>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</si>
  <si>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</si>
  <si>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</si>
  <si>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</si>
  <si>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</si>
  <si>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</si>
  <si>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</si>
  <si>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</si>
  <si>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</si>
  <si>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</si>
  <si>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</si>
  <si>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</si>
  <si>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</si>
  <si>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</si>
  <si>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</si>
  <si>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</si>
  <si>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</si>
  <si>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</si>
  <si>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</si>
  <si>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</si>
  <si>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</si>
  <si>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</si>
  <si>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</si>
  <si>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</si>
  <si>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</si>
  <si>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</si>
  <si>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</si>
  <si>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</si>
  <si>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</si>
  <si>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</si>
  <si>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</si>
  <si>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</si>
  <si>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</si>
  <si>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</si>
  <si>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</si>
  <si>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</si>
  <si>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</si>
  <si>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</si>
  <si>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</si>
  <si>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</si>
  <si>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</si>
  <si>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</si>
  <si>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</si>
  <si>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</si>
  <si>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</si>
  <si>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</si>
  <si>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</si>
  <si>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</si>
  <si>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</si>
  <si>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</si>
  <si>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</si>
  <si>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</si>
  <si>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</si>
  <si>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</si>
  <si>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</si>
  <si>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</si>
  <si>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</si>
  <si>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</si>
  <si>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</si>
  <si>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</si>
  <si>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</si>
  <si>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</si>
  <si>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</si>
  <si>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</si>
  <si>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</si>
  <si>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</si>
  <si>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</si>
  <si>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</si>
  <si>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</si>
  <si>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</si>
  <si>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</si>
  <si>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</si>
  <si>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</si>
  <si>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</si>
  <si>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</si>
  <si>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</si>
  <si>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</si>
  <si>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</si>
  <si>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</si>
  <si>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</si>
  <si>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</si>
  <si>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</si>
  <si>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</si>
  <si>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</si>
  <si>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</si>
  <si>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</si>
  <si>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</si>
  <si>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</si>
  <si>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</si>
  <si>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</si>
  <si>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</si>
  <si>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</si>
  <si>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</si>
  <si>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</si>
  <si>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</si>
  <si>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</si>
  <si>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</si>
  <si>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</si>
  <si>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</si>
  <si>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</si>
  <si>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</si>
  <si>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</si>
  <si>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</si>
  <si>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</si>
  <si>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</si>
  <si>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</si>
  <si>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</si>
  <si>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</si>
  <si>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</si>
  <si>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</si>
  <si>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</si>
  <si>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</si>
  <si>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</si>
  <si>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</si>
  <si>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</si>
  <si>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</si>
  <si>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</si>
  <si>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</si>
  <si>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</si>
  <si>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</si>
  <si>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</si>
  <si>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</si>
  <si>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</si>
  <si>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</si>
  <si>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</si>
  <si>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</si>
  <si>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</si>
  <si>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</si>
  <si>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</si>
  <si>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</si>
  <si>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</si>
  <si>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</si>
  <si>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</si>
  <si>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</si>
  <si>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</si>
  <si>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</si>
  <si>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</si>
  <si>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</si>
  <si>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</si>
  <si>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</si>
  <si>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</si>
  <si>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</si>
  <si>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</si>
  <si>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</si>
  <si>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</si>
  <si>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</si>
  <si>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</si>
  <si>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</si>
  <si>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</si>
  <si>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</si>
  <si>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</si>
  <si>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</si>
  <si>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</si>
  <si>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</si>
  <si>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</si>
  <si>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</si>
  <si>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</si>
  <si>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</si>
  <si>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</si>
  <si>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</si>
  <si>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</si>
  <si>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</si>
  <si>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</si>
  <si>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</si>
  <si>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</si>
  <si>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</si>
  <si>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</si>
  <si>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</si>
  <si>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</si>
  <si>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</si>
  <si>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</si>
  <si>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</si>
  <si>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</si>
  <si>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</si>
  <si>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</si>
  <si>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</si>
  <si>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</si>
  <si>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</si>
  <si>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</si>
  <si>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</si>
  <si>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</si>
  <si>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</si>
  <si>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</si>
  <si>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</si>
  <si>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</si>
  <si>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</si>
  <si>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</si>
  <si>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</si>
  <si>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</si>
  <si>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</si>
  <si>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</si>
  <si>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</si>
  <si>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</si>
  <si>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</si>
  <si>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</si>
  <si>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</si>
  <si>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</si>
  <si>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</si>
  <si>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</si>
  <si>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</si>
  <si>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</si>
  <si>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</si>
  <si>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</si>
  <si>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</si>
  <si>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</si>
  <si>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</si>
  <si>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</si>
  <si>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</si>
  <si>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</si>
  <si>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</si>
  <si>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</si>
  <si>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</si>
  <si>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</si>
  <si>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</si>
  <si>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</si>
  <si>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</si>
  <si>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</si>
  <si>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</si>
  <si>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</si>
  <si>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</si>
  <si>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</si>
  <si>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</si>
  <si>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</si>
  <si>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</si>
  <si>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</si>
  <si>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</si>
  <si>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</si>
  <si>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</si>
  <si>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</si>
  <si>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</si>
  <si>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</si>
  <si>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</si>
  <si>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</si>
  <si>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</si>
  <si>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</si>
  <si>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</si>
  <si>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</si>
  <si>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</si>
  <si>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</si>
  <si>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</si>
  <si>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</si>
  <si>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</si>
  <si>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</si>
  <si>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</si>
  <si>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</si>
  <si>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</si>
  <si>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</si>
  <si>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</si>
  <si>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</si>
  <si>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</si>
  <si>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</si>
  <si>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</si>
  <si>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</si>
  <si>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</si>
  <si>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</si>
  <si>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</si>
  <si>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</si>
  <si>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</si>
  <si>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</si>
  <si>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</si>
  <si>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</si>
  <si>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</si>
  <si>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</si>
  <si>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</si>
  <si>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</si>
  <si>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</si>
  <si>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</si>
  <si>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</si>
  <si>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</si>
  <si>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</si>
  <si>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</si>
  <si>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</si>
  <si>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</si>
  <si>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</si>
  <si>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</si>
  <si>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</si>
  <si>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</si>
  <si>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</si>
  <si>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</si>
  <si>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</si>
  <si>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</si>
  <si>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</si>
  <si>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</si>
  <si>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</si>
  <si>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</si>
  <si>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</si>
  <si>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</si>
  <si>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</si>
  <si>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</si>
  <si>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</si>
  <si>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</si>
  <si>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</si>
  <si>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</si>
  <si>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</si>
  <si>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</si>
  <si>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</si>
  <si>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</si>
  <si>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</si>
  <si>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</si>
  <si>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</si>
  <si>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</si>
  <si>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</si>
  <si>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</si>
  <si>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</si>
  <si>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</si>
  <si>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</si>
  <si>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</si>
  <si>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</si>
  <si>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</si>
  <si>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</si>
  <si>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</si>
  <si>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</si>
  <si>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</si>
  <si>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</si>
  <si>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</si>
  <si>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</si>
  <si>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</si>
  <si>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</si>
  <si>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</si>
  <si>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</si>
  <si>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</si>
  <si>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</si>
  <si>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</si>
  <si>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</si>
  <si>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</si>
  <si>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</si>
  <si>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</si>
  <si>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</si>
  <si>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</si>
  <si>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</si>
  <si>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</si>
  <si>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</si>
  <si>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</si>
  <si>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</si>
  <si>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</si>
  <si>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</si>
  <si>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</si>
  <si>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</si>
  <si>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</si>
  <si>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</si>
  <si>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</si>
  <si>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</si>
  <si>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</si>
  <si>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</si>
  <si>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</si>
  <si>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</si>
  <si>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</si>
  <si>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</si>
  <si>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</si>
  <si>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</si>
  <si>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</si>
  <si>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</si>
  <si>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</si>
  <si>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</si>
  <si>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</si>
  <si>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</si>
  <si>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</si>
  <si>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</si>
  <si>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</si>
  <si>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</si>
  <si>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</si>
  <si>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</si>
  <si>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</si>
  <si>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</si>
  <si>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</si>
  <si>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</si>
  <si>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</si>
  <si>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</si>
  <si>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</si>
  <si>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</si>
  <si>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</si>
  <si>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</si>
  <si>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</si>
  <si>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</si>
  <si>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</si>
  <si>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</si>
  <si>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</si>
  <si>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</si>
  <si>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</si>
  <si>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</si>
  <si>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</si>
  <si>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</si>
  <si>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</si>
  <si>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</si>
  <si>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</si>
  <si>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</si>
  <si>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</si>
  <si>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</si>
  <si>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</si>
  <si>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</si>
  <si>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</si>
  <si>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</si>
  <si>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</si>
  <si>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</si>
  <si>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</si>
  <si>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</si>
  <si>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</si>
  <si>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</si>
  <si>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</si>
  <si>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</si>
  <si>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</si>
  <si>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</si>
  <si>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</si>
  <si>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</si>
  <si>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</si>
  <si>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</si>
  <si>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</si>
  <si>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</si>
  <si>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</si>
  <si>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</si>
  <si>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</si>
  <si>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</si>
  <si>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</si>
  <si>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</si>
  <si>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</si>
  <si>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</si>
  <si>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</si>
  <si>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</si>
  <si>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</si>
  <si>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</si>
  <si>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</si>
  <si>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</si>
  <si>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</si>
  <si>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</si>
  <si>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</si>
  <si>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</si>
  <si>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</si>
  <si>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</si>
  <si>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</si>
  <si>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</si>
  <si>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</si>
  <si>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</si>
  <si>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</si>
  <si>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</si>
  <si>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</si>
  <si>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</si>
  <si>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</si>
  <si>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</si>
  <si>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</si>
  <si>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</si>
  <si>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</si>
  <si>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</si>
  <si>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</si>
  <si>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</si>
  <si>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</si>
  <si>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</si>
  <si>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</si>
  <si>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</si>
  <si>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</si>
  <si>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</si>
  <si>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</si>
  <si>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</si>
  <si>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</si>
  <si>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</si>
  <si>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</si>
  <si>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</si>
  <si>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</si>
  <si>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</si>
  <si>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</si>
  <si>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</si>
  <si>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</si>
  <si>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</si>
  <si>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</si>
  <si>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</si>
  <si>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</si>
  <si>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</si>
  <si>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</si>
  <si>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</si>
  <si>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</si>
  <si>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</si>
  <si>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</si>
  <si>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</si>
  <si>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</si>
  <si>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</si>
  <si>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</si>
  <si>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</si>
  <si>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</si>
  <si>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</si>
  <si>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</si>
  <si>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</si>
  <si>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</si>
  <si>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</si>
  <si>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</si>
  <si>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</si>
  <si>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</si>
  <si>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</si>
  <si>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</si>
  <si>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</si>
  <si>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</si>
  <si>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</si>
  <si>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</si>
  <si>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</si>
  <si>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</si>
  <si>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</si>
  <si>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</si>
  <si>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</si>
  <si>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</si>
  <si>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</si>
  <si>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</si>
  <si>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</si>
  <si>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</si>
  <si>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</si>
  <si>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</si>
  <si>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</si>
  <si>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</si>
  <si>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</si>
  <si>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</si>
  <si>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</si>
  <si>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</si>
  <si>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</si>
  <si>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</si>
  <si>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</si>
  <si>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</si>
  <si>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</si>
  <si>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</si>
  <si>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</si>
  <si>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</si>
  <si>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</si>
  <si>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</si>
  <si>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</si>
  <si>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</si>
  <si>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</si>
  <si>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</si>
  <si>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</si>
  <si>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</si>
  <si>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</si>
  <si>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</si>
  <si>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</si>
  <si>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</si>
  <si>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</si>
  <si>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</si>
  <si>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</si>
  <si>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</si>
  <si>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</si>
  <si>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</si>
  <si>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</si>
  <si>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</si>
  <si>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</si>
  <si>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</si>
  <si>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</si>
  <si>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</si>
  <si>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</si>
  <si>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</si>
  <si>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</si>
  <si>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</si>
  <si>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</si>
  <si>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</si>
  <si>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</si>
  <si>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</si>
  <si>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</si>
  <si>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</si>
  <si>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</si>
  <si>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</si>
  <si>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</si>
  <si>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</si>
  <si>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</si>
  <si>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</si>
  <si>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</si>
  <si>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</si>
  <si>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</si>
  <si>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</si>
  <si>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</si>
  <si>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</si>
  <si>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</si>
  <si>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</si>
  <si>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</si>
  <si>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</si>
  <si>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</si>
  <si>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</si>
  <si>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</si>
  <si>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</si>
  <si>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</si>
  <si>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</si>
  <si>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</si>
  <si>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</si>
  <si>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</si>
  <si>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</si>
  <si>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</si>
  <si>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</si>
  <si>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</si>
  <si>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</si>
  <si>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</si>
  <si>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</si>
  <si>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</si>
  <si>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</si>
  <si>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</si>
  <si>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</si>
  <si>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</si>
  <si>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</si>
  <si>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</si>
  <si>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</si>
  <si>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</si>
  <si>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</si>
  <si>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</si>
  <si>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</si>
  <si>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</si>
  <si>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</si>
  <si>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</si>
  <si>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</si>
  <si>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</si>
  <si>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</si>
  <si>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</si>
  <si>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</si>
  <si>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</si>
  <si>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</si>
  <si>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</si>
  <si>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</si>
  <si>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</si>
  <si>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</si>
  <si>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</si>
  <si>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</si>
  <si>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</si>
  <si>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</si>
  <si>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</si>
  <si>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</si>
  <si>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</si>
  <si>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</si>
  <si>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</si>
  <si>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</si>
  <si>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</si>
  <si>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</si>
  <si>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</si>
  <si>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</si>
  <si>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</si>
  <si>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</si>
  <si>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</si>
  <si>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</si>
  <si>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</si>
  <si>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</si>
  <si>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</si>
  <si>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</si>
  <si>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</si>
  <si>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</si>
  <si>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</si>
  <si>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</si>
  <si>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</si>
  <si>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</si>
  <si>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</si>
  <si>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</si>
  <si>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</si>
  <si>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</si>
  <si>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</si>
  <si>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</si>
  <si>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</si>
  <si>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</si>
  <si>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</si>
  <si>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</si>
  <si>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</si>
  <si>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</si>
  <si>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</si>
  <si>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</si>
  <si>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</si>
  <si>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</si>
  <si>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</si>
  <si>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</si>
  <si>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</si>
  <si>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</si>
  <si>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</si>
  <si>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</si>
  <si>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</si>
  <si>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</si>
  <si>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</si>
  <si>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</si>
  <si>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</si>
  <si>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</si>
  <si>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</si>
  <si>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</si>
  <si>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</si>
  <si>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</si>
  <si>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</si>
  <si>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</si>
  <si>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</si>
  <si>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</si>
  <si>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</si>
  <si>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</si>
  <si>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</si>
  <si>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</si>
  <si>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</si>
  <si>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</si>
  <si>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</si>
  <si>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</si>
  <si>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</si>
  <si>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</si>
  <si>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</si>
  <si>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</si>
  <si>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</si>
  <si>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</si>
  <si>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</si>
  <si>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</si>
  <si>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</si>
  <si>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</si>
  <si>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</si>
  <si>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</si>
  <si>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</si>
  <si>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</si>
  <si>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</si>
  <si>
    <t>Carga Masiva Steelhead v12 - Compatibilidad Excel 2019</t>
  </si>
  <si>
    <t>aux: rank G2</t>
  </si>
  <si>
    <t>aux: cumple cond</t>
  </si>
  <si>
    <t>aux: 1ª aparición</t>
  </si>
  <si>
    <t>aux: rank único</t>
  </si>
  <si>
    <t>aux: criterio O2</t>
  </si>
  <si>
    <t>aux: rank O2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</si>
</sst>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Alignment="1">
      <alignment horizontal="left"/>
    </xf>
    <xf numFmtId="0" fontId="51" fillId="0" borderId="0" xfId="2" applyFont="1"/>
    <xf numFmtId="0" fontId="52" fillId="0" borderId="0" xfId="0" applyFont="1"/>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xf numFmtId="0" fontId="28" fillId="37" borderId="1" xfId="0" applyFont="1" applyFill="1" applyBorder="1" applyAlignment="1">
      <alignment vertical="center"/>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L9" activePane="bottomRight" state="frozen"/>
      <selection pane="topRight" activeCell="F1" sqref="F1"/>
      <selection pane="bottomLeft" activeCell="A9" sqref="A9"/>
      <selection pane="bottomRight" activeCell="U9" sqref="U9"/>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53" t="s">
        <v>2264</v>
      </c>
      <c r="B2" s="154"/>
      <c r="C2" s="154"/>
      <c r="D2" s="154"/>
      <c r="E2" s="154"/>
      <c r="F2" s="154"/>
      <c r="G2" s="155"/>
      <c r="H2" s="155"/>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41"/>
      <c r="K3" s="142"/>
      <c r="L3" s="142"/>
      <c r="M3" s="143"/>
      <c r="N3" s="112"/>
      <c r="O3" s="112"/>
      <c r="P3" s="117" t="s">
        <v>4</v>
      </c>
      <c r="Q3" s="156"/>
      <c r="R3" s="142"/>
      <c r="S3" s="143"/>
      <c r="T3" s="106" t="s">
        <v>2025</v>
      </c>
      <c r="U3" s="107">
        <f>COUNTIF($U$9:$U$508,$T3)</f>
        <v>500</v>
      </c>
    </row>
    <row r="4" spans="1:60" ht="22" customHeight="1" x14ac:dyDescent="0.15">
      <c r="A4" s="117" t="s">
        <v>5</v>
      </c>
      <c r="B4" s="118" t="s">
        <v>6</v>
      </c>
      <c r="C4" s="112"/>
      <c r="D4" s="112"/>
      <c r="E4" s="117" t="s">
        <v>7</v>
      </c>
      <c r="F4" s="119"/>
      <c r="G4" s="120" t="s">
        <v>76</v>
      </c>
      <c r="H4" s="115"/>
      <c r="I4" s="112"/>
      <c r="J4" s="144"/>
      <c r="K4" s="145"/>
      <c r="L4" s="145"/>
      <c r="M4" s="146"/>
      <c r="N4" s="112"/>
      <c r="O4" s="112"/>
      <c r="P4" s="112"/>
      <c r="Q4" s="144"/>
      <c r="R4" s="145"/>
      <c r="S4" s="146"/>
      <c r="T4" s="105"/>
      <c r="U4" s="107">
        <f>SUM(U2:U3)</f>
        <v>500</v>
      </c>
      <c r="W4" s="31" t="s">
        <v>2050</v>
      </c>
      <c r="Z4" s="129"/>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25"/>
      <c r="X5" s="126" t="s">
        <v>956</v>
      </c>
      <c r="AA5" s="126"/>
      <c r="AC5" s="126"/>
      <c r="AE5" s="130"/>
      <c r="AJ5" s="31" t="s">
        <v>957</v>
      </c>
    </row>
    <row r="6" spans="1:60" s="33" customFormat="1" ht="22" customHeight="1" x14ac:dyDescent="0.2">
      <c r="A6" s="166" t="s">
        <v>9</v>
      </c>
      <c r="B6" s="167"/>
      <c r="C6" s="161" t="s">
        <v>10</v>
      </c>
      <c r="D6" s="162"/>
      <c r="E6" s="162"/>
      <c r="F6" s="162"/>
      <c r="G6" s="162"/>
      <c r="H6" s="162"/>
      <c r="I6" s="158" t="s">
        <v>11</v>
      </c>
      <c r="J6" s="159"/>
      <c r="K6" s="159"/>
      <c r="L6" s="159"/>
      <c r="M6" s="160"/>
      <c r="N6" s="163" t="s">
        <v>1516</v>
      </c>
      <c r="O6" s="164"/>
      <c r="P6" s="164"/>
      <c r="Q6" s="164"/>
      <c r="R6" s="164"/>
      <c r="S6" s="164"/>
      <c r="T6" s="165"/>
      <c r="U6" s="32" t="s">
        <v>12</v>
      </c>
      <c r="V6" s="122" t="s">
        <v>2063</v>
      </c>
      <c r="W6" s="150" t="s">
        <v>13</v>
      </c>
      <c r="X6" s="151"/>
      <c r="Y6" s="151"/>
      <c r="Z6" s="151"/>
      <c r="AA6" s="151"/>
      <c r="AB6" s="151"/>
      <c r="AC6" s="151"/>
      <c r="AD6" s="152"/>
      <c r="AE6" s="157" t="s">
        <v>14</v>
      </c>
      <c r="AF6" s="138"/>
      <c r="AG6" s="138"/>
      <c r="AH6" s="139"/>
      <c r="AI6" s="137" t="s">
        <v>15</v>
      </c>
      <c r="AJ6" s="138"/>
      <c r="AK6" s="138"/>
      <c r="AL6" s="139"/>
      <c r="AM6" s="147" t="s">
        <v>16</v>
      </c>
      <c r="AN6" s="148"/>
      <c r="AO6" s="148"/>
      <c r="AP6" s="148"/>
      <c r="AQ6" s="148"/>
      <c r="AR6" s="149"/>
      <c r="AS6" s="140" t="s">
        <v>17</v>
      </c>
      <c r="AT6" s="138"/>
      <c r="AU6" s="138"/>
      <c r="AV6" s="138"/>
      <c r="AW6" s="138"/>
      <c r="AX6" s="138"/>
      <c r="AY6" s="138"/>
      <c r="AZ6" s="138"/>
      <c r="BA6" s="139"/>
      <c r="BB6" s="135" t="s">
        <v>1533</v>
      </c>
      <c r="BC6" s="136"/>
      <c r="BD6" s="136"/>
      <c r="BE6" s="136"/>
      <c r="BF6" s="136"/>
      <c r="BG6" s="136"/>
      <c r="BH6" s="136"/>
    </row>
    <row r="7" spans="1:60" ht="36" customHeight="1" x14ac:dyDescent="0.15">
      <c r="A7" s="34" t="s">
        <v>2054</v>
      </c>
      <c r="B7" s="36" t="s">
        <v>2056</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2061</v>
      </c>
      <c r="U7" s="37" t="s">
        <v>33</v>
      </c>
      <c r="V7" s="41" t="s">
        <v>81</v>
      </c>
      <c r="W7" s="127" t="s">
        <v>37</v>
      </c>
      <c r="X7" s="128" t="s">
        <v>38</v>
      </c>
      <c r="Y7" s="128" t="s">
        <v>39</v>
      </c>
      <c r="Z7" s="128" t="s">
        <v>40</v>
      </c>
      <c r="AA7" s="128" t="s">
        <v>2057</v>
      </c>
      <c r="AB7" s="128" t="s">
        <v>2058</v>
      </c>
      <c r="AC7" s="128" t="s">
        <v>2059</v>
      </c>
      <c r="AD7" s="128" t="s">
        <v>2060</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2055</v>
      </c>
      <c r="B9" s="123" t="s">
        <v>2053</v>
      </c>
      <c r="C9" s="50"/>
      <c r="D9" s="49" t="s">
        <v>76</v>
      </c>
      <c r="E9" s="50"/>
      <c r="F9" s="51"/>
      <c r="G9" s="52"/>
      <c r="H9" s="49" t="s">
        <v>75</v>
      </c>
      <c r="I9" s="53">
        <v>1</v>
      </c>
      <c r="J9" s="53"/>
      <c r="K9" s="53" t="s">
        <v>76</v>
      </c>
      <c r="L9" s="53" t="s">
        <v>77</v>
      </c>
      <c r="M9" s="54" t="s">
        <v>954</v>
      </c>
      <c r="N9" s="59" t="s">
        <v>76</v>
      </c>
      <c r="O9" s="49" t="s">
        <v>75</v>
      </c>
      <c r="P9" s="170"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2055</v>
      </c>
      <c r="B10" s="123" t="s">
        <v>2053</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2055</v>
      </c>
      <c r="B11" s="123" t="s">
        <v>2053</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2055</v>
      </c>
      <c r="B12" s="123" t="s">
        <v>2053</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2055</v>
      </c>
      <c r="B13" s="123" t="s">
        <v>2053</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2055</v>
      </c>
      <c r="B14" s="123" t="s">
        <v>2053</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2055</v>
      </c>
      <c r="B15" s="123" t="s">
        <v>2053</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2055</v>
      </c>
      <c r="B16" s="123" t="s">
        <v>2053</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2055</v>
      </c>
      <c r="B17" s="123" t="s">
        <v>2053</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2055</v>
      </c>
      <c r="B18" s="123" t="s">
        <v>2053</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2055</v>
      </c>
      <c r="B19" s="123" t="s">
        <v>2053</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2055</v>
      </c>
      <c r="B20" s="123" t="s">
        <v>2053</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2055</v>
      </c>
      <c r="B21" s="123" t="s">
        <v>2053</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2055</v>
      </c>
      <c r="B22" s="123" t="s">
        <v>2053</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2055</v>
      </c>
      <c r="B23" s="123" t="s">
        <v>2053</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2055</v>
      </c>
      <c r="B24" s="123" t="s">
        <v>2053</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2055</v>
      </c>
      <c r="B25" s="123" t="s">
        <v>2053</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2055</v>
      </c>
      <c r="B26" s="123" t="s">
        <v>2053</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2055</v>
      </c>
      <c r="B27" s="123" t="s">
        <v>2053</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2055</v>
      </c>
      <c r="B28" s="123" t="s">
        <v>2053</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2055</v>
      </c>
      <c r="B29" s="123" t="s">
        <v>2053</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2055</v>
      </c>
      <c r="B30" s="123" t="s">
        <v>2053</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2055</v>
      </c>
      <c r="B31" s="123" t="s">
        <v>2053</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2055</v>
      </c>
      <c r="B32" s="123" t="s">
        <v>2053</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2055</v>
      </c>
      <c r="B33" s="123" t="s">
        <v>2053</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2055</v>
      </c>
      <c r="B34" s="123" t="s">
        <v>2053</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2055</v>
      </c>
      <c r="B35" s="123" t="s">
        <v>2053</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2055</v>
      </c>
      <c r="B36" s="123" t="s">
        <v>2053</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2055</v>
      </c>
      <c r="B37" s="123" t="s">
        <v>2053</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2055</v>
      </c>
      <c r="B38" s="123" t="s">
        <v>2053</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2055</v>
      </c>
      <c r="B39" s="123" t="s">
        <v>2053</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2055</v>
      </c>
      <c r="B40" s="123" t="s">
        <v>2053</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2055</v>
      </c>
      <c r="B41" s="123" t="s">
        <v>2053</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2055</v>
      </c>
      <c r="B42" s="123" t="s">
        <v>2053</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2055</v>
      </c>
      <c r="B43" s="123" t="s">
        <v>2053</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2055</v>
      </c>
      <c r="B44" s="123" t="s">
        <v>2053</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2055</v>
      </c>
      <c r="B45" s="123" t="s">
        <v>2053</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2055</v>
      </c>
      <c r="B46" s="123" t="s">
        <v>2053</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2055</v>
      </c>
      <c r="B47" s="123" t="s">
        <v>2053</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2055</v>
      </c>
      <c r="B48" s="123" t="s">
        <v>2053</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2055</v>
      </c>
      <c r="B49" s="123" t="s">
        <v>2053</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2055</v>
      </c>
      <c r="B50" s="123" t="s">
        <v>2053</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2055</v>
      </c>
      <c r="B51" s="123" t="s">
        <v>2053</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2055</v>
      </c>
      <c r="B52" s="123" t="s">
        <v>2053</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2055</v>
      </c>
      <c r="B53" s="123" t="s">
        <v>2053</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2055</v>
      </c>
      <c r="B54" s="123" t="s">
        <v>2053</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2055</v>
      </c>
      <c r="B55" s="123" t="s">
        <v>2053</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2055</v>
      </c>
      <c r="B56" s="123" t="s">
        <v>2053</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2055</v>
      </c>
      <c r="B57" s="123" t="s">
        <v>2053</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2055</v>
      </c>
      <c r="B58" s="123" t="s">
        <v>2053</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2055</v>
      </c>
      <c r="B59" s="123" t="s">
        <v>2053</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2055</v>
      </c>
      <c r="B60" s="123" t="s">
        <v>2053</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2055</v>
      </c>
      <c r="B61" s="123" t="s">
        <v>2053</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2055</v>
      </c>
      <c r="B62" s="123" t="s">
        <v>2053</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2055</v>
      </c>
      <c r="B63" s="123" t="s">
        <v>2053</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2055</v>
      </c>
      <c r="B64" s="123" t="s">
        <v>2053</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2055</v>
      </c>
      <c r="B65" s="123" t="s">
        <v>2053</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2055</v>
      </c>
      <c r="B66" s="123" t="s">
        <v>2053</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2055</v>
      </c>
      <c r="B67" s="123" t="s">
        <v>2053</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2055</v>
      </c>
      <c r="B68" s="123" t="s">
        <v>2053</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2055</v>
      </c>
      <c r="B69" s="123" t="s">
        <v>2053</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2055</v>
      </c>
      <c r="B70" s="123" t="s">
        <v>2053</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2055</v>
      </c>
      <c r="B71" s="123" t="s">
        <v>2053</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2055</v>
      </c>
      <c r="B72" s="123" t="s">
        <v>2053</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2055</v>
      </c>
      <c r="B73" s="123" t="s">
        <v>2053</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2055</v>
      </c>
      <c r="B74" s="123" t="s">
        <v>2053</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2055</v>
      </c>
      <c r="B75" s="123" t="s">
        <v>2053</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2055</v>
      </c>
      <c r="B76" s="123" t="s">
        <v>2053</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2055</v>
      </c>
      <c r="B77" s="123" t="s">
        <v>2053</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2055</v>
      </c>
      <c r="B78" s="123" t="s">
        <v>2053</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2055</v>
      </c>
      <c r="B79" s="123" t="s">
        <v>2053</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2055</v>
      </c>
      <c r="B80" s="123" t="s">
        <v>2053</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2055</v>
      </c>
      <c r="B81" s="123" t="s">
        <v>2053</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2055</v>
      </c>
      <c r="B82" s="123" t="s">
        <v>2053</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2055</v>
      </c>
      <c r="B83" s="123" t="s">
        <v>2053</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2055</v>
      </c>
      <c r="B84" s="123" t="s">
        <v>2053</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2055</v>
      </c>
      <c r="B85" s="123" t="s">
        <v>2053</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2055</v>
      </c>
      <c r="B86" s="123" t="s">
        <v>2053</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2055</v>
      </c>
      <c r="B87" s="123" t="s">
        <v>2053</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2055</v>
      </c>
      <c r="B88" s="123" t="s">
        <v>2053</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2055</v>
      </c>
      <c r="B89" s="123" t="s">
        <v>2053</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2055</v>
      </c>
      <c r="B90" s="123" t="s">
        <v>2053</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2055</v>
      </c>
      <c r="B91" s="123" t="s">
        <v>2053</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2055</v>
      </c>
      <c r="B92" s="123" t="s">
        <v>2053</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2055</v>
      </c>
      <c r="B93" s="123" t="s">
        <v>2053</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2055</v>
      </c>
      <c r="B94" s="123" t="s">
        <v>2053</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2055</v>
      </c>
      <c r="B95" s="123" t="s">
        <v>2053</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2055</v>
      </c>
      <c r="B96" s="123" t="s">
        <v>2053</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2055</v>
      </c>
      <c r="B97" s="123" t="s">
        <v>2053</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2055</v>
      </c>
      <c r="B98" s="123" t="s">
        <v>2053</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2055</v>
      </c>
      <c r="B99" s="123" t="s">
        <v>2053</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2055</v>
      </c>
      <c r="B100" s="123" t="s">
        <v>2053</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2055</v>
      </c>
      <c r="B101" s="123" t="s">
        <v>2053</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2055</v>
      </c>
      <c r="B102" s="123" t="s">
        <v>2053</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2055</v>
      </c>
      <c r="B103" s="123" t="s">
        <v>2053</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2055</v>
      </c>
      <c r="B104" s="123" t="s">
        <v>2053</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2055</v>
      </c>
      <c r="B105" s="123" t="s">
        <v>2053</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2055</v>
      </c>
      <c r="B106" s="123" t="s">
        <v>2053</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2055</v>
      </c>
      <c r="B107" s="123" t="s">
        <v>2053</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2055</v>
      </c>
      <c r="B108" s="123" t="s">
        <v>2053</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2055</v>
      </c>
      <c r="B109" s="123" t="s">
        <v>2053</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2055</v>
      </c>
      <c r="B110" s="123" t="s">
        <v>2053</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2055</v>
      </c>
      <c r="B111" s="123" t="s">
        <v>2053</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2055</v>
      </c>
      <c r="B112" s="123" t="s">
        <v>2053</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2055</v>
      </c>
      <c r="B113" s="123" t="s">
        <v>2053</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2055</v>
      </c>
      <c r="B114" s="123" t="s">
        <v>2053</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2055</v>
      </c>
      <c r="B115" s="123" t="s">
        <v>2053</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2055</v>
      </c>
      <c r="B116" s="123" t="s">
        <v>2053</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2055</v>
      </c>
      <c r="B117" s="123" t="s">
        <v>2053</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2055</v>
      </c>
      <c r="B118" s="123" t="s">
        <v>2053</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2055</v>
      </c>
      <c r="B119" s="123" t="s">
        <v>2053</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2055</v>
      </c>
      <c r="B120" s="123" t="s">
        <v>2053</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2055</v>
      </c>
      <c r="B121" s="123" t="s">
        <v>2053</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2055</v>
      </c>
      <c r="B122" s="123" t="s">
        <v>2053</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2055</v>
      </c>
      <c r="B123" s="123" t="s">
        <v>2053</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2055</v>
      </c>
      <c r="B124" s="123" t="s">
        <v>2053</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2055</v>
      </c>
      <c r="B125" s="123" t="s">
        <v>2053</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2055</v>
      </c>
      <c r="B126" s="123" t="s">
        <v>2053</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2055</v>
      </c>
      <c r="B127" s="123" t="s">
        <v>2053</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2055</v>
      </c>
      <c r="B128" s="123" t="s">
        <v>2053</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2055</v>
      </c>
      <c r="B129" s="123" t="s">
        <v>2053</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2055</v>
      </c>
      <c r="B130" s="123" t="s">
        <v>2053</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2055</v>
      </c>
      <c r="B131" s="123" t="s">
        <v>2053</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2055</v>
      </c>
      <c r="B132" s="123" t="s">
        <v>2053</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2055</v>
      </c>
      <c r="B133" s="123" t="s">
        <v>2053</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2055</v>
      </c>
      <c r="B134" s="123" t="s">
        <v>2053</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2055</v>
      </c>
      <c r="B135" s="123" t="s">
        <v>2053</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2055</v>
      </c>
      <c r="B136" s="123" t="s">
        <v>2053</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2055</v>
      </c>
      <c r="B137" s="123" t="s">
        <v>2053</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2055</v>
      </c>
      <c r="B138" s="123" t="s">
        <v>2053</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2055</v>
      </c>
      <c r="B139" s="123" t="s">
        <v>2053</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2055</v>
      </c>
      <c r="B140" s="123" t="s">
        <v>2053</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2055</v>
      </c>
      <c r="B141" s="123" t="s">
        <v>2053</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2055</v>
      </c>
      <c r="B142" s="123" t="s">
        <v>2053</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2055</v>
      </c>
      <c r="B143" s="123" t="s">
        <v>2053</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2055</v>
      </c>
      <c r="B144" s="123" t="s">
        <v>2053</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2055</v>
      </c>
      <c r="B145" s="123" t="s">
        <v>2053</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2055</v>
      </c>
      <c r="B146" s="123" t="s">
        <v>2053</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2055</v>
      </c>
      <c r="B147" s="123" t="s">
        <v>2053</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2055</v>
      </c>
      <c r="B148" s="123" t="s">
        <v>2053</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2055</v>
      </c>
      <c r="B149" s="123" t="s">
        <v>2053</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2055</v>
      </c>
      <c r="B150" s="123" t="s">
        <v>2053</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2055</v>
      </c>
      <c r="B151" s="123" t="s">
        <v>2053</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2055</v>
      </c>
      <c r="B152" s="123" t="s">
        <v>2053</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2055</v>
      </c>
      <c r="B153" s="123" t="s">
        <v>2053</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2055</v>
      </c>
      <c r="B154" s="123" t="s">
        <v>2053</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2055</v>
      </c>
      <c r="B155" s="123" t="s">
        <v>2053</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2055</v>
      </c>
      <c r="B156" s="123" t="s">
        <v>2053</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2055</v>
      </c>
      <c r="B157" s="123" t="s">
        <v>2053</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2055</v>
      </c>
      <c r="B158" s="123" t="s">
        <v>2053</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2055</v>
      </c>
      <c r="B159" s="123" t="s">
        <v>2053</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2055</v>
      </c>
      <c r="B160" s="123" t="s">
        <v>2053</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2055</v>
      </c>
      <c r="B161" s="123" t="s">
        <v>2053</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2055</v>
      </c>
      <c r="B162" s="123" t="s">
        <v>2053</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2055</v>
      </c>
      <c r="B163" s="123" t="s">
        <v>2053</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2055</v>
      </c>
      <c r="B164" s="123" t="s">
        <v>2053</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2055</v>
      </c>
      <c r="B165" s="123" t="s">
        <v>2053</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2055</v>
      </c>
      <c r="B166" s="123" t="s">
        <v>2053</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2055</v>
      </c>
      <c r="B167" s="123" t="s">
        <v>2053</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2055</v>
      </c>
      <c r="B168" s="123" t="s">
        <v>2053</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2055</v>
      </c>
      <c r="B169" s="123" t="s">
        <v>2053</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2055</v>
      </c>
      <c r="B170" s="123" t="s">
        <v>2053</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2055</v>
      </c>
      <c r="B171" s="123" t="s">
        <v>2053</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2055</v>
      </c>
      <c r="B172" s="123" t="s">
        <v>2053</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2055</v>
      </c>
      <c r="B173" s="123" t="s">
        <v>2053</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2055</v>
      </c>
      <c r="B174" s="123" t="s">
        <v>2053</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2055</v>
      </c>
      <c r="B175" s="123" t="s">
        <v>2053</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2055</v>
      </c>
      <c r="B176" s="123" t="s">
        <v>2053</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2055</v>
      </c>
      <c r="B177" s="123" t="s">
        <v>2053</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2055</v>
      </c>
      <c r="B178" s="123" t="s">
        <v>2053</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2055</v>
      </c>
      <c r="B179" s="123" t="s">
        <v>2053</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2055</v>
      </c>
      <c r="B180" s="123" t="s">
        <v>2053</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2055</v>
      </c>
      <c r="B181" s="123" t="s">
        <v>2053</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2055</v>
      </c>
      <c r="B182" s="123" t="s">
        <v>2053</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2055</v>
      </c>
      <c r="B183" s="123" t="s">
        <v>2053</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2055</v>
      </c>
      <c r="B184" s="123" t="s">
        <v>2053</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2055</v>
      </c>
      <c r="B185" s="123" t="s">
        <v>2053</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2055</v>
      </c>
      <c r="B186" s="123" t="s">
        <v>2053</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2055</v>
      </c>
      <c r="B187" s="123" t="s">
        <v>2053</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2055</v>
      </c>
      <c r="B188" s="123" t="s">
        <v>2053</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2055</v>
      </c>
      <c r="B189" s="123" t="s">
        <v>2053</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2055</v>
      </c>
      <c r="B190" s="123" t="s">
        <v>2053</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2055</v>
      </c>
      <c r="B191" s="123" t="s">
        <v>2053</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2055</v>
      </c>
      <c r="B192" s="123" t="s">
        <v>2053</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2055</v>
      </c>
      <c r="B193" s="123" t="s">
        <v>2053</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2055</v>
      </c>
      <c r="B194" s="123" t="s">
        <v>2053</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2055</v>
      </c>
      <c r="B195" s="123" t="s">
        <v>2053</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2055</v>
      </c>
      <c r="B196" s="123" t="s">
        <v>2053</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2055</v>
      </c>
      <c r="B197" s="123" t="s">
        <v>2053</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2055</v>
      </c>
      <c r="B198" s="123" t="s">
        <v>2053</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2055</v>
      </c>
      <c r="B199" s="123" t="s">
        <v>2053</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2055</v>
      </c>
      <c r="B200" s="123" t="s">
        <v>2053</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2055</v>
      </c>
      <c r="B201" s="123" t="s">
        <v>2053</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2055</v>
      </c>
      <c r="B202" s="123" t="s">
        <v>2053</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2055</v>
      </c>
      <c r="B203" s="123" t="s">
        <v>2053</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2055</v>
      </c>
      <c r="B204" s="123" t="s">
        <v>2053</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2055</v>
      </c>
      <c r="B205" s="123" t="s">
        <v>2053</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2055</v>
      </c>
      <c r="B206" s="123" t="s">
        <v>2053</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2055</v>
      </c>
      <c r="B207" s="123" t="s">
        <v>2053</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2055</v>
      </c>
      <c r="B208" s="123" t="s">
        <v>2053</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2055</v>
      </c>
      <c r="B209" s="123" t="s">
        <v>2053</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2055</v>
      </c>
      <c r="B210" s="123" t="s">
        <v>2053</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2055</v>
      </c>
      <c r="B211" s="123" t="s">
        <v>2053</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2055</v>
      </c>
      <c r="B212" s="123" t="s">
        <v>2053</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2055</v>
      </c>
      <c r="B213" s="123" t="s">
        <v>2053</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2055</v>
      </c>
      <c r="B214" s="123" t="s">
        <v>2053</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2055</v>
      </c>
      <c r="B215" s="123" t="s">
        <v>2053</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2055</v>
      </c>
      <c r="B216" s="123" t="s">
        <v>2053</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2055</v>
      </c>
      <c r="B217" s="123" t="s">
        <v>2053</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2055</v>
      </c>
      <c r="B218" s="123" t="s">
        <v>2053</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2055</v>
      </c>
      <c r="B219" s="123" t="s">
        <v>2053</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2055</v>
      </c>
      <c r="B220" s="123" t="s">
        <v>2053</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2055</v>
      </c>
      <c r="B221" s="123" t="s">
        <v>2053</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2055</v>
      </c>
      <c r="B222" s="123" t="s">
        <v>2053</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2055</v>
      </c>
      <c r="B223" s="123" t="s">
        <v>2053</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2055</v>
      </c>
      <c r="B224" s="123" t="s">
        <v>2053</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2055</v>
      </c>
      <c r="B225" s="123" t="s">
        <v>2053</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2055</v>
      </c>
      <c r="B226" s="123" t="s">
        <v>2053</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2055</v>
      </c>
      <c r="B227" s="123" t="s">
        <v>2053</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2055</v>
      </c>
      <c r="B228" s="123" t="s">
        <v>2053</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2055</v>
      </c>
      <c r="B229" s="123" t="s">
        <v>2053</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2055</v>
      </c>
      <c r="B230" s="123" t="s">
        <v>2053</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2055</v>
      </c>
      <c r="B231" s="123" t="s">
        <v>2053</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2055</v>
      </c>
      <c r="B232" s="123" t="s">
        <v>2053</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2055</v>
      </c>
      <c r="B233" s="123" t="s">
        <v>2053</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2055</v>
      </c>
      <c r="B234" s="123" t="s">
        <v>2053</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2055</v>
      </c>
      <c r="B235" s="123" t="s">
        <v>2053</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2055</v>
      </c>
      <c r="B236" s="123" t="s">
        <v>2053</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2055</v>
      </c>
      <c r="B237" s="123" t="s">
        <v>2053</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2055</v>
      </c>
      <c r="B238" s="123" t="s">
        <v>2053</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2055</v>
      </c>
      <c r="B239" s="123" t="s">
        <v>2053</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2055</v>
      </c>
      <c r="B240" s="123" t="s">
        <v>2053</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2055</v>
      </c>
      <c r="B241" s="123" t="s">
        <v>2053</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2055</v>
      </c>
      <c r="B242" s="123" t="s">
        <v>2053</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2055</v>
      </c>
      <c r="B243" s="123" t="s">
        <v>2053</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2055</v>
      </c>
      <c r="B244" s="123" t="s">
        <v>2053</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2055</v>
      </c>
      <c r="B245" s="123" t="s">
        <v>2053</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2055</v>
      </c>
      <c r="B246" s="123" t="s">
        <v>2053</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2055</v>
      </c>
      <c r="B247" s="123" t="s">
        <v>2053</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2055</v>
      </c>
      <c r="B248" s="123" t="s">
        <v>2053</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2055</v>
      </c>
      <c r="B249" s="123" t="s">
        <v>2053</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2055</v>
      </c>
      <c r="B250" s="123" t="s">
        <v>2053</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2055</v>
      </c>
      <c r="B251" s="123" t="s">
        <v>2053</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2055</v>
      </c>
      <c r="B252" s="123" t="s">
        <v>2053</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2055</v>
      </c>
      <c r="B253" s="123" t="s">
        <v>2053</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2055</v>
      </c>
      <c r="B254" s="123" t="s">
        <v>2053</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2055</v>
      </c>
      <c r="B255" s="123" t="s">
        <v>2053</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2055</v>
      </c>
      <c r="B256" s="123" t="s">
        <v>2053</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2055</v>
      </c>
      <c r="B257" s="123" t="s">
        <v>2053</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2055</v>
      </c>
      <c r="B258" s="123" t="s">
        <v>2053</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2055</v>
      </c>
      <c r="B259" s="123" t="s">
        <v>2053</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2055</v>
      </c>
      <c r="B260" s="123" t="s">
        <v>2053</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2055</v>
      </c>
      <c r="B261" s="123" t="s">
        <v>2053</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2055</v>
      </c>
      <c r="B262" s="123" t="s">
        <v>2053</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2055</v>
      </c>
      <c r="B263" s="123" t="s">
        <v>2053</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2055</v>
      </c>
      <c r="B264" s="123" t="s">
        <v>2053</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2055</v>
      </c>
      <c r="B265" s="123" t="s">
        <v>2053</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2055</v>
      </c>
      <c r="B266" s="123" t="s">
        <v>2053</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2055</v>
      </c>
      <c r="B267" s="123" t="s">
        <v>2053</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2055</v>
      </c>
      <c r="B268" s="123" t="s">
        <v>2053</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2055</v>
      </c>
      <c r="B269" s="123" t="s">
        <v>2053</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2055</v>
      </c>
      <c r="B270" s="123" t="s">
        <v>2053</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2055</v>
      </c>
      <c r="B271" s="123" t="s">
        <v>2053</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2055</v>
      </c>
      <c r="B272" s="123" t="s">
        <v>2053</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2055</v>
      </c>
      <c r="B273" s="123" t="s">
        <v>2053</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2055</v>
      </c>
      <c r="B274" s="123" t="s">
        <v>2053</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2055</v>
      </c>
      <c r="B275" s="123" t="s">
        <v>2053</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2055</v>
      </c>
      <c r="B276" s="123" t="s">
        <v>2053</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2055</v>
      </c>
      <c r="B277" s="123" t="s">
        <v>2053</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2055</v>
      </c>
      <c r="B278" s="123" t="s">
        <v>2053</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2055</v>
      </c>
      <c r="B279" s="123" t="s">
        <v>2053</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2055</v>
      </c>
      <c r="B280" s="123" t="s">
        <v>2053</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2055</v>
      </c>
      <c r="B281" s="123" t="s">
        <v>2053</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2055</v>
      </c>
      <c r="B282" s="123" t="s">
        <v>2053</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2055</v>
      </c>
      <c r="B283" s="123" t="s">
        <v>2053</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2055</v>
      </c>
      <c r="B284" s="123" t="s">
        <v>2053</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2055</v>
      </c>
      <c r="B285" s="123" t="s">
        <v>2053</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2055</v>
      </c>
      <c r="B286" s="123" t="s">
        <v>2053</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2055</v>
      </c>
      <c r="B287" s="123" t="s">
        <v>2053</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2055</v>
      </c>
      <c r="B288" s="123" t="s">
        <v>2053</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2055</v>
      </c>
      <c r="B289" s="123" t="s">
        <v>2053</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2055</v>
      </c>
      <c r="B290" s="123" t="s">
        <v>2053</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2055</v>
      </c>
      <c r="B291" s="123" t="s">
        <v>2053</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2055</v>
      </c>
      <c r="B292" s="123" t="s">
        <v>2053</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2055</v>
      </c>
      <c r="B293" s="123" t="s">
        <v>2053</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2055</v>
      </c>
      <c r="B294" s="123" t="s">
        <v>2053</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2055</v>
      </c>
      <c r="B295" s="123" t="s">
        <v>2053</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2055</v>
      </c>
      <c r="B296" s="123" t="s">
        <v>2053</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2055</v>
      </c>
      <c r="B297" s="123" t="s">
        <v>2053</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2055</v>
      </c>
      <c r="B298" s="123" t="s">
        <v>2053</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2055</v>
      </c>
      <c r="B299" s="123" t="s">
        <v>2053</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2055</v>
      </c>
      <c r="B300" s="123" t="s">
        <v>2053</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2055</v>
      </c>
      <c r="B301" s="123" t="s">
        <v>2053</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2055</v>
      </c>
      <c r="B302" s="123" t="s">
        <v>2053</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2055</v>
      </c>
      <c r="B303" s="123" t="s">
        <v>2053</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2055</v>
      </c>
      <c r="B304" s="123" t="s">
        <v>2053</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2055</v>
      </c>
      <c r="B305" s="123" t="s">
        <v>2053</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2055</v>
      </c>
      <c r="B306" s="123" t="s">
        <v>2053</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2055</v>
      </c>
      <c r="B307" s="123" t="s">
        <v>2053</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2055</v>
      </c>
      <c r="B308" s="123" t="s">
        <v>2053</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2055</v>
      </c>
      <c r="B309" s="123" t="s">
        <v>2053</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2055</v>
      </c>
      <c r="B310" s="123" t="s">
        <v>2053</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2055</v>
      </c>
      <c r="B311" s="123" t="s">
        <v>2053</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2055</v>
      </c>
      <c r="B312" s="123" t="s">
        <v>2053</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2055</v>
      </c>
      <c r="B313" s="123" t="s">
        <v>2053</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2055</v>
      </c>
      <c r="B314" s="123" t="s">
        <v>2053</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2055</v>
      </c>
      <c r="B315" s="123" t="s">
        <v>2053</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2055</v>
      </c>
      <c r="B316" s="123" t="s">
        <v>2053</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2055</v>
      </c>
      <c r="B317" s="123" t="s">
        <v>2053</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2055</v>
      </c>
      <c r="B318" s="123" t="s">
        <v>2053</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2055</v>
      </c>
      <c r="B319" s="123" t="s">
        <v>2053</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2055</v>
      </c>
      <c r="B320" s="123" t="s">
        <v>2053</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2055</v>
      </c>
      <c r="B321" s="123" t="s">
        <v>2053</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2055</v>
      </c>
      <c r="B322" s="123" t="s">
        <v>2053</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2055</v>
      </c>
      <c r="B323" s="123" t="s">
        <v>2053</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2055</v>
      </c>
      <c r="B324" s="123" t="s">
        <v>2053</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2055</v>
      </c>
      <c r="B325" s="123" t="s">
        <v>2053</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2055</v>
      </c>
      <c r="B326" s="123" t="s">
        <v>2053</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2055</v>
      </c>
      <c r="B327" s="123" t="s">
        <v>2053</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2055</v>
      </c>
      <c r="B328" s="123" t="s">
        <v>2053</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2055</v>
      </c>
      <c r="B329" s="123" t="s">
        <v>2053</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2055</v>
      </c>
      <c r="B330" s="123" t="s">
        <v>2053</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2055</v>
      </c>
      <c r="B331" s="123" t="s">
        <v>2053</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2055</v>
      </c>
      <c r="B332" s="123" t="s">
        <v>2053</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2055</v>
      </c>
      <c r="B333" s="123" t="s">
        <v>2053</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2055</v>
      </c>
      <c r="B334" s="123" t="s">
        <v>2053</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2055</v>
      </c>
      <c r="B335" s="123" t="s">
        <v>2053</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2055</v>
      </c>
      <c r="B336" s="123" t="s">
        <v>2053</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2055</v>
      </c>
      <c r="B337" s="123" t="s">
        <v>2053</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2055</v>
      </c>
      <c r="B338" s="123" t="s">
        <v>2053</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2055</v>
      </c>
      <c r="B339" s="123" t="s">
        <v>2053</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2055</v>
      </c>
      <c r="B340" s="123" t="s">
        <v>2053</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2055</v>
      </c>
      <c r="B341" s="123" t="s">
        <v>2053</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2055</v>
      </c>
      <c r="B342" s="123" t="s">
        <v>2053</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2055</v>
      </c>
      <c r="B343" s="123" t="s">
        <v>2053</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2055</v>
      </c>
      <c r="B344" s="123" t="s">
        <v>2053</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2055</v>
      </c>
      <c r="B345" s="123" t="s">
        <v>2053</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2055</v>
      </c>
      <c r="B346" s="123" t="s">
        <v>2053</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2055</v>
      </c>
      <c r="B347" s="123" t="s">
        <v>2053</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2055</v>
      </c>
      <c r="B348" s="123" t="s">
        <v>2053</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2055</v>
      </c>
      <c r="B349" s="123" t="s">
        <v>2053</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2055</v>
      </c>
      <c r="B350" s="123" t="s">
        <v>2053</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2055</v>
      </c>
      <c r="B351" s="123" t="s">
        <v>2053</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2055</v>
      </c>
      <c r="B352" s="123" t="s">
        <v>2053</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2055</v>
      </c>
      <c r="B353" s="123" t="s">
        <v>2053</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2055</v>
      </c>
      <c r="B354" s="123" t="s">
        <v>2053</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2055</v>
      </c>
      <c r="B355" s="123" t="s">
        <v>2053</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2055</v>
      </c>
      <c r="B356" s="123" t="s">
        <v>2053</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2055</v>
      </c>
      <c r="B357" s="123" t="s">
        <v>2053</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2055</v>
      </c>
      <c r="B358" s="123" t="s">
        <v>2053</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2055</v>
      </c>
      <c r="B359" s="123" t="s">
        <v>2053</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2055</v>
      </c>
      <c r="B360" s="123" t="s">
        <v>2053</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2055</v>
      </c>
      <c r="B361" s="123" t="s">
        <v>2053</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2055</v>
      </c>
      <c r="B362" s="123" t="s">
        <v>2053</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2055</v>
      </c>
      <c r="B363" s="123" t="s">
        <v>2053</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2055</v>
      </c>
      <c r="B364" s="123" t="s">
        <v>2053</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2055</v>
      </c>
      <c r="B365" s="123" t="s">
        <v>2053</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2055</v>
      </c>
      <c r="B366" s="123" t="s">
        <v>2053</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2055</v>
      </c>
      <c r="B367" s="123" t="s">
        <v>2053</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2055</v>
      </c>
      <c r="B368" s="123" t="s">
        <v>2053</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2055</v>
      </c>
      <c r="B369" s="123" t="s">
        <v>2053</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2055</v>
      </c>
      <c r="B370" s="123" t="s">
        <v>2053</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2055</v>
      </c>
      <c r="B371" s="123" t="s">
        <v>2053</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2055</v>
      </c>
      <c r="B372" s="123" t="s">
        <v>2053</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2055</v>
      </c>
      <c r="B373" s="123" t="s">
        <v>2053</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2055</v>
      </c>
      <c r="B374" s="123" t="s">
        <v>2053</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2055</v>
      </c>
      <c r="B375" s="123" t="s">
        <v>2053</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2055</v>
      </c>
      <c r="B376" s="123" t="s">
        <v>2053</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2055</v>
      </c>
      <c r="B377" s="123" t="s">
        <v>2053</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2055</v>
      </c>
      <c r="B378" s="123" t="s">
        <v>2053</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2055</v>
      </c>
      <c r="B379" s="123" t="s">
        <v>2053</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2055</v>
      </c>
      <c r="B380" s="123" t="s">
        <v>2053</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2055</v>
      </c>
      <c r="B381" s="123" t="s">
        <v>2053</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2055</v>
      </c>
      <c r="B382" s="123" t="s">
        <v>2053</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2055</v>
      </c>
      <c r="B383" s="123" t="s">
        <v>2053</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2055</v>
      </c>
      <c r="B384" s="123" t="s">
        <v>2053</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2055</v>
      </c>
      <c r="B385" s="123" t="s">
        <v>2053</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2055</v>
      </c>
      <c r="B386" s="123" t="s">
        <v>2053</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2055</v>
      </c>
      <c r="B387" s="123" t="s">
        <v>2053</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2055</v>
      </c>
      <c r="B388" s="123" t="s">
        <v>2053</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2055</v>
      </c>
      <c r="B389" s="123" t="s">
        <v>2053</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2055</v>
      </c>
      <c r="B390" s="123" t="s">
        <v>2053</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2055</v>
      </c>
      <c r="B391" s="123" t="s">
        <v>2053</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2055</v>
      </c>
      <c r="B392" s="123" t="s">
        <v>2053</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2055</v>
      </c>
      <c r="B393" s="123" t="s">
        <v>2053</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2055</v>
      </c>
      <c r="B394" s="123" t="s">
        <v>2053</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2055</v>
      </c>
      <c r="B395" s="123" t="s">
        <v>2053</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2055</v>
      </c>
      <c r="B396" s="123" t="s">
        <v>2053</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2055</v>
      </c>
      <c r="B397" s="123" t="s">
        <v>2053</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2055</v>
      </c>
      <c r="B398" s="123" t="s">
        <v>2053</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2055</v>
      </c>
      <c r="B399" s="123" t="s">
        <v>2053</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2055</v>
      </c>
      <c r="B400" s="123" t="s">
        <v>2053</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2055</v>
      </c>
      <c r="B401" s="123" t="s">
        <v>2053</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2055</v>
      </c>
      <c r="B402" s="123" t="s">
        <v>2053</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2055</v>
      </c>
      <c r="B403" s="123" t="s">
        <v>2053</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2055</v>
      </c>
      <c r="B404" s="123" t="s">
        <v>2053</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2055</v>
      </c>
      <c r="B405" s="123" t="s">
        <v>2053</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2055</v>
      </c>
      <c r="B406" s="123" t="s">
        <v>2053</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2055</v>
      </c>
      <c r="B407" s="123" t="s">
        <v>2053</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2055</v>
      </c>
      <c r="B408" s="123" t="s">
        <v>2053</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2055</v>
      </c>
      <c r="B409" s="123" t="s">
        <v>2053</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2055</v>
      </c>
      <c r="B410" s="123" t="s">
        <v>2053</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2055</v>
      </c>
      <c r="B411" s="123" t="s">
        <v>2053</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2055</v>
      </c>
      <c r="B412" s="123" t="s">
        <v>2053</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2055</v>
      </c>
      <c r="B413" s="123" t="s">
        <v>2053</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2055</v>
      </c>
      <c r="B414" s="123" t="s">
        <v>2053</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2055</v>
      </c>
      <c r="B415" s="123" t="s">
        <v>2053</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2055</v>
      </c>
      <c r="B416" s="123" t="s">
        <v>2053</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2055</v>
      </c>
      <c r="B417" s="123" t="s">
        <v>2053</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2055</v>
      </c>
      <c r="B418" s="123" t="s">
        <v>2053</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2055</v>
      </c>
      <c r="B419" s="123" t="s">
        <v>2053</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2055</v>
      </c>
      <c r="B420" s="123" t="s">
        <v>2053</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2055</v>
      </c>
      <c r="B421" s="123" t="s">
        <v>2053</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2055</v>
      </c>
      <c r="B422" s="123" t="s">
        <v>2053</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2055</v>
      </c>
      <c r="B423" s="123" t="s">
        <v>2053</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2055</v>
      </c>
      <c r="B424" s="123" t="s">
        <v>2053</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2055</v>
      </c>
      <c r="B425" s="123" t="s">
        <v>2053</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2055</v>
      </c>
      <c r="B426" s="123" t="s">
        <v>2053</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2055</v>
      </c>
      <c r="B427" s="123" t="s">
        <v>2053</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2055</v>
      </c>
      <c r="B428" s="123" t="s">
        <v>2053</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2055</v>
      </c>
      <c r="B429" s="123" t="s">
        <v>2053</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2055</v>
      </c>
      <c r="B430" s="123" t="s">
        <v>2053</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2055</v>
      </c>
      <c r="B431" s="123" t="s">
        <v>2053</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2055</v>
      </c>
      <c r="B432" s="123" t="s">
        <v>2053</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2055</v>
      </c>
      <c r="B433" s="123" t="s">
        <v>2053</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2055</v>
      </c>
      <c r="B434" s="123" t="s">
        <v>2053</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2055</v>
      </c>
      <c r="B435" s="123" t="s">
        <v>2053</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2055</v>
      </c>
      <c r="B436" s="123" t="s">
        <v>2053</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2055</v>
      </c>
      <c r="B437" s="123" t="s">
        <v>2053</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2055</v>
      </c>
      <c r="B438" s="123" t="s">
        <v>2053</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2055</v>
      </c>
      <c r="B439" s="123" t="s">
        <v>2053</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2055</v>
      </c>
      <c r="B440" s="123" t="s">
        <v>2053</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2055</v>
      </c>
      <c r="B441" s="123" t="s">
        <v>2053</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2055</v>
      </c>
      <c r="B442" s="123" t="s">
        <v>2053</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2055</v>
      </c>
      <c r="B443" s="123" t="s">
        <v>2053</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2055</v>
      </c>
      <c r="B444" s="123" t="s">
        <v>2053</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2055</v>
      </c>
      <c r="B445" s="123" t="s">
        <v>2053</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2055</v>
      </c>
      <c r="B446" s="123" t="s">
        <v>2053</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2055</v>
      </c>
      <c r="B447" s="123" t="s">
        <v>2053</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2055</v>
      </c>
      <c r="B448" s="123" t="s">
        <v>2053</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2055</v>
      </c>
      <c r="B449" s="123" t="s">
        <v>2053</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2055</v>
      </c>
      <c r="B450" s="123" t="s">
        <v>2053</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2055</v>
      </c>
      <c r="B451" s="123" t="s">
        <v>2053</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2055</v>
      </c>
      <c r="B452" s="123" t="s">
        <v>2053</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2055</v>
      </c>
      <c r="B453" s="123" t="s">
        <v>2053</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2055</v>
      </c>
      <c r="B454" s="123" t="s">
        <v>2053</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2055</v>
      </c>
      <c r="B455" s="123" t="s">
        <v>2053</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2055</v>
      </c>
      <c r="B456" s="123" t="s">
        <v>2053</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2055</v>
      </c>
      <c r="B457" s="123" t="s">
        <v>2053</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2055</v>
      </c>
      <c r="B458" s="123" t="s">
        <v>2053</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2055</v>
      </c>
      <c r="B459" s="123" t="s">
        <v>2053</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2055</v>
      </c>
      <c r="B460" s="123" t="s">
        <v>2053</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2055</v>
      </c>
      <c r="B461" s="123" t="s">
        <v>2053</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2055</v>
      </c>
      <c r="B462" s="123" t="s">
        <v>2053</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2055</v>
      </c>
      <c r="B463" s="123" t="s">
        <v>2053</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2055</v>
      </c>
      <c r="B464" s="123" t="s">
        <v>2053</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2055</v>
      </c>
      <c r="B465" s="123" t="s">
        <v>2053</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2055</v>
      </c>
      <c r="B466" s="123" t="s">
        <v>2053</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2055</v>
      </c>
      <c r="B467" s="123" t="s">
        <v>2053</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2055</v>
      </c>
      <c r="B468" s="123" t="s">
        <v>2053</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2055</v>
      </c>
      <c r="B469" s="123" t="s">
        <v>2053</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2055</v>
      </c>
      <c r="B470" s="123" t="s">
        <v>2053</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2055</v>
      </c>
      <c r="B471" s="123" t="s">
        <v>2053</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2055</v>
      </c>
      <c r="B472" s="123" t="s">
        <v>2053</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2055</v>
      </c>
      <c r="B473" s="123" t="s">
        <v>2053</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2055</v>
      </c>
      <c r="B474" s="123" t="s">
        <v>2053</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2055</v>
      </c>
      <c r="B475" s="123" t="s">
        <v>2053</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2055</v>
      </c>
      <c r="B476" s="123" t="s">
        <v>2053</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2055</v>
      </c>
      <c r="B477" s="123" t="s">
        <v>2053</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2055</v>
      </c>
      <c r="B478" s="123" t="s">
        <v>2053</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2055</v>
      </c>
      <c r="B479" s="123" t="s">
        <v>2053</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2055</v>
      </c>
      <c r="B480" s="123" t="s">
        <v>2053</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2055</v>
      </c>
      <c r="B481" s="123" t="s">
        <v>2053</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2055</v>
      </c>
      <c r="B482" s="123" t="s">
        <v>2053</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2055</v>
      </c>
      <c r="B483" s="123" t="s">
        <v>2053</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2055</v>
      </c>
      <c r="B484" s="123" t="s">
        <v>2053</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2055</v>
      </c>
      <c r="B485" s="123" t="s">
        <v>2053</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2055</v>
      </c>
      <c r="B486" s="123" t="s">
        <v>2053</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2055</v>
      </c>
      <c r="B487" s="123" t="s">
        <v>2053</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2055</v>
      </c>
      <c r="B488" s="123" t="s">
        <v>2053</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2055</v>
      </c>
      <c r="B489" s="123" t="s">
        <v>2053</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2055</v>
      </c>
      <c r="B490" s="123" t="s">
        <v>2053</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2055</v>
      </c>
      <c r="B491" s="123" t="s">
        <v>2053</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2055</v>
      </c>
      <c r="B492" s="123" t="s">
        <v>2053</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2055</v>
      </c>
      <c r="B493" s="123" t="s">
        <v>2053</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2055</v>
      </c>
      <c r="B494" s="123" t="s">
        <v>2053</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2055</v>
      </c>
      <c r="B495" s="123" t="s">
        <v>2053</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2055</v>
      </c>
      <c r="B496" s="123" t="s">
        <v>2053</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2055</v>
      </c>
      <c r="B497" s="123" t="s">
        <v>2053</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2055</v>
      </c>
      <c r="B498" s="123" t="s">
        <v>2053</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2055</v>
      </c>
      <c r="B499" s="123" t="s">
        <v>2053</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2055</v>
      </c>
      <c r="B500" s="123" t="s">
        <v>2053</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2055</v>
      </c>
      <c r="B501" s="123" t="s">
        <v>2053</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2055</v>
      </c>
      <c r="B502" s="123" t="s">
        <v>2053</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2055</v>
      </c>
      <c r="B503" s="123" t="s">
        <v>2053</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2055</v>
      </c>
      <c r="B504" s="123" t="s">
        <v>2053</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2055</v>
      </c>
      <c r="B505" s="123" t="s">
        <v>2053</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2055</v>
      </c>
      <c r="B506" s="123" t="s">
        <v>2053</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2055</v>
      </c>
      <c r="B507" s="123" t="s">
        <v>2053</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2055</v>
      </c>
      <c r="B508" s="123" t="s">
        <v>2053</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A2:H2"/>
    <mergeCell ref="Q3:S4"/>
    <mergeCell ref="AE6:AH6"/>
    <mergeCell ref="I6:M6"/>
    <mergeCell ref="C6:H6"/>
    <mergeCell ref="N6:T6"/>
    <mergeCell ref="A6:B6"/>
    <mergeCell ref="BB6:BH6"/>
    <mergeCell ref="AI6:AL6"/>
    <mergeCell ref="AS6:BA6"/>
    <mergeCell ref="J3:M4"/>
    <mergeCell ref="AM6:AR6"/>
    <mergeCell ref="W6:AD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32" t="s">
        <v>76</v>
      </c>
      <c r="B2" s="132" t="s">
        <v>76</v>
      </c>
      <c r="C2" s="132" t="s">
        <v>76</v>
      </c>
      <c r="D2" s="132" t="s">
        <v>76</v>
      </c>
      <c r="E2" s="132" t="s">
        <v>76</v>
      </c>
      <c r="F2" s="132" t="s">
        <v>76</v>
      </c>
      <c r="G2" s="132" t="s">
        <v>76</v>
      </c>
      <c r="H2" s="132" t="s">
        <v>76</v>
      </c>
      <c r="I2" s="132" t="s">
        <v>75</v>
      </c>
      <c r="J2" s="132" t="s">
        <v>76</v>
      </c>
      <c r="K2" s="132" t="s">
        <v>76</v>
      </c>
      <c r="L2" s="132" t="s">
        <v>76</v>
      </c>
      <c r="M2" s="132" t="s">
        <v>75</v>
      </c>
      <c r="N2" s="132" t="s">
        <v>75</v>
      </c>
    </row>
    <row r="3" spans="1:14" x14ac:dyDescent="0.2">
      <c r="A3" s="132" t="s">
        <v>1005</v>
      </c>
      <c r="B3" s="132" t="s">
        <v>1005</v>
      </c>
      <c r="C3" s="132" t="s">
        <v>1005</v>
      </c>
      <c r="D3" s="132" t="s">
        <v>1005</v>
      </c>
      <c r="E3" s="132" t="s">
        <v>1005</v>
      </c>
      <c r="F3" s="132" t="s">
        <v>1005</v>
      </c>
      <c r="G3" s="132" t="s">
        <v>1005</v>
      </c>
      <c r="H3" s="132" t="s">
        <v>1005</v>
      </c>
      <c r="I3" s="132" t="s">
        <v>1005</v>
      </c>
      <c r="J3" s="132" t="s">
        <v>1005</v>
      </c>
      <c r="K3" s="132" t="s">
        <v>1005</v>
      </c>
      <c r="L3" s="132" t="s">
        <v>1005</v>
      </c>
      <c r="M3" s="132" t="s">
        <v>1005</v>
      </c>
      <c r="N3" s="132" t="s">
        <v>1005</v>
      </c>
    </row>
    <row r="4" spans="1:14" x14ac:dyDescent="0.2">
      <c r="A4" t="s">
        <v>1010</v>
      </c>
      <c r="B4" t="s">
        <v>2092</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2159</v>
      </c>
      <c r="M5" t="s">
        <v>2257</v>
      </c>
      <c r="N5" t="s">
        <v>1523</v>
      </c>
    </row>
    <row r="6" spans="1:14" x14ac:dyDescent="0.2">
      <c r="A6" t="s">
        <v>2082</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2258</v>
      </c>
      <c r="N7" t="s">
        <v>1518</v>
      </c>
    </row>
    <row r="8" spans="1:14" x14ac:dyDescent="0.2">
      <c r="A8" t="s">
        <v>1012</v>
      </c>
      <c r="B8" t="s">
        <v>1054</v>
      </c>
      <c r="C8" t="s">
        <v>124</v>
      </c>
      <c r="D8" t="s">
        <v>2106</v>
      </c>
      <c r="E8" t="s">
        <v>1316</v>
      </c>
      <c r="F8" t="s">
        <v>1491</v>
      </c>
      <c r="G8" t="s">
        <v>127</v>
      </c>
      <c r="H8" t="s">
        <v>128</v>
      </c>
      <c r="I8" t="s">
        <v>129</v>
      </c>
      <c r="J8" t="s">
        <v>974</v>
      </c>
      <c r="K8" t="s">
        <v>130</v>
      </c>
      <c r="L8" t="s">
        <v>122</v>
      </c>
      <c r="M8" t="s">
        <v>2259</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2107</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2108</v>
      </c>
      <c r="E11" t="s">
        <v>1319</v>
      </c>
      <c r="F11" t="s">
        <v>1492</v>
      </c>
      <c r="G11" t="s">
        <v>153</v>
      </c>
      <c r="H11" t="s">
        <v>154</v>
      </c>
      <c r="I11" t="s">
        <v>1002</v>
      </c>
      <c r="J11" t="s">
        <v>977</v>
      </c>
      <c r="K11" t="s">
        <v>155</v>
      </c>
      <c r="L11" t="s">
        <v>2160</v>
      </c>
      <c r="M11" t="s">
        <v>116</v>
      </c>
      <c r="N11" t="s">
        <v>1517</v>
      </c>
    </row>
    <row r="12" spans="1:14" x14ac:dyDescent="0.2">
      <c r="A12" t="s">
        <v>1016</v>
      </c>
      <c r="B12" t="s">
        <v>1058</v>
      </c>
      <c r="C12" t="s">
        <v>159</v>
      </c>
      <c r="D12" t="s">
        <v>2109</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2126</v>
      </c>
      <c r="N14" t="s">
        <v>1519</v>
      </c>
    </row>
    <row r="15" spans="1:14" x14ac:dyDescent="0.2">
      <c r="A15" t="s">
        <v>959</v>
      </c>
      <c r="B15" t="s">
        <v>1061</v>
      </c>
      <c r="C15" t="s">
        <v>180</v>
      </c>
      <c r="D15" t="s">
        <v>1996</v>
      </c>
      <c r="E15" t="s">
        <v>1323</v>
      </c>
      <c r="F15" t="s">
        <v>168</v>
      </c>
      <c r="G15" t="s">
        <v>182</v>
      </c>
      <c r="J15" t="s">
        <v>981</v>
      </c>
      <c r="K15" t="s">
        <v>997</v>
      </c>
      <c r="L15" t="s">
        <v>176</v>
      </c>
      <c r="M15" t="s">
        <v>2260</v>
      </c>
      <c r="N15" t="s">
        <v>1522</v>
      </c>
    </row>
    <row r="16" spans="1:14" x14ac:dyDescent="0.2">
      <c r="A16" t="s">
        <v>158</v>
      </c>
      <c r="B16" t="s">
        <v>1062</v>
      </c>
      <c r="C16" t="s">
        <v>187</v>
      </c>
      <c r="D16" t="s">
        <v>2110</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2141</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2083</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2111</v>
      </c>
      <c r="E24" t="s">
        <v>2261</v>
      </c>
      <c r="F24" t="s">
        <v>227</v>
      </c>
      <c r="G24" t="s">
        <v>239</v>
      </c>
      <c r="J24" t="s">
        <v>990</v>
      </c>
      <c r="L24" t="s">
        <v>2161</v>
      </c>
      <c r="M24" t="s">
        <v>1513</v>
      </c>
    </row>
    <row r="25" spans="1:14" x14ac:dyDescent="0.2">
      <c r="A25" t="s">
        <v>1022</v>
      </c>
      <c r="B25" t="s">
        <v>1071</v>
      </c>
      <c r="C25" t="s">
        <v>142</v>
      </c>
      <c r="D25" t="s">
        <v>226</v>
      </c>
      <c r="E25" t="s">
        <v>2262</v>
      </c>
      <c r="F25" t="s">
        <v>233</v>
      </c>
      <c r="G25" t="s">
        <v>244</v>
      </c>
      <c r="J25" t="s">
        <v>991</v>
      </c>
      <c r="L25" t="s">
        <v>240</v>
      </c>
      <c r="M25" t="s">
        <v>1514</v>
      </c>
    </row>
    <row r="26" spans="1:14" x14ac:dyDescent="0.2">
      <c r="A26" t="s">
        <v>1023</v>
      </c>
      <c r="B26" t="s">
        <v>1072</v>
      </c>
      <c r="C26" t="s">
        <v>242</v>
      </c>
      <c r="D26" t="s">
        <v>231</v>
      </c>
      <c r="E26" t="s">
        <v>2263</v>
      </c>
      <c r="F26" t="s">
        <v>238</v>
      </c>
      <c r="G26" t="s">
        <v>251</v>
      </c>
      <c r="J26" t="s">
        <v>992</v>
      </c>
      <c r="L26" t="s">
        <v>245</v>
      </c>
    </row>
    <row r="27" spans="1:14" x14ac:dyDescent="0.2">
      <c r="A27" t="s">
        <v>2084</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2112</v>
      </c>
      <c r="E29" t="s">
        <v>1333</v>
      </c>
      <c r="F29" t="s">
        <v>258</v>
      </c>
      <c r="G29" t="s">
        <v>272</v>
      </c>
      <c r="J29" t="s">
        <v>1495</v>
      </c>
      <c r="L29" t="s">
        <v>2034</v>
      </c>
    </row>
    <row r="30" spans="1:14" x14ac:dyDescent="0.2">
      <c r="A30" t="s">
        <v>253</v>
      </c>
      <c r="B30" t="s">
        <v>1076</v>
      </c>
      <c r="C30" t="s">
        <v>2105</v>
      </c>
      <c r="D30" t="s">
        <v>2113</v>
      </c>
      <c r="E30" t="s">
        <v>1334</v>
      </c>
      <c r="F30" t="s">
        <v>264</v>
      </c>
      <c r="G30" t="s">
        <v>2155</v>
      </c>
      <c r="J30" t="s">
        <v>994</v>
      </c>
      <c r="L30" t="s">
        <v>266</v>
      </c>
    </row>
    <row r="31" spans="1:14" x14ac:dyDescent="0.2">
      <c r="A31" t="s">
        <v>1026</v>
      </c>
      <c r="B31" t="s">
        <v>1077</v>
      </c>
      <c r="C31" t="s">
        <v>268</v>
      </c>
      <c r="D31" t="s">
        <v>2114</v>
      </c>
      <c r="E31" t="s">
        <v>232</v>
      </c>
      <c r="F31" t="s">
        <v>271</v>
      </c>
      <c r="G31" t="s">
        <v>1491</v>
      </c>
      <c r="J31" t="s">
        <v>995</v>
      </c>
      <c r="L31" t="s">
        <v>273</v>
      </c>
    </row>
    <row r="32" spans="1:14" x14ac:dyDescent="0.2">
      <c r="A32" t="s">
        <v>1027</v>
      </c>
      <c r="B32" t="s">
        <v>1078</v>
      </c>
      <c r="C32" t="s">
        <v>275</v>
      </c>
      <c r="D32" t="s">
        <v>248</v>
      </c>
      <c r="E32" t="s">
        <v>1335</v>
      </c>
      <c r="F32" t="s">
        <v>277</v>
      </c>
      <c r="G32" t="s">
        <v>2156</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2157</v>
      </c>
      <c r="L36" t="s">
        <v>298</v>
      </c>
    </row>
    <row r="37" spans="1:12" x14ac:dyDescent="0.2">
      <c r="A37" t="s">
        <v>305</v>
      </c>
      <c r="B37" t="s">
        <v>1081</v>
      </c>
      <c r="C37" t="s">
        <v>301</v>
      </c>
      <c r="D37" t="s">
        <v>269</v>
      </c>
      <c r="E37" t="s">
        <v>270</v>
      </c>
      <c r="G37" t="s">
        <v>143</v>
      </c>
      <c r="L37" t="s">
        <v>304</v>
      </c>
    </row>
    <row r="38" spans="1:12" x14ac:dyDescent="0.2">
      <c r="A38" t="s">
        <v>2085</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2115</v>
      </c>
      <c r="E44" t="s">
        <v>2142</v>
      </c>
      <c r="G44" t="s">
        <v>324</v>
      </c>
      <c r="L44" t="s">
        <v>340</v>
      </c>
    </row>
    <row r="45" spans="1:12" x14ac:dyDescent="0.2">
      <c r="A45" t="s">
        <v>1031</v>
      </c>
      <c r="B45" t="s">
        <v>224</v>
      </c>
      <c r="C45" t="s">
        <v>343</v>
      </c>
      <c r="D45" t="s">
        <v>2116</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2086</v>
      </c>
      <c r="B50" t="s">
        <v>1087</v>
      </c>
      <c r="C50" t="s">
        <v>365</v>
      </c>
      <c r="D50" t="s">
        <v>2117</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2118</v>
      </c>
      <c r="E52" t="s">
        <v>1350</v>
      </c>
      <c r="G52" t="s">
        <v>173</v>
      </c>
      <c r="L52" t="s">
        <v>379</v>
      </c>
    </row>
    <row r="53" spans="1:12" x14ac:dyDescent="0.2">
      <c r="A53" t="s">
        <v>2087</v>
      </c>
      <c r="B53" t="s">
        <v>1090</v>
      </c>
      <c r="C53" t="s">
        <v>377</v>
      </c>
      <c r="D53" t="s">
        <v>2119</v>
      </c>
      <c r="E53" t="s">
        <v>1351</v>
      </c>
      <c r="G53" t="s">
        <v>367</v>
      </c>
      <c r="L53" t="s">
        <v>384</v>
      </c>
    </row>
    <row r="54" spans="1:12" x14ac:dyDescent="0.2">
      <c r="A54" t="s">
        <v>1035</v>
      </c>
      <c r="B54" t="s">
        <v>1091</v>
      </c>
      <c r="C54" t="s">
        <v>382</v>
      </c>
      <c r="D54" t="s">
        <v>2120</v>
      </c>
      <c r="E54" t="s">
        <v>1352</v>
      </c>
      <c r="G54" t="s">
        <v>181</v>
      </c>
      <c r="L54" t="s">
        <v>388</v>
      </c>
    </row>
    <row r="55" spans="1:12" x14ac:dyDescent="0.2">
      <c r="A55" t="s">
        <v>1036</v>
      </c>
      <c r="B55" t="s">
        <v>236</v>
      </c>
      <c r="C55" t="s">
        <v>386</v>
      </c>
      <c r="D55" t="s">
        <v>2121</v>
      </c>
      <c r="E55" t="s">
        <v>1353</v>
      </c>
      <c r="G55" t="s">
        <v>188</v>
      </c>
      <c r="L55" t="s">
        <v>390</v>
      </c>
    </row>
    <row r="56" spans="1:12" x14ac:dyDescent="0.2">
      <c r="A56" t="s">
        <v>380</v>
      </c>
      <c r="B56" t="s">
        <v>1093</v>
      </c>
      <c r="C56" t="s">
        <v>333</v>
      </c>
      <c r="D56" t="s">
        <v>2122</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2123</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2143</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2144</v>
      </c>
      <c r="G74" t="s">
        <v>250</v>
      </c>
      <c r="L74" t="s">
        <v>461</v>
      </c>
    </row>
    <row r="75" spans="1:12" x14ac:dyDescent="0.2">
      <c r="A75" t="s">
        <v>1045</v>
      </c>
      <c r="B75" t="s">
        <v>1103</v>
      </c>
      <c r="C75" t="s">
        <v>459</v>
      </c>
      <c r="D75" t="s">
        <v>387</v>
      </c>
      <c r="E75" t="s">
        <v>1371</v>
      </c>
      <c r="G75" t="s">
        <v>454</v>
      </c>
      <c r="L75" t="s">
        <v>464</v>
      </c>
    </row>
    <row r="76" spans="1:12" x14ac:dyDescent="0.2">
      <c r="A76" t="s">
        <v>2088</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2124</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2089</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2162</v>
      </c>
    </row>
    <row r="85" spans="1:12" x14ac:dyDescent="0.2">
      <c r="A85" t="s">
        <v>477</v>
      </c>
      <c r="B85" t="s">
        <v>1113</v>
      </c>
      <c r="C85" t="s">
        <v>497</v>
      </c>
      <c r="D85" t="s">
        <v>421</v>
      </c>
      <c r="E85" t="s">
        <v>1381</v>
      </c>
      <c r="G85" t="s">
        <v>277</v>
      </c>
      <c r="L85" t="s">
        <v>492</v>
      </c>
    </row>
    <row r="86" spans="1:12" x14ac:dyDescent="0.2">
      <c r="A86" t="s">
        <v>1052</v>
      </c>
      <c r="B86" t="s">
        <v>1114</v>
      </c>
      <c r="D86" t="s">
        <v>2125</v>
      </c>
      <c r="E86" t="s">
        <v>1382</v>
      </c>
      <c r="G86" t="s">
        <v>495</v>
      </c>
      <c r="L86" t="s">
        <v>496</v>
      </c>
    </row>
    <row r="87" spans="1:12" x14ac:dyDescent="0.2">
      <c r="A87" t="s">
        <v>2090</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2091</v>
      </c>
      <c r="B89" t="s">
        <v>1117</v>
      </c>
      <c r="D89" t="s">
        <v>2126</v>
      </c>
      <c r="E89" t="s">
        <v>1385</v>
      </c>
      <c r="G89" t="s">
        <v>502</v>
      </c>
      <c r="L89" t="s">
        <v>1501</v>
      </c>
    </row>
    <row r="90" spans="1:12" x14ac:dyDescent="0.2">
      <c r="B90" t="s">
        <v>1118</v>
      </c>
      <c r="D90" t="s">
        <v>2127</v>
      </c>
      <c r="E90" t="s">
        <v>1386</v>
      </c>
      <c r="G90" t="s">
        <v>504</v>
      </c>
      <c r="L90" t="s">
        <v>501</v>
      </c>
    </row>
    <row r="91" spans="1:12" x14ac:dyDescent="0.2">
      <c r="B91" t="s">
        <v>1119</v>
      </c>
      <c r="D91" t="s">
        <v>2128</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2129</v>
      </c>
      <c r="E94" t="s">
        <v>1390</v>
      </c>
      <c r="G94" t="s">
        <v>515</v>
      </c>
      <c r="L94" t="s">
        <v>510</v>
      </c>
    </row>
    <row r="95" spans="1:12" x14ac:dyDescent="0.2">
      <c r="B95" t="s">
        <v>1123</v>
      </c>
      <c r="D95" t="s">
        <v>2130</v>
      </c>
      <c r="E95" t="s">
        <v>1391</v>
      </c>
      <c r="G95" t="s">
        <v>518</v>
      </c>
      <c r="L95" t="s">
        <v>513</v>
      </c>
    </row>
    <row r="96" spans="1:12" x14ac:dyDescent="0.2">
      <c r="B96" t="s">
        <v>1124</v>
      </c>
      <c r="D96" t="s">
        <v>2131</v>
      </c>
      <c r="E96" t="s">
        <v>2145</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2132</v>
      </c>
      <c r="E99" t="s">
        <v>1394</v>
      </c>
      <c r="G99" t="s">
        <v>286</v>
      </c>
      <c r="L99" t="s">
        <v>525</v>
      </c>
    </row>
    <row r="100" spans="2:12" x14ac:dyDescent="0.2">
      <c r="B100" t="s">
        <v>1127</v>
      </c>
      <c r="D100" t="s">
        <v>448</v>
      </c>
      <c r="E100" t="s">
        <v>1395</v>
      </c>
      <c r="G100" t="s">
        <v>290</v>
      </c>
      <c r="L100" t="s">
        <v>527</v>
      </c>
    </row>
    <row r="101" spans="2:12" x14ac:dyDescent="0.2">
      <c r="B101" t="s">
        <v>300</v>
      </c>
      <c r="D101" t="s">
        <v>2133</v>
      </c>
      <c r="E101" t="s">
        <v>1396</v>
      </c>
      <c r="G101" t="s">
        <v>2158</v>
      </c>
      <c r="L101" t="s">
        <v>529</v>
      </c>
    </row>
    <row r="102" spans="2:12" x14ac:dyDescent="0.2">
      <c r="B102" t="s">
        <v>306</v>
      </c>
      <c r="D102" t="s">
        <v>453</v>
      </c>
      <c r="E102" t="s">
        <v>1397</v>
      </c>
      <c r="G102" t="s">
        <v>296</v>
      </c>
      <c r="L102" t="s">
        <v>531</v>
      </c>
    </row>
    <row r="103" spans="2:12" x14ac:dyDescent="0.2">
      <c r="B103" t="s">
        <v>312</v>
      </c>
      <c r="D103" t="s">
        <v>2062</v>
      </c>
      <c r="E103" t="s">
        <v>1398</v>
      </c>
      <c r="L103" t="s">
        <v>533</v>
      </c>
    </row>
    <row r="104" spans="2:12" x14ac:dyDescent="0.2">
      <c r="B104" t="s">
        <v>316</v>
      </c>
      <c r="D104" t="s">
        <v>1310</v>
      </c>
      <c r="E104" t="s">
        <v>1399</v>
      </c>
      <c r="L104" t="s">
        <v>537</v>
      </c>
    </row>
    <row r="105" spans="2:12" x14ac:dyDescent="0.2">
      <c r="B105" t="s">
        <v>961</v>
      </c>
      <c r="D105" t="s">
        <v>2134</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2135</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2136</v>
      </c>
      <c r="E116" t="s">
        <v>1409</v>
      </c>
      <c r="L116" t="s">
        <v>558</v>
      </c>
    </row>
    <row r="117" spans="2:12" x14ac:dyDescent="0.2">
      <c r="B117" t="s">
        <v>370</v>
      </c>
      <c r="D117" t="s">
        <v>2137</v>
      </c>
      <c r="E117" t="s">
        <v>1410</v>
      </c>
      <c r="L117" t="s">
        <v>559</v>
      </c>
    </row>
    <row r="118" spans="2:12" x14ac:dyDescent="0.2">
      <c r="B118" t="s">
        <v>373</v>
      </c>
      <c r="D118" t="s">
        <v>2138</v>
      </c>
      <c r="E118" t="s">
        <v>1411</v>
      </c>
      <c r="L118" t="s">
        <v>560</v>
      </c>
    </row>
    <row r="119" spans="2:12" x14ac:dyDescent="0.2">
      <c r="B119" t="s">
        <v>1131</v>
      </c>
      <c r="D119" t="s">
        <v>2139</v>
      </c>
      <c r="E119" t="s">
        <v>1412</v>
      </c>
      <c r="L119" t="s">
        <v>561</v>
      </c>
    </row>
    <row r="120" spans="2:12" x14ac:dyDescent="0.2">
      <c r="B120" t="s">
        <v>1132</v>
      </c>
      <c r="D120" t="s">
        <v>2140</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2093</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2146</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2147</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2094</v>
      </c>
      <c r="E143" t="s">
        <v>1434</v>
      </c>
      <c r="L143" t="s">
        <v>595</v>
      </c>
    </row>
    <row r="144" spans="2:12" x14ac:dyDescent="0.2">
      <c r="B144" t="s">
        <v>1150</v>
      </c>
      <c r="E144" t="s">
        <v>2148</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2149</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2150</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2095</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2151</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2152</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2153</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2163</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2096</v>
      </c>
      <c r="E196" t="s">
        <v>1481</v>
      </c>
      <c r="L196" t="s">
        <v>658</v>
      </c>
    </row>
    <row r="197" spans="2:12" x14ac:dyDescent="0.2">
      <c r="B197" t="s">
        <v>1203</v>
      </c>
      <c r="E197" t="s">
        <v>1482</v>
      </c>
      <c r="L197" t="s">
        <v>659</v>
      </c>
    </row>
    <row r="198" spans="2:12" x14ac:dyDescent="0.2">
      <c r="B198" t="s">
        <v>2097</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2154</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2098</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2164</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2099</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2165</v>
      </c>
    </row>
    <row r="257" spans="2:12" x14ac:dyDescent="0.2">
      <c r="B257" t="s">
        <v>1224</v>
      </c>
      <c r="L257" t="s">
        <v>2166</v>
      </c>
    </row>
    <row r="258" spans="2:12" x14ac:dyDescent="0.2">
      <c r="B258" t="s">
        <v>1225</v>
      </c>
      <c r="L258" t="s">
        <v>2167</v>
      </c>
    </row>
    <row r="259" spans="2:12" x14ac:dyDescent="0.2">
      <c r="B259" t="s">
        <v>1226</v>
      </c>
      <c r="L259" t="s">
        <v>2168</v>
      </c>
    </row>
    <row r="260" spans="2:12" x14ac:dyDescent="0.2">
      <c r="B260" t="s">
        <v>1227</v>
      </c>
      <c r="L260" t="s">
        <v>2169</v>
      </c>
    </row>
    <row r="261" spans="2:12" x14ac:dyDescent="0.2">
      <c r="B261" t="s">
        <v>1228</v>
      </c>
      <c r="L261" t="s">
        <v>2170</v>
      </c>
    </row>
    <row r="262" spans="2:12" x14ac:dyDescent="0.2">
      <c r="B262" t="s">
        <v>1229</v>
      </c>
      <c r="L262" t="s">
        <v>2171</v>
      </c>
    </row>
    <row r="263" spans="2:12" x14ac:dyDescent="0.2">
      <c r="B263" t="s">
        <v>1230</v>
      </c>
      <c r="L263" t="s">
        <v>2172</v>
      </c>
    </row>
    <row r="264" spans="2:12" x14ac:dyDescent="0.2">
      <c r="B264" t="s">
        <v>1231</v>
      </c>
      <c r="L264" t="s">
        <v>2173</v>
      </c>
    </row>
    <row r="265" spans="2:12" x14ac:dyDescent="0.2">
      <c r="B265" t="s">
        <v>1232</v>
      </c>
      <c r="L265" t="s">
        <v>2174</v>
      </c>
    </row>
    <row r="266" spans="2:12" x14ac:dyDescent="0.2">
      <c r="B266" t="s">
        <v>589</v>
      </c>
      <c r="L266" t="s">
        <v>2175</v>
      </c>
    </row>
    <row r="267" spans="2:12" x14ac:dyDescent="0.2">
      <c r="B267" t="s">
        <v>1233</v>
      </c>
      <c r="L267" t="s">
        <v>2176</v>
      </c>
    </row>
    <row r="268" spans="2:12" x14ac:dyDescent="0.2">
      <c r="B268" t="s">
        <v>1234</v>
      </c>
      <c r="L268" t="s">
        <v>2177</v>
      </c>
    </row>
    <row r="269" spans="2:12" x14ac:dyDescent="0.2">
      <c r="B269" t="s">
        <v>1235</v>
      </c>
      <c r="L269" t="s">
        <v>2178</v>
      </c>
    </row>
    <row r="270" spans="2:12" x14ac:dyDescent="0.2">
      <c r="B270" t="s">
        <v>1236</v>
      </c>
      <c r="L270" t="s">
        <v>2179</v>
      </c>
    </row>
    <row r="271" spans="2:12" x14ac:dyDescent="0.2">
      <c r="B271" t="s">
        <v>1237</v>
      </c>
      <c r="L271" t="s">
        <v>2180</v>
      </c>
    </row>
    <row r="272" spans="2:12" x14ac:dyDescent="0.2">
      <c r="B272" t="s">
        <v>1238</v>
      </c>
      <c r="L272" t="s">
        <v>2181</v>
      </c>
    </row>
    <row r="273" spans="2:12" x14ac:dyDescent="0.2">
      <c r="B273" t="s">
        <v>1239</v>
      </c>
      <c r="L273" t="s">
        <v>2182</v>
      </c>
    </row>
    <row r="274" spans="2:12" x14ac:dyDescent="0.2">
      <c r="B274" t="s">
        <v>1240</v>
      </c>
      <c r="L274" t="s">
        <v>2183</v>
      </c>
    </row>
    <row r="275" spans="2:12" x14ac:dyDescent="0.2">
      <c r="B275" t="s">
        <v>1241</v>
      </c>
      <c r="L275" t="s">
        <v>2184</v>
      </c>
    </row>
    <row r="276" spans="2:12" x14ac:dyDescent="0.2">
      <c r="B276" t="s">
        <v>1242</v>
      </c>
      <c r="L276" t="s">
        <v>2185</v>
      </c>
    </row>
    <row r="277" spans="2:12" x14ac:dyDescent="0.2">
      <c r="B277" t="s">
        <v>1243</v>
      </c>
      <c r="L277" t="s">
        <v>2186</v>
      </c>
    </row>
    <row r="278" spans="2:12" x14ac:dyDescent="0.2">
      <c r="B278" t="s">
        <v>1244</v>
      </c>
      <c r="L278" t="s">
        <v>2187</v>
      </c>
    </row>
    <row r="279" spans="2:12" x14ac:dyDescent="0.2">
      <c r="B279" t="s">
        <v>1245</v>
      </c>
      <c r="L279" t="s">
        <v>2188</v>
      </c>
    </row>
    <row r="280" spans="2:12" x14ac:dyDescent="0.2">
      <c r="B280" t="s">
        <v>1246</v>
      </c>
      <c r="L280" t="s">
        <v>2189</v>
      </c>
    </row>
    <row r="281" spans="2:12" x14ac:dyDescent="0.2">
      <c r="B281" t="s">
        <v>1247</v>
      </c>
      <c r="L281" t="s">
        <v>2190</v>
      </c>
    </row>
    <row r="282" spans="2:12" x14ac:dyDescent="0.2">
      <c r="B282" t="s">
        <v>1248</v>
      </c>
      <c r="L282" t="s">
        <v>2191</v>
      </c>
    </row>
    <row r="283" spans="2:12" x14ac:dyDescent="0.2">
      <c r="B283" t="s">
        <v>1249</v>
      </c>
      <c r="L283" t="s">
        <v>2192</v>
      </c>
    </row>
    <row r="284" spans="2:12" x14ac:dyDescent="0.2">
      <c r="B284" t="s">
        <v>591</v>
      </c>
      <c r="L284" t="s">
        <v>2193</v>
      </c>
    </row>
    <row r="285" spans="2:12" x14ac:dyDescent="0.2">
      <c r="B285" t="s">
        <v>1250</v>
      </c>
      <c r="L285" t="s">
        <v>2194</v>
      </c>
    </row>
    <row r="286" spans="2:12" x14ac:dyDescent="0.2">
      <c r="B286" t="s">
        <v>1251</v>
      </c>
      <c r="L286" t="s">
        <v>2195</v>
      </c>
    </row>
    <row r="287" spans="2:12" x14ac:dyDescent="0.2">
      <c r="B287" t="s">
        <v>593</v>
      </c>
      <c r="L287" t="s">
        <v>2196</v>
      </c>
    </row>
    <row r="288" spans="2:12" x14ac:dyDescent="0.2">
      <c r="B288" t="s">
        <v>1252</v>
      </c>
      <c r="L288" t="s">
        <v>2197</v>
      </c>
    </row>
    <row r="289" spans="2:12" x14ac:dyDescent="0.2">
      <c r="B289" t="s">
        <v>1253</v>
      </c>
      <c r="L289" t="s">
        <v>2198</v>
      </c>
    </row>
    <row r="290" spans="2:12" x14ac:dyDescent="0.2">
      <c r="B290" t="s">
        <v>1254</v>
      </c>
      <c r="L290" t="s">
        <v>2199</v>
      </c>
    </row>
    <row r="291" spans="2:12" x14ac:dyDescent="0.2">
      <c r="B291" t="s">
        <v>598</v>
      </c>
      <c r="L291" t="s">
        <v>2200</v>
      </c>
    </row>
    <row r="292" spans="2:12" x14ac:dyDescent="0.2">
      <c r="B292" t="s">
        <v>1255</v>
      </c>
      <c r="L292" t="s">
        <v>2201</v>
      </c>
    </row>
    <row r="293" spans="2:12" x14ac:dyDescent="0.2">
      <c r="B293" t="s">
        <v>1256</v>
      </c>
      <c r="L293" t="s">
        <v>2202</v>
      </c>
    </row>
    <row r="294" spans="2:12" x14ac:dyDescent="0.2">
      <c r="B294" t="s">
        <v>1257</v>
      </c>
      <c r="L294" t="s">
        <v>2203</v>
      </c>
    </row>
    <row r="295" spans="2:12" x14ac:dyDescent="0.2">
      <c r="B295" t="s">
        <v>1258</v>
      </c>
      <c r="L295" t="s">
        <v>2204</v>
      </c>
    </row>
    <row r="296" spans="2:12" x14ac:dyDescent="0.2">
      <c r="B296" t="s">
        <v>966</v>
      </c>
      <c r="L296" t="s">
        <v>2205</v>
      </c>
    </row>
    <row r="297" spans="2:12" x14ac:dyDescent="0.2">
      <c r="B297" t="s">
        <v>601</v>
      </c>
      <c r="L297" t="s">
        <v>2206</v>
      </c>
    </row>
    <row r="298" spans="2:12" x14ac:dyDescent="0.2">
      <c r="B298" t="s">
        <v>603</v>
      </c>
      <c r="L298" t="s">
        <v>2207</v>
      </c>
    </row>
    <row r="299" spans="2:12" x14ac:dyDescent="0.2">
      <c r="B299" t="s">
        <v>1259</v>
      </c>
      <c r="L299" t="s">
        <v>2208</v>
      </c>
    </row>
    <row r="300" spans="2:12" x14ac:dyDescent="0.2">
      <c r="B300" t="s">
        <v>1260</v>
      </c>
      <c r="L300" t="s">
        <v>2209</v>
      </c>
    </row>
    <row r="301" spans="2:12" x14ac:dyDescent="0.2">
      <c r="B301" t="s">
        <v>1261</v>
      </c>
      <c r="L301" t="s">
        <v>2210</v>
      </c>
    </row>
    <row r="302" spans="2:12" x14ac:dyDescent="0.2">
      <c r="B302" t="s">
        <v>1262</v>
      </c>
      <c r="L302" t="s">
        <v>2211</v>
      </c>
    </row>
    <row r="303" spans="2:12" x14ac:dyDescent="0.2">
      <c r="B303" t="s">
        <v>607</v>
      </c>
      <c r="L303" t="s">
        <v>2212</v>
      </c>
    </row>
    <row r="304" spans="2:12" x14ac:dyDescent="0.2">
      <c r="B304" t="s">
        <v>609</v>
      </c>
      <c r="L304" t="s">
        <v>2213</v>
      </c>
    </row>
    <row r="305" spans="2:12" x14ac:dyDescent="0.2">
      <c r="B305" t="s">
        <v>1263</v>
      </c>
      <c r="L305" t="s">
        <v>2214</v>
      </c>
    </row>
    <row r="306" spans="2:12" x14ac:dyDescent="0.2">
      <c r="B306" t="s">
        <v>1264</v>
      </c>
      <c r="L306" t="s">
        <v>2215</v>
      </c>
    </row>
    <row r="307" spans="2:12" x14ac:dyDescent="0.2">
      <c r="B307" t="s">
        <v>1265</v>
      </c>
      <c r="L307" t="s">
        <v>2216</v>
      </c>
    </row>
    <row r="308" spans="2:12" x14ac:dyDescent="0.2">
      <c r="B308" t="s">
        <v>611</v>
      </c>
      <c r="L308" t="s">
        <v>2217</v>
      </c>
    </row>
    <row r="309" spans="2:12" x14ac:dyDescent="0.2">
      <c r="B309" t="s">
        <v>613</v>
      </c>
      <c r="L309" t="s">
        <v>2218</v>
      </c>
    </row>
    <row r="310" spans="2:12" x14ac:dyDescent="0.2">
      <c r="B310" t="s">
        <v>1266</v>
      </c>
      <c r="L310" t="s">
        <v>2219</v>
      </c>
    </row>
    <row r="311" spans="2:12" x14ac:dyDescent="0.2">
      <c r="B311" t="s">
        <v>1267</v>
      </c>
      <c r="L311" t="s">
        <v>2220</v>
      </c>
    </row>
    <row r="312" spans="2:12" x14ac:dyDescent="0.2">
      <c r="B312" t="s">
        <v>1268</v>
      </c>
      <c r="L312" t="s">
        <v>2221</v>
      </c>
    </row>
    <row r="313" spans="2:12" x14ac:dyDescent="0.2">
      <c r="B313" t="s">
        <v>617</v>
      </c>
      <c r="L313" t="s">
        <v>2222</v>
      </c>
    </row>
    <row r="314" spans="2:12" x14ac:dyDescent="0.2">
      <c r="B314" t="s">
        <v>1269</v>
      </c>
      <c r="L314" t="s">
        <v>2223</v>
      </c>
    </row>
    <row r="315" spans="2:12" x14ac:dyDescent="0.2">
      <c r="B315" t="s">
        <v>620</v>
      </c>
      <c r="L315" t="s">
        <v>2224</v>
      </c>
    </row>
    <row r="316" spans="2:12" x14ac:dyDescent="0.2">
      <c r="B316" t="s">
        <v>1270</v>
      </c>
      <c r="L316" t="s">
        <v>2225</v>
      </c>
    </row>
    <row r="317" spans="2:12" x14ac:dyDescent="0.2">
      <c r="B317" t="s">
        <v>1271</v>
      </c>
      <c r="L317" t="s">
        <v>2226</v>
      </c>
    </row>
    <row r="318" spans="2:12" x14ac:dyDescent="0.2">
      <c r="B318" t="s">
        <v>1272</v>
      </c>
      <c r="L318" t="s">
        <v>2227</v>
      </c>
    </row>
    <row r="319" spans="2:12" x14ac:dyDescent="0.2">
      <c r="B319" t="s">
        <v>1273</v>
      </c>
      <c r="L319" t="s">
        <v>2228</v>
      </c>
    </row>
    <row r="320" spans="2:12" x14ac:dyDescent="0.2">
      <c r="B320" t="s">
        <v>1274</v>
      </c>
      <c r="L320" t="s">
        <v>2229</v>
      </c>
    </row>
    <row r="321" spans="2:12" x14ac:dyDescent="0.2">
      <c r="B321" t="s">
        <v>1275</v>
      </c>
      <c r="L321" t="s">
        <v>2230</v>
      </c>
    </row>
    <row r="322" spans="2:12" x14ac:dyDescent="0.2">
      <c r="B322" t="s">
        <v>1276</v>
      </c>
      <c r="L322" t="s">
        <v>2231</v>
      </c>
    </row>
    <row r="323" spans="2:12" x14ac:dyDescent="0.2">
      <c r="B323" t="s">
        <v>1277</v>
      </c>
      <c r="L323" t="s">
        <v>2232</v>
      </c>
    </row>
    <row r="324" spans="2:12" x14ac:dyDescent="0.2">
      <c r="B324" t="s">
        <v>1278</v>
      </c>
      <c r="L324" t="s">
        <v>2233</v>
      </c>
    </row>
    <row r="325" spans="2:12" x14ac:dyDescent="0.2">
      <c r="B325" t="s">
        <v>2100</v>
      </c>
      <c r="L325" t="s">
        <v>2234</v>
      </c>
    </row>
    <row r="326" spans="2:12" x14ac:dyDescent="0.2">
      <c r="B326" t="s">
        <v>2101</v>
      </c>
      <c r="L326" t="s">
        <v>2235</v>
      </c>
    </row>
    <row r="327" spans="2:12" x14ac:dyDescent="0.2">
      <c r="B327" t="s">
        <v>2102</v>
      </c>
      <c r="L327" t="s">
        <v>2236</v>
      </c>
    </row>
    <row r="328" spans="2:12" x14ac:dyDescent="0.2">
      <c r="B328" t="s">
        <v>2103</v>
      </c>
      <c r="L328" t="s">
        <v>2237</v>
      </c>
    </row>
    <row r="329" spans="2:12" x14ac:dyDescent="0.2">
      <c r="B329" t="s">
        <v>623</v>
      </c>
      <c r="L329" t="s">
        <v>2238</v>
      </c>
    </row>
    <row r="330" spans="2:12" x14ac:dyDescent="0.2">
      <c r="B330" t="s">
        <v>1283</v>
      </c>
      <c r="L330" t="s">
        <v>2239</v>
      </c>
    </row>
    <row r="331" spans="2:12" x14ac:dyDescent="0.2">
      <c r="B331" t="s">
        <v>1284</v>
      </c>
      <c r="L331" t="s">
        <v>2240</v>
      </c>
    </row>
    <row r="332" spans="2:12" x14ac:dyDescent="0.2">
      <c r="B332" t="s">
        <v>626</v>
      </c>
      <c r="L332" t="s">
        <v>2241</v>
      </c>
    </row>
    <row r="333" spans="2:12" x14ac:dyDescent="0.2">
      <c r="B333" t="s">
        <v>1285</v>
      </c>
      <c r="L333" t="s">
        <v>2242</v>
      </c>
    </row>
    <row r="334" spans="2:12" x14ac:dyDescent="0.2">
      <c r="B334" t="s">
        <v>1286</v>
      </c>
      <c r="L334" t="s">
        <v>2243</v>
      </c>
    </row>
    <row r="335" spans="2:12" x14ac:dyDescent="0.2">
      <c r="B335" t="s">
        <v>1287</v>
      </c>
      <c r="L335" t="s">
        <v>2244</v>
      </c>
    </row>
    <row r="336" spans="2:12" x14ac:dyDescent="0.2">
      <c r="B336" t="s">
        <v>1288</v>
      </c>
      <c r="L336" t="s">
        <v>2245</v>
      </c>
    </row>
    <row r="337" spans="2:12" x14ac:dyDescent="0.2">
      <c r="B337" t="s">
        <v>1289</v>
      </c>
      <c r="L337" t="s">
        <v>2246</v>
      </c>
    </row>
    <row r="338" spans="2:12" x14ac:dyDescent="0.2">
      <c r="B338" t="s">
        <v>1290</v>
      </c>
      <c r="L338" t="s">
        <v>2247</v>
      </c>
    </row>
    <row r="339" spans="2:12" x14ac:dyDescent="0.2">
      <c r="B339" t="s">
        <v>631</v>
      </c>
      <c r="L339" t="s">
        <v>2248</v>
      </c>
    </row>
    <row r="340" spans="2:12" x14ac:dyDescent="0.2">
      <c r="B340" t="s">
        <v>633</v>
      </c>
      <c r="L340" t="s">
        <v>2249</v>
      </c>
    </row>
    <row r="341" spans="2:12" x14ac:dyDescent="0.2">
      <c r="B341" t="s">
        <v>1291</v>
      </c>
      <c r="L341" t="s">
        <v>2250</v>
      </c>
    </row>
    <row r="342" spans="2:12" x14ac:dyDescent="0.2">
      <c r="B342" t="s">
        <v>1292</v>
      </c>
      <c r="L342" t="s">
        <v>2251</v>
      </c>
    </row>
    <row r="343" spans="2:12" x14ac:dyDescent="0.2">
      <c r="B343" t="s">
        <v>1293</v>
      </c>
      <c r="L343" t="s">
        <v>2252</v>
      </c>
    </row>
    <row r="344" spans="2:12" x14ac:dyDescent="0.2">
      <c r="B344" t="s">
        <v>1294</v>
      </c>
      <c r="L344" t="s">
        <v>2253</v>
      </c>
    </row>
    <row r="345" spans="2:12" x14ac:dyDescent="0.2">
      <c r="B345" t="s">
        <v>1295</v>
      </c>
      <c r="L345" t="s">
        <v>2254</v>
      </c>
    </row>
    <row r="346" spans="2:12" x14ac:dyDescent="0.2">
      <c r="B346" t="s">
        <v>1296</v>
      </c>
      <c r="L346" t="s">
        <v>2255</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2104</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2256</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8" t="s">
        <v>754</v>
      </c>
      <c r="B1" s="169"/>
      <c r="C1" s="169"/>
      <c r="D1" s="169"/>
      <c r="E1" s="169"/>
      <c r="F1" s="169"/>
      <c r="G1" s="169"/>
      <c r="H1" s="169"/>
      <c r="I1" s="169"/>
      <c r="J1" s="169"/>
      <c r="K1" s="169"/>
      <c r="L1" s="169"/>
      <c r="M1" s="169"/>
      <c r="N1" s="169"/>
      <c r="O1" s="169"/>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9.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c r="P1" s="133" t="s">
        <v>2266</v>
      </c>
      <c r="Q1" s="133" t="s">
        <v>2267</v>
      </c>
      <c r="R1" s="133" t="s">
        <v>2268</v>
      </c>
    </row>
    <row r="2" spans="1:23" ht="16" x14ac:dyDescent="0.2">
      <c r="A2" s="73" t="s">
        <v>1539</v>
      </c>
      <c r="B2" s="77" t="s">
        <v>1541</v>
      </c>
      <c r="C2" s="74" t="s">
        <v>1540</v>
      </c>
      <c r="D2" s="74" t="s">
        <v>970</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f>IFERROR(INDEX($G$2:$G$1581,MATCH(ROWS($M$2:M2),$R$2:$R$1581,0)),"")</f>
        <v/>
      </c>
      <c r="N2" s="70"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70" t="str">
        <f>IFERROR(INDEX(CAT_Specs!$A$9:$A$500,MATCH(ROWS($O$2:O2),CAT_Specs!$I$9:$I$500,0)),IF(ROWS($O$2:O2)=1,"(sin matches)",""))</f>
        <v>1.28.003 (Pavonado)</v>
      </c>
      <c r="P2" s="70">
        <f>IF(AND(IF(TRIM($J$2&amp;"")="",TRUE,LEFT($D2,LEN($J$2))=$J$2),IF(TRIM($K$2&amp;"")="",TRUE,$E2=$K$2),IF($L$2="",TRUE,$F2=$L$2)),1,0)</f>
        <v>0</v>
      </c>
      <c r="Q2" s="70" cm="1">
        <f t="array" ref="Q2">IF(P2=1,IF(SUMPRODUCT(($P$2:P2)*(--($G$2:G2=$G2)))=1,1,0),0)</f>
        <v>0</v>
      </c>
      <c r="R2" s="70" t="str">
        <f>IF(Q2=1,SUM($Q$2:Q2),"")</f>
        <v/>
      </c>
      <c r="W2" s="70">
        <v>11</v>
      </c>
    </row>
    <row r="3" spans="1:23" ht="16" x14ac:dyDescent="0.2">
      <c r="A3" s="73" t="s">
        <v>1539</v>
      </c>
      <c r="B3" s="77" t="s">
        <v>1541</v>
      </c>
      <c r="C3" s="74" t="s">
        <v>1540</v>
      </c>
      <c r="D3" s="74" t="s">
        <v>970</v>
      </c>
      <c r="E3" s="78" t="s">
        <v>97</v>
      </c>
      <c r="F3" s="76" t="s">
        <v>1542</v>
      </c>
      <c r="G3" s="75" t="s">
        <v>186</v>
      </c>
      <c r="H3" s="70"/>
      <c r="J3" s="79"/>
      <c r="K3" s="79"/>
      <c r="L3" s="79"/>
      <c r="O3" s="70" t="str">
        <f>IFERROR(INDEX(CAT_Specs!$A$9:$A$500,MATCH(ROWS($O$2:O3),CAT_Specs!$I$9:$I$500,0)),IF(ROWS($O$2:O3)=1,"(sin matches)",""))</f>
        <v>48053-001-01 (Deshidrogenado) | 177 - 205 °C | &gt;= 1 hrs.</v>
      </c>
      <c r="P3" s="70">
        <f t="shared" ref="P3:P66" si="0">IF(AND(IF(TRIM($J$2&amp;"")="",TRUE,LEFT($D3,LEN($J$2))=$J$2),IF(TRIM($K$2&amp;"")="",TRUE,$E3=$K$2),IF($L$2="",TRUE,$F3=$L$2)),1,0)</f>
        <v>0</v>
      </c>
      <c r="Q3" s="70" cm="1">
        <f t="array" ref="Q3">IF(P3=1,IF(SUMPRODUCT(($P$2:P3)*(--($G$2:G3=$G3)))=1,1,0),0)</f>
        <v>0</v>
      </c>
      <c r="R3" s="70" t="str">
        <f>IF(Q3=1,SUM($Q$2:Q3),"")</f>
        <v/>
      </c>
    </row>
    <row r="4" spans="1:23" ht="16" x14ac:dyDescent="0.2">
      <c r="A4" s="73" t="s">
        <v>1539</v>
      </c>
      <c r="B4" s="77" t="s">
        <v>1541</v>
      </c>
      <c r="C4" s="74" t="s">
        <v>1540</v>
      </c>
      <c r="D4" s="74" t="s">
        <v>970</v>
      </c>
      <c r="E4" s="78" t="s">
        <v>97</v>
      </c>
      <c r="F4" s="76" t="s">
        <v>1543</v>
      </c>
      <c r="G4" s="75" t="s">
        <v>186</v>
      </c>
      <c r="H4" s="70"/>
      <c r="J4" s="79"/>
      <c r="K4" s="79"/>
      <c r="L4" s="79"/>
      <c r="O4" s="70" t="str">
        <f>IFERROR(INDEX(CAT_Specs!$A$9:$A$500,MATCH(ROWS($O$2:O4),CAT_Specs!$I$9:$I$500,0)),IF(ROWS($O$2:O4)=1,"(sin matches)",""))</f>
        <v>48053-001-01 (Deshidrogenado) | 177 - 205 °C | &gt;= 2 hrs.</v>
      </c>
      <c r="P4" s="70">
        <f t="shared" si="0"/>
        <v>0</v>
      </c>
      <c r="Q4" s="70" cm="1">
        <f t="array" ref="Q4">IF(P4=1,IF(SUMPRODUCT(($P$2:P4)*(--($G$2:G4=$G4)))=1,1,0),0)</f>
        <v>0</v>
      </c>
      <c r="R4" s="70" t="str">
        <f>IF(Q4=1,SUM($Q$2:Q4),"")</f>
        <v/>
      </c>
    </row>
    <row r="5" spans="1:23" x14ac:dyDescent="0.2">
      <c r="A5" s="73" t="s">
        <v>1539</v>
      </c>
      <c r="B5" s="77" t="s">
        <v>1541</v>
      </c>
      <c r="C5" s="74" t="s">
        <v>1540</v>
      </c>
      <c r="D5" s="74" t="s">
        <v>970</v>
      </c>
      <c r="E5" s="78" t="s">
        <v>120</v>
      </c>
      <c r="F5" s="76" t="s">
        <v>142</v>
      </c>
      <c r="G5" s="76" t="s">
        <v>1081</v>
      </c>
      <c r="H5" s="70"/>
      <c r="O5" s="70" t="str">
        <f>IFERROR(INDEX(CAT_Specs!$A$9:$A$500,MATCH(ROWS($O$2:O5),CAT_Specs!$I$9:$I$500,0)),IF(ROWS($O$2:O5)=1,"(sin matches)",""))</f>
        <v>48053-001-01 (Deshidrogenado) | 177 - 205 °C | &gt;= 3 hrs.</v>
      </c>
      <c r="P5" s="70">
        <f t="shared" si="0"/>
        <v>0</v>
      </c>
      <c r="Q5" s="70" cm="1">
        <f t="array" ref="Q5">IF(P5=1,IF(SUMPRODUCT(($P$2:P5)*(--($G$2:G5=$G5)))=1,1,0),0)</f>
        <v>0</v>
      </c>
      <c r="R5" s="70" t="str">
        <f>IF(Q5=1,SUM($Q$2:Q5),"")</f>
        <v/>
      </c>
    </row>
    <row r="6" spans="1:23" x14ac:dyDescent="0.2">
      <c r="A6" s="73" t="s">
        <v>1539</v>
      </c>
      <c r="B6" s="77" t="s">
        <v>1541</v>
      </c>
      <c r="C6" s="74" t="s">
        <v>1540</v>
      </c>
      <c r="D6" s="74" t="s">
        <v>970</v>
      </c>
      <c r="E6" s="78" t="s">
        <v>120</v>
      </c>
      <c r="F6" s="76" t="s">
        <v>1542</v>
      </c>
      <c r="G6" s="76" t="s">
        <v>1081</v>
      </c>
      <c r="H6" s="70"/>
      <c r="O6" s="70" t="str">
        <f>IFERROR(INDEX(CAT_Specs!$A$9:$A$500,MATCH(ROWS($O$2:O6),CAT_Specs!$I$9:$I$500,0)),IF(ROWS($O$2:O6)=1,"(sin matches)",""))</f>
        <v>48053-005-01 (Lavado - Tratamiento Térmico - Bimetales)</v>
      </c>
      <c r="P6" s="70">
        <f t="shared" si="0"/>
        <v>0</v>
      </c>
      <c r="Q6" s="70" cm="1">
        <f t="array" ref="Q6">IF(P6=1,IF(SUMPRODUCT(($P$2:P6)*(--($G$2:G6=$G6)))=1,1,0),0)</f>
        <v>0</v>
      </c>
      <c r="R6" s="70" t="str">
        <f>IF(Q6=1,SUM($Q$2:Q6),"")</f>
        <v/>
      </c>
    </row>
    <row r="7" spans="1:23" x14ac:dyDescent="0.2">
      <c r="A7" s="73" t="s">
        <v>1539</v>
      </c>
      <c r="B7" s="77" t="s">
        <v>1541</v>
      </c>
      <c r="C7" s="74" t="s">
        <v>1540</v>
      </c>
      <c r="D7" s="74" t="s">
        <v>970</v>
      </c>
      <c r="E7" s="78" t="s">
        <v>1002</v>
      </c>
      <c r="F7" s="76" t="s">
        <v>142</v>
      </c>
      <c r="G7" s="76" t="s">
        <v>1080</v>
      </c>
      <c r="H7" s="70"/>
      <c r="O7" s="70" t="str">
        <f>IFERROR(INDEX(CAT_Specs!$A$9:$A$500,MATCH(ROWS($O$2:O7),CAT_Specs!$I$9:$I$500,0)),IF(ROWS($O$2:O7)=1,"(sin matches)",""))</f>
        <v>48057-004-01 (Bright Dip)</v>
      </c>
      <c r="P7" s="70">
        <f t="shared" si="0"/>
        <v>0</v>
      </c>
      <c r="Q7" s="70" cm="1">
        <f t="array" ref="Q7">IF(P7=1,IF(SUMPRODUCT(($P$2:P7)*(--($G$2:G7=$G7)))=1,1,0),0)</f>
        <v>0</v>
      </c>
      <c r="R7" s="70" t="str">
        <f>IF(Q7=1,SUM($Q$2:Q7),"")</f>
        <v/>
      </c>
    </row>
    <row r="8" spans="1:23" x14ac:dyDescent="0.2">
      <c r="A8" s="73" t="s">
        <v>1539</v>
      </c>
      <c r="B8" s="77" t="s">
        <v>1541</v>
      </c>
      <c r="C8" s="74" t="s">
        <v>1540</v>
      </c>
      <c r="D8" s="74" t="s">
        <v>970</v>
      </c>
      <c r="E8" s="78" t="s">
        <v>1002</v>
      </c>
      <c r="F8" s="76" t="s">
        <v>1542</v>
      </c>
      <c r="G8" s="76" t="s">
        <v>1080</v>
      </c>
      <c r="H8" s="70"/>
      <c r="O8" s="70" t="str">
        <f>IFERROR(INDEX(CAT_Specs!$A$9:$A$500,MATCH(ROWS($O$2:O8),CAT_Specs!$I$9:$I$500,0)),IF(ROWS($O$2:O8)=1,"(sin matches)",""))</f>
        <v>48860-031-01 (Lavado)</v>
      </c>
      <c r="P8" s="70">
        <f t="shared" si="0"/>
        <v>0</v>
      </c>
      <c r="Q8" s="70" cm="1">
        <f t="array" ref="Q8">IF(P8=1,IF(SUMPRODUCT(($P$2:P8)*(--($G$2:G8=$G8)))=1,1,0),0)</f>
        <v>0</v>
      </c>
      <c r="R8" s="70" t="str">
        <f>IF(Q8=1,SUM($Q$2:Q8),"")</f>
        <v/>
      </c>
    </row>
    <row r="9" spans="1:23" ht="16" x14ac:dyDescent="0.2">
      <c r="A9" s="73" t="s">
        <v>1539</v>
      </c>
      <c r="B9" s="77" t="s">
        <v>1541</v>
      </c>
      <c r="C9" s="74" t="s">
        <v>1540</v>
      </c>
      <c r="D9" s="74" t="s">
        <v>970</v>
      </c>
      <c r="E9" s="78" t="s">
        <v>97</v>
      </c>
      <c r="F9" s="76" t="s">
        <v>151</v>
      </c>
      <c r="G9" s="75" t="s">
        <v>192</v>
      </c>
      <c r="H9" s="70"/>
      <c r="O9" s="70" t="str">
        <f>IFERROR(INDEX(CAT_Specs!$A$9:$A$500,MATCH(ROWS($O$2:O9),CAT_Specs!$I$9:$I$500,0)),IF(ROWS($O$2:O9)=1,"(sin matches)",""))</f>
        <v>48951-001-01 (Rebabeo)</v>
      </c>
      <c r="P9" s="70">
        <f t="shared" si="0"/>
        <v>0</v>
      </c>
      <c r="Q9" s="70" cm="1">
        <f t="array" ref="Q9">IF(P9=1,IF(SUMPRODUCT(($P$2:P9)*(--($G$2:G9=$G9)))=1,1,0),0)</f>
        <v>0</v>
      </c>
      <c r="R9" s="70" t="str">
        <f>IF(Q9=1,SUM($Q$2:Q9),"")</f>
        <v/>
      </c>
    </row>
    <row r="10" spans="1:23" ht="16" x14ac:dyDescent="0.2">
      <c r="A10" s="80" t="s">
        <v>1539</v>
      </c>
      <c r="B10" s="83" t="s">
        <v>1541</v>
      </c>
      <c r="C10" s="74" t="s">
        <v>1540</v>
      </c>
      <c r="D10" s="74" t="s">
        <v>970</v>
      </c>
      <c r="E10" s="84" t="s">
        <v>106</v>
      </c>
      <c r="F10" s="82" t="s">
        <v>284</v>
      </c>
      <c r="G10" s="81" t="s">
        <v>200</v>
      </c>
      <c r="H10" s="70"/>
      <c r="O10" s="70" t="str">
        <f>IFERROR(INDEX(CAT_Specs!$A$9:$A$500,MATCH(ROWS($O$2:O10),CAT_Specs!$I$9:$I$500,0)),IF(ROWS($O$2:O10)=1,"(sin matches)",""))</f>
        <v>48951-001-02 (Rebabeo)</v>
      </c>
      <c r="P10" s="70">
        <f t="shared" si="0"/>
        <v>0</v>
      </c>
      <c r="Q10" s="70" cm="1">
        <f t="array" ref="Q10">IF(P10=1,IF(SUMPRODUCT(($P$2:P10)*(--($G$2:G10=$G10)))=1,1,0),0)</f>
        <v>0</v>
      </c>
      <c r="R10" s="70" t="str">
        <f>IF(Q10=1,SUM($Q$2:Q10),"")</f>
        <v/>
      </c>
    </row>
    <row r="11" spans="1:23" ht="16" x14ac:dyDescent="0.2">
      <c r="A11" s="73" t="s">
        <v>1539</v>
      </c>
      <c r="B11" s="77" t="s">
        <v>1541</v>
      </c>
      <c r="C11" s="74" t="s">
        <v>1540</v>
      </c>
      <c r="D11" s="74" t="s">
        <v>970</v>
      </c>
      <c r="E11" s="78" t="s">
        <v>120</v>
      </c>
      <c r="F11" s="76" t="s">
        <v>231</v>
      </c>
      <c r="G11" s="75" t="s">
        <v>229</v>
      </c>
      <c r="H11" s="70"/>
      <c r="O11" s="70" t="str">
        <f>IFERROR(INDEX(CAT_Specs!$A$9:$A$500,MATCH(ROWS($O$2:O11),CAT_Specs!$I$9:$I$500,0)),IF(ROWS($O$2:O11)=1,"(sin matches)",""))</f>
        <v>48951-008-01 (Desengrase)</v>
      </c>
      <c r="P11" s="70">
        <f t="shared" si="0"/>
        <v>0</v>
      </c>
      <c r="Q11" s="70" cm="1">
        <f t="array" ref="Q11">IF(P11=1,IF(SUMPRODUCT(($P$2:P11)*(--($G$2:G11=$G11)))=1,1,0),0)</f>
        <v>0</v>
      </c>
      <c r="R11" s="70" t="str">
        <f>IF(Q11=1,SUM($Q$2:Q11),"")</f>
        <v/>
      </c>
    </row>
    <row r="12" spans="1:23" ht="16" x14ac:dyDescent="0.2">
      <c r="A12" s="73" t="s">
        <v>1539</v>
      </c>
      <c r="B12" s="77" t="s">
        <v>1541</v>
      </c>
      <c r="C12" s="74" t="s">
        <v>1540</v>
      </c>
      <c r="D12" s="74" t="s">
        <v>970</v>
      </c>
      <c r="E12" s="78" t="s">
        <v>113</v>
      </c>
      <c r="F12" s="76" t="s">
        <v>231</v>
      </c>
      <c r="G12" s="75" t="s">
        <v>219</v>
      </c>
      <c r="H12" s="70"/>
      <c r="O12" s="70" t="str">
        <f>IFERROR(INDEX(CAT_Specs!$A$9:$A$500,MATCH(ROWS($O$2:O12),CAT_Specs!$I$9:$I$500,0)),IF(ROWS($O$2:O12)=1,"(sin matches)",""))</f>
        <v>DIN EN 12476 (Fosfato de Manganeso - Aceitado - Medición de Grano) | 2.54 - 7.62 µm</v>
      </c>
      <c r="P12" s="70">
        <f t="shared" si="0"/>
        <v>0</v>
      </c>
      <c r="Q12" s="70" cm="1">
        <f t="array" ref="Q12">IF(P12=1,IF(SUMPRODUCT(($P$2:P12)*(--($G$2:G12=$G12)))=1,1,0),0)</f>
        <v>0</v>
      </c>
      <c r="R12" s="70" t="str">
        <f>IF(Q12=1,SUM($Q$2:Q12),"")</f>
        <v/>
      </c>
    </row>
    <row r="13" spans="1:23" ht="16" x14ac:dyDescent="0.2">
      <c r="A13" s="73" t="s">
        <v>1539</v>
      </c>
      <c r="B13" s="77" t="s">
        <v>1541</v>
      </c>
      <c r="C13" s="74" t="s">
        <v>1540</v>
      </c>
      <c r="D13" s="74" t="s">
        <v>970</v>
      </c>
      <c r="E13" s="78" t="s">
        <v>97</v>
      </c>
      <c r="F13" s="76" t="s">
        <v>231</v>
      </c>
      <c r="G13" s="75" t="s">
        <v>212</v>
      </c>
      <c r="H13" s="70"/>
      <c r="O13" s="70" t="str">
        <f>IFERROR(INDEX(CAT_Specs!$A$9:$A$500,MATCH(ROWS($O$2:O13),CAT_Specs!$I$9:$I$500,0)),IF(ROWS($O$2:O13)=1,"(sin matches)",""))</f>
        <v>FFS-2E3 (Cromo Duro) | 12.7 - 17.78 µm</v>
      </c>
      <c r="P13" s="70">
        <f t="shared" si="0"/>
        <v>0</v>
      </c>
      <c r="Q13" s="70" cm="1">
        <f t="array" ref="Q13">IF(P13=1,IF(SUMPRODUCT(($P$2:P13)*(--($G$2:G13=$G13)))=1,1,0),0)</f>
        <v>0</v>
      </c>
      <c r="R13" s="70" t="str">
        <f>IF(Q13=1,SUM($Q$2:Q13),"")</f>
        <v/>
      </c>
    </row>
    <row r="14" spans="1:23" ht="16" x14ac:dyDescent="0.2">
      <c r="A14" s="73" t="s">
        <v>1539</v>
      </c>
      <c r="B14" s="77" t="s">
        <v>1541</v>
      </c>
      <c r="C14" s="74" t="s">
        <v>1540</v>
      </c>
      <c r="D14" s="74" t="s">
        <v>970</v>
      </c>
      <c r="E14" s="78" t="s">
        <v>106</v>
      </c>
      <c r="F14" s="76" t="s">
        <v>231</v>
      </c>
      <c r="G14" s="75" t="s">
        <v>207</v>
      </c>
      <c r="H14" s="70"/>
      <c r="O14" s="70" t="str">
        <f>IFERROR(INDEX(CAT_Specs!$A$9:$A$500,MATCH(ROWS($O$2:O14),CAT_Specs!$I$9:$I$500,0)),IF(ROWS($O$2:O14)=1,"(sin matches)",""))</f>
        <v>FFS-2E3 (Cromo Duro) | 19.05 - 31.75 µm</v>
      </c>
      <c r="P14" s="70">
        <f t="shared" si="0"/>
        <v>0</v>
      </c>
      <c r="Q14" s="70" cm="1">
        <f t="array" ref="Q14">IF(P14=1,IF(SUMPRODUCT(($P$2:P14)*(--($G$2:G14=$G14)))=1,1,0),0)</f>
        <v>0</v>
      </c>
      <c r="R14" s="70" t="str">
        <f>IF(Q14=1,SUM($Q$2:Q14),"")</f>
        <v/>
      </c>
    </row>
    <row r="15" spans="1:23" ht="16" x14ac:dyDescent="0.2">
      <c r="A15" s="73" t="s">
        <v>1539</v>
      </c>
      <c r="B15" s="77" t="s">
        <v>1541</v>
      </c>
      <c r="C15" s="74" t="s">
        <v>1540</v>
      </c>
      <c r="D15" s="74" t="s">
        <v>970</v>
      </c>
      <c r="E15" s="78" t="s">
        <v>129</v>
      </c>
      <c r="F15" s="76" t="s">
        <v>231</v>
      </c>
      <c r="G15" s="75" t="s">
        <v>224</v>
      </c>
      <c r="H15" s="70"/>
      <c r="O15" s="70" t="str">
        <f>IFERROR(INDEX(CAT_Specs!$A$9:$A$500,MATCH(ROWS($O$2:O15),CAT_Specs!$I$9:$I$500,0)),IF(ROWS($O$2:O15)=1,"(sin matches)",""))</f>
        <v>FFS-2E3 (Cromo Duro) | 25 - 38 µm</v>
      </c>
      <c r="P15" s="70">
        <f t="shared" si="0"/>
        <v>0</v>
      </c>
      <c r="Q15" s="70" cm="1">
        <f t="array" ref="Q15">IF(P15=1,IF(SUMPRODUCT(($P$2:P15)*(--($G$2:G15=$G15)))=1,1,0),0)</f>
        <v>0</v>
      </c>
      <c r="R15" s="70" t="str">
        <f>IF(Q15=1,SUM($Q$2:Q15),"")</f>
        <v/>
      </c>
    </row>
    <row r="16" spans="1:23" x14ac:dyDescent="0.2">
      <c r="A16" s="73" t="s">
        <v>1539</v>
      </c>
      <c r="B16" s="77" t="s">
        <v>1541</v>
      </c>
      <c r="C16" s="74" t="s">
        <v>1540</v>
      </c>
      <c r="D16" s="74" t="s">
        <v>970</v>
      </c>
      <c r="E16" s="78" t="s">
        <v>1002</v>
      </c>
      <c r="F16" s="76" t="s">
        <v>231</v>
      </c>
      <c r="G16" s="76" t="s">
        <v>1082</v>
      </c>
      <c r="H16" s="70"/>
      <c r="O16" s="70" t="str">
        <f>IFERROR(INDEX(CAT_Specs!$A$9:$A$500,MATCH(ROWS($O$2:O16),CAT_Specs!$I$9:$I$500,0)),IF(ROWS($O$2:O16)=1,"(sin matches)",""))</f>
        <v>FFS-2E3 (Cromo Duro) | 38.5 - 63.5 µm</v>
      </c>
      <c r="P16" s="70">
        <f t="shared" si="0"/>
        <v>0</v>
      </c>
      <c r="Q16" s="70" cm="1">
        <f t="array" ref="Q16">IF(P16=1,IF(SUMPRODUCT(($P$2:P16)*(--($G$2:G16=$G16)))=1,1,0),0)</f>
        <v>0</v>
      </c>
      <c r="R16" s="70" t="str">
        <f>IF(Q16=1,SUM($Q$2:Q16),"")</f>
        <v/>
      </c>
    </row>
    <row r="17" spans="1:18" x14ac:dyDescent="0.2">
      <c r="A17" s="73" t="s">
        <v>1539</v>
      </c>
      <c r="B17" s="85" t="s">
        <v>1544</v>
      </c>
      <c r="C17" s="74" t="s">
        <v>1540</v>
      </c>
      <c r="D17" s="74" t="s">
        <v>970</v>
      </c>
      <c r="E17" s="78" t="s">
        <v>97</v>
      </c>
      <c r="F17" s="76" t="s">
        <v>231</v>
      </c>
      <c r="G17" s="76" t="s">
        <v>1083</v>
      </c>
      <c r="H17" s="70"/>
      <c r="O17" s="70" t="str">
        <f>IFERROR(INDEX(CAT_Specs!$A$9:$A$500,MATCH(ROWS($O$2:O17),CAT_Specs!$I$9:$I$500,0)),IF(ROWS($O$2:O17)=1,"(sin matches)",""))</f>
        <v>FFS-2E3 (Cromo Duro) | 63.5 - 88.9 µm</v>
      </c>
      <c r="P17" s="70">
        <f t="shared" si="0"/>
        <v>0</v>
      </c>
      <c r="Q17" s="70" cm="1">
        <f t="array" ref="Q17">IF(P17=1,IF(SUMPRODUCT(($P$2:P17)*(--($G$2:G17=$G17)))=1,1,0),0)</f>
        <v>0</v>
      </c>
      <c r="R17" s="70" t="str">
        <f>IF(Q17=1,SUM($Q$2:Q17),"")</f>
        <v/>
      </c>
    </row>
    <row r="18" spans="1:18" ht="16" x14ac:dyDescent="0.2">
      <c r="A18" s="73" t="s">
        <v>1539</v>
      </c>
      <c r="B18" s="77" t="s">
        <v>1541</v>
      </c>
      <c r="C18" s="74" t="s">
        <v>1540</v>
      </c>
      <c r="D18" s="74" t="s">
        <v>970</v>
      </c>
      <c r="E18" s="78" t="s">
        <v>120</v>
      </c>
      <c r="F18" s="76" t="s">
        <v>1545</v>
      </c>
      <c r="G18" s="75" t="s">
        <v>1091</v>
      </c>
      <c r="H18" s="70"/>
      <c r="O18" s="70" t="str">
        <f>IFERROR(INDEX(CAT_Specs!$A$9:$A$500,MATCH(ROWS($O$2:O18),CAT_Specs!$I$9:$I$500,0)),IF(ROWS($O$2:O18)=1,"(sin matches)",""))</f>
        <v>FFS-2E3 (Cromo Duro) | 7.62 - 12.7 µm</v>
      </c>
      <c r="P18" s="70">
        <f t="shared" si="0"/>
        <v>0</v>
      </c>
      <c r="Q18" s="70" cm="1">
        <f t="array" ref="Q18">IF(P18=1,IF(SUMPRODUCT(($P$2:P18)*(--($G$2:G18=$G18)))=1,1,0),0)</f>
        <v>0</v>
      </c>
      <c r="R18" s="70" t="str">
        <f>IF(Q18=1,SUM($Q$2:Q18),"")</f>
        <v/>
      </c>
    </row>
    <row r="19" spans="1:18" ht="16" x14ac:dyDescent="0.2">
      <c r="A19" s="73" t="s">
        <v>1539</v>
      </c>
      <c r="B19" s="77" t="s">
        <v>1541</v>
      </c>
      <c r="C19" s="74" t="s">
        <v>1540</v>
      </c>
      <c r="D19" s="74" t="s">
        <v>970</v>
      </c>
      <c r="E19" s="78" t="s">
        <v>113</v>
      </c>
      <c r="F19" s="76" t="s">
        <v>1545</v>
      </c>
      <c r="G19" s="75" t="s">
        <v>1089</v>
      </c>
      <c r="H19" s="70"/>
      <c r="O19" s="70" t="str">
        <f>IFERROR(INDEX(CAT_Specs!$A$9:$A$500,MATCH(ROWS($O$2:O19),CAT_Specs!$I$9:$I$500,0)),IF(ROWS($O$2:O19)=1,"(sin matches)",""))</f>
        <v>FFS-3A9 (Iridizado)</v>
      </c>
      <c r="P19" s="70">
        <f t="shared" si="0"/>
        <v>0</v>
      </c>
      <c r="Q19" s="70" cm="1">
        <f t="array" ref="Q19">IF(P19=1,IF(SUMPRODUCT(($P$2:P19)*(--($G$2:G19=$G19)))=1,1,0),0)</f>
        <v>0</v>
      </c>
      <c r="R19" s="70" t="str">
        <f>IF(Q19=1,SUM($Q$2:Q19),"")</f>
        <v/>
      </c>
    </row>
    <row r="20" spans="1:18" ht="16" x14ac:dyDescent="0.2">
      <c r="A20" s="73" t="s">
        <v>1539</v>
      </c>
      <c r="B20" s="77" t="s">
        <v>1541</v>
      </c>
      <c r="C20" s="74" t="s">
        <v>1540</v>
      </c>
      <c r="D20" s="74" t="s">
        <v>970</v>
      </c>
      <c r="E20" s="78" t="s">
        <v>97</v>
      </c>
      <c r="F20" s="76" t="s">
        <v>1545</v>
      </c>
      <c r="G20" s="75" t="s">
        <v>1088</v>
      </c>
      <c r="H20" s="70"/>
      <c r="O20" s="70" t="str">
        <f>IFERROR(INDEX(CAT_Specs!$A$9:$A$500,MATCH(ROWS($O$2:O20),CAT_Specs!$I$9:$I$500,0)),IF(ROWS($O$2:O20)=1,"(sin matches)",""))</f>
        <v>GDE1214700 (Antitarnish)</v>
      </c>
      <c r="P20" s="70">
        <f t="shared" si="0"/>
        <v>0</v>
      </c>
      <c r="Q20" s="70" cm="1">
        <f t="array" ref="Q20">IF(P20=1,IF(SUMPRODUCT(($P$2:P20)*(--($G$2:G20=$G20)))=1,1,0),0)</f>
        <v>0</v>
      </c>
      <c r="R20" s="70" t="str">
        <f>IF(Q20=1,SUM($Q$2:Q20),"")</f>
        <v/>
      </c>
    </row>
    <row r="21" spans="1:18" ht="16" x14ac:dyDescent="0.2">
      <c r="A21" s="73" t="s">
        <v>1539</v>
      </c>
      <c r="B21" s="77" t="s">
        <v>1541</v>
      </c>
      <c r="C21" s="74" t="s">
        <v>1540</v>
      </c>
      <c r="D21" s="74" t="s">
        <v>970</v>
      </c>
      <c r="E21" s="78" t="s">
        <v>106</v>
      </c>
      <c r="F21" s="76" t="s">
        <v>1545</v>
      </c>
      <c r="G21" s="75" t="s">
        <v>1087</v>
      </c>
      <c r="H21" s="70"/>
      <c r="O21" s="70" t="str">
        <f>IFERROR(INDEX(CAT_Specs!$A$9:$A$500,MATCH(ROWS($O$2:O21),CAT_Specs!$I$9:$I$500,0)),IF(ROWS($O$2:O21)=1,"(sin matches)",""))</f>
        <v>MS-S1053 (Fosfato de Manganeso - Medición de Grano) | 5 - 11 µm</v>
      </c>
      <c r="P21" s="70">
        <f t="shared" si="0"/>
        <v>0</v>
      </c>
      <c r="Q21" s="70" cm="1">
        <f t="array" ref="Q21">IF(P21=1,IF(SUMPRODUCT(($P$2:P21)*(--($G$2:G21=$G21)))=1,1,0),0)</f>
        <v>0</v>
      </c>
      <c r="R21" s="70" t="str">
        <f>IF(Q21=1,SUM($Q$2:Q21),"")</f>
        <v/>
      </c>
    </row>
    <row r="22" spans="1:18" ht="16" x14ac:dyDescent="0.2">
      <c r="A22" s="73" t="s">
        <v>1539</v>
      </c>
      <c r="B22" s="77" t="s">
        <v>1541</v>
      </c>
      <c r="C22" s="74" t="s">
        <v>1540</v>
      </c>
      <c r="D22" s="74" t="s">
        <v>970</v>
      </c>
      <c r="E22" s="78" t="s">
        <v>129</v>
      </c>
      <c r="F22" s="76" t="s">
        <v>1545</v>
      </c>
      <c r="G22" s="75" t="s">
        <v>1090</v>
      </c>
      <c r="H22" s="70"/>
      <c r="O22" s="70" t="str">
        <f>IFERROR(INDEX(CAT_Specs!$A$9:$A$500,MATCH(ROWS($O$2:O22),CAT_Specs!$I$9:$I$500,0)),IF(ROWS($O$2:O22)=1,"(sin matches)",""))</f>
        <v>RC Anodizado Natural | 12 - 18 µm</v>
      </c>
      <c r="P22" s="70">
        <f t="shared" si="0"/>
        <v>0</v>
      </c>
      <c r="Q22" s="70" cm="1">
        <f t="array" ref="Q22">IF(P22=1,IF(SUMPRODUCT(($P$2:P22)*(--($G$2:G22=$G22)))=1,1,0),0)</f>
        <v>0</v>
      </c>
      <c r="R22" s="70" t="str">
        <f>IF(Q22=1,SUM($Q$2:Q22),"")</f>
        <v/>
      </c>
    </row>
    <row r="23" spans="1:18" x14ac:dyDescent="0.2">
      <c r="A23" s="73" t="s">
        <v>1539</v>
      </c>
      <c r="B23" s="77" t="s">
        <v>1541</v>
      </c>
      <c r="C23" s="74" t="s">
        <v>1540</v>
      </c>
      <c r="D23" s="74" t="s">
        <v>970</v>
      </c>
      <c r="E23" s="78" t="s">
        <v>1002</v>
      </c>
      <c r="F23" s="76" t="s">
        <v>1545</v>
      </c>
      <c r="G23" s="76" t="s">
        <v>1086</v>
      </c>
      <c r="H23" s="70"/>
      <c r="O23" s="70" t="str">
        <f>IFERROR(INDEX(CAT_Specs!$A$9:$A$500,MATCH(ROWS($O$2:O23),CAT_Specs!$I$9:$I$500,0)),IF(ROWS($O$2:O23)=1,"(sin matches)",""))</f>
        <v>RC Anodizado Natural | 2 - 3 µm</v>
      </c>
      <c r="P23" s="70">
        <f t="shared" si="0"/>
        <v>0</v>
      </c>
      <c r="Q23" s="70" cm="1">
        <f t="array" ref="Q23">IF(P23=1,IF(SUMPRODUCT(($P$2:P23)*(--($G$2:G23=$G23)))=1,1,0),0)</f>
        <v>0</v>
      </c>
      <c r="R23" s="70" t="str">
        <f>IF(Q23=1,SUM($Q$2:Q23),"")</f>
        <v/>
      </c>
    </row>
    <row r="24" spans="1:18" x14ac:dyDescent="0.2">
      <c r="A24" s="73" t="s">
        <v>1539</v>
      </c>
      <c r="B24" s="77" t="s">
        <v>1541</v>
      </c>
      <c r="C24" s="74" t="s">
        <v>1540</v>
      </c>
      <c r="D24" s="74" t="s">
        <v>970</v>
      </c>
      <c r="E24" s="78" t="s">
        <v>113</v>
      </c>
      <c r="F24" s="76" t="s">
        <v>1546</v>
      </c>
      <c r="G24" s="76" t="s">
        <v>1084</v>
      </c>
      <c r="H24" s="70"/>
      <c r="O24" s="70" t="str">
        <f>IFERROR(INDEX(CAT_Specs!$A$9:$A$500,MATCH(ROWS($O$2:O24),CAT_Specs!$I$9:$I$500,0)),IF(ROWS($O$2:O24)=1,"(sin matches)",""))</f>
        <v>RC Anodizado Natural | 8 - 13 µm</v>
      </c>
      <c r="P24" s="70">
        <f t="shared" si="0"/>
        <v>0</v>
      </c>
      <c r="Q24" s="70" cm="1">
        <f t="array" ref="Q24">IF(P24=1,IF(SUMPRODUCT(($P$2:P24)*(--($G$2:G24=$G24)))=1,1,0),0)</f>
        <v>0</v>
      </c>
      <c r="R24" s="70" t="str">
        <f>IF(Q24=1,SUM($Q$2:Q24),"")</f>
        <v/>
      </c>
    </row>
    <row r="25" spans="1:18" x14ac:dyDescent="0.2">
      <c r="A25" s="73" t="s">
        <v>1539</v>
      </c>
      <c r="B25" s="77" t="s">
        <v>1541</v>
      </c>
      <c r="C25" s="74" t="s">
        <v>1540</v>
      </c>
      <c r="D25" s="74" t="s">
        <v>970</v>
      </c>
      <c r="E25" s="78" t="s">
        <v>113</v>
      </c>
      <c r="F25" s="76" t="s">
        <v>1547</v>
      </c>
      <c r="G25" s="76" t="s">
        <v>1084</v>
      </c>
      <c r="H25" s="70"/>
      <c r="O25" s="70" t="str">
        <f>IFERROR(INDEX(CAT_Specs!$A$9:$A$500,MATCH(ROWS($O$2:O25),CAT_Specs!$I$9:$I$500,0)),IF(ROWS($O$2:O25)=1,"(sin matches)",""))</f>
        <v>RC Anodizado Negro | 12 - 18 µm</v>
      </c>
      <c r="P25" s="70">
        <f t="shared" si="0"/>
        <v>0</v>
      </c>
      <c r="Q25" s="70" cm="1">
        <f t="array" ref="Q25">IF(P25=1,IF(SUMPRODUCT(($P$2:P25)*(--($G$2:G25=$G25)))=1,1,0),0)</f>
        <v>0</v>
      </c>
      <c r="R25" s="70" t="str">
        <f>IF(Q25=1,SUM($Q$2:Q25),"")</f>
        <v/>
      </c>
    </row>
    <row r="26" spans="1:18" ht="16" x14ac:dyDescent="0.2">
      <c r="A26" s="73" t="s">
        <v>1539</v>
      </c>
      <c r="B26" s="77" t="s">
        <v>1541</v>
      </c>
      <c r="C26" s="74" t="s">
        <v>1540</v>
      </c>
      <c r="D26" s="74" t="s">
        <v>970</v>
      </c>
      <c r="E26" s="78" t="s">
        <v>129</v>
      </c>
      <c r="F26" s="76" t="s">
        <v>338</v>
      </c>
      <c r="G26" s="75" t="s">
        <v>246</v>
      </c>
      <c r="H26" s="70"/>
      <c r="O26" s="70" t="str">
        <f>IFERROR(INDEX(CAT_Specs!$A$9:$A$500,MATCH(ROWS($O$2:O26),CAT_Specs!$I$9:$I$500,0)),IF(ROWS($O$2:O26)=1,"(sin matches)",""))</f>
        <v>RC Anodizado Negro | 8 - 13 µm</v>
      </c>
      <c r="P26" s="70">
        <f t="shared" si="0"/>
        <v>0</v>
      </c>
      <c r="Q26" s="70" cm="1">
        <f t="array" ref="Q26">IF(P26=1,IF(SUMPRODUCT(($P$2:P26)*(--($G$2:G26=$G26)))=1,1,0),0)</f>
        <v>0</v>
      </c>
      <c r="R26" s="70" t="str">
        <f>IF(Q26=1,SUM($Q$2:Q26),"")</f>
        <v/>
      </c>
    </row>
    <row r="27" spans="1:18" ht="16" x14ac:dyDescent="0.2">
      <c r="A27" s="73" t="s">
        <v>1539</v>
      </c>
      <c r="B27" s="77" t="s">
        <v>1541</v>
      </c>
      <c r="C27" s="74" t="s">
        <v>1540</v>
      </c>
      <c r="D27" s="74" t="s">
        <v>970</v>
      </c>
      <c r="E27" s="78" t="s">
        <v>97</v>
      </c>
      <c r="F27" s="76" t="s">
        <v>338</v>
      </c>
      <c r="G27" s="75" t="s">
        <v>246</v>
      </c>
      <c r="H27" s="70"/>
      <c r="O27" s="70" t="str">
        <f>IFERROR(INDEX(CAT_Specs!$A$9:$A$500,MATCH(ROWS($O$2:O27),CAT_Specs!$I$9:$I$500,0)),IF(ROWS($O$2:O27)=1,"(sin matches)",""))</f>
        <v>RC Brill 61</v>
      </c>
      <c r="P27" s="70">
        <f t="shared" si="0"/>
        <v>0</v>
      </c>
      <c r="Q27" s="70" cm="1">
        <f t="array" ref="Q27">IF(P27=1,IF(SUMPRODUCT(($P$2:P27)*(--($G$2:G27=$G27)))=1,1,0),0)</f>
        <v>0</v>
      </c>
      <c r="R27" s="70" t="str">
        <f>IF(Q27=1,SUM($Q$2:Q27),"")</f>
        <v/>
      </c>
    </row>
    <row r="28" spans="1:18" x14ac:dyDescent="0.2">
      <c r="A28" s="73" t="s">
        <v>1539</v>
      </c>
      <c r="B28" s="77" t="s">
        <v>1541</v>
      </c>
      <c r="C28" s="74" t="s">
        <v>1540</v>
      </c>
      <c r="D28" s="74" t="s">
        <v>970</v>
      </c>
      <c r="E28" s="78" t="s">
        <v>1493</v>
      </c>
      <c r="F28" s="76" t="s">
        <v>338</v>
      </c>
      <c r="G28" s="76" t="s">
        <v>1096</v>
      </c>
      <c r="H28" s="70"/>
      <c r="O28" s="70" t="str">
        <f>IFERROR(INDEX(CAT_Specs!$A$9:$A$500,MATCH(ROWS($O$2:O28),CAT_Specs!$I$9:$I$500,0)),IF(ROWS($O$2:O28)=1,"(sin matches)",""))</f>
        <v>RC Cromo Duro | 12.7 - 17.78 µm</v>
      </c>
      <c r="P28" s="70">
        <f t="shared" si="0"/>
        <v>0</v>
      </c>
      <c r="Q28" s="70" cm="1">
        <f t="array" ref="Q28">IF(P28=1,IF(SUMPRODUCT(($P$2:P28)*(--($G$2:G28=$G28)))=1,1,0),0)</f>
        <v>0</v>
      </c>
      <c r="R28" s="70" t="str">
        <f>IF(Q28=1,SUM($Q$2:Q28),"")</f>
        <v/>
      </c>
    </row>
    <row r="29" spans="1:18" x14ac:dyDescent="0.2">
      <c r="A29" s="73" t="s">
        <v>1539</v>
      </c>
      <c r="B29" s="77" t="s">
        <v>1541</v>
      </c>
      <c r="C29" s="74" t="s">
        <v>1540</v>
      </c>
      <c r="D29" s="74" t="s">
        <v>970</v>
      </c>
      <c r="E29" s="78" t="s">
        <v>1002</v>
      </c>
      <c r="F29" s="76" t="s">
        <v>338</v>
      </c>
      <c r="G29" s="76" t="s">
        <v>1095</v>
      </c>
      <c r="H29" s="70"/>
      <c r="O29" s="70" t="str">
        <f>IFERROR(INDEX(CAT_Specs!$A$9:$A$500,MATCH(ROWS($O$2:O29),CAT_Specs!$I$9:$I$500,0)),IF(ROWS($O$2:O29)=1,"(sin matches)",""))</f>
        <v>RC Cromo Duro | 19.05 - 31.75 µm</v>
      </c>
      <c r="P29" s="70">
        <f t="shared" si="0"/>
        <v>0</v>
      </c>
      <c r="Q29" s="70" cm="1">
        <f t="array" ref="Q29">IF(P29=1,IF(SUMPRODUCT(($P$2:P29)*(--($G$2:G29=$G29)))=1,1,0),0)</f>
        <v>0</v>
      </c>
      <c r="R29" s="70" t="str">
        <f>IF(Q29=1,SUM($Q$2:Q29),"")</f>
        <v/>
      </c>
    </row>
    <row r="30" spans="1:18" ht="16" x14ac:dyDescent="0.2">
      <c r="A30" s="73" t="s">
        <v>1539</v>
      </c>
      <c r="B30" s="77" t="s">
        <v>1541</v>
      </c>
      <c r="C30" s="74" t="s">
        <v>1540</v>
      </c>
      <c r="D30" s="74" t="s">
        <v>970</v>
      </c>
      <c r="E30" s="78" t="s">
        <v>100</v>
      </c>
      <c r="F30" s="76" t="s">
        <v>338</v>
      </c>
      <c r="G30" s="75" t="s">
        <v>1098</v>
      </c>
      <c r="H30" s="70"/>
      <c r="O30" s="70" t="str">
        <f>IFERROR(INDEX(CAT_Specs!$A$9:$A$500,MATCH(ROWS($O$2:O30),CAT_Specs!$I$9:$I$500,0)),IF(ROWS($O$2:O30)=1,"(sin matches)",""))</f>
        <v>RC Cromo Duro | 38.5 - 63.5 µm</v>
      </c>
      <c r="P30" s="70">
        <f t="shared" si="0"/>
        <v>0</v>
      </c>
      <c r="Q30" s="70" cm="1">
        <f t="array" ref="Q30">IF(P30=1,IF(SUMPRODUCT(($P$2:P30)*(--($G$2:G30=$G30)))=1,1,0),0)</f>
        <v>0</v>
      </c>
      <c r="R30" s="70" t="str">
        <f>IF(Q30=1,SUM($Q$2:Q30),"")</f>
        <v/>
      </c>
    </row>
    <row r="31" spans="1:18" ht="16" x14ac:dyDescent="0.2">
      <c r="A31" s="73" t="s">
        <v>1539</v>
      </c>
      <c r="B31" s="77" t="s">
        <v>1541</v>
      </c>
      <c r="C31" s="74" t="s">
        <v>1540</v>
      </c>
      <c r="D31" s="74" t="s">
        <v>970</v>
      </c>
      <c r="E31" s="78" t="s">
        <v>100</v>
      </c>
      <c r="F31" s="76" t="s">
        <v>1548</v>
      </c>
      <c r="G31" s="75" t="s">
        <v>1098</v>
      </c>
      <c r="H31" s="70"/>
      <c r="O31" s="70" t="str">
        <f>IFERROR(INDEX(CAT_Specs!$A$9:$A$500,MATCH(ROWS($O$2:O31),CAT_Specs!$I$9:$I$500,0)),IF(ROWS($O$2:O31)=1,"(sin matches)",""))</f>
        <v>RC Cromo Duro | 63.5 - 88.9 µm</v>
      </c>
      <c r="P31" s="70">
        <f t="shared" si="0"/>
        <v>0</v>
      </c>
      <c r="Q31" s="70" cm="1">
        <f t="array" ref="Q31">IF(P31=1,IF(SUMPRODUCT(($P$2:P31)*(--($G$2:G31=$G31)))=1,1,0),0)</f>
        <v>0</v>
      </c>
      <c r="R31" s="70" t="str">
        <f>IF(Q31=1,SUM($Q$2:Q31),"")</f>
        <v/>
      </c>
    </row>
    <row r="32" spans="1:18" ht="16" x14ac:dyDescent="0.2">
      <c r="A32" s="73" t="s">
        <v>1539</v>
      </c>
      <c r="B32" s="77" t="s">
        <v>1541</v>
      </c>
      <c r="C32" s="74" t="s">
        <v>1540</v>
      </c>
      <c r="D32" s="74" t="s">
        <v>970</v>
      </c>
      <c r="E32" s="78" t="s">
        <v>120</v>
      </c>
      <c r="F32" s="76" t="s">
        <v>338</v>
      </c>
      <c r="G32" s="75" t="s">
        <v>288</v>
      </c>
      <c r="H32" s="70"/>
      <c r="O32" s="70" t="str">
        <f>IFERROR(INDEX(CAT_Specs!$A$9:$A$500,MATCH(ROWS($O$2:O32),CAT_Specs!$I$9:$I$500,0)),IF(ROWS($O$2:O32)=1,"(sin matches)",""))</f>
        <v>RC Cromo Duro | 7.62 - 12.7 µm</v>
      </c>
      <c r="P32" s="70">
        <f t="shared" si="0"/>
        <v>0</v>
      </c>
      <c r="Q32" s="70" cm="1">
        <f t="array" ref="Q32">IF(P32=1,IF(SUMPRODUCT(($P$2:P32)*(--($G$2:G32=$G32)))=1,1,0),0)</f>
        <v>0</v>
      </c>
      <c r="R32" s="70" t="str">
        <f>IF(Q32=1,SUM($Q$2:Q32),"")</f>
        <v/>
      </c>
    </row>
    <row r="33" spans="1:18" ht="16" x14ac:dyDescent="0.2">
      <c r="A33" s="73" t="s">
        <v>1539</v>
      </c>
      <c r="B33" s="77" t="s">
        <v>1541</v>
      </c>
      <c r="C33" s="74" t="s">
        <v>1540</v>
      </c>
      <c r="D33" s="74" t="s">
        <v>970</v>
      </c>
      <c r="E33" s="78" t="s">
        <v>120</v>
      </c>
      <c r="F33" s="76" t="s">
        <v>1548</v>
      </c>
      <c r="G33" s="75" t="s">
        <v>288</v>
      </c>
      <c r="H33" s="70"/>
      <c r="O33" s="70" t="str">
        <f>IFERROR(INDEX(CAT_Specs!$A$9:$A$500,MATCH(ROWS($O$2:O33),CAT_Specs!$I$9:$I$500,0)),IF(ROWS($O$2:O33)=1,"(sin matches)",""))</f>
        <v>RC Cu (Cobre) | 0.25 - 1 µm</v>
      </c>
      <c r="P33" s="70">
        <f t="shared" si="0"/>
        <v>0</v>
      </c>
      <c r="Q33" s="70" cm="1">
        <f t="array" ref="Q33">IF(P33=1,IF(SUMPRODUCT(($P$2:P33)*(--($G$2:G33=$G33)))=1,1,0),0)</f>
        <v>0</v>
      </c>
      <c r="R33" s="70" t="str">
        <f>IF(Q33=1,SUM($Q$2:Q33),"")</f>
        <v/>
      </c>
    </row>
    <row r="34" spans="1:18" ht="16" x14ac:dyDescent="0.2">
      <c r="A34" s="73" t="s">
        <v>1539</v>
      </c>
      <c r="B34" s="77" t="s">
        <v>1541</v>
      </c>
      <c r="C34" s="74" t="s">
        <v>1540</v>
      </c>
      <c r="D34" s="74" t="s">
        <v>970</v>
      </c>
      <c r="E34" s="78" t="s">
        <v>113</v>
      </c>
      <c r="F34" s="76" t="s">
        <v>338</v>
      </c>
      <c r="G34" s="75" t="s">
        <v>279</v>
      </c>
      <c r="H34" s="70"/>
      <c r="O34" s="70" t="str">
        <f>IFERROR(INDEX(CAT_Specs!$A$9:$A$500,MATCH(ROWS($O$2:O34),CAT_Specs!$I$9:$I$500,0)),IF(ROWS($O$2:O34)=1,"(sin matches)",""))</f>
        <v>RC Cu (Cobre) | 0.76 - 2 µm</v>
      </c>
      <c r="P34" s="70">
        <f t="shared" si="0"/>
        <v>0</v>
      </c>
      <c r="Q34" s="70" cm="1">
        <f t="array" ref="Q34">IF(P34=1,IF(SUMPRODUCT(($P$2:P34)*(--($G$2:G34=$G34)))=1,1,0),0)</f>
        <v>0</v>
      </c>
      <c r="R34" s="70" t="str">
        <f>IF(Q34=1,SUM($Q$2:Q34),"")</f>
        <v/>
      </c>
    </row>
    <row r="35" spans="1:18" ht="16" x14ac:dyDescent="0.2">
      <c r="A35" s="73" t="s">
        <v>1539</v>
      </c>
      <c r="B35" s="77" t="s">
        <v>1541</v>
      </c>
      <c r="C35" s="74" t="s">
        <v>1540</v>
      </c>
      <c r="D35" s="74" t="s">
        <v>970</v>
      </c>
      <c r="E35" s="78" t="s">
        <v>113</v>
      </c>
      <c r="F35" s="76" t="s">
        <v>1548</v>
      </c>
      <c r="G35" s="75" t="s">
        <v>279</v>
      </c>
      <c r="H35" s="70"/>
      <c r="O35" s="70" t="str">
        <f>IFERROR(INDEX(CAT_Specs!$A$9:$A$500,MATCH(ROWS($O$2:O35),CAT_Specs!$I$9:$I$500,0)),IF(ROWS($O$2:O35)=1,"(sin matches)",""))</f>
        <v>RC Cu (Cobre) | 10 - 12 µm</v>
      </c>
      <c r="P35" s="70">
        <f t="shared" si="0"/>
        <v>0</v>
      </c>
      <c r="Q35" s="70" cm="1">
        <f t="array" ref="Q35">IF(P35=1,IF(SUMPRODUCT(($P$2:P35)*(--($G$2:G35=$G35)))=1,1,0),0)</f>
        <v>0</v>
      </c>
      <c r="R35" s="70" t="str">
        <f>IF(Q35=1,SUM($Q$2:Q35),"")</f>
        <v/>
      </c>
    </row>
    <row r="36" spans="1:18" ht="16" x14ac:dyDescent="0.2">
      <c r="A36" s="73" t="s">
        <v>1539</v>
      </c>
      <c r="B36" s="77" t="s">
        <v>1541</v>
      </c>
      <c r="C36" s="74" t="s">
        <v>1540</v>
      </c>
      <c r="D36" s="74" t="s">
        <v>970</v>
      </c>
      <c r="E36" s="78" t="s">
        <v>97</v>
      </c>
      <c r="F36" s="76" t="s">
        <v>338</v>
      </c>
      <c r="G36" s="75" t="s">
        <v>267</v>
      </c>
      <c r="H36" s="70"/>
      <c r="O36" s="70" t="str">
        <f>IFERROR(INDEX(CAT_Specs!$A$9:$A$500,MATCH(ROWS($O$2:O36),CAT_Specs!$I$9:$I$500,0)),IF(ROWS($O$2:O36)=1,"(sin matches)",""))</f>
        <v>RC Cu (Cobre) | 3 - 5 µm</v>
      </c>
      <c r="P36" s="70">
        <f t="shared" si="0"/>
        <v>0</v>
      </c>
      <c r="Q36" s="70" cm="1">
        <f t="array" ref="Q36">IF(P36=1,IF(SUMPRODUCT(($P$2:P36)*(--($G$2:G36=$G36)))=1,1,0),0)</f>
        <v>0</v>
      </c>
      <c r="R36" s="70" t="str">
        <f>IF(Q36=1,SUM($Q$2:Q36),"")</f>
        <v/>
      </c>
    </row>
    <row r="37" spans="1:18" ht="16" x14ac:dyDescent="0.2">
      <c r="A37" s="73" t="s">
        <v>1539</v>
      </c>
      <c r="B37" s="77" t="s">
        <v>1541</v>
      </c>
      <c r="C37" s="74" t="s">
        <v>1540</v>
      </c>
      <c r="D37" s="74" t="s">
        <v>970</v>
      </c>
      <c r="E37" s="78" t="s">
        <v>97</v>
      </c>
      <c r="F37" s="76" t="s">
        <v>1548</v>
      </c>
      <c r="G37" s="75" t="s">
        <v>267</v>
      </c>
      <c r="H37" s="70"/>
      <c r="O37" s="70" t="str">
        <f>IFERROR(INDEX(CAT_Specs!$A$9:$A$500,MATCH(ROWS($O$2:O37),CAT_Specs!$I$9:$I$500,0)),IF(ROWS($O$2:O37)=1,"(sin matches)",""))</f>
        <v>RC Cu (Cobre) | 5 - 10 µm</v>
      </c>
      <c r="P37" s="70">
        <f t="shared" si="0"/>
        <v>0</v>
      </c>
      <c r="Q37" s="70" cm="1">
        <f t="array" ref="Q37">IF(P37=1,IF(SUMPRODUCT(($P$2:P37)*(--($G$2:G37=$G37)))=1,1,0),0)</f>
        <v>0</v>
      </c>
      <c r="R37" s="70" t="str">
        <f>IF(Q37=1,SUM($Q$2:Q37),"")</f>
        <v/>
      </c>
    </row>
    <row r="38" spans="1:18" ht="16" x14ac:dyDescent="0.2">
      <c r="A38" s="73" t="s">
        <v>1539</v>
      </c>
      <c r="B38" s="77" t="s">
        <v>1541</v>
      </c>
      <c r="C38" s="74" t="s">
        <v>1540</v>
      </c>
      <c r="D38" s="74" t="s">
        <v>970</v>
      </c>
      <c r="E38" s="78" t="s">
        <v>106</v>
      </c>
      <c r="F38" s="76" t="s">
        <v>338</v>
      </c>
      <c r="G38" s="75" t="s">
        <v>260</v>
      </c>
      <c r="H38" s="70"/>
      <c r="O38" s="70" t="str">
        <f>IFERROR(INDEX(CAT_Specs!$A$9:$A$500,MATCH(ROWS($O$2:O38),CAT_Specs!$I$9:$I$500,0)),IF(ROWS($O$2:O38)=1,"(sin matches)",""))</f>
        <v>RC Decapado</v>
      </c>
      <c r="P38" s="70">
        <f t="shared" si="0"/>
        <v>0</v>
      </c>
      <c r="Q38" s="70" cm="1">
        <f t="array" ref="Q38">IF(P38=1,IF(SUMPRODUCT(($P$2:P38)*(--($G$2:G38=$G38)))=1,1,0),0)</f>
        <v>0</v>
      </c>
      <c r="R38" s="70" t="str">
        <f>IF(Q38=1,SUM($Q$2:Q38),"")</f>
        <v/>
      </c>
    </row>
    <row r="39" spans="1:18" ht="16" x14ac:dyDescent="0.2">
      <c r="A39" s="73" t="s">
        <v>1539</v>
      </c>
      <c r="B39" s="77" t="s">
        <v>1541</v>
      </c>
      <c r="C39" s="74" t="s">
        <v>1540</v>
      </c>
      <c r="D39" s="74" t="s">
        <v>970</v>
      </c>
      <c r="E39" s="78" t="s">
        <v>106</v>
      </c>
      <c r="F39" s="76" t="s">
        <v>1548</v>
      </c>
      <c r="G39" s="75" t="s">
        <v>260</v>
      </c>
      <c r="H39" s="70"/>
      <c r="O39" s="70" t="str">
        <f>IFERROR(INDEX(CAT_Specs!$A$9:$A$500,MATCH(ROWS($O$2:O39),CAT_Specs!$I$9:$I$500,0)),IF(ROWS($O$2:O39)=1,"(sin matches)",""))</f>
        <v>RC Electropulido</v>
      </c>
      <c r="P39" s="70">
        <f t="shared" si="0"/>
        <v>0</v>
      </c>
      <c r="Q39" s="70" cm="1">
        <f t="array" ref="Q39">IF(P39=1,IF(SUMPRODUCT(($P$2:P39)*(--($G$2:G39=$G39)))=1,1,0),0)</f>
        <v>0</v>
      </c>
      <c r="R39" s="70" t="str">
        <f>IF(Q39=1,SUM($Q$2:Q39),"")</f>
        <v/>
      </c>
    </row>
    <row r="40" spans="1:18" ht="16" x14ac:dyDescent="0.2">
      <c r="A40" s="73" t="s">
        <v>1539</v>
      </c>
      <c r="B40" s="77" t="s">
        <v>1541</v>
      </c>
      <c r="C40" s="74" t="s">
        <v>1540</v>
      </c>
      <c r="D40" s="74" t="s">
        <v>970</v>
      </c>
      <c r="E40" s="78" t="s">
        <v>129</v>
      </c>
      <c r="F40" s="76" t="s">
        <v>338</v>
      </c>
      <c r="G40" s="75" t="s">
        <v>283</v>
      </c>
      <c r="H40" s="70"/>
      <c r="O40" s="70" t="str">
        <f>IFERROR(INDEX(CAT_Specs!$A$9:$A$500,MATCH(ROWS($O$2:O40),CAT_Specs!$I$9:$I$500,0)),IF(ROWS($O$2:O40)=1,"(sin matches)",""))</f>
        <v>RC Empaque</v>
      </c>
      <c r="P40" s="70">
        <f t="shared" si="0"/>
        <v>0</v>
      </c>
      <c r="Q40" s="70" cm="1">
        <f t="array" ref="Q40">IF(P40=1,IF(SUMPRODUCT(($P$2:P40)*(--($G$2:G40=$G40)))=1,1,0),0)</f>
        <v>0</v>
      </c>
      <c r="R40" s="70" t="str">
        <f>IF(Q40=1,SUM($Q$2:Q40),"")</f>
        <v/>
      </c>
    </row>
    <row r="41" spans="1:18" ht="16" x14ac:dyDescent="0.2">
      <c r="A41" s="73" t="s">
        <v>1539</v>
      </c>
      <c r="B41" s="77" t="s">
        <v>1541</v>
      </c>
      <c r="C41" s="74" t="s">
        <v>1540</v>
      </c>
      <c r="D41" s="74" t="s">
        <v>970</v>
      </c>
      <c r="E41" s="78" t="s">
        <v>129</v>
      </c>
      <c r="F41" s="76" t="s">
        <v>1548</v>
      </c>
      <c r="G41" s="75" t="s">
        <v>283</v>
      </c>
      <c r="H41" s="70"/>
      <c r="O41" s="70" t="str">
        <f>IFERROR(INDEX(CAT_Specs!$A$9:$A$500,MATCH(ROWS($O$2:O41),CAT_Specs!$I$9:$I$500,0)),IF(ROWS($O$2:O41)=1,"(sin matches)",""))</f>
        <v>RC Ensamble de Kits</v>
      </c>
      <c r="P41" s="70">
        <f t="shared" si="0"/>
        <v>0</v>
      </c>
      <c r="Q41" s="70" cm="1">
        <f t="array" ref="Q41">IF(P41=1,IF(SUMPRODUCT(($P$2:P41)*(--($G$2:G41=$G41)))=1,1,0),0)</f>
        <v>0</v>
      </c>
      <c r="R41" s="70" t="str">
        <f>IF(Q41=1,SUM($Q$2:Q41),"")</f>
        <v/>
      </c>
    </row>
    <row r="42" spans="1:18" ht="16" x14ac:dyDescent="0.2">
      <c r="A42" s="73" t="s">
        <v>1539</v>
      </c>
      <c r="B42" s="77" t="s">
        <v>1549</v>
      </c>
      <c r="C42" s="74" t="s">
        <v>1540</v>
      </c>
      <c r="D42" s="74" t="s">
        <v>970</v>
      </c>
      <c r="E42" s="78" t="s">
        <v>1493</v>
      </c>
      <c r="F42" s="76" t="s">
        <v>1306</v>
      </c>
      <c r="G42" s="75" t="s">
        <v>1126</v>
      </c>
      <c r="H42" s="70"/>
      <c r="O42" s="70" t="str">
        <f>IFERROR(INDEX(CAT_Specs!$A$9:$A$500,MATCH(ROWS($O$2:O42),CAT_Specs!$I$9:$I$500,0)),IF(ROWS($O$2:O42)=1,"(sin matches)",""))</f>
        <v>RC Lavado</v>
      </c>
      <c r="P42" s="70">
        <f t="shared" si="0"/>
        <v>0</v>
      </c>
      <c r="Q42" s="70" cm="1">
        <f t="array" ref="Q42">IF(P42=1,IF(SUMPRODUCT(($P$2:P42)*(--($G$2:G42=$G42)))=1,1,0),0)</f>
        <v>0</v>
      </c>
      <c r="R42" s="70" t="str">
        <f>IF(Q42=1,SUM($Q$2:Q42),"")</f>
        <v/>
      </c>
    </row>
    <row r="43" spans="1:18" ht="16" x14ac:dyDescent="0.2">
      <c r="A43" s="73" t="s">
        <v>1539</v>
      </c>
      <c r="B43" s="77" t="s">
        <v>1549</v>
      </c>
      <c r="C43" s="74" t="s">
        <v>1540</v>
      </c>
      <c r="D43" s="74" t="s">
        <v>970</v>
      </c>
      <c r="E43" s="78" t="s">
        <v>1493</v>
      </c>
      <c r="F43" s="76" t="s">
        <v>1550</v>
      </c>
      <c r="G43" s="75" t="s">
        <v>1126</v>
      </c>
      <c r="H43" s="70"/>
      <c r="O43" s="70" t="str">
        <f>IFERROR(INDEX(CAT_Specs!$A$9:$A$500,MATCH(ROWS($O$2:O43),CAT_Specs!$I$9:$I$500,0)),IF(ROWS($O$2:O43)=1,"(sin matches)",""))</f>
        <v>RC Limpieza Mecánica</v>
      </c>
      <c r="P43" s="70">
        <f t="shared" si="0"/>
        <v>0</v>
      </c>
      <c r="Q43" s="70" cm="1">
        <f t="array" ref="Q43">IF(P43=1,IF(SUMPRODUCT(($P$2:P43)*(--($G$2:G43=$G43)))=1,1,0),0)</f>
        <v>0</v>
      </c>
      <c r="R43" s="70" t="str">
        <f>IF(Q43=1,SUM($Q$2:Q43),"")</f>
        <v/>
      </c>
    </row>
    <row r="44" spans="1:18" ht="16" x14ac:dyDescent="0.2">
      <c r="A44" s="73" t="s">
        <v>1539</v>
      </c>
      <c r="B44" s="85" t="s">
        <v>1551</v>
      </c>
      <c r="C44" s="74" t="s">
        <v>1540</v>
      </c>
      <c r="D44" s="74" t="s">
        <v>970</v>
      </c>
      <c r="E44" s="78" t="s">
        <v>97</v>
      </c>
      <c r="F44" s="76" t="s">
        <v>338</v>
      </c>
      <c r="G44" s="75" t="s">
        <v>274</v>
      </c>
      <c r="H44" s="70"/>
      <c r="O44" s="70" t="str">
        <f>IFERROR(INDEX(CAT_Specs!$A$9:$A$500,MATCH(ROWS($O$2:O44),CAT_Specs!$I$9:$I$500,0)),IF(ROWS($O$2:O44)=1,"(sin matches)",""))</f>
        <v>RC No Oxide</v>
      </c>
      <c r="P44" s="70">
        <f t="shared" si="0"/>
        <v>0</v>
      </c>
      <c r="Q44" s="70" cm="1">
        <f t="array" ref="Q44">IF(P44=1,IF(SUMPRODUCT(($P$2:P44)*(--($G$2:G44=$G44)))=1,1,0),0)</f>
        <v>0</v>
      </c>
      <c r="R44" s="70" t="str">
        <f>IF(Q44=1,SUM($Q$2:Q44),"")</f>
        <v/>
      </c>
    </row>
    <row r="45" spans="1:18" ht="16" x14ac:dyDescent="0.2">
      <c r="A45" s="73" t="s">
        <v>1539</v>
      </c>
      <c r="B45" s="85" t="s">
        <v>1551</v>
      </c>
      <c r="C45" s="74" t="s">
        <v>1540</v>
      </c>
      <c r="D45" s="74" t="s">
        <v>970</v>
      </c>
      <c r="E45" s="78" t="s">
        <v>138</v>
      </c>
      <c r="F45" s="76" t="s">
        <v>338</v>
      </c>
      <c r="G45" s="75" t="s">
        <v>274</v>
      </c>
      <c r="H45" s="70"/>
      <c r="O45" s="70" t="str">
        <f>IFERROR(INDEX(CAT_Specs!$A$9:$A$500,MATCH(ROWS($O$2:O45),CAT_Specs!$I$9:$I$500,0)),IF(ROWS($O$2:O45)=1,"(sin matches)",""))</f>
        <v>RC Pasivado</v>
      </c>
      <c r="P45" s="70">
        <f t="shared" si="0"/>
        <v>0</v>
      </c>
      <c r="Q45" s="70" cm="1">
        <f t="array" ref="Q45">IF(P45=1,IF(SUMPRODUCT(($P$2:P45)*(--($G$2:G45=$G45)))=1,1,0),0)</f>
        <v>0</v>
      </c>
      <c r="R45" s="70" t="str">
        <f>IF(Q45=1,SUM($Q$2:Q45),"")</f>
        <v/>
      </c>
    </row>
    <row r="46" spans="1:18" ht="16" x14ac:dyDescent="0.2">
      <c r="A46" s="73" t="s">
        <v>1539</v>
      </c>
      <c r="B46" s="85" t="s">
        <v>1551</v>
      </c>
      <c r="C46" s="74" t="s">
        <v>1540</v>
      </c>
      <c r="D46" s="74" t="s">
        <v>970</v>
      </c>
      <c r="E46" s="78" t="s">
        <v>97</v>
      </c>
      <c r="F46" s="76" t="s">
        <v>1548</v>
      </c>
      <c r="G46" s="75" t="s">
        <v>274</v>
      </c>
      <c r="H46" s="70"/>
      <c r="O46" s="70" t="str">
        <f>IFERROR(INDEX(CAT_Specs!$A$9:$A$500,MATCH(ROWS($O$2:O46),CAT_Specs!$I$9:$I$500,0)),IF(ROWS($O$2:O46)=1,"(sin matches)",""))</f>
        <v>RC Rebabeo</v>
      </c>
      <c r="P46" s="70">
        <f t="shared" si="0"/>
        <v>0</v>
      </c>
      <c r="Q46" s="70" cm="1">
        <f t="array" ref="Q46">IF(P46=1,IF(SUMPRODUCT(($P$2:P46)*(--($G$2:G46=$G46)))=1,1,0),0)</f>
        <v>0</v>
      </c>
      <c r="R46" s="70" t="str">
        <f>IF(Q46=1,SUM($Q$2:Q46),"")</f>
        <v/>
      </c>
    </row>
    <row r="47" spans="1:18" ht="16" x14ac:dyDescent="0.2">
      <c r="A47" s="73" t="s">
        <v>1539</v>
      </c>
      <c r="B47" s="85" t="s">
        <v>1551</v>
      </c>
      <c r="C47" s="74" t="s">
        <v>1540</v>
      </c>
      <c r="D47" s="74" t="s">
        <v>970</v>
      </c>
      <c r="E47" s="78" t="s">
        <v>138</v>
      </c>
      <c r="F47" s="76" t="s">
        <v>1548</v>
      </c>
      <c r="G47" s="75" t="s">
        <v>274</v>
      </c>
      <c r="H47" s="70"/>
      <c r="O47" s="70" t="str">
        <f>IFERROR(INDEX(CAT_Specs!$A$9:$A$500,MATCH(ROWS($O$2:O47),CAT_Specs!$I$9:$I$500,0)),IF(ROWS($O$2:O47)=1,"(sin matches)",""))</f>
        <v>TS1E-010-103 (Fosfato de Manganeso - Medición de Grano - GM) | 5 - 11 µm</v>
      </c>
      <c r="P47" s="70">
        <f t="shared" si="0"/>
        <v>0</v>
      </c>
      <c r="Q47" s="70" cm="1">
        <f t="array" ref="Q47">IF(P47=1,IF(SUMPRODUCT(($P$2:P47)*(--($G$2:G47=$G47)))=1,1,0),0)</f>
        <v>0</v>
      </c>
      <c r="R47" s="70" t="str">
        <f>IF(Q47=1,SUM($Q$2:Q47),"")</f>
        <v/>
      </c>
    </row>
    <row r="48" spans="1:18" x14ac:dyDescent="0.2">
      <c r="A48" s="73" t="s">
        <v>1539</v>
      </c>
      <c r="B48" s="77" t="s">
        <v>1541</v>
      </c>
      <c r="C48" s="74" t="s">
        <v>1540</v>
      </c>
      <c r="D48" s="74" t="s">
        <v>970</v>
      </c>
      <c r="E48" s="78" t="s">
        <v>1493</v>
      </c>
      <c r="F48" s="76" t="s">
        <v>338</v>
      </c>
      <c r="G48" s="76" t="s">
        <v>1099</v>
      </c>
      <c r="H48" s="70"/>
      <c r="O48" s="70" t="str">
        <f>IFERROR(INDEX(CAT_Specs!$A$9:$A$500,MATCH(ROWS($O$2:O48),CAT_Specs!$I$9:$I$500,0)),IF(ROWS($O$2:O48)=1,"(sin matches)",""))</f>
        <v/>
      </c>
      <c r="P48" s="70">
        <f t="shared" si="0"/>
        <v>0</v>
      </c>
      <c r="Q48" s="70" cm="1">
        <f t="array" ref="Q48">IF(P48=1,IF(SUMPRODUCT(($P$2:P48)*(--($G$2:G48=$G48)))=1,1,0),0)</f>
        <v>0</v>
      </c>
      <c r="R48" s="70" t="str">
        <f>IF(Q48=1,SUM($Q$2:Q48),"")</f>
        <v/>
      </c>
    </row>
    <row r="49" spans="1:18" x14ac:dyDescent="0.2">
      <c r="A49" s="73" t="s">
        <v>1539</v>
      </c>
      <c r="B49" s="77" t="s">
        <v>1541</v>
      </c>
      <c r="C49" s="74" t="s">
        <v>1540</v>
      </c>
      <c r="D49" s="74" t="s">
        <v>970</v>
      </c>
      <c r="E49" s="78" t="s">
        <v>1493</v>
      </c>
      <c r="F49" s="76" t="s">
        <v>1548</v>
      </c>
      <c r="G49" s="76" t="s">
        <v>1099</v>
      </c>
      <c r="H49" s="70"/>
      <c r="O49" s="70" t="str">
        <f>IFERROR(INDEX(CAT_Specs!$A$9:$A$500,MATCH(ROWS($O$2:O49),CAT_Specs!$I$9:$I$500,0)),IF(ROWS($O$2:O49)=1,"(sin matches)",""))</f>
        <v/>
      </c>
      <c r="P49" s="70">
        <f t="shared" si="0"/>
        <v>0</v>
      </c>
      <c r="Q49" s="70" cm="1">
        <f t="array" ref="Q49">IF(P49=1,IF(SUMPRODUCT(($P$2:P49)*(--($G$2:G49=$G49)))=1,1,0),0)</f>
        <v>0</v>
      </c>
      <c r="R49" s="70" t="str">
        <f>IF(Q49=1,SUM($Q$2:Q49),"")</f>
        <v/>
      </c>
    </row>
    <row r="50" spans="1:18" x14ac:dyDescent="0.2">
      <c r="A50" s="73" t="s">
        <v>1539</v>
      </c>
      <c r="B50" s="77" t="s">
        <v>1541</v>
      </c>
      <c r="C50" s="74" t="s">
        <v>1540</v>
      </c>
      <c r="D50" s="74" t="s">
        <v>970</v>
      </c>
      <c r="E50" s="78" t="s">
        <v>1002</v>
      </c>
      <c r="F50" s="76" t="s">
        <v>338</v>
      </c>
      <c r="G50" s="76" t="s">
        <v>1097</v>
      </c>
      <c r="H50" s="70"/>
      <c r="O50" s="70" t="str">
        <f>IFERROR(INDEX(CAT_Specs!$A$9:$A$500,MATCH(ROWS($O$2:O50),CAT_Specs!$I$9:$I$500,0)),IF(ROWS($O$2:O50)=1,"(sin matches)",""))</f>
        <v/>
      </c>
      <c r="P50" s="70">
        <f t="shared" si="0"/>
        <v>0</v>
      </c>
      <c r="Q50" s="70" cm="1">
        <f t="array" ref="Q50">IF(P50=1,IF(SUMPRODUCT(($P$2:P50)*(--($G$2:G50=$G50)))=1,1,0),0)</f>
        <v>0</v>
      </c>
      <c r="R50" s="70" t="str">
        <f>IF(Q50=1,SUM($Q$2:Q50),"")</f>
        <v/>
      </c>
    </row>
    <row r="51" spans="1:18" x14ac:dyDescent="0.2">
      <c r="A51" s="73" t="s">
        <v>1539</v>
      </c>
      <c r="B51" s="77" t="s">
        <v>1541</v>
      </c>
      <c r="C51" s="74" t="s">
        <v>1540</v>
      </c>
      <c r="D51" s="74" t="s">
        <v>970</v>
      </c>
      <c r="E51" s="78" t="s">
        <v>1002</v>
      </c>
      <c r="F51" s="76" t="s">
        <v>1548</v>
      </c>
      <c r="G51" s="76" t="s">
        <v>1097</v>
      </c>
      <c r="H51" s="70"/>
      <c r="O51" s="70" t="str">
        <f>IFERROR(INDEX(CAT_Specs!$A$9:$A$500,MATCH(ROWS($O$2:O51),CAT_Specs!$I$9:$I$500,0)),IF(ROWS($O$2:O51)=1,"(sin matches)",""))</f>
        <v/>
      </c>
      <c r="P51" s="70">
        <f t="shared" si="0"/>
        <v>0</v>
      </c>
      <c r="Q51" s="70" cm="1">
        <f t="array" ref="Q51">IF(P51=1,IF(SUMPRODUCT(($P$2:P51)*(--($G$2:G51=$G51)))=1,1,0),0)</f>
        <v>0</v>
      </c>
      <c r="R51" s="70" t="str">
        <f>IF(Q51=1,SUM($Q$2:Q51),"")</f>
        <v/>
      </c>
    </row>
    <row r="52" spans="1:18" x14ac:dyDescent="0.2">
      <c r="A52" s="73" t="s">
        <v>1539</v>
      </c>
      <c r="B52" s="77" t="s">
        <v>1541</v>
      </c>
      <c r="C52" s="74" t="s">
        <v>1540</v>
      </c>
      <c r="D52" s="74" t="s">
        <v>970</v>
      </c>
      <c r="E52" s="78" t="s">
        <v>97</v>
      </c>
      <c r="F52" s="76" t="s">
        <v>1552</v>
      </c>
      <c r="G52" s="76" t="s">
        <v>1121</v>
      </c>
      <c r="H52" s="70"/>
      <c r="O52" s="70" t="str">
        <f>IFERROR(INDEX(CAT_Specs!$A$9:$A$500,MATCH(ROWS($O$2:O52),CAT_Specs!$I$9:$I$500,0)),IF(ROWS($O$2:O52)=1,"(sin matches)",""))</f>
        <v/>
      </c>
      <c r="P52" s="70">
        <f t="shared" si="0"/>
        <v>0</v>
      </c>
      <c r="Q52" s="70" cm="1">
        <f t="array" ref="Q52">IF(P52=1,IF(SUMPRODUCT(($P$2:P52)*(--($G$2:G52=$G52)))=1,1,0),0)</f>
        <v>0</v>
      </c>
      <c r="R52" s="70" t="str">
        <f>IF(Q52=1,SUM($Q$2:Q52),"")</f>
        <v/>
      </c>
    </row>
    <row r="53" spans="1:18" x14ac:dyDescent="0.2">
      <c r="A53" s="73" t="s">
        <v>1539</v>
      </c>
      <c r="B53" s="77" t="s">
        <v>1541</v>
      </c>
      <c r="C53" s="74" t="s">
        <v>1540</v>
      </c>
      <c r="D53" s="74" t="s">
        <v>970</v>
      </c>
      <c r="E53" s="78" t="s">
        <v>106</v>
      </c>
      <c r="F53" s="76" t="s">
        <v>1552</v>
      </c>
      <c r="G53" s="76" t="s">
        <v>1119</v>
      </c>
      <c r="H53" s="70"/>
      <c r="O53" s="70" t="str">
        <f>IFERROR(INDEX(CAT_Specs!$A$9:$A$500,MATCH(ROWS($O$2:O53),CAT_Specs!$I$9:$I$500,0)),IF(ROWS($O$2:O53)=1,"(sin matches)",""))</f>
        <v/>
      </c>
      <c r="P53" s="70">
        <f t="shared" si="0"/>
        <v>0</v>
      </c>
      <c r="Q53" s="70" cm="1">
        <f t="array" ref="Q53">IF(P53=1,IF(SUMPRODUCT(($P$2:P53)*(--($G$2:G53=$G53)))=1,1,0),0)</f>
        <v>0</v>
      </c>
      <c r="R53" s="70" t="str">
        <f>IF(Q53=1,SUM($Q$2:Q53),"")</f>
        <v/>
      </c>
    </row>
    <row r="54" spans="1:18" x14ac:dyDescent="0.2">
      <c r="A54" s="73" t="s">
        <v>1539</v>
      </c>
      <c r="B54" s="77" t="s">
        <v>1541</v>
      </c>
      <c r="C54" s="74" t="s">
        <v>1540</v>
      </c>
      <c r="D54" s="74" t="s">
        <v>970</v>
      </c>
      <c r="E54" s="78" t="s">
        <v>97</v>
      </c>
      <c r="F54" s="76" t="s">
        <v>1552</v>
      </c>
      <c r="G54" s="76" t="s">
        <v>1125</v>
      </c>
      <c r="H54" s="70"/>
      <c r="O54" s="70" t="str">
        <f>IFERROR(INDEX(CAT_Specs!$A$9:$A$500,MATCH(ROWS($O$2:O54),CAT_Specs!$I$9:$I$500,0)),IF(ROWS($O$2:O54)=1,"(sin matches)",""))</f>
        <v/>
      </c>
      <c r="P54" s="70">
        <f t="shared" si="0"/>
        <v>0</v>
      </c>
      <c r="Q54" s="70" cm="1">
        <f t="array" ref="Q54">IF(P54=1,IF(SUMPRODUCT(($P$2:P54)*(--($G$2:G54=$G54)))=1,1,0),0)</f>
        <v>0</v>
      </c>
      <c r="R54" s="70" t="str">
        <f>IF(Q54=1,SUM($Q$2:Q54),"")</f>
        <v/>
      </c>
    </row>
    <row r="55" spans="1:18" x14ac:dyDescent="0.2">
      <c r="A55" s="73" t="s">
        <v>1539</v>
      </c>
      <c r="B55" s="77" t="s">
        <v>1541</v>
      </c>
      <c r="C55" s="74" t="s">
        <v>1540</v>
      </c>
      <c r="D55" s="74" t="s">
        <v>970</v>
      </c>
      <c r="E55" s="78" t="s">
        <v>106</v>
      </c>
      <c r="F55" s="76" t="s">
        <v>1552</v>
      </c>
      <c r="G55" s="76" t="s">
        <v>1123</v>
      </c>
      <c r="H55" s="70"/>
      <c r="O55" s="70" t="str">
        <f>IFERROR(INDEX(CAT_Specs!$A$9:$A$500,MATCH(ROWS($O$2:O55),CAT_Specs!$I$9:$I$500,0)),IF(ROWS($O$2:O55)=1,"(sin matches)",""))</f>
        <v/>
      </c>
      <c r="P55" s="70">
        <f t="shared" si="0"/>
        <v>0</v>
      </c>
      <c r="Q55" s="70" cm="1">
        <f t="array" ref="Q55">IF(P55=1,IF(SUMPRODUCT(($P$2:P55)*(--($G$2:G55=$G55)))=1,1,0),0)</f>
        <v>0</v>
      </c>
      <c r="R55" s="70" t="str">
        <f>IF(Q55=1,SUM($Q$2:Q55),"")</f>
        <v/>
      </c>
    </row>
    <row r="56" spans="1:18" x14ac:dyDescent="0.2">
      <c r="A56" s="73" t="s">
        <v>1539</v>
      </c>
      <c r="B56" s="77" t="s">
        <v>1541</v>
      </c>
      <c r="C56" s="74" t="s">
        <v>1540</v>
      </c>
      <c r="D56" s="74" t="s">
        <v>970</v>
      </c>
      <c r="E56" s="78" t="s">
        <v>129</v>
      </c>
      <c r="F56" s="76" t="s">
        <v>1553</v>
      </c>
      <c r="G56" s="76" t="s">
        <v>1106</v>
      </c>
      <c r="H56" s="70"/>
      <c r="O56" s="70" t="str">
        <f>IFERROR(INDEX(CAT_Specs!$A$9:$A$500,MATCH(ROWS($O$2:O56),CAT_Specs!$I$9:$I$500,0)),IF(ROWS($O$2:O56)=1,"(sin matches)",""))</f>
        <v/>
      </c>
      <c r="P56" s="70">
        <f t="shared" si="0"/>
        <v>0</v>
      </c>
      <c r="Q56" s="70" cm="1">
        <f t="array" ref="Q56">IF(P56=1,IF(SUMPRODUCT(($P$2:P56)*(--($G$2:G56=$G56)))=1,1,0),0)</f>
        <v>0</v>
      </c>
      <c r="R56" s="70" t="str">
        <f>IF(Q56=1,SUM($Q$2:Q56),"")</f>
        <v/>
      </c>
    </row>
    <row r="57" spans="1:18" x14ac:dyDescent="0.2">
      <c r="A57" s="73" t="s">
        <v>1539</v>
      </c>
      <c r="B57" s="77" t="s">
        <v>1541</v>
      </c>
      <c r="C57" s="74" t="s">
        <v>1540</v>
      </c>
      <c r="D57" s="74" t="s">
        <v>970</v>
      </c>
      <c r="E57" s="78" t="s">
        <v>1002</v>
      </c>
      <c r="F57" s="76" t="s">
        <v>1553</v>
      </c>
      <c r="G57" s="76" t="s">
        <v>1105</v>
      </c>
      <c r="H57" s="70"/>
      <c r="O57" s="70" t="str">
        <f>IFERROR(INDEX(CAT_Specs!$A$9:$A$500,MATCH(ROWS($O$2:O57),CAT_Specs!$I$9:$I$500,0)),IF(ROWS($O$2:O57)=1,"(sin matches)",""))</f>
        <v/>
      </c>
      <c r="P57" s="70">
        <f t="shared" si="0"/>
        <v>0</v>
      </c>
      <c r="Q57" s="70" cm="1">
        <f t="array" ref="Q57">IF(P57=1,IF(SUMPRODUCT(($P$2:P57)*(--($G$2:G57=$G57)))=1,1,0),0)</f>
        <v>0</v>
      </c>
      <c r="R57" s="70" t="str">
        <f>IF(Q57=1,SUM($Q$2:Q57),"")</f>
        <v/>
      </c>
    </row>
    <row r="58" spans="1:18" x14ac:dyDescent="0.2">
      <c r="A58" s="73" t="s">
        <v>1539</v>
      </c>
      <c r="B58" s="77" t="s">
        <v>1541</v>
      </c>
      <c r="C58" s="74" t="s">
        <v>1540</v>
      </c>
      <c r="D58" s="74" t="s">
        <v>970</v>
      </c>
      <c r="E58" s="78" t="s">
        <v>97</v>
      </c>
      <c r="F58" s="76" t="s">
        <v>1554</v>
      </c>
      <c r="G58" s="76" t="s">
        <v>1108</v>
      </c>
      <c r="H58" s="70"/>
      <c r="O58" s="70" t="str">
        <f>IFERROR(INDEX(CAT_Specs!$A$9:$A$500,MATCH(ROWS($O$2:O58),CAT_Specs!$I$9:$I$500,0)),IF(ROWS($O$2:O58)=1,"(sin matches)",""))</f>
        <v/>
      </c>
      <c r="P58" s="70">
        <f t="shared" si="0"/>
        <v>0</v>
      </c>
      <c r="Q58" s="70" cm="1">
        <f t="array" ref="Q58">IF(P58=1,IF(SUMPRODUCT(($P$2:P58)*(--($G$2:G58=$G58)))=1,1,0),0)</f>
        <v>0</v>
      </c>
      <c r="R58" s="70" t="str">
        <f>IF(Q58=1,SUM($Q$2:Q58),"")</f>
        <v/>
      </c>
    </row>
    <row r="59" spans="1:18" x14ac:dyDescent="0.2">
      <c r="A59" s="73" t="s">
        <v>1539</v>
      </c>
      <c r="B59" s="77" t="s">
        <v>1541</v>
      </c>
      <c r="C59" s="74" t="s">
        <v>1540</v>
      </c>
      <c r="D59" s="74" t="s">
        <v>970</v>
      </c>
      <c r="E59" s="78" t="s">
        <v>138</v>
      </c>
      <c r="F59" s="76" t="s">
        <v>1554</v>
      </c>
      <c r="G59" s="76" t="s">
        <v>1108</v>
      </c>
      <c r="H59" s="70"/>
      <c r="O59" s="70" t="str">
        <f>IFERROR(INDEX(CAT_Specs!$A$9:$A$500,MATCH(ROWS($O$2:O59),CAT_Specs!$I$9:$I$500,0)),IF(ROWS($O$2:O59)=1,"(sin matches)",""))</f>
        <v/>
      </c>
      <c r="P59" s="70">
        <f t="shared" si="0"/>
        <v>0</v>
      </c>
      <c r="Q59" s="70" cm="1">
        <f t="array" ref="Q59">IF(P59=1,IF(SUMPRODUCT(($P$2:P59)*(--($G$2:G59=$G59)))=1,1,0),0)</f>
        <v>0</v>
      </c>
      <c r="R59" s="70" t="str">
        <f>IF(Q59=1,SUM($Q$2:Q59),"")</f>
        <v/>
      </c>
    </row>
    <row r="60" spans="1:18" x14ac:dyDescent="0.2">
      <c r="A60" s="73" t="s">
        <v>1539</v>
      </c>
      <c r="B60" s="77" t="s">
        <v>1541</v>
      </c>
      <c r="C60" s="74" t="s">
        <v>1540</v>
      </c>
      <c r="D60" s="74" t="s">
        <v>970</v>
      </c>
      <c r="E60" s="78" t="s">
        <v>1002</v>
      </c>
      <c r="F60" s="76" t="s">
        <v>1554</v>
      </c>
      <c r="G60" s="76" t="s">
        <v>1107</v>
      </c>
      <c r="H60" s="70"/>
      <c r="O60" s="70" t="str">
        <f>IFERROR(INDEX(CAT_Specs!$A$9:$A$500,MATCH(ROWS($O$2:O60),CAT_Specs!$I$9:$I$500,0)),IF(ROWS($O$2:O60)=1,"(sin matches)",""))</f>
        <v/>
      </c>
      <c r="P60" s="70">
        <f t="shared" si="0"/>
        <v>0</v>
      </c>
      <c r="Q60" s="70" cm="1">
        <f t="array" ref="Q60">IF(P60=1,IF(SUMPRODUCT(($P$2:P60)*(--($G$2:G60=$G60)))=1,1,0),0)</f>
        <v>0</v>
      </c>
      <c r="R60" s="70" t="str">
        <f>IF(Q60=1,SUM($Q$2:Q60),"")</f>
        <v/>
      </c>
    </row>
    <row r="61" spans="1:18" x14ac:dyDescent="0.2">
      <c r="A61" s="73" t="s">
        <v>1539</v>
      </c>
      <c r="B61" s="77" t="s">
        <v>1541</v>
      </c>
      <c r="C61" s="74" t="s">
        <v>1540</v>
      </c>
      <c r="D61" s="74" t="s">
        <v>970</v>
      </c>
      <c r="E61" s="78" t="s">
        <v>97</v>
      </c>
      <c r="F61" s="76" t="s">
        <v>1555</v>
      </c>
      <c r="G61" s="76" t="s">
        <v>1111</v>
      </c>
      <c r="H61" s="70"/>
      <c r="P61" s="70">
        <f t="shared" si="0"/>
        <v>0</v>
      </c>
      <c r="Q61" s="70" cm="1">
        <f t="array" ref="Q61">IF(P61=1,IF(SUMPRODUCT(($P$2:P61)*(--($G$2:G61=$G61)))=1,1,0),0)</f>
        <v>0</v>
      </c>
      <c r="R61" s="70" t="str">
        <f>IF(Q61=1,SUM($Q$2:Q61),"")</f>
        <v/>
      </c>
    </row>
    <row r="62" spans="1:18" x14ac:dyDescent="0.2">
      <c r="A62" s="73" t="s">
        <v>1539</v>
      </c>
      <c r="B62" s="77" t="s">
        <v>1541</v>
      </c>
      <c r="C62" s="74" t="s">
        <v>1540</v>
      </c>
      <c r="D62" s="74" t="s">
        <v>970</v>
      </c>
      <c r="E62" s="78" t="s">
        <v>97</v>
      </c>
      <c r="F62" s="76" t="s">
        <v>1556</v>
      </c>
      <c r="G62" s="76" t="s">
        <v>1110</v>
      </c>
      <c r="H62" s="70"/>
      <c r="P62" s="70">
        <f t="shared" si="0"/>
        <v>0</v>
      </c>
      <c r="Q62" s="70" cm="1">
        <f t="array" ref="Q62">IF(P62=1,IF(SUMPRODUCT(($P$2:P62)*(--($G$2:G62=$G62)))=1,1,0),0)</f>
        <v>0</v>
      </c>
      <c r="R62" s="70" t="str">
        <f>IF(Q62=1,SUM($Q$2:Q62),"")</f>
        <v/>
      </c>
    </row>
    <row r="63" spans="1:18" x14ac:dyDescent="0.2">
      <c r="A63" s="73" t="s">
        <v>1539</v>
      </c>
      <c r="B63" s="77" t="s">
        <v>1541</v>
      </c>
      <c r="C63" s="74" t="s">
        <v>1540</v>
      </c>
      <c r="D63" s="74" t="s">
        <v>970</v>
      </c>
      <c r="E63" s="78" t="s">
        <v>97</v>
      </c>
      <c r="F63" s="76" t="s">
        <v>1557</v>
      </c>
      <c r="G63" s="76" t="s">
        <v>1110</v>
      </c>
      <c r="H63" s="70"/>
      <c r="P63" s="70">
        <f t="shared" si="0"/>
        <v>0</v>
      </c>
      <c r="Q63" s="70" cm="1">
        <f t="array" ref="Q63">IF(P63=1,IF(SUMPRODUCT(($P$2:P63)*(--($G$2:G63=$G63)))=1,1,0),0)</f>
        <v>0</v>
      </c>
      <c r="R63" s="70" t="str">
        <f>IF(Q63=1,SUM($Q$2:Q63),"")</f>
        <v/>
      </c>
    </row>
    <row r="64" spans="1:18" x14ac:dyDescent="0.2">
      <c r="A64" s="73" t="s">
        <v>1539</v>
      </c>
      <c r="B64" s="77" t="s">
        <v>1541</v>
      </c>
      <c r="C64" s="74" t="s">
        <v>1540</v>
      </c>
      <c r="D64" s="74" t="s">
        <v>970</v>
      </c>
      <c r="E64" s="78" t="s">
        <v>138</v>
      </c>
      <c r="F64" s="76" t="s">
        <v>1556</v>
      </c>
      <c r="G64" s="76" t="s">
        <v>1110</v>
      </c>
      <c r="H64" s="70"/>
      <c r="P64" s="70">
        <f t="shared" si="0"/>
        <v>0</v>
      </c>
      <c r="Q64" s="70" cm="1">
        <f t="array" ref="Q64">IF(P64=1,IF(SUMPRODUCT(($P$2:P64)*(--($G$2:G64=$G64)))=1,1,0),0)</f>
        <v>0</v>
      </c>
      <c r="R64" s="70" t="str">
        <f>IF(Q64=1,SUM($Q$2:Q64),"")</f>
        <v/>
      </c>
    </row>
    <row r="65" spans="1:18" x14ac:dyDescent="0.2">
      <c r="A65" s="73" t="s">
        <v>1539</v>
      </c>
      <c r="B65" s="77" t="s">
        <v>1541</v>
      </c>
      <c r="C65" s="74" t="s">
        <v>1540</v>
      </c>
      <c r="D65" s="74" t="s">
        <v>970</v>
      </c>
      <c r="E65" s="78" t="s">
        <v>138</v>
      </c>
      <c r="F65" s="76" t="s">
        <v>1557</v>
      </c>
      <c r="G65" s="76" t="s">
        <v>1110</v>
      </c>
      <c r="H65" s="70"/>
      <c r="P65" s="70">
        <f t="shared" si="0"/>
        <v>0</v>
      </c>
      <c r="Q65" s="70" cm="1">
        <f t="array" ref="Q65">IF(P65=1,IF(SUMPRODUCT(($P$2:P65)*(--($G$2:G65=$G65)))=1,1,0),0)</f>
        <v>0</v>
      </c>
      <c r="R65" s="70" t="str">
        <f>IF(Q65=1,SUM($Q$2:Q65),"")</f>
        <v/>
      </c>
    </row>
    <row r="66" spans="1:18" x14ac:dyDescent="0.2">
      <c r="A66" s="73" t="s">
        <v>1539</v>
      </c>
      <c r="B66" s="77" t="s">
        <v>1541</v>
      </c>
      <c r="C66" s="74" t="s">
        <v>1540</v>
      </c>
      <c r="D66" s="74" t="s">
        <v>970</v>
      </c>
      <c r="E66" s="78" t="s">
        <v>1002</v>
      </c>
      <c r="F66" s="76" t="s">
        <v>1557</v>
      </c>
      <c r="G66" s="76" t="s">
        <v>1109</v>
      </c>
      <c r="H66" s="70"/>
      <c r="P66" s="70">
        <f t="shared" si="0"/>
        <v>0</v>
      </c>
      <c r="Q66" s="70" cm="1">
        <f t="array" ref="Q66">IF(P66=1,IF(SUMPRODUCT(($P$2:P66)*(--($G$2:G66=$G66)))=1,1,0),0)</f>
        <v>0</v>
      </c>
      <c r="R66" s="70" t="str">
        <f>IF(Q66=1,SUM($Q$2:Q66),"")</f>
        <v/>
      </c>
    </row>
    <row r="67" spans="1:18" x14ac:dyDescent="0.2">
      <c r="A67" s="73" t="s">
        <v>1539</v>
      </c>
      <c r="B67" s="77" t="s">
        <v>1541</v>
      </c>
      <c r="C67" s="74" t="s">
        <v>1540</v>
      </c>
      <c r="D67" s="74" t="s">
        <v>970</v>
      </c>
      <c r="E67" s="78" t="s">
        <v>1002</v>
      </c>
      <c r="F67" s="76" t="s">
        <v>1556</v>
      </c>
      <c r="G67" s="76" t="s">
        <v>1109</v>
      </c>
      <c r="H67" s="70"/>
      <c r="P67" s="70">
        <f t="shared" ref="P67:P130" si="1">IF(AND(IF(TRIM($J$2&amp;"")="",TRUE,LEFT($D67,LEN($J$2))=$J$2),IF(TRIM($K$2&amp;"")="",TRUE,$E67=$K$2),IF($L$2="",TRUE,$F67=$L$2)),1,0)</f>
        <v>0</v>
      </c>
      <c r="Q67" s="70" cm="1">
        <f t="array" ref="Q67">IF(P67=1,IF(SUMPRODUCT(($P$2:P67)*(--($G$2:G67=$G67)))=1,1,0),0)</f>
        <v>0</v>
      </c>
      <c r="R67" s="70" t="str">
        <f>IF(Q67=1,SUM($Q$2:Q67),"")</f>
        <v/>
      </c>
    </row>
    <row r="68" spans="1:18" x14ac:dyDescent="0.2">
      <c r="A68" s="73" t="s">
        <v>1539</v>
      </c>
      <c r="B68" s="77" t="s">
        <v>1541</v>
      </c>
      <c r="C68" s="74" t="s">
        <v>1540</v>
      </c>
      <c r="D68" s="74" t="s">
        <v>970</v>
      </c>
      <c r="E68" s="78" t="s">
        <v>97</v>
      </c>
      <c r="F68" s="76" t="s">
        <v>1558</v>
      </c>
      <c r="G68" s="76" t="s">
        <v>1103</v>
      </c>
      <c r="H68" s="70"/>
      <c r="P68" s="70">
        <f t="shared" si="1"/>
        <v>0</v>
      </c>
      <c r="Q68" s="70" cm="1">
        <f t="array" ref="Q68">IF(P68=1,IF(SUMPRODUCT(($P$2:P68)*(--($G$2:G68=$G68)))=1,1,0),0)</f>
        <v>0</v>
      </c>
      <c r="R68" s="70" t="str">
        <f>IF(Q68=1,SUM($Q$2:Q68),"")</f>
        <v/>
      </c>
    </row>
    <row r="69" spans="1:18" x14ac:dyDescent="0.2">
      <c r="A69" s="73" t="s">
        <v>1539</v>
      </c>
      <c r="B69" s="77" t="s">
        <v>1541</v>
      </c>
      <c r="C69" s="74" t="s">
        <v>1540</v>
      </c>
      <c r="D69" s="74" t="s">
        <v>970</v>
      </c>
      <c r="E69" s="78" t="s">
        <v>138</v>
      </c>
      <c r="F69" s="76" t="s">
        <v>1558</v>
      </c>
      <c r="G69" s="76" t="s">
        <v>1102</v>
      </c>
      <c r="H69" s="70"/>
      <c r="P69" s="70">
        <f t="shared" si="1"/>
        <v>0</v>
      </c>
      <c r="Q69" s="70" cm="1">
        <f t="array" ref="Q69">IF(P69=1,IF(SUMPRODUCT(($P$2:P69)*(--($G$2:G69=$G69)))=1,1,0),0)</f>
        <v>0</v>
      </c>
      <c r="R69" s="70" t="str">
        <f>IF(Q69=1,SUM($Q$2:Q69),"")</f>
        <v/>
      </c>
    </row>
    <row r="70" spans="1:18" x14ac:dyDescent="0.2">
      <c r="A70" s="73" t="s">
        <v>1539</v>
      </c>
      <c r="B70" s="77" t="s">
        <v>1541</v>
      </c>
      <c r="C70" s="74" t="s">
        <v>1540</v>
      </c>
      <c r="D70" s="74" t="s">
        <v>970</v>
      </c>
      <c r="E70" s="78" t="s">
        <v>1002</v>
      </c>
      <c r="F70" s="76" t="s">
        <v>1558</v>
      </c>
      <c r="G70" s="76" t="s">
        <v>1101</v>
      </c>
      <c r="H70" s="70"/>
      <c r="P70" s="70">
        <f t="shared" si="1"/>
        <v>0</v>
      </c>
      <c r="Q70" s="70" cm="1">
        <f t="array" ref="Q70">IF(P70=1,IF(SUMPRODUCT(($P$2:P70)*(--($G$2:G70=$G70)))=1,1,0),0)</f>
        <v>0</v>
      </c>
      <c r="R70" s="70" t="str">
        <f>IF(Q70=1,SUM($Q$2:Q70),"")</f>
        <v/>
      </c>
    </row>
    <row r="71" spans="1:18" x14ac:dyDescent="0.2">
      <c r="A71" s="73" t="s">
        <v>1539</v>
      </c>
      <c r="B71" s="77" t="s">
        <v>1541</v>
      </c>
      <c r="C71" s="74" t="s">
        <v>1540</v>
      </c>
      <c r="D71" s="74" t="s">
        <v>970</v>
      </c>
      <c r="E71" s="78" t="s">
        <v>1002</v>
      </c>
      <c r="F71" s="76" t="s">
        <v>1559</v>
      </c>
      <c r="G71" s="76" t="s">
        <v>1100</v>
      </c>
      <c r="H71" s="70"/>
      <c r="P71" s="70">
        <f t="shared" si="1"/>
        <v>0</v>
      </c>
      <c r="Q71" s="70" cm="1">
        <f t="array" ref="Q71">IF(P71=1,IF(SUMPRODUCT(($P$2:P71)*(--($G$2:G71=$G71)))=1,1,0),0)</f>
        <v>0</v>
      </c>
      <c r="R71" s="70" t="str">
        <f>IF(Q71=1,SUM($Q$2:Q71),"")</f>
        <v/>
      </c>
    </row>
    <row r="72" spans="1:18" x14ac:dyDescent="0.2">
      <c r="A72" s="73" t="s">
        <v>1539</v>
      </c>
      <c r="B72" s="77" t="s">
        <v>1541</v>
      </c>
      <c r="C72" s="74" t="s">
        <v>1540</v>
      </c>
      <c r="D72" s="74" t="s">
        <v>970</v>
      </c>
      <c r="E72" s="78" t="s">
        <v>1002</v>
      </c>
      <c r="F72" s="76" t="s">
        <v>1560</v>
      </c>
      <c r="G72" s="76" t="s">
        <v>1100</v>
      </c>
      <c r="H72" s="70"/>
      <c r="P72" s="70">
        <f t="shared" si="1"/>
        <v>0</v>
      </c>
      <c r="Q72" s="70" cm="1">
        <f t="array" ref="Q72">IF(P72=1,IF(SUMPRODUCT(($P$2:P72)*(--($G$2:G72=$G72)))=1,1,0),0)</f>
        <v>0</v>
      </c>
      <c r="R72" s="70" t="str">
        <f>IF(Q72=1,SUM($Q$2:Q72),"")</f>
        <v/>
      </c>
    </row>
    <row r="73" spans="1:18" x14ac:dyDescent="0.2">
      <c r="A73" s="73" t="s">
        <v>1539</v>
      </c>
      <c r="B73" s="77" t="s">
        <v>1541</v>
      </c>
      <c r="C73" s="74" t="s">
        <v>1540</v>
      </c>
      <c r="D73" s="74" t="s">
        <v>970</v>
      </c>
      <c r="E73" s="78" t="s">
        <v>1002</v>
      </c>
      <c r="F73" s="76" t="s">
        <v>1561</v>
      </c>
      <c r="G73" s="76" t="s">
        <v>1112</v>
      </c>
      <c r="H73" s="70"/>
      <c r="P73" s="70">
        <f t="shared" si="1"/>
        <v>0</v>
      </c>
      <c r="Q73" s="70" cm="1">
        <f t="array" ref="Q73">IF(P73=1,IF(SUMPRODUCT(($P$2:P73)*(--($G$2:G73=$G73)))=1,1,0),0)</f>
        <v>0</v>
      </c>
      <c r="R73" s="70" t="str">
        <f>IF(Q73=1,SUM($Q$2:Q73),"")</f>
        <v/>
      </c>
    </row>
    <row r="74" spans="1:18" x14ac:dyDescent="0.2">
      <c r="A74" s="73" t="s">
        <v>1539</v>
      </c>
      <c r="B74" s="77" t="s">
        <v>1541</v>
      </c>
      <c r="C74" s="74" t="s">
        <v>1540</v>
      </c>
      <c r="D74" s="74" t="s">
        <v>970</v>
      </c>
      <c r="E74" s="78" t="s">
        <v>113</v>
      </c>
      <c r="F74" s="76" t="s">
        <v>1561</v>
      </c>
      <c r="G74" s="76" t="s">
        <v>1115</v>
      </c>
      <c r="H74" s="70"/>
      <c r="P74" s="70">
        <f t="shared" si="1"/>
        <v>0</v>
      </c>
      <c r="Q74" s="70" cm="1">
        <f t="array" ref="Q74">IF(P74=1,IF(SUMPRODUCT(($P$2:P74)*(--($G$2:G74=$G74)))=1,1,0),0)</f>
        <v>0</v>
      </c>
      <c r="R74" s="70" t="str">
        <f>IF(Q74=1,SUM($Q$2:Q74),"")</f>
        <v/>
      </c>
    </row>
    <row r="75" spans="1:18" x14ac:dyDescent="0.2">
      <c r="A75" s="73" t="s">
        <v>1539</v>
      </c>
      <c r="B75" s="77" t="s">
        <v>1541</v>
      </c>
      <c r="C75" s="74" t="s">
        <v>1540</v>
      </c>
      <c r="D75" s="74" t="s">
        <v>970</v>
      </c>
      <c r="E75" s="78" t="s">
        <v>129</v>
      </c>
      <c r="F75" s="76" t="s">
        <v>1561</v>
      </c>
      <c r="G75" s="76" t="s">
        <v>1116</v>
      </c>
      <c r="H75" s="70"/>
      <c r="P75" s="70">
        <f t="shared" si="1"/>
        <v>0</v>
      </c>
      <c r="Q75" s="70" cm="1">
        <f t="array" ref="Q75">IF(P75=1,IF(SUMPRODUCT(($P$2:P75)*(--($G$2:G75=$G75)))=1,1,0),0)</f>
        <v>0</v>
      </c>
      <c r="R75" s="70" t="str">
        <f>IF(Q75=1,SUM($Q$2:Q75),"")</f>
        <v/>
      </c>
    </row>
    <row r="76" spans="1:18" x14ac:dyDescent="0.2">
      <c r="A76" s="73" t="s">
        <v>1539</v>
      </c>
      <c r="B76" s="77" t="s">
        <v>1541</v>
      </c>
      <c r="C76" s="74" t="s">
        <v>1540</v>
      </c>
      <c r="D76" s="74" t="s">
        <v>970</v>
      </c>
      <c r="E76" s="78" t="s">
        <v>97</v>
      </c>
      <c r="F76" s="76" t="s">
        <v>1561</v>
      </c>
      <c r="G76" s="76" t="s">
        <v>1114</v>
      </c>
      <c r="H76" s="70"/>
      <c r="P76" s="70">
        <f t="shared" si="1"/>
        <v>0</v>
      </c>
      <c r="Q76" s="70" cm="1">
        <f t="array" ref="Q76">IF(P76=1,IF(SUMPRODUCT(($P$2:P76)*(--($G$2:G76=$G76)))=1,1,0),0)</f>
        <v>0</v>
      </c>
      <c r="R76" s="70" t="str">
        <f>IF(Q76=1,SUM($Q$2:Q76),"")</f>
        <v/>
      </c>
    </row>
    <row r="77" spans="1:18" x14ac:dyDescent="0.2">
      <c r="A77" s="73" t="s">
        <v>1539</v>
      </c>
      <c r="B77" s="77" t="s">
        <v>1541</v>
      </c>
      <c r="C77" s="74" t="s">
        <v>1540</v>
      </c>
      <c r="D77" s="74" t="s">
        <v>970</v>
      </c>
      <c r="E77" s="78" t="s">
        <v>120</v>
      </c>
      <c r="F77" s="76" t="s">
        <v>1561</v>
      </c>
      <c r="G77" s="76" t="s">
        <v>1117</v>
      </c>
      <c r="H77" s="70"/>
      <c r="P77" s="70">
        <f t="shared" si="1"/>
        <v>0</v>
      </c>
      <c r="Q77" s="70" cm="1">
        <f t="array" ref="Q77">IF(P77=1,IF(SUMPRODUCT(($P$2:P77)*(--($G$2:G77=$G77)))=1,1,0),0)</f>
        <v>0</v>
      </c>
      <c r="R77" s="70" t="str">
        <f>IF(Q77=1,SUM($Q$2:Q77),"")</f>
        <v/>
      </c>
    </row>
    <row r="78" spans="1:18" x14ac:dyDescent="0.2">
      <c r="A78" s="73" t="s">
        <v>1539</v>
      </c>
      <c r="B78" s="77" t="s">
        <v>1541</v>
      </c>
      <c r="C78" s="74" t="s">
        <v>1540</v>
      </c>
      <c r="D78" s="74" t="s">
        <v>970</v>
      </c>
      <c r="E78" s="78" t="s">
        <v>106</v>
      </c>
      <c r="F78" s="76" t="s">
        <v>1561</v>
      </c>
      <c r="G78" s="76" t="s">
        <v>1113</v>
      </c>
      <c r="H78" s="70"/>
      <c r="P78" s="70">
        <f t="shared" si="1"/>
        <v>0</v>
      </c>
      <c r="Q78" s="70" cm="1">
        <f t="array" ref="Q78">IF(P78=1,IF(SUMPRODUCT(($P$2:P78)*(--($G$2:G78=$G78)))=1,1,0),0)</f>
        <v>0</v>
      </c>
      <c r="R78" s="70" t="str">
        <f>IF(Q78=1,SUM($Q$2:Q78),"")</f>
        <v/>
      </c>
    </row>
    <row r="79" spans="1:18" x14ac:dyDescent="0.2">
      <c r="A79" s="73" t="s">
        <v>1539</v>
      </c>
      <c r="B79" s="77" t="s">
        <v>1541</v>
      </c>
      <c r="C79" s="74" t="s">
        <v>1540</v>
      </c>
      <c r="D79" s="74" t="s">
        <v>970</v>
      </c>
      <c r="E79" s="78" t="s">
        <v>129</v>
      </c>
      <c r="F79" s="76" t="s">
        <v>1562</v>
      </c>
      <c r="G79" s="76" t="s">
        <v>1104</v>
      </c>
      <c r="H79" s="70"/>
      <c r="P79" s="70">
        <f t="shared" si="1"/>
        <v>0</v>
      </c>
      <c r="Q79" s="70" cm="1">
        <f t="array" ref="Q79">IF(P79=1,IF(SUMPRODUCT(($P$2:P79)*(--($G$2:G79=$G79)))=1,1,0),0)</f>
        <v>0</v>
      </c>
      <c r="R79" s="70" t="str">
        <f>IF(Q79=1,SUM($Q$2:Q79),"")</f>
        <v/>
      </c>
    </row>
    <row r="80" spans="1:18" x14ac:dyDescent="0.2">
      <c r="A80" s="73" t="s">
        <v>1539</v>
      </c>
      <c r="B80" s="77" t="s">
        <v>1541</v>
      </c>
      <c r="C80" s="74" t="s">
        <v>1540</v>
      </c>
      <c r="D80" s="74" t="s">
        <v>970</v>
      </c>
      <c r="E80" s="78" t="s">
        <v>97</v>
      </c>
      <c r="F80" s="76" t="s">
        <v>357</v>
      </c>
      <c r="G80" s="76" t="s">
        <v>1065</v>
      </c>
      <c r="H80" s="70"/>
      <c r="P80" s="70">
        <f t="shared" si="1"/>
        <v>0</v>
      </c>
      <c r="Q80" s="70" cm="1">
        <f t="array" ref="Q80">IF(P80=1,IF(SUMPRODUCT(($P$2:P80)*(--($G$2:G80=$G80)))=1,1,0),0)</f>
        <v>0</v>
      </c>
      <c r="R80" s="70" t="str">
        <f>IF(Q80=1,SUM($Q$2:Q80),"")</f>
        <v/>
      </c>
    </row>
    <row r="81" spans="1:18" x14ac:dyDescent="0.2">
      <c r="A81" s="73" t="s">
        <v>1539</v>
      </c>
      <c r="B81" s="77" t="s">
        <v>1541</v>
      </c>
      <c r="C81" s="74" t="s">
        <v>1540</v>
      </c>
      <c r="D81" s="74" t="s">
        <v>970</v>
      </c>
      <c r="E81" s="78" t="s">
        <v>138</v>
      </c>
      <c r="F81" s="76" t="s">
        <v>357</v>
      </c>
      <c r="G81" s="76" t="s">
        <v>1065</v>
      </c>
      <c r="H81" s="70"/>
      <c r="P81" s="70">
        <f t="shared" si="1"/>
        <v>0</v>
      </c>
      <c r="Q81" s="70" cm="1">
        <f t="array" ref="Q81">IF(P81=1,IF(SUMPRODUCT(($P$2:P81)*(--($G$2:G81=$G81)))=1,1,0),0)</f>
        <v>0</v>
      </c>
      <c r="R81" s="70" t="str">
        <f>IF(Q81=1,SUM($Q$2:Q81),"")</f>
        <v/>
      </c>
    </row>
    <row r="82" spans="1:18" ht="16" x14ac:dyDescent="0.2">
      <c r="A82" s="73" t="s">
        <v>1539</v>
      </c>
      <c r="B82" s="77" t="s">
        <v>1541</v>
      </c>
      <c r="C82" s="74" t="s">
        <v>1540</v>
      </c>
      <c r="D82" s="74" t="s">
        <v>970</v>
      </c>
      <c r="E82" s="78" t="s">
        <v>106</v>
      </c>
      <c r="F82" s="76" t="s">
        <v>387</v>
      </c>
      <c r="G82" s="75" t="s">
        <v>294</v>
      </c>
      <c r="H82" s="70"/>
      <c r="P82" s="70">
        <f t="shared" si="1"/>
        <v>0</v>
      </c>
      <c r="Q82" s="70" cm="1">
        <f t="array" ref="Q82">IF(P82=1,IF(SUMPRODUCT(($P$2:P82)*(--($G$2:G82=$G82)))=1,1,0),0)</f>
        <v>0</v>
      </c>
      <c r="R82" s="70" t="str">
        <f>IF(Q82=1,SUM($Q$2:Q82),"")</f>
        <v/>
      </c>
    </row>
    <row r="83" spans="1:18" ht="16" x14ac:dyDescent="0.2">
      <c r="A83" s="73" t="s">
        <v>1539</v>
      </c>
      <c r="B83" s="77" t="s">
        <v>1541</v>
      </c>
      <c r="C83" s="74" t="s">
        <v>1540</v>
      </c>
      <c r="D83" s="74" t="s">
        <v>970</v>
      </c>
      <c r="E83" s="78" t="s">
        <v>113</v>
      </c>
      <c r="F83" s="76" t="s">
        <v>397</v>
      </c>
      <c r="G83" s="75" t="s">
        <v>306</v>
      </c>
      <c r="H83" s="70"/>
      <c r="P83" s="70">
        <f t="shared" si="1"/>
        <v>0</v>
      </c>
      <c r="Q83" s="70" cm="1">
        <f t="array" ref="Q83">IF(P83=1,IF(SUMPRODUCT(($P$2:P83)*(--($G$2:G83=$G83)))=1,1,0),0)</f>
        <v>0</v>
      </c>
      <c r="R83" s="70" t="str">
        <f>IF(Q83=1,SUM($Q$2:Q83),"")</f>
        <v/>
      </c>
    </row>
    <row r="84" spans="1:18" ht="16" x14ac:dyDescent="0.2">
      <c r="A84" s="73" t="s">
        <v>1539</v>
      </c>
      <c r="B84" s="77" t="s">
        <v>1541</v>
      </c>
      <c r="C84" s="74" t="s">
        <v>1540</v>
      </c>
      <c r="D84" s="74" t="s">
        <v>970</v>
      </c>
      <c r="E84" s="78" t="s">
        <v>97</v>
      </c>
      <c r="F84" s="76" t="s">
        <v>397</v>
      </c>
      <c r="G84" s="75" t="s">
        <v>300</v>
      </c>
      <c r="H84" s="70"/>
      <c r="P84" s="70">
        <f t="shared" si="1"/>
        <v>0</v>
      </c>
      <c r="Q84" s="70" cm="1">
        <f t="array" ref="Q84">IF(P84=1,IF(SUMPRODUCT(($P$2:P84)*(--($G$2:G84=$G84)))=1,1,0),0)</f>
        <v>0</v>
      </c>
      <c r="R84" s="70" t="str">
        <f>IF(Q84=1,SUM($Q$2:Q84),"")</f>
        <v/>
      </c>
    </row>
    <row r="85" spans="1:18" ht="16" x14ac:dyDescent="0.2">
      <c r="A85" s="73" t="s">
        <v>1539</v>
      </c>
      <c r="B85" s="77" t="s">
        <v>1541</v>
      </c>
      <c r="C85" s="74" t="s">
        <v>1540</v>
      </c>
      <c r="D85" s="74" t="s">
        <v>970</v>
      </c>
      <c r="E85" s="78" t="s">
        <v>129</v>
      </c>
      <c r="F85" s="76" t="s">
        <v>397</v>
      </c>
      <c r="G85" s="75" t="s">
        <v>312</v>
      </c>
      <c r="H85" s="70"/>
      <c r="P85" s="70">
        <f t="shared" si="1"/>
        <v>0</v>
      </c>
      <c r="Q85" s="70" cm="1">
        <f t="array" ref="Q85">IF(P85=1,IF(SUMPRODUCT(($P$2:P85)*(--($G$2:G85=$G85)))=1,1,0),0)</f>
        <v>0</v>
      </c>
      <c r="R85" s="70" t="str">
        <f>IF(Q85=1,SUM($Q$2:Q85),"")</f>
        <v/>
      </c>
    </row>
    <row r="86" spans="1:18" x14ac:dyDescent="0.2">
      <c r="A86" s="73" t="s">
        <v>1539</v>
      </c>
      <c r="B86" s="77" t="s">
        <v>1541</v>
      </c>
      <c r="C86" s="74" t="s">
        <v>1540</v>
      </c>
      <c r="D86" s="74" t="s">
        <v>970</v>
      </c>
      <c r="E86" s="78" t="s">
        <v>1002</v>
      </c>
      <c r="F86" s="76" t="s">
        <v>397</v>
      </c>
      <c r="G86" s="76" t="s">
        <v>1127</v>
      </c>
      <c r="H86" s="70"/>
      <c r="P86" s="70">
        <f t="shared" si="1"/>
        <v>0</v>
      </c>
      <c r="Q86" s="70" cm="1">
        <f t="array" ref="Q86">IF(P86=1,IF(SUMPRODUCT(($P$2:P86)*(--($G$2:G86=$G86)))=1,1,0),0)</f>
        <v>0</v>
      </c>
      <c r="R86" s="70" t="str">
        <f>IF(Q86=1,SUM($Q$2:Q86),"")</f>
        <v/>
      </c>
    </row>
    <row r="87" spans="1:18" x14ac:dyDescent="0.2">
      <c r="A87" s="73" t="s">
        <v>1539</v>
      </c>
      <c r="B87" s="77" t="s">
        <v>1541</v>
      </c>
      <c r="C87" s="74" t="s">
        <v>1540</v>
      </c>
      <c r="D87" s="74" t="s">
        <v>970</v>
      </c>
      <c r="E87" s="78" t="s">
        <v>113</v>
      </c>
      <c r="F87" s="76" t="s">
        <v>438</v>
      </c>
      <c r="G87" s="76" t="s">
        <v>1072</v>
      </c>
      <c r="H87" s="70"/>
      <c r="P87" s="70">
        <f t="shared" si="1"/>
        <v>0</v>
      </c>
      <c r="Q87" s="70" cm="1">
        <f t="array" ref="Q87">IF(P87=1,IF(SUMPRODUCT(($P$2:P87)*(--($G$2:G87=$G87)))=1,1,0),0)</f>
        <v>0</v>
      </c>
      <c r="R87" s="70" t="str">
        <f>IF(Q87=1,SUM($Q$2:Q87),"")</f>
        <v/>
      </c>
    </row>
    <row r="88" spans="1:18" x14ac:dyDescent="0.2">
      <c r="A88" s="73" t="s">
        <v>1539</v>
      </c>
      <c r="B88" s="77" t="s">
        <v>1541</v>
      </c>
      <c r="C88" s="74" t="s">
        <v>1540</v>
      </c>
      <c r="D88" s="74" t="s">
        <v>970</v>
      </c>
      <c r="E88" s="78" t="s">
        <v>1002</v>
      </c>
      <c r="F88" s="76" t="s">
        <v>438</v>
      </c>
      <c r="G88" s="76" t="s">
        <v>1072</v>
      </c>
      <c r="H88" s="70"/>
      <c r="P88" s="70">
        <f t="shared" si="1"/>
        <v>0</v>
      </c>
      <c r="Q88" s="70" cm="1">
        <f t="array" ref="Q88">IF(P88=1,IF(SUMPRODUCT(($P$2:P88)*(--($G$2:G88=$G88)))=1,1,0),0)</f>
        <v>0</v>
      </c>
      <c r="R88" s="70" t="str">
        <f>IF(Q88=1,SUM($Q$2:Q88),"")</f>
        <v/>
      </c>
    </row>
    <row r="89" spans="1:18" x14ac:dyDescent="0.2">
      <c r="A89" s="73" t="s">
        <v>1539</v>
      </c>
      <c r="B89" s="77" t="s">
        <v>1541</v>
      </c>
      <c r="C89" s="74" t="s">
        <v>1540</v>
      </c>
      <c r="D89" s="74" t="s">
        <v>970</v>
      </c>
      <c r="E89" s="78" t="s">
        <v>97</v>
      </c>
      <c r="F89" s="76" t="s">
        <v>438</v>
      </c>
      <c r="G89" s="76" t="s">
        <v>1072</v>
      </c>
      <c r="H89" s="70"/>
      <c r="P89" s="70">
        <f t="shared" si="1"/>
        <v>0</v>
      </c>
      <c r="Q89" s="70" cm="1">
        <f t="array" ref="Q89">IF(P89=1,IF(SUMPRODUCT(($P$2:P89)*(--($G$2:G89=$G89)))=1,1,0),0)</f>
        <v>0</v>
      </c>
      <c r="R89" s="70" t="str">
        <f>IF(Q89=1,SUM($Q$2:Q89),"")</f>
        <v/>
      </c>
    </row>
    <row r="90" spans="1:18" x14ac:dyDescent="0.2">
      <c r="A90" s="73" t="s">
        <v>1539</v>
      </c>
      <c r="B90" s="77" t="s">
        <v>1541</v>
      </c>
      <c r="C90" s="74" t="s">
        <v>1540</v>
      </c>
      <c r="D90" s="74" t="s">
        <v>970</v>
      </c>
      <c r="E90" s="78" t="s">
        <v>129</v>
      </c>
      <c r="F90" s="76" t="s">
        <v>438</v>
      </c>
      <c r="G90" s="76" t="s">
        <v>1072</v>
      </c>
      <c r="H90" s="70"/>
      <c r="P90" s="70">
        <f t="shared" si="1"/>
        <v>0</v>
      </c>
      <c r="Q90" s="70" cm="1">
        <f t="array" ref="Q90">IF(P90=1,IF(SUMPRODUCT(($P$2:P90)*(--($G$2:G90=$G90)))=1,1,0),0)</f>
        <v>0</v>
      </c>
      <c r="R90" s="70" t="str">
        <f>IF(Q90=1,SUM($Q$2:Q90),"")</f>
        <v/>
      </c>
    </row>
    <row r="91" spans="1:18" ht="16" x14ac:dyDescent="0.2">
      <c r="A91" s="73" t="s">
        <v>333</v>
      </c>
      <c r="B91" s="77" t="s">
        <v>1541</v>
      </c>
      <c r="C91" s="74" t="s">
        <v>1540</v>
      </c>
      <c r="D91" s="74" t="s">
        <v>970</v>
      </c>
      <c r="E91" s="78" t="s">
        <v>106</v>
      </c>
      <c r="F91" s="76" t="s">
        <v>1563</v>
      </c>
      <c r="G91" s="75" t="s">
        <v>1085</v>
      </c>
      <c r="H91" s="70"/>
      <c r="P91" s="70">
        <f t="shared" si="1"/>
        <v>0</v>
      </c>
      <c r="Q91" s="70" cm="1">
        <f t="array" ref="Q91">IF(P91=1,IF(SUMPRODUCT(($P$2:P91)*(--($G$2:G91=$G91)))=1,1,0),0)</f>
        <v>0</v>
      </c>
      <c r="R91" s="70" t="str">
        <f>IF(Q91=1,SUM($Q$2:Q91),"")</f>
        <v/>
      </c>
    </row>
    <row r="92" spans="1:18" ht="16" x14ac:dyDescent="0.2">
      <c r="A92" s="73" t="s">
        <v>333</v>
      </c>
      <c r="B92" s="77" t="s">
        <v>1541</v>
      </c>
      <c r="C92" s="74" t="s">
        <v>1540</v>
      </c>
      <c r="D92" s="74" t="s">
        <v>970</v>
      </c>
      <c r="E92" s="78" t="s">
        <v>106</v>
      </c>
      <c r="F92" s="76" t="s">
        <v>333</v>
      </c>
      <c r="G92" s="75" t="s">
        <v>254</v>
      </c>
      <c r="H92" s="70"/>
      <c r="P92" s="70">
        <f t="shared" si="1"/>
        <v>0</v>
      </c>
      <c r="Q92" s="70" cm="1">
        <f t="array" ref="Q92">IF(P92=1,IF(SUMPRODUCT(($P$2:P92)*(--($G$2:G92=$G92)))=1,1,0),0)</f>
        <v>0</v>
      </c>
      <c r="R92" s="70" t="str">
        <f>IF(Q92=1,SUM($Q$2:Q92),"")</f>
        <v/>
      </c>
    </row>
    <row r="93" spans="1:18" ht="16" x14ac:dyDescent="0.2">
      <c r="A93" s="73" t="s">
        <v>491</v>
      </c>
      <c r="B93" s="77" t="s">
        <v>1541</v>
      </c>
      <c r="C93" s="74" t="s">
        <v>1564</v>
      </c>
      <c r="D93" s="74" t="s">
        <v>973</v>
      </c>
      <c r="E93" s="78" t="s">
        <v>113</v>
      </c>
      <c r="F93" s="76" t="s">
        <v>1565</v>
      </c>
      <c r="G93" s="75" t="s">
        <v>1162</v>
      </c>
      <c r="H93" s="70"/>
      <c r="P93" s="70">
        <f t="shared" si="1"/>
        <v>0</v>
      </c>
      <c r="Q93" s="70" cm="1">
        <f t="array" ref="Q93">IF(P93=1,IF(SUMPRODUCT(($P$2:P93)*(--($G$2:G93=$G93)))=1,1,0),0)</f>
        <v>0</v>
      </c>
      <c r="R93" s="70" t="str">
        <f>IF(Q93=1,SUM($Q$2:Q93),"")</f>
        <v/>
      </c>
    </row>
    <row r="94" spans="1:18" ht="16" x14ac:dyDescent="0.2">
      <c r="A94" s="73" t="s">
        <v>491</v>
      </c>
      <c r="B94" s="77" t="s">
        <v>1541</v>
      </c>
      <c r="C94" s="74" t="s">
        <v>1564</v>
      </c>
      <c r="D94" s="74" t="s">
        <v>973</v>
      </c>
      <c r="E94" s="78" t="s">
        <v>1002</v>
      </c>
      <c r="F94" s="76" t="s">
        <v>1565</v>
      </c>
      <c r="G94" s="75" t="s">
        <v>1162</v>
      </c>
      <c r="H94" s="70"/>
      <c r="P94" s="70">
        <f t="shared" si="1"/>
        <v>0</v>
      </c>
      <c r="Q94" s="70" cm="1">
        <f t="array" ref="Q94">IF(P94=1,IF(SUMPRODUCT(($P$2:P94)*(--($G$2:G94=$G94)))=1,1,0),0)</f>
        <v>0</v>
      </c>
      <c r="R94" s="70" t="str">
        <f>IF(Q94=1,SUM($Q$2:Q94),"")</f>
        <v/>
      </c>
    </row>
    <row r="95" spans="1:18" ht="16" x14ac:dyDescent="0.2">
      <c r="A95" s="73" t="s">
        <v>491</v>
      </c>
      <c r="B95" s="77" t="s">
        <v>1541</v>
      </c>
      <c r="C95" s="74" t="s">
        <v>1564</v>
      </c>
      <c r="D95" s="74" t="s">
        <v>973</v>
      </c>
      <c r="E95" s="78" t="s">
        <v>113</v>
      </c>
      <c r="F95" s="76" t="s">
        <v>1566</v>
      </c>
      <c r="G95" s="75" t="s">
        <v>1158</v>
      </c>
      <c r="H95" s="70"/>
      <c r="P95" s="70">
        <f t="shared" si="1"/>
        <v>0</v>
      </c>
      <c r="Q95" s="70" cm="1">
        <f t="array" ref="Q95">IF(P95=1,IF(SUMPRODUCT(($P$2:P95)*(--($G$2:G95=$G95)))=1,1,0),0)</f>
        <v>0</v>
      </c>
      <c r="R95" s="70" t="str">
        <f>IF(Q95=1,SUM($Q$2:Q95),"")</f>
        <v/>
      </c>
    </row>
    <row r="96" spans="1:18" ht="16" x14ac:dyDescent="0.2">
      <c r="A96" s="73" t="s">
        <v>491</v>
      </c>
      <c r="B96" s="77" t="s">
        <v>1541</v>
      </c>
      <c r="C96" s="74" t="s">
        <v>1564</v>
      </c>
      <c r="D96" s="74" t="s">
        <v>973</v>
      </c>
      <c r="E96" s="78" t="s">
        <v>1002</v>
      </c>
      <c r="F96" s="76" t="s">
        <v>1566</v>
      </c>
      <c r="G96" s="75" t="s">
        <v>1158</v>
      </c>
      <c r="H96" s="70"/>
      <c r="P96" s="70">
        <f t="shared" si="1"/>
        <v>0</v>
      </c>
      <c r="Q96" s="70" cm="1">
        <f t="array" ref="Q96">IF(P96=1,IF(SUMPRODUCT(($P$2:P96)*(--($G$2:G96=$G96)))=1,1,0),0)</f>
        <v>0</v>
      </c>
      <c r="R96" s="70" t="str">
        <f>IF(Q96=1,SUM($Q$2:Q96),"")</f>
        <v/>
      </c>
    </row>
    <row r="97" spans="1:18" ht="16" x14ac:dyDescent="0.2">
      <c r="A97" s="73" t="s">
        <v>491</v>
      </c>
      <c r="B97" s="77" t="s">
        <v>1541</v>
      </c>
      <c r="C97" s="74" t="s">
        <v>1564</v>
      </c>
      <c r="D97" s="74" t="s">
        <v>973</v>
      </c>
      <c r="E97" s="78" t="s">
        <v>113</v>
      </c>
      <c r="F97" s="76" t="s">
        <v>1567</v>
      </c>
      <c r="G97" s="75" t="s">
        <v>1158</v>
      </c>
      <c r="H97" s="70"/>
      <c r="P97" s="70">
        <f t="shared" si="1"/>
        <v>0</v>
      </c>
      <c r="Q97" s="70" cm="1">
        <f t="array" ref="Q97">IF(P97=1,IF(SUMPRODUCT(($P$2:P97)*(--($G$2:G97=$G97)))=1,1,0),0)</f>
        <v>0</v>
      </c>
      <c r="R97" s="70" t="str">
        <f>IF(Q97=1,SUM($Q$2:Q97),"")</f>
        <v/>
      </c>
    </row>
    <row r="98" spans="1:18" ht="16" x14ac:dyDescent="0.2">
      <c r="A98" s="73" t="s">
        <v>491</v>
      </c>
      <c r="B98" s="77" t="s">
        <v>1541</v>
      </c>
      <c r="C98" s="74" t="s">
        <v>1564</v>
      </c>
      <c r="D98" s="74" t="s">
        <v>973</v>
      </c>
      <c r="E98" s="78" t="s">
        <v>1002</v>
      </c>
      <c r="F98" s="76" t="s">
        <v>1567</v>
      </c>
      <c r="G98" s="75" t="s">
        <v>1158</v>
      </c>
      <c r="H98" s="70"/>
      <c r="P98" s="70">
        <f t="shared" si="1"/>
        <v>0</v>
      </c>
      <c r="Q98" s="70" cm="1">
        <f t="array" ref="Q98">IF(P98=1,IF(SUMPRODUCT(($P$2:P98)*(--($G$2:G98=$G98)))=1,1,0),0)</f>
        <v>0</v>
      </c>
      <c r="R98" s="70" t="str">
        <f>IF(Q98=1,SUM($Q$2:Q98),"")</f>
        <v/>
      </c>
    </row>
    <row r="99" spans="1:18" ht="16" x14ac:dyDescent="0.2">
      <c r="A99" s="73" t="s">
        <v>491</v>
      </c>
      <c r="B99" s="77" t="s">
        <v>1541</v>
      </c>
      <c r="C99" s="74" t="s">
        <v>1564</v>
      </c>
      <c r="D99" s="74" t="s">
        <v>973</v>
      </c>
      <c r="E99" s="78" t="s">
        <v>113</v>
      </c>
      <c r="F99" s="76" t="s">
        <v>1568</v>
      </c>
      <c r="G99" s="75" t="s">
        <v>1158</v>
      </c>
      <c r="H99" s="70"/>
      <c r="P99" s="70">
        <f t="shared" si="1"/>
        <v>0</v>
      </c>
      <c r="Q99" s="70" cm="1">
        <f t="array" ref="Q99">IF(P99=1,IF(SUMPRODUCT(($P$2:P99)*(--($G$2:G99=$G99)))=1,1,0),0)</f>
        <v>0</v>
      </c>
      <c r="R99" s="70" t="str">
        <f>IF(Q99=1,SUM($Q$2:Q99),"")</f>
        <v/>
      </c>
    </row>
    <row r="100" spans="1:18" ht="16" x14ac:dyDescent="0.2">
      <c r="A100" s="73" t="s">
        <v>491</v>
      </c>
      <c r="B100" s="77" t="s">
        <v>1541</v>
      </c>
      <c r="C100" s="74" t="s">
        <v>1564</v>
      </c>
      <c r="D100" s="74" t="s">
        <v>973</v>
      </c>
      <c r="E100" s="78" t="s">
        <v>1002</v>
      </c>
      <c r="F100" s="76" t="s">
        <v>1568</v>
      </c>
      <c r="G100" s="75" t="s">
        <v>1158</v>
      </c>
      <c r="H100" s="70"/>
      <c r="P100" s="70">
        <f t="shared" si="1"/>
        <v>0</v>
      </c>
      <c r="Q100" s="70" cm="1">
        <f t="array" ref="Q100">IF(P100=1,IF(SUMPRODUCT(($P$2:P100)*(--($G$2:G100=$G100)))=1,1,0),0)</f>
        <v>0</v>
      </c>
      <c r="R100" s="70" t="str">
        <f>IF(Q100=1,SUM($Q$2:Q100),"")</f>
        <v/>
      </c>
    </row>
    <row r="101" spans="1:18" ht="16" x14ac:dyDescent="0.2">
      <c r="A101" s="73" t="s">
        <v>491</v>
      </c>
      <c r="B101" s="77" t="s">
        <v>1541</v>
      </c>
      <c r="C101" s="74" t="s">
        <v>1564</v>
      </c>
      <c r="D101" s="74" t="s">
        <v>973</v>
      </c>
      <c r="E101" s="78" t="s">
        <v>113</v>
      </c>
      <c r="F101" s="76" t="s">
        <v>1569</v>
      </c>
      <c r="G101" s="75" t="s">
        <v>1161</v>
      </c>
      <c r="H101" s="70"/>
      <c r="P101" s="70">
        <f t="shared" si="1"/>
        <v>0</v>
      </c>
      <c r="Q101" s="70" cm="1">
        <f t="array" ref="Q101">IF(P101=1,IF(SUMPRODUCT(($P$2:P101)*(--($G$2:G101=$G101)))=1,1,0),0)</f>
        <v>0</v>
      </c>
      <c r="R101" s="70" t="str">
        <f>IF(Q101=1,SUM($Q$2:Q101),"")</f>
        <v/>
      </c>
    </row>
    <row r="102" spans="1:18" ht="16" x14ac:dyDescent="0.2">
      <c r="A102" s="73" t="s">
        <v>491</v>
      </c>
      <c r="B102" s="77" t="s">
        <v>1541</v>
      </c>
      <c r="C102" s="74" t="s">
        <v>1564</v>
      </c>
      <c r="D102" s="74" t="s">
        <v>973</v>
      </c>
      <c r="E102" s="78" t="s">
        <v>1002</v>
      </c>
      <c r="F102" s="76" t="s">
        <v>1569</v>
      </c>
      <c r="G102" s="75" t="s">
        <v>1161</v>
      </c>
      <c r="H102" s="70"/>
      <c r="P102" s="70">
        <f t="shared" si="1"/>
        <v>0</v>
      </c>
      <c r="Q102" s="70" cm="1">
        <f t="array" ref="Q102">IF(P102=1,IF(SUMPRODUCT(($P$2:P102)*(--($G$2:G102=$G102)))=1,1,0),0)</f>
        <v>0</v>
      </c>
      <c r="R102" s="70" t="str">
        <f>IF(Q102=1,SUM($Q$2:Q102),"")</f>
        <v/>
      </c>
    </row>
    <row r="103" spans="1:18" x14ac:dyDescent="0.2">
      <c r="A103" s="73" t="s">
        <v>491</v>
      </c>
      <c r="B103" s="77" t="s">
        <v>1541</v>
      </c>
      <c r="C103" s="74" t="s">
        <v>1564</v>
      </c>
      <c r="D103" s="74" t="s">
        <v>973</v>
      </c>
      <c r="E103" s="78" t="s">
        <v>113</v>
      </c>
      <c r="F103" s="76" t="s">
        <v>1570</v>
      </c>
      <c r="G103" s="76" t="s">
        <v>1159</v>
      </c>
      <c r="H103" s="70"/>
      <c r="P103" s="70">
        <f t="shared" si="1"/>
        <v>0</v>
      </c>
      <c r="Q103" s="70" cm="1">
        <f t="array" ref="Q103">IF(P103=1,IF(SUMPRODUCT(($P$2:P103)*(--($G$2:G103=$G103)))=1,1,0),0)</f>
        <v>0</v>
      </c>
      <c r="R103" s="70" t="str">
        <f>IF(Q103=1,SUM($Q$2:Q103),"")</f>
        <v/>
      </c>
    </row>
    <row r="104" spans="1:18" x14ac:dyDescent="0.2">
      <c r="A104" s="73" t="s">
        <v>491</v>
      </c>
      <c r="B104" s="77" t="s">
        <v>1541</v>
      </c>
      <c r="C104" s="74" t="s">
        <v>1564</v>
      </c>
      <c r="D104" s="74" t="s">
        <v>973</v>
      </c>
      <c r="E104" s="78" t="s">
        <v>1002</v>
      </c>
      <c r="F104" s="76" t="s">
        <v>1570</v>
      </c>
      <c r="G104" s="76" t="s">
        <v>1159</v>
      </c>
      <c r="H104" s="70"/>
      <c r="P104" s="70">
        <f t="shared" si="1"/>
        <v>0</v>
      </c>
      <c r="Q104" s="70" cm="1">
        <f t="array" ref="Q104">IF(P104=1,IF(SUMPRODUCT(($P$2:P104)*(--($G$2:G104=$G104)))=1,1,0),0)</f>
        <v>0</v>
      </c>
      <c r="R104" s="70" t="str">
        <f>IF(Q104=1,SUM($Q$2:Q104),"")</f>
        <v/>
      </c>
    </row>
    <row r="105" spans="1:18" x14ac:dyDescent="0.2">
      <c r="A105" s="73" t="s">
        <v>491</v>
      </c>
      <c r="B105" s="77" t="s">
        <v>1541</v>
      </c>
      <c r="C105" s="74" t="s">
        <v>1564</v>
      </c>
      <c r="D105" s="74" t="s">
        <v>973</v>
      </c>
      <c r="E105" s="78" t="s">
        <v>113</v>
      </c>
      <c r="F105" s="76" t="s">
        <v>1571</v>
      </c>
      <c r="G105" s="76" t="s">
        <v>1159</v>
      </c>
      <c r="H105" s="70"/>
      <c r="P105" s="70">
        <f t="shared" si="1"/>
        <v>0</v>
      </c>
      <c r="Q105" s="70" cm="1">
        <f t="array" ref="Q105">IF(P105=1,IF(SUMPRODUCT(($P$2:P105)*(--($G$2:G105=$G105)))=1,1,0),0)</f>
        <v>0</v>
      </c>
      <c r="R105" s="70" t="str">
        <f>IF(Q105=1,SUM($Q$2:Q105),"")</f>
        <v/>
      </c>
    </row>
    <row r="106" spans="1:18" x14ac:dyDescent="0.2">
      <c r="A106" s="73" t="s">
        <v>491</v>
      </c>
      <c r="B106" s="77" t="s">
        <v>1541</v>
      </c>
      <c r="C106" s="74" t="s">
        <v>1564</v>
      </c>
      <c r="D106" s="74" t="s">
        <v>973</v>
      </c>
      <c r="E106" s="78" t="s">
        <v>1002</v>
      </c>
      <c r="F106" s="76" t="s">
        <v>1571</v>
      </c>
      <c r="G106" s="76" t="s">
        <v>1159</v>
      </c>
      <c r="H106" s="70"/>
      <c r="P106" s="70">
        <f t="shared" si="1"/>
        <v>0</v>
      </c>
      <c r="Q106" s="70" cm="1">
        <f t="array" ref="Q106">IF(P106=1,IF(SUMPRODUCT(($P$2:P106)*(--($G$2:G106=$G106)))=1,1,0),0)</f>
        <v>0</v>
      </c>
      <c r="R106" s="70" t="str">
        <f>IF(Q106=1,SUM($Q$2:Q106),"")</f>
        <v/>
      </c>
    </row>
    <row r="107" spans="1:18" x14ac:dyDescent="0.2">
      <c r="A107" s="73" t="s">
        <v>491</v>
      </c>
      <c r="B107" s="77" t="s">
        <v>1541</v>
      </c>
      <c r="C107" s="74" t="s">
        <v>1564</v>
      </c>
      <c r="D107" s="74" t="s">
        <v>973</v>
      </c>
      <c r="E107" s="78" t="s">
        <v>113</v>
      </c>
      <c r="F107" s="76" t="s">
        <v>1572</v>
      </c>
      <c r="G107" s="76" t="s">
        <v>1159</v>
      </c>
      <c r="H107" s="70"/>
      <c r="P107" s="70">
        <f t="shared" si="1"/>
        <v>0</v>
      </c>
      <c r="Q107" s="70" cm="1">
        <f t="array" ref="Q107">IF(P107=1,IF(SUMPRODUCT(($P$2:P107)*(--($G$2:G107=$G107)))=1,1,0),0)</f>
        <v>0</v>
      </c>
      <c r="R107" s="70" t="str">
        <f>IF(Q107=1,SUM($Q$2:Q107),"")</f>
        <v/>
      </c>
    </row>
    <row r="108" spans="1:18" x14ac:dyDescent="0.2">
      <c r="A108" s="73" t="s">
        <v>491</v>
      </c>
      <c r="B108" s="77" t="s">
        <v>1541</v>
      </c>
      <c r="C108" s="74" t="s">
        <v>1564</v>
      </c>
      <c r="D108" s="74" t="s">
        <v>973</v>
      </c>
      <c r="E108" s="78" t="s">
        <v>1002</v>
      </c>
      <c r="F108" s="76" t="s">
        <v>1572</v>
      </c>
      <c r="G108" s="76" t="s">
        <v>1159</v>
      </c>
      <c r="H108" s="70"/>
      <c r="P108" s="70">
        <f t="shared" si="1"/>
        <v>0</v>
      </c>
      <c r="Q108" s="70" cm="1">
        <f t="array" ref="Q108">IF(P108=1,IF(SUMPRODUCT(($P$2:P108)*(--($G$2:G108=$G108)))=1,1,0),0)</f>
        <v>0</v>
      </c>
      <c r="R108" s="70" t="str">
        <f>IF(Q108=1,SUM($Q$2:Q108),"")</f>
        <v/>
      </c>
    </row>
    <row r="109" spans="1:18" x14ac:dyDescent="0.2">
      <c r="A109" s="73" t="s">
        <v>491</v>
      </c>
      <c r="B109" s="77" t="s">
        <v>1541</v>
      </c>
      <c r="C109" s="74" t="s">
        <v>1564</v>
      </c>
      <c r="D109" s="74" t="s">
        <v>973</v>
      </c>
      <c r="E109" s="78" t="s">
        <v>113</v>
      </c>
      <c r="F109" s="76" t="s">
        <v>1573</v>
      </c>
      <c r="G109" s="76" t="s">
        <v>1159</v>
      </c>
      <c r="H109" s="70"/>
      <c r="P109" s="70">
        <f t="shared" si="1"/>
        <v>0</v>
      </c>
      <c r="Q109" s="70" cm="1">
        <f t="array" ref="Q109">IF(P109=1,IF(SUMPRODUCT(($P$2:P109)*(--($G$2:G109=$G109)))=1,1,0),0)</f>
        <v>0</v>
      </c>
      <c r="R109" s="70" t="str">
        <f>IF(Q109=1,SUM($Q$2:Q109),"")</f>
        <v/>
      </c>
    </row>
    <row r="110" spans="1:18" x14ac:dyDescent="0.2">
      <c r="A110" s="73" t="s">
        <v>491</v>
      </c>
      <c r="B110" s="77" t="s">
        <v>1541</v>
      </c>
      <c r="C110" s="74" t="s">
        <v>1564</v>
      </c>
      <c r="D110" s="74" t="s">
        <v>973</v>
      </c>
      <c r="E110" s="78" t="s">
        <v>1002</v>
      </c>
      <c r="F110" s="76" t="s">
        <v>1573</v>
      </c>
      <c r="G110" s="76" t="s">
        <v>1159</v>
      </c>
      <c r="H110" s="70"/>
      <c r="P110" s="70">
        <f t="shared" si="1"/>
        <v>0</v>
      </c>
      <c r="Q110" s="70" cm="1">
        <f t="array" ref="Q110">IF(P110=1,IF(SUMPRODUCT(($P$2:P110)*(--($G$2:G110=$G110)))=1,1,0),0)</f>
        <v>0</v>
      </c>
      <c r="R110" s="70" t="str">
        <f>IF(Q110=1,SUM($Q$2:Q110),"")</f>
        <v/>
      </c>
    </row>
    <row r="111" spans="1:18" x14ac:dyDescent="0.2">
      <c r="A111" s="73" t="s">
        <v>491</v>
      </c>
      <c r="B111" s="77" t="s">
        <v>1541</v>
      </c>
      <c r="C111" s="74" t="s">
        <v>1564</v>
      </c>
      <c r="D111" s="74" t="s">
        <v>973</v>
      </c>
      <c r="E111" s="78" t="s">
        <v>113</v>
      </c>
      <c r="F111" s="76" t="s">
        <v>1574</v>
      </c>
      <c r="G111" s="76" t="s">
        <v>1160</v>
      </c>
      <c r="H111" s="70"/>
      <c r="P111" s="70">
        <f t="shared" si="1"/>
        <v>0</v>
      </c>
      <c r="Q111" s="70" cm="1">
        <f t="array" ref="Q111">IF(P111=1,IF(SUMPRODUCT(($P$2:P111)*(--($G$2:G111=$G111)))=1,1,0),0)</f>
        <v>0</v>
      </c>
      <c r="R111" s="70" t="str">
        <f>IF(Q111=1,SUM($Q$2:Q111),"")</f>
        <v/>
      </c>
    </row>
    <row r="112" spans="1:18" x14ac:dyDescent="0.2">
      <c r="A112" s="73" t="s">
        <v>491</v>
      </c>
      <c r="B112" s="77" t="s">
        <v>1541</v>
      </c>
      <c r="C112" s="74" t="s">
        <v>1564</v>
      </c>
      <c r="D112" s="74" t="s">
        <v>973</v>
      </c>
      <c r="E112" s="78" t="s">
        <v>1002</v>
      </c>
      <c r="F112" s="76" t="s">
        <v>1574</v>
      </c>
      <c r="G112" s="76" t="s">
        <v>1160</v>
      </c>
      <c r="H112" s="70"/>
      <c r="P112" s="70">
        <f t="shared" si="1"/>
        <v>0</v>
      </c>
      <c r="Q112" s="70" cm="1">
        <f t="array" ref="Q112">IF(P112=1,IF(SUMPRODUCT(($P$2:P112)*(--($G$2:G112=$G112)))=1,1,0),0)</f>
        <v>0</v>
      </c>
      <c r="R112" s="70" t="str">
        <f>IF(Q112=1,SUM($Q$2:Q112),"")</f>
        <v/>
      </c>
    </row>
    <row r="113" spans="1:18" x14ac:dyDescent="0.2">
      <c r="A113" s="73" t="s">
        <v>491</v>
      </c>
      <c r="B113" s="77" t="s">
        <v>1541</v>
      </c>
      <c r="C113" s="74" t="s">
        <v>1564</v>
      </c>
      <c r="D113" s="74" t="s">
        <v>973</v>
      </c>
      <c r="E113" s="78" t="s">
        <v>113</v>
      </c>
      <c r="F113" s="76" t="s">
        <v>1575</v>
      </c>
      <c r="G113" s="76" t="s">
        <v>1160</v>
      </c>
      <c r="H113" s="70"/>
      <c r="P113" s="70">
        <f t="shared" si="1"/>
        <v>0</v>
      </c>
      <c r="Q113" s="70" cm="1">
        <f t="array" ref="Q113">IF(P113=1,IF(SUMPRODUCT(($P$2:P113)*(--($G$2:G113=$G113)))=1,1,0),0)</f>
        <v>0</v>
      </c>
      <c r="R113" s="70" t="str">
        <f>IF(Q113=1,SUM($Q$2:Q113),"")</f>
        <v/>
      </c>
    </row>
    <row r="114" spans="1:18" x14ac:dyDescent="0.2">
      <c r="A114" s="73" t="s">
        <v>491</v>
      </c>
      <c r="B114" s="77" t="s">
        <v>1541</v>
      </c>
      <c r="C114" s="74" t="s">
        <v>1564</v>
      </c>
      <c r="D114" s="74" t="s">
        <v>973</v>
      </c>
      <c r="E114" s="78" t="s">
        <v>1002</v>
      </c>
      <c r="F114" s="76" t="s">
        <v>1575</v>
      </c>
      <c r="G114" s="76" t="s">
        <v>1160</v>
      </c>
      <c r="H114" s="70"/>
      <c r="P114" s="70">
        <f t="shared" si="1"/>
        <v>0</v>
      </c>
      <c r="Q114" s="70" cm="1">
        <f t="array" ref="Q114">IF(P114=1,IF(SUMPRODUCT(($P$2:P114)*(--($G$2:G114=$G114)))=1,1,0),0)</f>
        <v>0</v>
      </c>
      <c r="R114" s="70" t="str">
        <f>IF(Q114=1,SUM($Q$2:Q114),"")</f>
        <v/>
      </c>
    </row>
    <row r="115" spans="1:18" ht="16" x14ac:dyDescent="0.2">
      <c r="A115" s="73" t="s">
        <v>491</v>
      </c>
      <c r="B115" s="77" t="s">
        <v>1541</v>
      </c>
      <c r="C115" s="74" t="s">
        <v>1564</v>
      </c>
      <c r="D115" s="74" t="s">
        <v>973</v>
      </c>
      <c r="E115" s="78" t="s">
        <v>113</v>
      </c>
      <c r="F115" s="76" t="s">
        <v>1576</v>
      </c>
      <c r="G115" s="75" t="s">
        <v>1155</v>
      </c>
      <c r="H115" s="70"/>
      <c r="P115" s="70">
        <f t="shared" si="1"/>
        <v>0</v>
      </c>
      <c r="Q115" s="70" cm="1">
        <f t="array" ref="Q115">IF(P115=1,IF(SUMPRODUCT(($P$2:P115)*(--($G$2:G115=$G115)))=1,1,0),0)</f>
        <v>0</v>
      </c>
      <c r="R115" s="70" t="str">
        <f>IF(Q115=1,SUM($Q$2:Q115),"")</f>
        <v/>
      </c>
    </row>
    <row r="116" spans="1:18" ht="16" x14ac:dyDescent="0.2">
      <c r="A116" s="73" t="s">
        <v>491</v>
      </c>
      <c r="B116" s="77" t="s">
        <v>1541</v>
      </c>
      <c r="C116" s="74" t="s">
        <v>1564</v>
      </c>
      <c r="D116" s="74" t="s">
        <v>973</v>
      </c>
      <c r="E116" s="78" t="s">
        <v>1002</v>
      </c>
      <c r="F116" s="76" t="s">
        <v>1576</v>
      </c>
      <c r="G116" s="75" t="s">
        <v>1155</v>
      </c>
      <c r="H116" s="70"/>
      <c r="P116" s="70">
        <f t="shared" si="1"/>
        <v>0</v>
      </c>
      <c r="Q116" s="70" cm="1">
        <f t="array" ref="Q116">IF(P116=1,IF(SUMPRODUCT(($P$2:P116)*(--($G$2:G116=$G116)))=1,1,0),0)</f>
        <v>0</v>
      </c>
      <c r="R116" s="70" t="str">
        <f>IF(Q116=1,SUM($Q$2:Q116),"")</f>
        <v/>
      </c>
    </row>
    <row r="117" spans="1:18" ht="16" x14ac:dyDescent="0.2">
      <c r="A117" s="73" t="s">
        <v>491</v>
      </c>
      <c r="B117" s="77" t="s">
        <v>1541</v>
      </c>
      <c r="C117" s="74" t="s">
        <v>1564</v>
      </c>
      <c r="D117" s="74" t="s">
        <v>973</v>
      </c>
      <c r="E117" s="78" t="s">
        <v>113</v>
      </c>
      <c r="F117" s="76" t="s">
        <v>1577</v>
      </c>
      <c r="G117" s="75" t="s">
        <v>1155</v>
      </c>
      <c r="H117" s="70"/>
      <c r="P117" s="70">
        <f t="shared" si="1"/>
        <v>0</v>
      </c>
      <c r="Q117" s="70" cm="1">
        <f t="array" ref="Q117">IF(P117=1,IF(SUMPRODUCT(($P$2:P117)*(--($G$2:G117=$G117)))=1,1,0),0)</f>
        <v>0</v>
      </c>
      <c r="R117" s="70" t="str">
        <f>IF(Q117=1,SUM($Q$2:Q117),"")</f>
        <v/>
      </c>
    </row>
    <row r="118" spans="1:18" ht="16" x14ac:dyDescent="0.2">
      <c r="A118" s="73" t="s">
        <v>491</v>
      </c>
      <c r="B118" s="77" t="s">
        <v>1541</v>
      </c>
      <c r="C118" s="74" t="s">
        <v>1564</v>
      </c>
      <c r="D118" s="74" t="s">
        <v>973</v>
      </c>
      <c r="E118" s="78" t="s">
        <v>1002</v>
      </c>
      <c r="F118" s="76" t="s">
        <v>1577</v>
      </c>
      <c r="G118" s="75" t="s">
        <v>1155</v>
      </c>
      <c r="H118" s="70"/>
      <c r="P118" s="70">
        <f t="shared" si="1"/>
        <v>0</v>
      </c>
      <c r="Q118" s="70" cm="1">
        <f t="array" ref="Q118">IF(P118=1,IF(SUMPRODUCT(($P$2:P118)*(--($G$2:G118=$G118)))=1,1,0),0)</f>
        <v>0</v>
      </c>
      <c r="R118" s="70" t="str">
        <f>IF(Q118=1,SUM($Q$2:Q118),"")</f>
        <v/>
      </c>
    </row>
    <row r="119" spans="1:18" ht="16" x14ac:dyDescent="0.2">
      <c r="A119" s="73" t="s">
        <v>491</v>
      </c>
      <c r="B119" s="77" t="s">
        <v>1541</v>
      </c>
      <c r="C119" s="74" t="s">
        <v>1564</v>
      </c>
      <c r="D119" s="74" t="s">
        <v>973</v>
      </c>
      <c r="E119" s="78" t="s">
        <v>113</v>
      </c>
      <c r="F119" s="76" t="s">
        <v>1578</v>
      </c>
      <c r="G119" s="75" t="s">
        <v>1155</v>
      </c>
      <c r="H119" s="70"/>
      <c r="P119" s="70">
        <f t="shared" si="1"/>
        <v>0</v>
      </c>
      <c r="Q119" s="70" cm="1">
        <f t="array" ref="Q119">IF(P119=1,IF(SUMPRODUCT(($P$2:P119)*(--($G$2:G119=$G119)))=1,1,0),0)</f>
        <v>0</v>
      </c>
      <c r="R119" s="70" t="str">
        <f>IF(Q119=1,SUM($Q$2:Q119),"")</f>
        <v/>
      </c>
    </row>
    <row r="120" spans="1:18" ht="16" x14ac:dyDescent="0.2">
      <c r="A120" s="73" t="s">
        <v>491</v>
      </c>
      <c r="B120" s="77" t="s">
        <v>1541</v>
      </c>
      <c r="C120" s="74" t="s">
        <v>1564</v>
      </c>
      <c r="D120" s="74" t="s">
        <v>973</v>
      </c>
      <c r="E120" s="78" t="s">
        <v>1002</v>
      </c>
      <c r="F120" s="76" t="s">
        <v>1578</v>
      </c>
      <c r="G120" s="75" t="s">
        <v>1155</v>
      </c>
      <c r="H120" s="70"/>
      <c r="P120" s="70">
        <f t="shared" si="1"/>
        <v>0</v>
      </c>
      <c r="Q120" s="70" cm="1">
        <f t="array" ref="Q120">IF(P120=1,IF(SUMPRODUCT(($P$2:P120)*(--($G$2:G120=$G120)))=1,1,0),0)</f>
        <v>0</v>
      </c>
      <c r="R120" s="70" t="str">
        <f>IF(Q120=1,SUM($Q$2:Q120),"")</f>
        <v/>
      </c>
    </row>
    <row r="121" spans="1:18" ht="16" x14ac:dyDescent="0.2">
      <c r="A121" s="73" t="s">
        <v>491</v>
      </c>
      <c r="B121" s="77" t="s">
        <v>1541</v>
      </c>
      <c r="C121" s="74" t="s">
        <v>1564</v>
      </c>
      <c r="D121" s="74" t="s">
        <v>973</v>
      </c>
      <c r="E121" s="78" t="s">
        <v>113</v>
      </c>
      <c r="F121" s="76" t="s">
        <v>1579</v>
      </c>
      <c r="G121" s="75" t="s">
        <v>1155</v>
      </c>
      <c r="H121" s="70"/>
      <c r="P121" s="70">
        <f t="shared" si="1"/>
        <v>0</v>
      </c>
      <c r="Q121" s="70" cm="1">
        <f t="array" ref="Q121">IF(P121=1,IF(SUMPRODUCT(($P$2:P121)*(--($G$2:G121=$G121)))=1,1,0),0)</f>
        <v>0</v>
      </c>
      <c r="R121" s="70" t="str">
        <f>IF(Q121=1,SUM($Q$2:Q121),"")</f>
        <v/>
      </c>
    </row>
    <row r="122" spans="1:18" ht="16" x14ac:dyDescent="0.2">
      <c r="A122" s="73" t="s">
        <v>491</v>
      </c>
      <c r="B122" s="77" t="s">
        <v>1541</v>
      </c>
      <c r="C122" s="74" t="s">
        <v>1564</v>
      </c>
      <c r="D122" s="74" t="s">
        <v>973</v>
      </c>
      <c r="E122" s="78" t="s">
        <v>1002</v>
      </c>
      <c r="F122" s="76" t="s">
        <v>1579</v>
      </c>
      <c r="G122" s="75" t="s">
        <v>1155</v>
      </c>
      <c r="H122" s="70"/>
      <c r="P122" s="70">
        <f t="shared" si="1"/>
        <v>0</v>
      </c>
      <c r="Q122" s="70" cm="1">
        <f t="array" ref="Q122">IF(P122=1,IF(SUMPRODUCT(($P$2:P122)*(--($G$2:G122=$G122)))=1,1,0),0)</f>
        <v>0</v>
      </c>
      <c r="R122" s="70" t="str">
        <f>IF(Q122=1,SUM($Q$2:Q122),"")</f>
        <v/>
      </c>
    </row>
    <row r="123" spans="1:18" ht="16" x14ac:dyDescent="0.2">
      <c r="A123" s="73" t="s">
        <v>491</v>
      </c>
      <c r="B123" s="77" t="s">
        <v>1541</v>
      </c>
      <c r="C123" s="74" t="s">
        <v>1564</v>
      </c>
      <c r="D123" s="74" t="s">
        <v>973</v>
      </c>
      <c r="E123" s="78" t="s">
        <v>113</v>
      </c>
      <c r="F123" s="76" t="s">
        <v>1580</v>
      </c>
      <c r="G123" s="75" t="s">
        <v>1155</v>
      </c>
      <c r="H123" s="70"/>
      <c r="P123" s="70">
        <f t="shared" si="1"/>
        <v>0</v>
      </c>
      <c r="Q123" s="70" cm="1">
        <f t="array" ref="Q123">IF(P123=1,IF(SUMPRODUCT(($P$2:P123)*(--($G$2:G123=$G123)))=1,1,0),0)</f>
        <v>0</v>
      </c>
      <c r="R123" s="70" t="str">
        <f>IF(Q123=1,SUM($Q$2:Q123),"")</f>
        <v/>
      </c>
    </row>
    <row r="124" spans="1:18" ht="16" x14ac:dyDescent="0.2">
      <c r="A124" s="73" t="s">
        <v>491</v>
      </c>
      <c r="B124" s="77" t="s">
        <v>1541</v>
      </c>
      <c r="C124" s="74" t="s">
        <v>1564</v>
      </c>
      <c r="D124" s="74" t="s">
        <v>973</v>
      </c>
      <c r="E124" s="78" t="s">
        <v>1002</v>
      </c>
      <c r="F124" s="76" t="s">
        <v>1580</v>
      </c>
      <c r="G124" s="75" t="s">
        <v>1155</v>
      </c>
      <c r="H124" s="70"/>
      <c r="P124" s="70">
        <f t="shared" si="1"/>
        <v>0</v>
      </c>
      <c r="Q124" s="70" cm="1">
        <f t="array" ref="Q124">IF(P124=1,IF(SUMPRODUCT(($P$2:P124)*(--($G$2:G124=$G124)))=1,1,0),0)</f>
        <v>0</v>
      </c>
      <c r="R124" s="70" t="str">
        <f>IF(Q124=1,SUM($Q$2:Q124),"")</f>
        <v/>
      </c>
    </row>
    <row r="125" spans="1:18" ht="16" x14ac:dyDescent="0.2">
      <c r="A125" s="73" t="s">
        <v>491</v>
      </c>
      <c r="B125" s="77" t="s">
        <v>1541</v>
      </c>
      <c r="C125" s="74" t="s">
        <v>1564</v>
      </c>
      <c r="D125" s="74" t="s">
        <v>973</v>
      </c>
      <c r="E125" s="78" t="s">
        <v>113</v>
      </c>
      <c r="F125" s="76" t="s">
        <v>1581</v>
      </c>
      <c r="G125" s="75" t="s">
        <v>1156</v>
      </c>
      <c r="H125" s="70"/>
      <c r="P125" s="70">
        <f t="shared" si="1"/>
        <v>0</v>
      </c>
      <c r="Q125" s="70" cm="1">
        <f t="array" ref="Q125">IF(P125=1,IF(SUMPRODUCT(($P$2:P125)*(--($G$2:G125=$G125)))=1,1,0),0)</f>
        <v>0</v>
      </c>
      <c r="R125" s="70" t="str">
        <f>IF(Q125=1,SUM($Q$2:Q125),"")</f>
        <v/>
      </c>
    </row>
    <row r="126" spans="1:18" ht="16" x14ac:dyDescent="0.2">
      <c r="A126" s="73" t="s">
        <v>491</v>
      </c>
      <c r="B126" s="77" t="s">
        <v>1541</v>
      </c>
      <c r="C126" s="74" t="s">
        <v>1564</v>
      </c>
      <c r="D126" s="74" t="s">
        <v>973</v>
      </c>
      <c r="E126" s="78" t="s">
        <v>1002</v>
      </c>
      <c r="F126" s="76" t="s">
        <v>1581</v>
      </c>
      <c r="G126" s="75" t="s">
        <v>1156</v>
      </c>
      <c r="H126" s="70"/>
      <c r="P126" s="70">
        <f t="shared" si="1"/>
        <v>0</v>
      </c>
      <c r="Q126" s="70" cm="1">
        <f t="array" ref="Q126">IF(P126=1,IF(SUMPRODUCT(($P$2:P126)*(--($G$2:G126=$G126)))=1,1,0),0)</f>
        <v>0</v>
      </c>
      <c r="R126" s="70" t="str">
        <f>IF(Q126=1,SUM($Q$2:Q126),"")</f>
        <v/>
      </c>
    </row>
    <row r="127" spans="1:18" ht="16" x14ac:dyDescent="0.2">
      <c r="A127" s="73" t="s">
        <v>491</v>
      </c>
      <c r="B127" s="77" t="s">
        <v>1541</v>
      </c>
      <c r="C127" s="74" t="s">
        <v>1564</v>
      </c>
      <c r="D127" s="74" t="s">
        <v>973</v>
      </c>
      <c r="E127" s="78" t="s">
        <v>113</v>
      </c>
      <c r="F127" s="76" t="s">
        <v>1582</v>
      </c>
      <c r="G127" s="75" t="s">
        <v>1156</v>
      </c>
      <c r="H127" s="70"/>
      <c r="P127" s="70">
        <f t="shared" si="1"/>
        <v>0</v>
      </c>
      <c r="Q127" s="70" cm="1">
        <f t="array" ref="Q127">IF(P127=1,IF(SUMPRODUCT(($P$2:P127)*(--($G$2:G127=$G127)))=1,1,0),0)</f>
        <v>0</v>
      </c>
      <c r="R127" s="70" t="str">
        <f>IF(Q127=1,SUM($Q$2:Q127),"")</f>
        <v/>
      </c>
    </row>
    <row r="128" spans="1:18" ht="16" x14ac:dyDescent="0.2">
      <c r="A128" s="73" t="s">
        <v>491</v>
      </c>
      <c r="B128" s="77" t="s">
        <v>1541</v>
      </c>
      <c r="C128" s="74" t="s">
        <v>1564</v>
      </c>
      <c r="D128" s="74" t="s">
        <v>973</v>
      </c>
      <c r="E128" s="78" t="s">
        <v>1002</v>
      </c>
      <c r="F128" s="76" t="s">
        <v>1582</v>
      </c>
      <c r="G128" s="75" t="s">
        <v>1156</v>
      </c>
      <c r="H128" s="70"/>
      <c r="P128" s="70">
        <f t="shared" si="1"/>
        <v>0</v>
      </c>
      <c r="Q128" s="70" cm="1">
        <f t="array" ref="Q128">IF(P128=1,IF(SUMPRODUCT(($P$2:P128)*(--($G$2:G128=$G128)))=1,1,0),0)</f>
        <v>0</v>
      </c>
      <c r="R128" s="70" t="str">
        <f>IF(Q128=1,SUM($Q$2:Q128),"")</f>
        <v/>
      </c>
    </row>
    <row r="129" spans="1:18" ht="16" x14ac:dyDescent="0.2">
      <c r="A129" s="73" t="s">
        <v>491</v>
      </c>
      <c r="B129" s="77" t="s">
        <v>1541</v>
      </c>
      <c r="C129" s="74" t="s">
        <v>1564</v>
      </c>
      <c r="D129" s="74" t="s">
        <v>973</v>
      </c>
      <c r="E129" s="78" t="s">
        <v>113</v>
      </c>
      <c r="F129" s="76" t="s">
        <v>1583</v>
      </c>
      <c r="G129" s="75" t="s">
        <v>1157</v>
      </c>
      <c r="H129" s="70"/>
      <c r="P129" s="70">
        <f t="shared" si="1"/>
        <v>0</v>
      </c>
      <c r="Q129" s="70" cm="1">
        <f t="array" ref="Q129">IF(P129=1,IF(SUMPRODUCT(($P$2:P129)*(--($G$2:G129=$G129)))=1,1,0),0)</f>
        <v>0</v>
      </c>
      <c r="R129" s="70" t="str">
        <f>IF(Q129=1,SUM($Q$2:Q129),"")</f>
        <v/>
      </c>
    </row>
    <row r="130" spans="1:18" ht="16" x14ac:dyDescent="0.2">
      <c r="A130" s="73" t="s">
        <v>491</v>
      </c>
      <c r="B130" s="77" t="s">
        <v>1541</v>
      </c>
      <c r="C130" s="74" t="s">
        <v>1564</v>
      </c>
      <c r="D130" s="74" t="s">
        <v>973</v>
      </c>
      <c r="E130" s="78" t="s">
        <v>1002</v>
      </c>
      <c r="F130" s="76" t="s">
        <v>1583</v>
      </c>
      <c r="G130" s="75" t="s">
        <v>1157</v>
      </c>
      <c r="H130" s="70"/>
      <c r="P130" s="70">
        <f t="shared" si="1"/>
        <v>0</v>
      </c>
      <c r="Q130" s="70" cm="1">
        <f t="array" ref="Q130">IF(P130=1,IF(SUMPRODUCT(($P$2:P130)*(--($G$2:G130=$G130)))=1,1,0),0)</f>
        <v>0</v>
      </c>
      <c r="R130" s="70" t="str">
        <f>IF(Q130=1,SUM($Q$2:Q130),"")</f>
        <v/>
      </c>
    </row>
    <row r="131" spans="1:18" ht="16" x14ac:dyDescent="0.2">
      <c r="A131" s="73" t="s">
        <v>491</v>
      </c>
      <c r="B131" s="77" t="s">
        <v>1541</v>
      </c>
      <c r="C131" s="74" t="s">
        <v>1564</v>
      </c>
      <c r="D131" s="74" t="s">
        <v>973</v>
      </c>
      <c r="E131" s="78" t="s">
        <v>113</v>
      </c>
      <c r="F131" s="76" t="s">
        <v>1584</v>
      </c>
      <c r="G131" s="75" t="s">
        <v>1157</v>
      </c>
      <c r="H131" s="70"/>
      <c r="P131" s="70">
        <f t="shared" ref="P131:P194" si="2">IF(AND(IF(TRIM($J$2&amp;"")="",TRUE,LEFT($D131,LEN($J$2))=$J$2),IF(TRIM($K$2&amp;"")="",TRUE,$E131=$K$2),IF($L$2="",TRUE,$F131=$L$2)),1,0)</f>
        <v>0</v>
      </c>
      <c r="Q131" s="70" cm="1">
        <f t="array" ref="Q131">IF(P131=1,IF(SUMPRODUCT(($P$2:P131)*(--($G$2:G131=$G131)))=1,1,0),0)</f>
        <v>0</v>
      </c>
      <c r="R131" s="70" t="str">
        <f>IF(Q131=1,SUM($Q$2:Q131),"")</f>
        <v/>
      </c>
    </row>
    <row r="132" spans="1:18" ht="16" x14ac:dyDescent="0.2">
      <c r="A132" s="73" t="s">
        <v>491</v>
      </c>
      <c r="B132" s="77" t="s">
        <v>1541</v>
      </c>
      <c r="C132" s="74" t="s">
        <v>1564</v>
      </c>
      <c r="D132" s="74" t="s">
        <v>973</v>
      </c>
      <c r="E132" s="78" t="s">
        <v>1002</v>
      </c>
      <c r="F132" s="76" t="s">
        <v>1584</v>
      </c>
      <c r="G132" s="75" t="s">
        <v>1157</v>
      </c>
      <c r="H132" s="70"/>
      <c r="P132" s="70">
        <f t="shared" si="2"/>
        <v>0</v>
      </c>
      <c r="Q132" s="70" cm="1">
        <f t="array" ref="Q132">IF(P132=1,IF(SUMPRODUCT(($P$2:P132)*(--($G$2:G132=$G132)))=1,1,0),0)</f>
        <v>0</v>
      </c>
      <c r="R132" s="70" t="str">
        <f>IF(Q132=1,SUM($Q$2:Q132),"")</f>
        <v/>
      </c>
    </row>
    <row r="133" spans="1:18" x14ac:dyDescent="0.2">
      <c r="A133" s="73" t="s">
        <v>491</v>
      </c>
      <c r="B133" s="77" t="s">
        <v>1541</v>
      </c>
      <c r="C133" s="74" t="s">
        <v>1564</v>
      </c>
      <c r="D133" s="74" t="s">
        <v>973</v>
      </c>
      <c r="E133" s="78" t="s">
        <v>113</v>
      </c>
      <c r="F133" s="76" t="s">
        <v>1585</v>
      </c>
      <c r="G133" s="76" t="s">
        <v>1074</v>
      </c>
      <c r="H133" s="70"/>
      <c r="P133" s="70">
        <f t="shared" si="2"/>
        <v>0</v>
      </c>
      <c r="Q133" s="70" cm="1">
        <f t="array" ref="Q133">IF(P133=1,IF(SUMPRODUCT(($P$2:P133)*(--($G$2:G133=$G133)))=1,1,0),0)</f>
        <v>0</v>
      </c>
      <c r="R133" s="70" t="str">
        <f>IF(Q133=1,SUM($Q$2:Q133),"")</f>
        <v/>
      </c>
    </row>
    <row r="134" spans="1:18" x14ac:dyDescent="0.2">
      <c r="A134" s="73" t="s">
        <v>491</v>
      </c>
      <c r="B134" s="77" t="s">
        <v>1541</v>
      </c>
      <c r="C134" s="74" t="s">
        <v>1564</v>
      </c>
      <c r="D134" s="74" t="s">
        <v>973</v>
      </c>
      <c r="E134" s="78" t="s">
        <v>1002</v>
      </c>
      <c r="F134" s="76" t="s">
        <v>1585</v>
      </c>
      <c r="G134" s="76" t="s">
        <v>1074</v>
      </c>
      <c r="H134" s="70"/>
      <c r="P134" s="70">
        <f t="shared" si="2"/>
        <v>0</v>
      </c>
      <c r="Q134" s="70" cm="1">
        <f t="array" ref="Q134">IF(P134=1,IF(SUMPRODUCT(($P$2:P134)*(--($G$2:G134=$G134)))=1,1,0),0)</f>
        <v>0</v>
      </c>
      <c r="R134" s="70" t="str">
        <f>IF(Q134=1,SUM($Q$2:Q134),"")</f>
        <v/>
      </c>
    </row>
    <row r="135" spans="1:18" x14ac:dyDescent="0.2">
      <c r="A135" s="73" t="s">
        <v>491</v>
      </c>
      <c r="B135" s="77" t="s">
        <v>1541</v>
      </c>
      <c r="C135" s="74" t="s">
        <v>1564</v>
      </c>
      <c r="D135" s="74" t="s">
        <v>973</v>
      </c>
      <c r="E135" s="78" t="s">
        <v>113</v>
      </c>
      <c r="F135" s="76" t="s">
        <v>1586</v>
      </c>
      <c r="G135" s="76" t="s">
        <v>1075</v>
      </c>
      <c r="H135" s="70"/>
      <c r="P135" s="70">
        <f t="shared" si="2"/>
        <v>0</v>
      </c>
      <c r="Q135" s="70" cm="1">
        <f t="array" ref="Q135">IF(P135=1,IF(SUMPRODUCT(($P$2:P135)*(--($G$2:G135=$G135)))=1,1,0),0)</f>
        <v>0</v>
      </c>
      <c r="R135" s="70" t="str">
        <f>IF(Q135=1,SUM($Q$2:Q135),"")</f>
        <v/>
      </c>
    </row>
    <row r="136" spans="1:18" x14ac:dyDescent="0.2">
      <c r="A136" s="73" t="s">
        <v>491</v>
      </c>
      <c r="B136" s="77" t="s">
        <v>1541</v>
      </c>
      <c r="C136" s="74" t="s">
        <v>1564</v>
      </c>
      <c r="D136" s="74" t="s">
        <v>973</v>
      </c>
      <c r="E136" s="78" t="s">
        <v>1002</v>
      </c>
      <c r="F136" s="76" t="s">
        <v>1586</v>
      </c>
      <c r="G136" s="76" t="s">
        <v>1075</v>
      </c>
      <c r="H136" s="70"/>
      <c r="P136" s="70">
        <f t="shared" si="2"/>
        <v>0</v>
      </c>
      <c r="Q136" s="70" cm="1">
        <f t="array" ref="Q136">IF(P136=1,IF(SUMPRODUCT(($P$2:P136)*(--($G$2:G136=$G136)))=1,1,0),0)</f>
        <v>0</v>
      </c>
      <c r="R136" s="70" t="str">
        <f>IF(Q136=1,SUM($Q$2:Q136),"")</f>
        <v/>
      </c>
    </row>
    <row r="137" spans="1:18" x14ac:dyDescent="0.2">
      <c r="A137" s="73" t="s">
        <v>491</v>
      </c>
      <c r="B137" s="77" t="s">
        <v>1541</v>
      </c>
      <c r="C137" s="74" t="s">
        <v>1564</v>
      </c>
      <c r="D137" s="74" t="s">
        <v>973</v>
      </c>
      <c r="E137" s="78" t="s">
        <v>1002</v>
      </c>
      <c r="F137" s="76" t="s">
        <v>1587</v>
      </c>
      <c r="G137" s="76" t="s">
        <v>1073</v>
      </c>
      <c r="H137" s="70"/>
      <c r="P137" s="70">
        <f t="shared" si="2"/>
        <v>0</v>
      </c>
      <c r="Q137" s="70" cm="1">
        <f t="array" ref="Q137">IF(P137=1,IF(SUMPRODUCT(($P$2:P137)*(--($G$2:G137=$G137)))=1,1,0),0)</f>
        <v>0</v>
      </c>
      <c r="R137" s="70" t="str">
        <f>IF(Q137=1,SUM($Q$2:Q137),"")</f>
        <v/>
      </c>
    </row>
    <row r="138" spans="1:18" x14ac:dyDescent="0.2">
      <c r="A138" s="73" t="s">
        <v>491</v>
      </c>
      <c r="B138" s="77" t="s">
        <v>1541</v>
      </c>
      <c r="C138" s="74" t="s">
        <v>1564</v>
      </c>
      <c r="D138" s="74" t="s">
        <v>973</v>
      </c>
      <c r="E138" s="78" t="s">
        <v>113</v>
      </c>
      <c r="F138" s="76" t="s">
        <v>1587</v>
      </c>
      <c r="G138" s="76" t="s">
        <v>1073</v>
      </c>
      <c r="H138" s="70"/>
      <c r="P138" s="70">
        <f t="shared" si="2"/>
        <v>0</v>
      </c>
      <c r="Q138" s="70" cm="1">
        <f t="array" ref="Q138">IF(P138=1,IF(SUMPRODUCT(($P$2:P138)*(--($G$2:G138=$G138)))=1,1,0),0)</f>
        <v>0</v>
      </c>
      <c r="R138" s="70" t="str">
        <f>IF(Q138=1,SUM($Q$2:Q138),"")</f>
        <v/>
      </c>
    </row>
    <row r="139" spans="1:18" x14ac:dyDescent="0.2">
      <c r="A139" s="73" t="s">
        <v>491</v>
      </c>
      <c r="B139" s="77" t="s">
        <v>1541</v>
      </c>
      <c r="C139" s="74" t="s">
        <v>1564</v>
      </c>
      <c r="D139" s="74" t="s">
        <v>973</v>
      </c>
      <c r="E139" s="78" t="s">
        <v>113</v>
      </c>
      <c r="F139" s="76" t="s">
        <v>1588</v>
      </c>
      <c r="G139" s="76" t="s">
        <v>1152</v>
      </c>
      <c r="H139" s="70"/>
      <c r="P139" s="70">
        <f t="shared" si="2"/>
        <v>0</v>
      </c>
      <c r="Q139" s="70" cm="1">
        <f t="array" ref="Q139">IF(P139=1,IF(SUMPRODUCT(($P$2:P139)*(--($G$2:G139=$G139)))=1,1,0),0)</f>
        <v>0</v>
      </c>
      <c r="R139" s="70" t="str">
        <f>IF(Q139=1,SUM($Q$2:Q139),"")</f>
        <v/>
      </c>
    </row>
    <row r="140" spans="1:18" x14ac:dyDescent="0.2">
      <c r="A140" s="73" t="s">
        <v>491</v>
      </c>
      <c r="B140" s="77" t="s">
        <v>1541</v>
      </c>
      <c r="C140" s="74" t="s">
        <v>1564</v>
      </c>
      <c r="D140" s="74" t="s">
        <v>973</v>
      </c>
      <c r="E140" s="78" t="s">
        <v>1002</v>
      </c>
      <c r="F140" s="76" t="s">
        <v>1588</v>
      </c>
      <c r="G140" s="76" t="s">
        <v>1152</v>
      </c>
      <c r="H140" s="70"/>
      <c r="P140" s="70">
        <f t="shared" si="2"/>
        <v>0</v>
      </c>
      <c r="Q140" s="70" cm="1">
        <f t="array" ref="Q140">IF(P140=1,IF(SUMPRODUCT(($P$2:P140)*(--($G$2:G140=$G140)))=1,1,0),0)</f>
        <v>0</v>
      </c>
      <c r="R140" s="70" t="str">
        <f>IF(Q140=1,SUM($Q$2:Q140),"")</f>
        <v/>
      </c>
    </row>
    <row r="141" spans="1:18" x14ac:dyDescent="0.2">
      <c r="A141" s="73" t="s">
        <v>491</v>
      </c>
      <c r="B141" s="77" t="s">
        <v>1541</v>
      </c>
      <c r="C141" s="74" t="s">
        <v>1564</v>
      </c>
      <c r="D141" s="74" t="s">
        <v>973</v>
      </c>
      <c r="E141" s="78" t="s">
        <v>113</v>
      </c>
      <c r="F141" s="76" t="s">
        <v>1589</v>
      </c>
      <c r="G141" s="76" t="s">
        <v>1153</v>
      </c>
      <c r="H141" s="70"/>
      <c r="P141" s="70">
        <f t="shared" si="2"/>
        <v>0</v>
      </c>
      <c r="Q141" s="70" cm="1">
        <f t="array" ref="Q141">IF(P141=1,IF(SUMPRODUCT(($P$2:P141)*(--($G$2:G141=$G141)))=1,1,0),0)</f>
        <v>0</v>
      </c>
      <c r="R141" s="70" t="str">
        <f>IF(Q141=1,SUM($Q$2:Q141),"")</f>
        <v/>
      </c>
    </row>
    <row r="142" spans="1:18" x14ac:dyDescent="0.2">
      <c r="A142" s="73" t="s">
        <v>491</v>
      </c>
      <c r="B142" s="77" t="s">
        <v>1541</v>
      </c>
      <c r="C142" s="74" t="s">
        <v>1564</v>
      </c>
      <c r="D142" s="74" t="s">
        <v>973</v>
      </c>
      <c r="E142" s="78" t="s">
        <v>1002</v>
      </c>
      <c r="F142" s="76" t="s">
        <v>1589</v>
      </c>
      <c r="G142" s="76" t="s">
        <v>1153</v>
      </c>
      <c r="H142" s="70"/>
      <c r="P142" s="70">
        <f t="shared" si="2"/>
        <v>0</v>
      </c>
      <c r="Q142" s="70" cm="1">
        <f t="array" ref="Q142">IF(P142=1,IF(SUMPRODUCT(($P$2:P142)*(--($G$2:G142=$G142)))=1,1,0),0)</f>
        <v>0</v>
      </c>
      <c r="R142" s="70" t="str">
        <f>IF(Q142=1,SUM($Q$2:Q142),"")</f>
        <v/>
      </c>
    </row>
    <row r="143" spans="1:18" x14ac:dyDescent="0.2">
      <c r="A143" s="73" t="s">
        <v>491</v>
      </c>
      <c r="B143" s="77" t="s">
        <v>1541</v>
      </c>
      <c r="C143" s="74" t="s">
        <v>1564</v>
      </c>
      <c r="D143" s="74" t="s">
        <v>973</v>
      </c>
      <c r="E143" s="78" t="s">
        <v>1002</v>
      </c>
      <c r="F143" s="76" t="s">
        <v>1590</v>
      </c>
      <c r="G143" s="76" t="s">
        <v>1151</v>
      </c>
      <c r="H143" s="70"/>
      <c r="P143" s="70">
        <f t="shared" si="2"/>
        <v>0</v>
      </c>
      <c r="Q143" s="70" cm="1">
        <f t="array" ref="Q143">IF(P143=1,IF(SUMPRODUCT(($P$2:P143)*(--($G$2:G143=$G143)))=1,1,0),0)</f>
        <v>0</v>
      </c>
      <c r="R143" s="70" t="str">
        <f>IF(Q143=1,SUM($Q$2:Q143),"")</f>
        <v/>
      </c>
    </row>
    <row r="144" spans="1:18" x14ac:dyDescent="0.2">
      <c r="A144" s="73" t="s">
        <v>491</v>
      </c>
      <c r="B144" s="77" t="s">
        <v>1541</v>
      </c>
      <c r="C144" s="74" t="s">
        <v>1564</v>
      </c>
      <c r="D144" s="74" t="s">
        <v>973</v>
      </c>
      <c r="E144" s="78" t="s">
        <v>113</v>
      </c>
      <c r="F144" s="76" t="s">
        <v>1590</v>
      </c>
      <c r="G144" s="76" t="s">
        <v>1151</v>
      </c>
      <c r="H144" s="70"/>
      <c r="P144" s="70">
        <f t="shared" si="2"/>
        <v>0</v>
      </c>
      <c r="Q144" s="70" cm="1">
        <f t="array" ref="Q144">IF(P144=1,IF(SUMPRODUCT(($P$2:P144)*(--($G$2:G144=$G144)))=1,1,0),0)</f>
        <v>0</v>
      </c>
      <c r="R144" s="70" t="str">
        <f>IF(Q144=1,SUM($Q$2:Q144),"")</f>
        <v/>
      </c>
    </row>
    <row r="145" spans="1:18" x14ac:dyDescent="0.2">
      <c r="A145" s="73" t="s">
        <v>491</v>
      </c>
      <c r="B145" s="77" t="s">
        <v>1541</v>
      </c>
      <c r="C145" s="74" t="s">
        <v>1564</v>
      </c>
      <c r="D145" s="74" t="s">
        <v>973</v>
      </c>
      <c r="E145" s="78" t="s">
        <v>1002</v>
      </c>
      <c r="F145" s="76" t="s">
        <v>1591</v>
      </c>
      <c r="G145" s="76" t="s">
        <v>1150</v>
      </c>
      <c r="H145" s="70"/>
      <c r="P145" s="70">
        <f t="shared" si="2"/>
        <v>0</v>
      </c>
      <c r="Q145" s="70" cm="1">
        <f t="array" ref="Q145">IF(P145=1,IF(SUMPRODUCT(($P$2:P145)*(--($G$2:G145=$G145)))=1,1,0),0)</f>
        <v>0</v>
      </c>
      <c r="R145" s="70" t="str">
        <f>IF(Q145=1,SUM($Q$2:Q145),"")</f>
        <v/>
      </c>
    </row>
    <row r="146" spans="1:18" x14ac:dyDescent="0.2">
      <c r="A146" s="73" t="s">
        <v>491</v>
      </c>
      <c r="B146" s="77" t="s">
        <v>1541</v>
      </c>
      <c r="C146" s="74" t="s">
        <v>1564</v>
      </c>
      <c r="D146" s="74" t="s">
        <v>973</v>
      </c>
      <c r="E146" s="78" t="s">
        <v>113</v>
      </c>
      <c r="F146" s="76" t="s">
        <v>1591</v>
      </c>
      <c r="G146" s="76" t="s">
        <v>1150</v>
      </c>
      <c r="H146" s="70"/>
      <c r="P146" s="70">
        <f t="shared" si="2"/>
        <v>0</v>
      </c>
      <c r="Q146" s="70" cm="1">
        <f t="array" ref="Q146">IF(P146=1,IF(SUMPRODUCT(($P$2:P146)*(--($G$2:G146=$G146)))=1,1,0),0)</f>
        <v>0</v>
      </c>
      <c r="R146" s="70" t="str">
        <f>IF(Q146=1,SUM($Q$2:Q146),"")</f>
        <v/>
      </c>
    </row>
    <row r="147" spans="1:18" x14ac:dyDescent="0.2">
      <c r="A147" s="73" t="s">
        <v>491</v>
      </c>
      <c r="B147" s="77" t="s">
        <v>1541</v>
      </c>
      <c r="C147" s="74" t="s">
        <v>1564</v>
      </c>
      <c r="D147" s="74" t="s">
        <v>973</v>
      </c>
      <c r="E147" s="78" t="s">
        <v>1002</v>
      </c>
      <c r="F147" s="76" t="s">
        <v>1592</v>
      </c>
      <c r="G147" s="76" t="s">
        <v>1150</v>
      </c>
      <c r="H147" s="70"/>
      <c r="P147" s="70">
        <f t="shared" si="2"/>
        <v>0</v>
      </c>
      <c r="Q147" s="70" cm="1">
        <f t="array" ref="Q147">IF(P147=1,IF(SUMPRODUCT(($P$2:P147)*(--($G$2:G147=$G147)))=1,1,0),0)</f>
        <v>0</v>
      </c>
      <c r="R147" s="70" t="str">
        <f>IF(Q147=1,SUM($Q$2:Q147),"")</f>
        <v/>
      </c>
    </row>
    <row r="148" spans="1:18" x14ac:dyDescent="0.2">
      <c r="A148" s="73" t="s">
        <v>491</v>
      </c>
      <c r="B148" s="77" t="s">
        <v>1541</v>
      </c>
      <c r="C148" s="74" t="s">
        <v>1564</v>
      </c>
      <c r="D148" s="74" t="s">
        <v>973</v>
      </c>
      <c r="E148" s="78" t="s">
        <v>113</v>
      </c>
      <c r="F148" s="76" t="s">
        <v>1592</v>
      </c>
      <c r="G148" s="76" t="s">
        <v>1150</v>
      </c>
      <c r="H148" s="70"/>
      <c r="P148" s="70">
        <f t="shared" si="2"/>
        <v>0</v>
      </c>
      <c r="Q148" s="70" cm="1">
        <f t="array" ref="Q148">IF(P148=1,IF(SUMPRODUCT(($P$2:P148)*(--($G$2:G148=$G148)))=1,1,0),0)</f>
        <v>0</v>
      </c>
      <c r="R148" s="70" t="str">
        <f>IF(Q148=1,SUM($Q$2:Q148),"")</f>
        <v/>
      </c>
    </row>
    <row r="149" spans="1:18" x14ac:dyDescent="0.2">
      <c r="A149" s="73" t="s">
        <v>491</v>
      </c>
      <c r="B149" s="77" t="s">
        <v>1541</v>
      </c>
      <c r="C149" s="74" t="s">
        <v>1564</v>
      </c>
      <c r="D149" s="74" t="s">
        <v>973</v>
      </c>
      <c r="E149" s="78" t="s">
        <v>113</v>
      </c>
      <c r="F149" s="76" t="s">
        <v>1587</v>
      </c>
      <c r="G149" s="76" t="s">
        <v>1073</v>
      </c>
      <c r="H149" s="70"/>
      <c r="P149" s="70">
        <f t="shared" si="2"/>
        <v>0</v>
      </c>
      <c r="Q149" s="70" cm="1">
        <f t="array" ref="Q149">IF(P149=1,IF(SUMPRODUCT(($P$2:P149)*(--($G$2:G149=$G149)))=1,1,0),0)</f>
        <v>0</v>
      </c>
      <c r="R149" s="70" t="str">
        <f>IF(Q149=1,SUM($Q$2:Q149),"")</f>
        <v/>
      </c>
    </row>
    <row r="150" spans="1:18" x14ac:dyDescent="0.2">
      <c r="A150" s="73" t="s">
        <v>491</v>
      </c>
      <c r="B150" s="77" t="s">
        <v>1541</v>
      </c>
      <c r="C150" s="74" t="s">
        <v>1564</v>
      </c>
      <c r="D150" s="74" t="s">
        <v>973</v>
      </c>
      <c r="E150" s="78" t="s">
        <v>1002</v>
      </c>
      <c r="F150" s="76" t="s">
        <v>1587</v>
      </c>
      <c r="G150" s="76" t="s">
        <v>1073</v>
      </c>
      <c r="H150" s="70"/>
      <c r="P150" s="70">
        <f t="shared" si="2"/>
        <v>0</v>
      </c>
      <c r="Q150" s="70" cm="1">
        <f t="array" ref="Q150">IF(P150=1,IF(SUMPRODUCT(($P$2:P150)*(--($G$2:G150=$G150)))=1,1,0),0)</f>
        <v>0</v>
      </c>
      <c r="R150" s="70" t="str">
        <f>IF(Q150=1,SUM($Q$2:Q150),"")</f>
        <v/>
      </c>
    </row>
    <row r="151" spans="1:18" x14ac:dyDescent="0.2">
      <c r="A151" s="73" t="s">
        <v>491</v>
      </c>
      <c r="B151" s="77" t="s">
        <v>1541</v>
      </c>
      <c r="C151" s="74" t="s">
        <v>1564</v>
      </c>
      <c r="D151" s="74" t="s">
        <v>973</v>
      </c>
      <c r="E151" s="78" t="s">
        <v>113</v>
      </c>
      <c r="F151" s="76" t="s">
        <v>1585</v>
      </c>
      <c r="G151" s="76" t="s">
        <v>1074</v>
      </c>
      <c r="H151" s="70"/>
      <c r="P151" s="70">
        <f t="shared" si="2"/>
        <v>0</v>
      </c>
      <c r="Q151" s="70" cm="1">
        <f t="array" ref="Q151">IF(P151=1,IF(SUMPRODUCT(($P$2:P151)*(--($G$2:G151=$G151)))=1,1,0),0)</f>
        <v>0</v>
      </c>
      <c r="R151" s="70" t="str">
        <f>IF(Q151=1,SUM($Q$2:Q151),"")</f>
        <v/>
      </c>
    </row>
    <row r="152" spans="1:18" x14ac:dyDescent="0.2">
      <c r="A152" s="73" t="s">
        <v>491</v>
      </c>
      <c r="B152" s="77" t="s">
        <v>1541</v>
      </c>
      <c r="C152" s="74" t="s">
        <v>1564</v>
      </c>
      <c r="D152" s="74" t="s">
        <v>973</v>
      </c>
      <c r="E152" s="78" t="s">
        <v>1002</v>
      </c>
      <c r="F152" s="76" t="s">
        <v>1585</v>
      </c>
      <c r="G152" s="76" t="s">
        <v>1074</v>
      </c>
      <c r="H152" s="70"/>
      <c r="P152" s="70">
        <f t="shared" si="2"/>
        <v>0</v>
      </c>
      <c r="Q152" s="70" cm="1">
        <f t="array" ref="Q152">IF(P152=1,IF(SUMPRODUCT(($P$2:P152)*(--($G$2:G152=$G152)))=1,1,0),0)</f>
        <v>0</v>
      </c>
      <c r="R152" s="70" t="str">
        <f>IF(Q152=1,SUM($Q$2:Q152),"")</f>
        <v/>
      </c>
    </row>
    <row r="153" spans="1:18" ht="16" x14ac:dyDescent="0.2">
      <c r="A153" s="73" t="s">
        <v>285</v>
      </c>
      <c r="B153" s="77" t="s">
        <v>1541</v>
      </c>
      <c r="C153" s="74" t="s">
        <v>1564</v>
      </c>
      <c r="D153" s="74" t="s">
        <v>973</v>
      </c>
      <c r="E153" s="78" t="s">
        <v>97</v>
      </c>
      <c r="F153" s="76" t="s">
        <v>285</v>
      </c>
      <c r="G153" s="75" t="s">
        <v>1154</v>
      </c>
      <c r="H153" s="70"/>
      <c r="P153" s="70">
        <f t="shared" si="2"/>
        <v>0</v>
      </c>
      <c r="Q153" s="70" cm="1">
        <f t="array" ref="Q153">IF(P153=1,IF(SUMPRODUCT(($P$2:P153)*(--($G$2:G153=$G153)))=1,1,0),0)</f>
        <v>0</v>
      </c>
      <c r="R153" s="70" t="str">
        <f>IF(Q153=1,SUM($Q$2:Q153),"")</f>
        <v/>
      </c>
    </row>
    <row r="154" spans="1:18" ht="16" x14ac:dyDescent="0.2">
      <c r="A154" s="73" t="s">
        <v>285</v>
      </c>
      <c r="B154" s="77" t="s">
        <v>1541</v>
      </c>
      <c r="C154" s="74" t="s">
        <v>1564</v>
      </c>
      <c r="D154" s="74" t="s">
        <v>973</v>
      </c>
      <c r="E154" s="78" t="s">
        <v>138</v>
      </c>
      <c r="F154" s="76" t="s">
        <v>285</v>
      </c>
      <c r="G154" s="75" t="s">
        <v>1154</v>
      </c>
      <c r="H154" s="70"/>
      <c r="P154" s="70">
        <f t="shared" si="2"/>
        <v>0</v>
      </c>
      <c r="Q154" s="70" cm="1">
        <f t="array" ref="Q154">IF(P154=1,IF(SUMPRODUCT(($P$2:P154)*(--($G$2:G154=$G154)))=1,1,0),0)</f>
        <v>0</v>
      </c>
      <c r="R154" s="70" t="str">
        <f>IF(Q154=1,SUM($Q$2:Q154),"")</f>
        <v/>
      </c>
    </row>
    <row r="155" spans="1:18" ht="16" x14ac:dyDescent="0.2">
      <c r="A155" s="73" t="s">
        <v>285</v>
      </c>
      <c r="B155" s="77" t="s">
        <v>1541</v>
      </c>
      <c r="C155" s="74" t="s">
        <v>1564</v>
      </c>
      <c r="D155" s="74" t="s">
        <v>973</v>
      </c>
      <c r="E155" s="78" t="s">
        <v>97</v>
      </c>
      <c r="F155" s="76" t="s">
        <v>289</v>
      </c>
      <c r="G155" s="75" t="s">
        <v>1154</v>
      </c>
      <c r="H155" s="70"/>
      <c r="P155" s="70">
        <f t="shared" si="2"/>
        <v>0</v>
      </c>
      <c r="Q155" s="70" cm="1">
        <f t="array" ref="Q155">IF(P155=1,IF(SUMPRODUCT(($P$2:P155)*(--($G$2:G155=$G155)))=1,1,0),0)</f>
        <v>0</v>
      </c>
      <c r="R155" s="70" t="str">
        <f>IF(Q155=1,SUM($Q$2:Q155),"")</f>
        <v/>
      </c>
    </row>
    <row r="156" spans="1:18" ht="16" x14ac:dyDescent="0.2">
      <c r="A156" s="73" t="s">
        <v>285</v>
      </c>
      <c r="B156" s="77" t="s">
        <v>1541</v>
      </c>
      <c r="C156" s="74" t="s">
        <v>1564</v>
      </c>
      <c r="D156" s="74" t="s">
        <v>973</v>
      </c>
      <c r="E156" s="78" t="s">
        <v>138</v>
      </c>
      <c r="F156" s="76" t="s">
        <v>289</v>
      </c>
      <c r="G156" s="75" t="s">
        <v>1154</v>
      </c>
      <c r="H156" s="70"/>
      <c r="P156" s="70">
        <f t="shared" si="2"/>
        <v>0</v>
      </c>
      <c r="Q156" s="70" cm="1">
        <f t="array" ref="Q156">IF(P156=1,IF(SUMPRODUCT(($P$2:P156)*(--($G$2:G156=$G156)))=1,1,0),0)</f>
        <v>0</v>
      </c>
      <c r="R156" s="70" t="str">
        <f>IF(Q156=1,SUM($Q$2:Q156),"")</f>
        <v/>
      </c>
    </row>
    <row r="157" spans="1:18" ht="16" x14ac:dyDescent="0.2">
      <c r="A157" s="73" t="s">
        <v>285</v>
      </c>
      <c r="B157" s="77" t="s">
        <v>1541</v>
      </c>
      <c r="C157" s="74" t="s">
        <v>1564</v>
      </c>
      <c r="D157" s="74" t="s">
        <v>973</v>
      </c>
      <c r="E157" s="78" t="s">
        <v>97</v>
      </c>
      <c r="F157" s="76" t="s">
        <v>1593</v>
      </c>
      <c r="G157" s="75" t="s">
        <v>1154</v>
      </c>
      <c r="H157" s="70"/>
      <c r="P157" s="70">
        <f t="shared" si="2"/>
        <v>0</v>
      </c>
      <c r="Q157" s="70" cm="1">
        <f t="array" ref="Q157">IF(P157=1,IF(SUMPRODUCT(($P$2:P157)*(--($G$2:G157=$G157)))=1,1,0),0)</f>
        <v>0</v>
      </c>
      <c r="R157" s="70" t="str">
        <f>IF(Q157=1,SUM($Q$2:Q157),"")</f>
        <v/>
      </c>
    </row>
    <row r="158" spans="1:18" ht="16" x14ac:dyDescent="0.2">
      <c r="A158" s="73" t="s">
        <v>285</v>
      </c>
      <c r="B158" s="77" t="s">
        <v>1541</v>
      </c>
      <c r="C158" s="74" t="s">
        <v>1564</v>
      </c>
      <c r="D158" s="74" t="s">
        <v>973</v>
      </c>
      <c r="E158" s="78" t="s">
        <v>138</v>
      </c>
      <c r="F158" s="76" t="s">
        <v>1593</v>
      </c>
      <c r="G158" s="75" t="s">
        <v>1154</v>
      </c>
      <c r="H158" s="70"/>
      <c r="P158" s="70">
        <f t="shared" si="2"/>
        <v>0</v>
      </c>
      <c r="Q158" s="70" cm="1">
        <f t="array" ref="Q158">IF(P158=1,IF(SUMPRODUCT(($P$2:P158)*(--($G$2:G158=$G158)))=1,1,0),0)</f>
        <v>0</v>
      </c>
      <c r="R158" s="70" t="str">
        <f>IF(Q158=1,SUM($Q$2:Q158),"")</f>
        <v/>
      </c>
    </row>
    <row r="159" spans="1:18" ht="16" x14ac:dyDescent="0.2">
      <c r="A159" s="73" t="s">
        <v>285</v>
      </c>
      <c r="B159" s="77" t="s">
        <v>1541</v>
      </c>
      <c r="C159" s="74" t="s">
        <v>1564</v>
      </c>
      <c r="D159" s="74" t="s">
        <v>973</v>
      </c>
      <c r="E159" s="78" t="s">
        <v>97</v>
      </c>
      <c r="F159" s="76" t="s">
        <v>1594</v>
      </c>
      <c r="G159" s="75" t="s">
        <v>1154</v>
      </c>
      <c r="H159" s="70"/>
      <c r="P159" s="70">
        <f t="shared" si="2"/>
        <v>0</v>
      </c>
      <c r="Q159" s="70" cm="1">
        <f t="array" ref="Q159">IF(P159=1,IF(SUMPRODUCT(($P$2:P159)*(--($G$2:G159=$G159)))=1,1,0),0)</f>
        <v>0</v>
      </c>
      <c r="R159" s="70" t="str">
        <f>IF(Q159=1,SUM($Q$2:Q159),"")</f>
        <v/>
      </c>
    </row>
    <row r="160" spans="1:18" ht="16" x14ac:dyDescent="0.2">
      <c r="A160" s="73" t="s">
        <v>285</v>
      </c>
      <c r="B160" s="77" t="s">
        <v>1541</v>
      </c>
      <c r="C160" s="74" t="s">
        <v>1564</v>
      </c>
      <c r="D160" s="74" t="s">
        <v>973</v>
      </c>
      <c r="E160" s="78" t="s">
        <v>138</v>
      </c>
      <c r="F160" s="76" t="s">
        <v>1594</v>
      </c>
      <c r="G160" s="75" t="s">
        <v>1154</v>
      </c>
      <c r="H160" s="70"/>
      <c r="P160" s="70">
        <f t="shared" si="2"/>
        <v>0</v>
      </c>
      <c r="Q160" s="70" cm="1">
        <f t="array" ref="Q160">IF(P160=1,IF(SUMPRODUCT(($P$2:P160)*(--($G$2:G160=$G160)))=1,1,0),0)</f>
        <v>0</v>
      </c>
      <c r="R160" s="70" t="str">
        <f>IF(Q160=1,SUM($Q$2:Q160),"")</f>
        <v/>
      </c>
    </row>
    <row r="161" spans="1:18" ht="16" x14ac:dyDescent="0.2">
      <c r="A161" s="73" t="s">
        <v>285</v>
      </c>
      <c r="B161" s="77" t="s">
        <v>1541</v>
      </c>
      <c r="C161" s="74" t="s">
        <v>1564</v>
      </c>
      <c r="D161" s="74" t="s">
        <v>973</v>
      </c>
      <c r="E161" s="78" t="s">
        <v>97</v>
      </c>
      <c r="F161" s="76" t="s">
        <v>1595</v>
      </c>
      <c r="G161" s="75" t="s">
        <v>1154</v>
      </c>
      <c r="H161" s="70"/>
      <c r="P161" s="70">
        <f t="shared" si="2"/>
        <v>0</v>
      </c>
      <c r="Q161" s="70" cm="1">
        <f t="array" ref="Q161">IF(P161=1,IF(SUMPRODUCT(($P$2:P161)*(--($G$2:G161=$G161)))=1,1,0),0)</f>
        <v>0</v>
      </c>
      <c r="R161" s="70" t="str">
        <f>IF(Q161=1,SUM($Q$2:Q161),"")</f>
        <v/>
      </c>
    </row>
    <row r="162" spans="1:18" ht="16" x14ac:dyDescent="0.2">
      <c r="A162" s="73" t="s">
        <v>285</v>
      </c>
      <c r="B162" s="77" t="s">
        <v>1541</v>
      </c>
      <c r="C162" s="74" t="s">
        <v>1564</v>
      </c>
      <c r="D162" s="74" t="s">
        <v>973</v>
      </c>
      <c r="E162" s="78" t="s">
        <v>138</v>
      </c>
      <c r="F162" s="76" t="s">
        <v>1595</v>
      </c>
      <c r="G162" s="75" t="s">
        <v>1154</v>
      </c>
      <c r="H162" s="70"/>
      <c r="P162" s="70">
        <f t="shared" si="2"/>
        <v>0</v>
      </c>
      <c r="Q162" s="70" cm="1">
        <f t="array" ref="Q162">IF(P162=1,IF(SUMPRODUCT(($P$2:P162)*(--($G$2:G162=$G162)))=1,1,0),0)</f>
        <v>0</v>
      </c>
      <c r="R162" s="70" t="str">
        <f>IF(Q162=1,SUM($Q$2:Q162),"")</f>
        <v/>
      </c>
    </row>
    <row r="163" spans="1:18" x14ac:dyDescent="0.2">
      <c r="A163" s="73" t="s">
        <v>285</v>
      </c>
      <c r="B163" s="77" t="s">
        <v>1541</v>
      </c>
      <c r="C163" s="74" t="s">
        <v>1564</v>
      </c>
      <c r="D163" s="74" t="s">
        <v>973</v>
      </c>
      <c r="E163" s="78" t="s">
        <v>97</v>
      </c>
      <c r="F163" s="76" t="s">
        <v>1596</v>
      </c>
      <c r="G163" s="76" t="s">
        <v>1092</v>
      </c>
      <c r="H163" s="70"/>
      <c r="P163" s="70">
        <f t="shared" si="2"/>
        <v>0</v>
      </c>
      <c r="Q163" s="70" cm="1">
        <f t="array" ref="Q163">IF(P163=1,IF(SUMPRODUCT(($P$2:P163)*(--($G$2:G163=$G163)))=1,1,0),0)</f>
        <v>0</v>
      </c>
      <c r="R163" s="70" t="str">
        <f>IF(Q163=1,SUM($Q$2:Q163),"")</f>
        <v/>
      </c>
    </row>
    <row r="164" spans="1:18" x14ac:dyDescent="0.2">
      <c r="A164" s="73" t="s">
        <v>285</v>
      </c>
      <c r="B164" s="77" t="s">
        <v>1541</v>
      </c>
      <c r="C164" s="74" t="s">
        <v>1564</v>
      </c>
      <c r="D164" s="74" t="s">
        <v>973</v>
      </c>
      <c r="E164" s="78" t="s">
        <v>138</v>
      </c>
      <c r="F164" s="76" t="s">
        <v>1596</v>
      </c>
      <c r="G164" s="76" t="s">
        <v>1092</v>
      </c>
      <c r="H164" s="70"/>
      <c r="P164" s="70">
        <f t="shared" si="2"/>
        <v>0</v>
      </c>
      <c r="Q164" s="70" cm="1">
        <f t="array" ref="Q164">IF(P164=1,IF(SUMPRODUCT(($P$2:P164)*(--($G$2:G164=$G164)))=1,1,0),0)</f>
        <v>0</v>
      </c>
      <c r="R164" s="70" t="str">
        <f>IF(Q164=1,SUM($Q$2:Q164),"")</f>
        <v/>
      </c>
    </row>
    <row r="165" spans="1:18" x14ac:dyDescent="0.2">
      <c r="A165" s="73" t="s">
        <v>285</v>
      </c>
      <c r="B165" s="77" t="s">
        <v>1541</v>
      </c>
      <c r="C165" s="74" t="s">
        <v>1564</v>
      </c>
      <c r="D165" s="74" t="s">
        <v>973</v>
      </c>
      <c r="E165" s="78" t="s">
        <v>97</v>
      </c>
      <c r="F165" s="76" t="s">
        <v>1597</v>
      </c>
      <c r="G165" s="76" t="s">
        <v>1092</v>
      </c>
      <c r="H165" s="70"/>
      <c r="P165" s="70">
        <f t="shared" si="2"/>
        <v>0</v>
      </c>
      <c r="Q165" s="70" cm="1">
        <f t="array" ref="Q165">IF(P165=1,IF(SUMPRODUCT(($P$2:P165)*(--($G$2:G165=$G165)))=1,1,0),0)</f>
        <v>0</v>
      </c>
      <c r="R165" s="70" t="str">
        <f>IF(Q165=1,SUM($Q$2:Q165),"")</f>
        <v/>
      </c>
    </row>
    <row r="166" spans="1:18" x14ac:dyDescent="0.2">
      <c r="A166" s="73" t="s">
        <v>285</v>
      </c>
      <c r="B166" s="77" t="s">
        <v>1541</v>
      </c>
      <c r="C166" s="74" t="s">
        <v>1564</v>
      </c>
      <c r="D166" s="74" t="s">
        <v>973</v>
      </c>
      <c r="E166" s="78" t="s">
        <v>138</v>
      </c>
      <c r="F166" s="76" t="s">
        <v>1597</v>
      </c>
      <c r="G166" s="76" t="s">
        <v>1092</v>
      </c>
      <c r="H166" s="70"/>
      <c r="P166" s="70">
        <f t="shared" si="2"/>
        <v>0</v>
      </c>
      <c r="Q166" s="70" cm="1">
        <f t="array" ref="Q166">IF(P166=1,IF(SUMPRODUCT(($P$2:P166)*(--($G$2:G166=$G166)))=1,1,0),0)</f>
        <v>0</v>
      </c>
      <c r="R166" s="70" t="str">
        <f>IF(Q166=1,SUM($Q$2:Q166),"")</f>
        <v/>
      </c>
    </row>
    <row r="167" spans="1:18" ht="16" x14ac:dyDescent="0.2">
      <c r="A167" s="73" t="s">
        <v>285</v>
      </c>
      <c r="B167" s="85" t="s">
        <v>1551</v>
      </c>
      <c r="C167" s="74" t="s">
        <v>1564</v>
      </c>
      <c r="D167" s="74" t="s">
        <v>973</v>
      </c>
      <c r="E167" s="78" t="s">
        <v>97</v>
      </c>
      <c r="F167" s="76" t="s">
        <v>1598</v>
      </c>
      <c r="G167" s="75" t="s">
        <v>1068</v>
      </c>
      <c r="H167" s="70"/>
      <c r="P167" s="70">
        <f t="shared" si="2"/>
        <v>0</v>
      </c>
      <c r="Q167" s="70" cm="1">
        <f t="array" ref="Q167">IF(P167=1,IF(SUMPRODUCT(($P$2:P167)*(--($G$2:G167=$G167)))=1,1,0),0)</f>
        <v>0</v>
      </c>
      <c r="R167" s="70" t="str">
        <f>IF(Q167=1,SUM($Q$2:Q167),"")</f>
        <v/>
      </c>
    </row>
    <row r="168" spans="1:18" ht="16" x14ac:dyDescent="0.2">
      <c r="A168" s="73" t="s">
        <v>285</v>
      </c>
      <c r="B168" s="85" t="s">
        <v>1551</v>
      </c>
      <c r="C168" s="74" t="s">
        <v>1564</v>
      </c>
      <c r="D168" s="74" t="s">
        <v>973</v>
      </c>
      <c r="E168" s="78" t="s">
        <v>138</v>
      </c>
      <c r="F168" s="76" t="s">
        <v>1598</v>
      </c>
      <c r="G168" s="75" t="s">
        <v>1068</v>
      </c>
      <c r="H168" s="70"/>
      <c r="P168" s="70">
        <f t="shared" si="2"/>
        <v>0</v>
      </c>
      <c r="Q168" s="70" cm="1">
        <f t="array" ref="Q168">IF(P168=1,IF(SUMPRODUCT(($P$2:P168)*(--($G$2:G168=$G168)))=1,1,0),0)</f>
        <v>0</v>
      </c>
      <c r="R168" s="70" t="str">
        <f>IF(Q168=1,SUM($Q$2:Q168),"")</f>
        <v/>
      </c>
    </row>
    <row r="169" spans="1:18" x14ac:dyDescent="0.2">
      <c r="A169" s="73" t="s">
        <v>285</v>
      </c>
      <c r="B169" s="85" t="s">
        <v>1551</v>
      </c>
      <c r="C169" s="74" t="s">
        <v>1564</v>
      </c>
      <c r="D169" s="74" t="s">
        <v>973</v>
      </c>
      <c r="E169" s="78" t="s">
        <v>97</v>
      </c>
      <c r="F169" s="76" t="s">
        <v>1599</v>
      </c>
      <c r="G169" s="76" t="s">
        <v>1066</v>
      </c>
      <c r="H169" s="70"/>
      <c r="P169" s="70">
        <f t="shared" si="2"/>
        <v>0</v>
      </c>
      <c r="Q169" s="70" cm="1">
        <f t="array" ref="Q169">IF(P169=1,IF(SUMPRODUCT(($P$2:P169)*(--($G$2:G169=$G169)))=1,1,0),0)</f>
        <v>0</v>
      </c>
      <c r="R169" s="70" t="str">
        <f>IF(Q169=1,SUM($Q$2:Q169),"")</f>
        <v/>
      </c>
    </row>
    <row r="170" spans="1:18" x14ac:dyDescent="0.2">
      <c r="A170" s="73" t="s">
        <v>285</v>
      </c>
      <c r="B170" s="85" t="s">
        <v>1551</v>
      </c>
      <c r="C170" s="74" t="s">
        <v>1564</v>
      </c>
      <c r="D170" s="74" t="s">
        <v>973</v>
      </c>
      <c r="E170" s="78" t="s">
        <v>138</v>
      </c>
      <c r="F170" s="76" t="s">
        <v>1599</v>
      </c>
      <c r="G170" s="76" t="s">
        <v>1066</v>
      </c>
      <c r="H170" s="70"/>
      <c r="P170" s="70">
        <f t="shared" si="2"/>
        <v>0</v>
      </c>
      <c r="Q170" s="70" cm="1">
        <f t="array" ref="Q170">IF(P170=1,IF(SUMPRODUCT(($P$2:P170)*(--($G$2:G170=$G170)))=1,1,0),0)</f>
        <v>0</v>
      </c>
      <c r="R170" s="70" t="str">
        <f>IF(Q170=1,SUM($Q$2:Q170),"")</f>
        <v/>
      </c>
    </row>
    <row r="171" spans="1:18" x14ac:dyDescent="0.2">
      <c r="A171" s="73" t="s">
        <v>285</v>
      </c>
      <c r="B171" s="85" t="s">
        <v>1551</v>
      </c>
      <c r="C171" s="74" t="s">
        <v>1564</v>
      </c>
      <c r="D171" s="74" t="s">
        <v>973</v>
      </c>
      <c r="E171" s="78" t="s">
        <v>97</v>
      </c>
      <c r="F171" s="76" t="s">
        <v>1600</v>
      </c>
      <c r="G171" s="76" t="s">
        <v>1066</v>
      </c>
      <c r="H171" s="70"/>
      <c r="P171" s="70">
        <f t="shared" si="2"/>
        <v>0</v>
      </c>
      <c r="Q171" s="70" cm="1">
        <f t="array" ref="Q171">IF(P171=1,IF(SUMPRODUCT(($P$2:P171)*(--($G$2:G171=$G171)))=1,1,0),0)</f>
        <v>0</v>
      </c>
      <c r="R171" s="70" t="str">
        <f>IF(Q171=1,SUM($Q$2:Q171),"")</f>
        <v/>
      </c>
    </row>
    <row r="172" spans="1:18" x14ac:dyDescent="0.2">
      <c r="A172" s="73" t="s">
        <v>285</v>
      </c>
      <c r="B172" s="85" t="s">
        <v>1551</v>
      </c>
      <c r="C172" s="74" t="s">
        <v>1564</v>
      </c>
      <c r="D172" s="74" t="s">
        <v>973</v>
      </c>
      <c r="E172" s="78" t="s">
        <v>138</v>
      </c>
      <c r="F172" s="76" t="s">
        <v>1600</v>
      </c>
      <c r="G172" s="76" t="s">
        <v>1066</v>
      </c>
      <c r="H172" s="70"/>
      <c r="P172" s="70">
        <f t="shared" si="2"/>
        <v>0</v>
      </c>
      <c r="Q172" s="70" cm="1">
        <f t="array" ref="Q172">IF(P172=1,IF(SUMPRODUCT(($P$2:P172)*(--($G$2:G172=$G172)))=1,1,0),0)</f>
        <v>0</v>
      </c>
      <c r="R172" s="70" t="str">
        <f>IF(Q172=1,SUM($Q$2:Q172),"")</f>
        <v/>
      </c>
    </row>
    <row r="173" spans="1:18" x14ac:dyDescent="0.2">
      <c r="A173" s="73" t="s">
        <v>491</v>
      </c>
      <c r="B173" s="77" t="s">
        <v>1541</v>
      </c>
      <c r="C173" s="74" t="s">
        <v>1601</v>
      </c>
      <c r="D173" s="74" t="s">
        <v>974</v>
      </c>
      <c r="E173" s="78" t="s">
        <v>113</v>
      </c>
      <c r="F173" s="76" t="s">
        <v>1566</v>
      </c>
      <c r="G173" s="86" t="s">
        <v>1167</v>
      </c>
      <c r="H173" s="70"/>
      <c r="P173" s="70">
        <f t="shared" si="2"/>
        <v>0</v>
      </c>
      <c r="Q173" s="70" cm="1">
        <f t="array" ref="Q173">IF(P173=1,IF(SUMPRODUCT(($P$2:P173)*(--($G$2:G173=$G173)))=1,1,0),0)</f>
        <v>0</v>
      </c>
      <c r="R173" s="70" t="str">
        <f>IF(Q173=1,SUM($Q$2:Q173),"")</f>
        <v/>
      </c>
    </row>
    <row r="174" spans="1:18" x14ac:dyDescent="0.2">
      <c r="A174" s="73" t="s">
        <v>491</v>
      </c>
      <c r="B174" s="77" t="s">
        <v>1541</v>
      </c>
      <c r="C174" s="74" t="s">
        <v>1601</v>
      </c>
      <c r="D174" s="74" t="s">
        <v>974</v>
      </c>
      <c r="E174" s="78" t="s">
        <v>1002</v>
      </c>
      <c r="F174" s="76" t="s">
        <v>1566</v>
      </c>
      <c r="G174" s="86" t="s">
        <v>1167</v>
      </c>
      <c r="H174" s="70"/>
      <c r="P174" s="70">
        <f t="shared" si="2"/>
        <v>0</v>
      </c>
      <c r="Q174" s="70" cm="1">
        <f t="array" ref="Q174">IF(P174=1,IF(SUMPRODUCT(($P$2:P174)*(--($G$2:G174=$G174)))=1,1,0),0)</f>
        <v>0</v>
      </c>
      <c r="R174" s="70" t="str">
        <f>IF(Q174=1,SUM($Q$2:Q174),"")</f>
        <v/>
      </c>
    </row>
    <row r="175" spans="1:18" x14ac:dyDescent="0.2">
      <c r="A175" s="73" t="s">
        <v>491</v>
      </c>
      <c r="B175" s="77" t="s">
        <v>1541</v>
      </c>
      <c r="C175" s="74" t="s">
        <v>1601</v>
      </c>
      <c r="D175" s="74" t="s">
        <v>974</v>
      </c>
      <c r="E175" s="78" t="s">
        <v>120</v>
      </c>
      <c r="F175" s="76" t="s">
        <v>1566</v>
      </c>
      <c r="G175" s="86" t="s">
        <v>1167</v>
      </c>
      <c r="H175" s="70"/>
      <c r="P175" s="70">
        <f t="shared" si="2"/>
        <v>0</v>
      </c>
      <c r="Q175" s="70" cm="1">
        <f t="array" ref="Q175">IF(P175=1,IF(SUMPRODUCT(($P$2:P175)*(--($G$2:G175=$G175)))=1,1,0),0)</f>
        <v>0</v>
      </c>
      <c r="R175" s="70" t="str">
        <f>IF(Q175=1,SUM($Q$2:Q175),"")</f>
        <v/>
      </c>
    </row>
    <row r="176" spans="1:18" x14ac:dyDescent="0.2">
      <c r="A176" s="73" t="s">
        <v>491</v>
      </c>
      <c r="B176" s="77" t="s">
        <v>1541</v>
      </c>
      <c r="C176" s="74" t="s">
        <v>1601</v>
      </c>
      <c r="D176" s="74" t="s">
        <v>974</v>
      </c>
      <c r="E176" s="78" t="s">
        <v>113</v>
      </c>
      <c r="F176" s="76" t="s">
        <v>1568</v>
      </c>
      <c r="G176" s="86" t="s">
        <v>1167</v>
      </c>
      <c r="H176" s="70"/>
      <c r="P176" s="70">
        <f t="shared" si="2"/>
        <v>0</v>
      </c>
      <c r="Q176" s="70" cm="1">
        <f t="array" ref="Q176">IF(P176=1,IF(SUMPRODUCT(($P$2:P176)*(--($G$2:G176=$G176)))=1,1,0),0)</f>
        <v>0</v>
      </c>
      <c r="R176" s="70" t="str">
        <f>IF(Q176=1,SUM($Q$2:Q176),"")</f>
        <v/>
      </c>
    </row>
    <row r="177" spans="1:18" x14ac:dyDescent="0.2">
      <c r="A177" s="73" t="s">
        <v>491</v>
      </c>
      <c r="B177" s="77" t="s">
        <v>1541</v>
      </c>
      <c r="C177" s="74" t="s">
        <v>1601</v>
      </c>
      <c r="D177" s="74" t="s">
        <v>974</v>
      </c>
      <c r="E177" s="78" t="s">
        <v>1002</v>
      </c>
      <c r="F177" s="76" t="s">
        <v>1568</v>
      </c>
      <c r="G177" s="86" t="s">
        <v>1167</v>
      </c>
      <c r="H177" s="70"/>
      <c r="P177" s="70">
        <f t="shared" si="2"/>
        <v>0</v>
      </c>
      <c r="Q177" s="70" cm="1">
        <f t="array" ref="Q177">IF(P177=1,IF(SUMPRODUCT(($P$2:P177)*(--($G$2:G177=$G177)))=1,1,0),0)</f>
        <v>0</v>
      </c>
      <c r="R177" s="70" t="str">
        <f>IF(Q177=1,SUM($Q$2:Q177),"")</f>
        <v/>
      </c>
    </row>
    <row r="178" spans="1:18" x14ac:dyDescent="0.2">
      <c r="A178" s="73" t="s">
        <v>491</v>
      </c>
      <c r="B178" s="77" t="s">
        <v>1541</v>
      </c>
      <c r="C178" s="74" t="s">
        <v>1601</v>
      </c>
      <c r="D178" s="74" t="s">
        <v>974</v>
      </c>
      <c r="E178" s="78" t="s">
        <v>120</v>
      </c>
      <c r="F178" s="76" t="s">
        <v>1568</v>
      </c>
      <c r="G178" s="86" t="s">
        <v>1167</v>
      </c>
      <c r="H178" s="70"/>
      <c r="P178" s="70">
        <f t="shared" si="2"/>
        <v>0</v>
      </c>
      <c r="Q178" s="70" cm="1">
        <f t="array" ref="Q178">IF(P178=1,IF(SUMPRODUCT(($P$2:P178)*(--($G$2:G178=$G178)))=1,1,0),0)</f>
        <v>0</v>
      </c>
      <c r="R178" s="70" t="str">
        <f>IF(Q178=1,SUM($Q$2:Q178),"")</f>
        <v/>
      </c>
    </row>
    <row r="179" spans="1:18" x14ac:dyDescent="0.2">
      <c r="A179" s="73" t="s">
        <v>491</v>
      </c>
      <c r="B179" s="77" t="s">
        <v>1541</v>
      </c>
      <c r="C179" s="74" t="s">
        <v>1601</v>
      </c>
      <c r="D179" s="74" t="s">
        <v>974</v>
      </c>
      <c r="E179" s="78" t="s">
        <v>113</v>
      </c>
      <c r="F179" s="76" t="s">
        <v>1569</v>
      </c>
      <c r="G179" s="86" t="s">
        <v>1168</v>
      </c>
      <c r="H179" s="70"/>
      <c r="P179" s="70">
        <f t="shared" si="2"/>
        <v>0</v>
      </c>
      <c r="Q179" s="70" cm="1">
        <f t="array" ref="Q179">IF(P179=1,IF(SUMPRODUCT(($P$2:P179)*(--($G$2:G179=$G179)))=1,1,0),0)</f>
        <v>0</v>
      </c>
      <c r="R179" s="70" t="str">
        <f>IF(Q179=1,SUM($Q$2:Q179),"")</f>
        <v/>
      </c>
    </row>
    <row r="180" spans="1:18" x14ac:dyDescent="0.2">
      <c r="A180" s="73" t="s">
        <v>491</v>
      </c>
      <c r="B180" s="77" t="s">
        <v>1541</v>
      </c>
      <c r="C180" s="74" t="s">
        <v>1601</v>
      </c>
      <c r="D180" s="74" t="s">
        <v>974</v>
      </c>
      <c r="E180" s="78" t="s">
        <v>1002</v>
      </c>
      <c r="F180" s="76" t="s">
        <v>1569</v>
      </c>
      <c r="G180" s="86" t="s">
        <v>1168</v>
      </c>
      <c r="H180" s="70"/>
      <c r="P180" s="70">
        <f t="shared" si="2"/>
        <v>0</v>
      </c>
      <c r="Q180" s="70" cm="1">
        <f t="array" ref="Q180">IF(P180=1,IF(SUMPRODUCT(($P$2:P180)*(--($G$2:G180=$G180)))=1,1,0),0)</f>
        <v>0</v>
      </c>
      <c r="R180" s="70" t="str">
        <f>IF(Q180=1,SUM($Q$2:Q180),"")</f>
        <v/>
      </c>
    </row>
    <row r="181" spans="1:18" x14ac:dyDescent="0.2">
      <c r="A181" s="73" t="s">
        <v>491</v>
      </c>
      <c r="B181" s="77" t="s">
        <v>1541</v>
      </c>
      <c r="C181" s="74" t="s">
        <v>1601</v>
      </c>
      <c r="D181" s="74" t="s">
        <v>974</v>
      </c>
      <c r="E181" s="78" t="s">
        <v>120</v>
      </c>
      <c r="F181" s="76" t="s">
        <v>1569</v>
      </c>
      <c r="G181" s="86" t="s">
        <v>1168</v>
      </c>
      <c r="H181" s="70"/>
      <c r="P181" s="70">
        <f t="shared" si="2"/>
        <v>0</v>
      </c>
      <c r="Q181" s="70" cm="1">
        <f t="array" ref="Q181">IF(P181=1,IF(SUMPRODUCT(($P$2:P181)*(--($G$2:G181=$G181)))=1,1,0),0)</f>
        <v>0</v>
      </c>
      <c r="R181" s="70" t="str">
        <f>IF(Q181=1,SUM($Q$2:Q181),"")</f>
        <v/>
      </c>
    </row>
    <row r="182" spans="1:18" x14ac:dyDescent="0.2">
      <c r="A182" s="73" t="s">
        <v>491</v>
      </c>
      <c r="B182" s="77" t="s">
        <v>1541</v>
      </c>
      <c r="C182" s="74" t="s">
        <v>1601</v>
      </c>
      <c r="D182" s="74" t="s">
        <v>974</v>
      </c>
      <c r="E182" s="78" t="s">
        <v>113</v>
      </c>
      <c r="F182" s="76" t="s">
        <v>1565</v>
      </c>
      <c r="G182" s="86" t="s">
        <v>1169</v>
      </c>
      <c r="H182" s="70"/>
      <c r="P182" s="70">
        <f t="shared" si="2"/>
        <v>0</v>
      </c>
      <c r="Q182" s="70" cm="1">
        <f t="array" ref="Q182">IF(P182=1,IF(SUMPRODUCT(($P$2:P182)*(--($G$2:G182=$G182)))=1,1,0),0)</f>
        <v>0</v>
      </c>
      <c r="R182" s="70" t="str">
        <f>IF(Q182=1,SUM($Q$2:Q182),"")</f>
        <v/>
      </c>
    </row>
    <row r="183" spans="1:18" x14ac:dyDescent="0.2">
      <c r="A183" s="73" t="s">
        <v>491</v>
      </c>
      <c r="B183" s="77" t="s">
        <v>1541</v>
      </c>
      <c r="C183" s="74" t="s">
        <v>1601</v>
      </c>
      <c r="D183" s="74" t="s">
        <v>974</v>
      </c>
      <c r="E183" s="78" t="s">
        <v>1002</v>
      </c>
      <c r="F183" s="76" t="s">
        <v>1565</v>
      </c>
      <c r="G183" s="86" t="s">
        <v>1169</v>
      </c>
      <c r="H183" s="70"/>
      <c r="P183" s="70">
        <f t="shared" si="2"/>
        <v>0</v>
      </c>
      <c r="Q183" s="70" cm="1">
        <f t="array" ref="Q183">IF(P183=1,IF(SUMPRODUCT(($P$2:P183)*(--($G$2:G183=$G183)))=1,1,0),0)</f>
        <v>0</v>
      </c>
      <c r="R183" s="70" t="str">
        <f>IF(Q183=1,SUM($Q$2:Q183),"")</f>
        <v/>
      </c>
    </row>
    <row r="184" spans="1:18" x14ac:dyDescent="0.2">
      <c r="A184" s="73" t="s">
        <v>491</v>
      </c>
      <c r="B184" s="77" t="s">
        <v>1541</v>
      </c>
      <c r="C184" s="74" t="s">
        <v>1601</v>
      </c>
      <c r="D184" s="74" t="s">
        <v>974</v>
      </c>
      <c r="E184" s="78" t="s">
        <v>120</v>
      </c>
      <c r="F184" s="76" t="s">
        <v>1565</v>
      </c>
      <c r="G184" s="86" t="s">
        <v>1169</v>
      </c>
      <c r="H184" s="70"/>
      <c r="P184" s="70">
        <f t="shared" si="2"/>
        <v>0</v>
      </c>
      <c r="Q184" s="70" cm="1">
        <f t="array" ref="Q184">IF(P184=1,IF(SUMPRODUCT(($P$2:P184)*(--($G$2:G184=$G184)))=1,1,0),0)</f>
        <v>0</v>
      </c>
      <c r="R184" s="70" t="str">
        <f>IF(Q184=1,SUM($Q$2:Q184),"")</f>
        <v/>
      </c>
    </row>
    <row r="185" spans="1:18" x14ac:dyDescent="0.2">
      <c r="A185" s="73" t="s">
        <v>491</v>
      </c>
      <c r="B185" s="77" t="s">
        <v>1541</v>
      </c>
      <c r="C185" s="74" t="s">
        <v>1601</v>
      </c>
      <c r="D185" s="74" t="s">
        <v>974</v>
      </c>
      <c r="E185" s="78" t="s">
        <v>113</v>
      </c>
      <c r="F185" s="76" t="s">
        <v>1590</v>
      </c>
      <c r="G185" s="86" t="s">
        <v>1163</v>
      </c>
      <c r="H185" s="70"/>
      <c r="P185" s="70">
        <f t="shared" si="2"/>
        <v>0</v>
      </c>
      <c r="Q185" s="70" cm="1">
        <f t="array" ref="Q185">IF(P185=1,IF(SUMPRODUCT(($P$2:P185)*(--($G$2:G185=$G185)))=1,1,0),0)</f>
        <v>0</v>
      </c>
      <c r="R185" s="70" t="str">
        <f>IF(Q185=1,SUM($Q$2:Q185),"")</f>
        <v/>
      </c>
    </row>
    <row r="186" spans="1:18" x14ac:dyDescent="0.2">
      <c r="A186" s="73" t="s">
        <v>491</v>
      </c>
      <c r="B186" s="77" t="s">
        <v>1541</v>
      </c>
      <c r="C186" s="74" t="s">
        <v>1601</v>
      </c>
      <c r="D186" s="74" t="s">
        <v>974</v>
      </c>
      <c r="E186" s="78" t="s">
        <v>1002</v>
      </c>
      <c r="F186" s="76" t="s">
        <v>1590</v>
      </c>
      <c r="G186" s="86" t="s">
        <v>1163</v>
      </c>
      <c r="H186" s="70"/>
      <c r="P186" s="70">
        <f t="shared" si="2"/>
        <v>0</v>
      </c>
      <c r="Q186" s="70" cm="1">
        <f t="array" ref="Q186">IF(P186=1,IF(SUMPRODUCT(($P$2:P186)*(--($G$2:G186=$G186)))=1,1,0),0)</f>
        <v>0</v>
      </c>
      <c r="R186" s="70" t="str">
        <f>IF(Q186=1,SUM($Q$2:Q186),"")</f>
        <v/>
      </c>
    </row>
    <row r="187" spans="1:18" x14ac:dyDescent="0.2">
      <c r="A187" s="73" t="s">
        <v>491</v>
      </c>
      <c r="B187" s="77" t="s">
        <v>1541</v>
      </c>
      <c r="C187" s="74" t="s">
        <v>1601</v>
      </c>
      <c r="D187" s="74" t="s">
        <v>974</v>
      </c>
      <c r="E187" s="78" t="s">
        <v>113</v>
      </c>
      <c r="F187" s="76" t="s">
        <v>1588</v>
      </c>
      <c r="G187" s="86" t="s">
        <v>1164</v>
      </c>
      <c r="H187" s="70"/>
      <c r="P187" s="70">
        <f t="shared" si="2"/>
        <v>0</v>
      </c>
      <c r="Q187" s="70" cm="1">
        <f t="array" ref="Q187">IF(P187=1,IF(SUMPRODUCT(($P$2:P187)*(--($G$2:G187=$G187)))=1,1,0),0)</f>
        <v>0</v>
      </c>
      <c r="R187" s="70" t="str">
        <f>IF(Q187=1,SUM($Q$2:Q187),"")</f>
        <v/>
      </c>
    </row>
    <row r="188" spans="1:18" x14ac:dyDescent="0.2">
      <c r="A188" s="73" t="s">
        <v>491</v>
      </c>
      <c r="B188" s="77" t="s">
        <v>1541</v>
      </c>
      <c r="C188" s="74" t="s">
        <v>1601</v>
      </c>
      <c r="D188" s="74" t="s">
        <v>974</v>
      </c>
      <c r="E188" s="78" t="s">
        <v>1002</v>
      </c>
      <c r="F188" s="76" t="s">
        <v>1588</v>
      </c>
      <c r="G188" s="86" t="s">
        <v>1164</v>
      </c>
      <c r="H188" s="70"/>
      <c r="P188" s="70">
        <f t="shared" si="2"/>
        <v>0</v>
      </c>
      <c r="Q188" s="70" cm="1">
        <f t="array" ref="Q188">IF(P188=1,IF(SUMPRODUCT(($P$2:P188)*(--($G$2:G188=$G188)))=1,1,0),0)</f>
        <v>0</v>
      </c>
      <c r="R188" s="70" t="str">
        <f>IF(Q188=1,SUM($Q$2:Q188),"")</f>
        <v/>
      </c>
    </row>
    <row r="189" spans="1:18" x14ac:dyDescent="0.2">
      <c r="A189" s="73" t="s">
        <v>491</v>
      </c>
      <c r="B189" s="77" t="s">
        <v>1541</v>
      </c>
      <c r="C189" s="74" t="s">
        <v>1601</v>
      </c>
      <c r="D189" s="74" t="s">
        <v>974</v>
      </c>
      <c r="E189" s="78" t="s">
        <v>113</v>
      </c>
      <c r="F189" s="76" t="s">
        <v>1589</v>
      </c>
      <c r="G189" s="86" t="s">
        <v>1165</v>
      </c>
      <c r="H189" s="70"/>
      <c r="P189" s="70">
        <f t="shared" si="2"/>
        <v>0</v>
      </c>
      <c r="Q189" s="70" cm="1">
        <f t="array" ref="Q189">IF(P189=1,IF(SUMPRODUCT(($P$2:P189)*(--($G$2:G189=$G189)))=1,1,0),0)</f>
        <v>0</v>
      </c>
      <c r="R189" s="70" t="str">
        <f>IF(Q189=1,SUM($Q$2:Q189),"")</f>
        <v/>
      </c>
    </row>
    <row r="190" spans="1:18" x14ac:dyDescent="0.2">
      <c r="A190" s="73" t="s">
        <v>491</v>
      </c>
      <c r="B190" s="77" t="s">
        <v>1541</v>
      </c>
      <c r="C190" s="74" t="s">
        <v>1601</v>
      </c>
      <c r="D190" s="74" t="s">
        <v>974</v>
      </c>
      <c r="E190" s="78" t="s">
        <v>1002</v>
      </c>
      <c r="F190" s="76" t="s">
        <v>1589</v>
      </c>
      <c r="G190" s="86" t="s">
        <v>1165</v>
      </c>
      <c r="H190" s="70"/>
      <c r="P190" s="70">
        <f t="shared" si="2"/>
        <v>0</v>
      </c>
      <c r="Q190" s="70" cm="1">
        <f t="array" ref="Q190">IF(P190=1,IF(SUMPRODUCT(($P$2:P190)*(--($G$2:G190=$G190)))=1,1,0),0)</f>
        <v>0</v>
      </c>
      <c r="R190" s="70" t="str">
        <f>IF(Q190=1,SUM($Q$2:Q190),"")</f>
        <v/>
      </c>
    </row>
    <row r="191" spans="1:18" ht="16" x14ac:dyDescent="0.2">
      <c r="A191" s="73" t="s">
        <v>491</v>
      </c>
      <c r="B191" s="77" t="s">
        <v>1541</v>
      </c>
      <c r="C191" s="74" t="s">
        <v>1601</v>
      </c>
      <c r="D191" s="74" t="s">
        <v>974</v>
      </c>
      <c r="E191" s="78" t="s">
        <v>113</v>
      </c>
      <c r="F191" s="76" t="s">
        <v>1576</v>
      </c>
      <c r="G191" s="75" t="s">
        <v>1166</v>
      </c>
      <c r="H191" s="70"/>
      <c r="P191" s="70">
        <f t="shared" si="2"/>
        <v>0</v>
      </c>
      <c r="Q191" s="70" cm="1">
        <f t="array" ref="Q191">IF(P191=1,IF(SUMPRODUCT(($P$2:P191)*(--($G$2:G191=$G191)))=1,1,0),0)</f>
        <v>0</v>
      </c>
      <c r="R191" s="70" t="str">
        <f>IF(Q191=1,SUM($Q$2:Q191),"")</f>
        <v/>
      </c>
    </row>
    <row r="192" spans="1:18" ht="16" x14ac:dyDescent="0.2">
      <c r="A192" s="73" t="s">
        <v>491</v>
      </c>
      <c r="B192" s="77" t="s">
        <v>1541</v>
      </c>
      <c r="C192" s="74" t="s">
        <v>1601</v>
      </c>
      <c r="D192" s="74" t="s">
        <v>974</v>
      </c>
      <c r="E192" s="78" t="s">
        <v>1002</v>
      </c>
      <c r="F192" s="76" t="s">
        <v>1576</v>
      </c>
      <c r="G192" s="75" t="s">
        <v>1166</v>
      </c>
      <c r="H192" s="70"/>
      <c r="P192" s="70">
        <f t="shared" si="2"/>
        <v>0</v>
      </c>
      <c r="Q192" s="70" cm="1">
        <f t="array" ref="Q192">IF(P192=1,IF(SUMPRODUCT(($P$2:P192)*(--($G$2:G192=$G192)))=1,1,0),0)</f>
        <v>0</v>
      </c>
      <c r="R192" s="70" t="str">
        <f>IF(Q192=1,SUM($Q$2:Q192),"")</f>
        <v/>
      </c>
    </row>
    <row r="193" spans="1:18" ht="16" x14ac:dyDescent="0.2">
      <c r="A193" s="73" t="s">
        <v>491</v>
      </c>
      <c r="B193" s="77" t="s">
        <v>1541</v>
      </c>
      <c r="C193" s="74" t="s">
        <v>1601</v>
      </c>
      <c r="D193" s="74" t="s">
        <v>974</v>
      </c>
      <c r="E193" s="78" t="s">
        <v>120</v>
      </c>
      <c r="F193" s="76" t="s">
        <v>1576</v>
      </c>
      <c r="G193" s="75" t="s">
        <v>1166</v>
      </c>
      <c r="H193" s="70"/>
      <c r="P193" s="70">
        <f t="shared" si="2"/>
        <v>0</v>
      </c>
      <c r="Q193" s="70" cm="1">
        <f t="array" ref="Q193">IF(P193=1,IF(SUMPRODUCT(($P$2:P193)*(--($G$2:G193=$G193)))=1,1,0),0)</f>
        <v>0</v>
      </c>
      <c r="R193" s="70" t="str">
        <f>IF(Q193=1,SUM($Q$2:Q193),"")</f>
        <v/>
      </c>
    </row>
    <row r="194" spans="1:18" ht="16" x14ac:dyDescent="0.2">
      <c r="A194" s="73" t="s">
        <v>491</v>
      </c>
      <c r="B194" s="77" t="s">
        <v>1541</v>
      </c>
      <c r="C194" s="74" t="s">
        <v>1601</v>
      </c>
      <c r="D194" s="74" t="s">
        <v>974</v>
      </c>
      <c r="E194" s="78" t="s">
        <v>113</v>
      </c>
      <c r="F194" s="76" t="s">
        <v>1577</v>
      </c>
      <c r="G194" s="75" t="s">
        <v>1166</v>
      </c>
      <c r="H194" s="70"/>
      <c r="P194" s="70">
        <f t="shared" si="2"/>
        <v>0</v>
      </c>
      <c r="Q194" s="70" cm="1">
        <f t="array" ref="Q194">IF(P194=1,IF(SUMPRODUCT(($P$2:P194)*(--($G$2:G194=$G194)))=1,1,0),0)</f>
        <v>0</v>
      </c>
      <c r="R194" s="70" t="str">
        <f>IF(Q194=1,SUM($Q$2:Q194),"")</f>
        <v/>
      </c>
    </row>
    <row r="195" spans="1:18" ht="16" x14ac:dyDescent="0.2">
      <c r="A195" s="73" t="s">
        <v>491</v>
      </c>
      <c r="B195" s="77" t="s">
        <v>1541</v>
      </c>
      <c r="C195" s="74" t="s">
        <v>1601</v>
      </c>
      <c r="D195" s="74" t="s">
        <v>974</v>
      </c>
      <c r="E195" s="78" t="s">
        <v>1002</v>
      </c>
      <c r="F195" s="76" t="s">
        <v>1577</v>
      </c>
      <c r="G195" s="75" t="s">
        <v>1166</v>
      </c>
      <c r="H195" s="70"/>
      <c r="P195" s="70">
        <f t="shared" ref="P195:P258" si="3">IF(AND(IF(TRIM($J$2&amp;"")="",TRUE,LEFT($D195,LEN($J$2))=$J$2),IF(TRIM($K$2&amp;"")="",TRUE,$E195=$K$2),IF($L$2="",TRUE,$F195=$L$2)),1,0)</f>
        <v>0</v>
      </c>
      <c r="Q195" s="70" cm="1">
        <f t="array" ref="Q195">IF(P195=1,IF(SUMPRODUCT(($P$2:P195)*(--($G$2:G195=$G195)))=1,1,0),0)</f>
        <v>0</v>
      </c>
      <c r="R195" s="70" t="str">
        <f>IF(Q195=1,SUM($Q$2:Q195),"")</f>
        <v/>
      </c>
    </row>
    <row r="196" spans="1:18" ht="16" x14ac:dyDescent="0.2">
      <c r="A196" s="73" t="s">
        <v>491</v>
      </c>
      <c r="B196" s="77" t="s">
        <v>1541</v>
      </c>
      <c r="C196" s="74" t="s">
        <v>1601</v>
      </c>
      <c r="D196" s="74" t="s">
        <v>974</v>
      </c>
      <c r="E196" s="78" t="s">
        <v>120</v>
      </c>
      <c r="F196" s="76" t="s">
        <v>1577</v>
      </c>
      <c r="G196" s="75" t="s">
        <v>1166</v>
      </c>
      <c r="H196" s="70"/>
      <c r="P196" s="70">
        <f t="shared" si="3"/>
        <v>0</v>
      </c>
      <c r="Q196" s="70" cm="1">
        <f t="array" ref="Q196">IF(P196=1,IF(SUMPRODUCT(($P$2:P196)*(--($G$2:G196=$G196)))=1,1,0),0)</f>
        <v>0</v>
      </c>
      <c r="R196" s="70" t="str">
        <f>IF(Q196=1,SUM($Q$2:Q196),"")</f>
        <v/>
      </c>
    </row>
    <row r="197" spans="1:18" ht="16" x14ac:dyDescent="0.2">
      <c r="A197" s="73" t="s">
        <v>491</v>
      </c>
      <c r="B197" s="77" t="s">
        <v>1541</v>
      </c>
      <c r="C197" s="74" t="s">
        <v>1601</v>
      </c>
      <c r="D197" s="74" t="s">
        <v>974</v>
      </c>
      <c r="E197" s="78" t="s">
        <v>113</v>
      </c>
      <c r="F197" s="76" t="s">
        <v>1578</v>
      </c>
      <c r="G197" s="75" t="s">
        <v>1166</v>
      </c>
      <c r="H197" s="70"/>
      <c r="P197" s="70">
        <f t="shared" si="3"/>
        <v>0</v>
      </c>
      <c r="Q197" s="70" cm="1">
        <f t="array" ref="Q197">IF(P197=1,IF(SUMPRODUCT(($P$2:P197)*(--($G$2:G197=$G197)))=1,1,0),0)</f>
        <v>0</v>
      </c>
      <c r="R197" s="70" t="str">
        <f>IF(Q197=1,SUM($Q$2:Q197),"")</f>
        <v/>
      </c>
    </row>
    <row r="198" spans="1:18" ht="16" x14ac:dyDescent="0.2">
      <c r="A198" s="73" t="s">
        <v>491</v>
      </c>
      <c r="B198" s="77" t="s">
        <v>1541</v>
      </c>
      <c r="C198" s="74" t="s">
        <v>1601</v>
      </c>
      <c r="D198" s="74" t="s">
        <v>974</v>
      </c>
      <c r="E198" s="78" t="s">
        <v>1002</v>
      </c>
      <c r="F198" s="76" t="s">
        <v>1578</v>
      </c>
      <c r="G198" s="75" t="s">
        <v>1166</v>
      </c>
      <c r="H198" s="70"/>
      <c r="P198" s="70">
        <f t="shared" si="3"/>
        <v>0</v>
      </c>
      <c r="Q198" s="70" cm="1">
        <f t="array" ref="Q198">IF(P198=1,IF(SUMPRODUCT(($P$2:P198)*(--($G$2:G198=$G198)))=1,1,0),0)</f>
        <v>0</v>
      </c>
      <c r="R198" s="70" t="str">
        <f>IF(Q198=1,SUM($Q$2:Q198),"")</f>
        <v/>
      </c>
    </row>
    <row r="199" spans="1:18" ht="16" x14ac:dyDescent="0.2">
      <c r="A199" s="73" t="s">
        <v>491</v>
      </c>
      <c r="B199" s="77" t="s">
        <v>1541</v>
      </c>
      <c r="C199" s="74" t="s">
        <v>1601</v>
      </c>
      <c r="D199" s="74" t="s">
        <v>974</v>
      </c>
      <c r="E199" s="78" t="s">
        <v>120</v>
      </c>
      <c r="F199" s="76" t="s">
        <v>1578</v>
      </c>
      <c r="G199" s="75" t="s">
        <v>1166</v>
      </c>
      <c r="H199" s="70"/>
      <c r="P199" s="70">
        <f t="shared" si="3"/>
        <v>0</v>
      </c>
      <c r="Q199" s="70" cm="1">
        <f t="array" ref="Q199">IF(P199=1,IF(SUMPRODUCT(($P$2:P199)*(--($G$2:G199=$G199)))=1,1,0),0)</f>
        <v>0</v>
      </c>
      <c r="R199" s="70" t="str">
        <f>IF(Q199=1,SUM($Q$2:Q199),"")</f>
        <v/>
      </c>
    </row>
    <row r="200" spans="1:18" ht="16" x14ac:dyDescent="0.2">
      <c r="A200" s="73" t="s">
        <v>491</v>
      </c>
      <c r="B200" s="77" t="s">
        <v>1541</v>
      </c>
      <c r="C200" s="74" t="s">
        <v>1601</v>
      </c>
      <c r="D200" s="74" t="s">
        <v>974</v>
      </c>
      <c r="E200" s="78" t="s">
        <v>113</v>
      </c>
      <c r="F200" s="76" t="s">
        <v>1580</v>
      </c>
      <c r="G200" s="75" t="s">
        <v>1166</v>
      </c>
      <c r="H200" s="70"/>
      <c r="P200" s="70">
        <f t="shared" si="3"/>
        <v>0</v>
      </c>
      <c r="Q200" s="70" cm="1">
        <f t="array" ref="Q200">IF(P200=1,IF(SUMPRODUCT(($P$2:P200)*(--($G$2:G200=$G200)))=1,1,0),0)</f>
        <v>0</v>
      </c>
      <c r="R200" s="70" t="str">
        <f>IF(Q200=1,SUM($Q$2:Q200),"")</f>
        <v/>
      </c>
    </row>
    <row r="201" spans="1:18" ht="16" x14ac:dyDescent="0.2">
      <c r="A201" s="73" t="s">
        <v>491</v>
      </c>
      <c r="B201" s="77" t="s">
        <v>1541</v>
      </c>
      <c r="C201" s="74" t="s">
        <v>1601</v>
      </c>
      <c r="D201" s="74" t="s">
        <v>974</v>
      </c>
      <c r="E201" s="78" t="s">
        <v>1002</v>
      </c>
      <c r="F201" s="76" t="s">
        <v>1580</v>
      </c>
      <c r="G201" s="75" t="s">
        <v>1166</v>
      </c>
      <c r="H201" s="70"/>
      <c r="P201" s="70">
        <f t="shared" si="3"/>
        <v>0</v>
      </c>
      <c r="Q201" s="70" cm="1">
        <f t="array" ref="Q201">IF(P201=1,IF(SUMPRODUCT(($P$2:P201)*(--($G$2:G201=$G201)))=1,1,0),0)</f>
        <v>0</v>
      </c>
      <c r="R201" s="70" t="str">
        <f>IF(Q201=1,SUM($Q$2:Q201),"")</f>
        <v/>
      </c>
    </row>
    <row r="202" spans="1:18" ht="16" x14ac:dyDescent="0.2">
      <c r="A202" s="73" t="s">
        <v>491</v>
      </c>
      <c r="B202" s="77" t="s">
        <v>1541</v>
      </c>
      <c r="C202" s="74" t="s">
        <v>1601</v>
      </c>
      <c r="D202" s="74" t="s">
        <v>974</v>
      </c>
      <c r="E202" s="78" t="s">
        <v>120</v>
      </c>
      <c r="F202" s="76" t="s">
        <v>1580</v>
      </c>
      <c r="G202" s="75" t="s">
        <v>1166</v>
      </c>
      <c r="H202" s="70"/>
      <c r="P202" s="70">
        <f t="shared" si="3"/>
        <v>0</v>
      </c>
      <c r="Q202" s="70" cm="1">
        <f t="array" ref="Q202">IF(P202=1,IF(SUMPRODUCT(($P$2:P202)*(--($G$2:G202=$G202)))=1,1,0),0)</f>
        <v>0</v>
      </c>
      <c r="R202" s="70" t="str">
        <f>IF(Q202=1,SUM($Q$2:Q202),"")</f>
        <v/>
      </c>
    </row>
    <row r="203" spans="1:18" ht="16" x14ac:dyDescent="0.2">
      <c r="A203" s="73" t="s">
        <v>318</v>
      </c>
      <c r="B203" s="85" t="s">
        <v>116</v>
      </c>
      <c r="C203" s="74" t="s">
        <v>1602</v>
      </c>
      <c r="D203" s="74" t="s">
        <v>983</v>
      </c>
      <c r="E203" s="78" t="s">
        <v>113</v>
      </c>
      <c r="F203" s="76" t="s">
        <v>318</v>
      </c>
      <c r="G203" s="75" t="s">
        <v>549</v>
      </c>
      <c r="H203" s="70"/>
      <c r="P203" s="70">
        <f t="shared" si="3"/>
        <v>0</v>
      </c>
      <c r="Q203" s="70" cm="1">
        <f t="array" ref="Q203">IF(P203=1,IF(SUMPRODUCT(($P$2:P203)*(--($G$2:G203=$G203)))=1,1,0),0)</f>
        <v>0</v>
      </c>
      <c r="R203" s="70" t="str">
        <f>IF(Q203=1,SUM($Q$2:Q203),"")</f>
        <v/>
      </c>
    </row>
    <row r="204" spans="1:18" ht="16" x14ac:dyDescent="0.2">
      <c r="A204" s="73" t="s">
        <v>318</v>
      </c>
      <c r="B204" s="85" t="s">
        <v>1603</v>
      </c>
      <c r="C204" s="74" t="s">
        <v>1602</v>
      </c>
      <c r="D204" s="74" t="s">
        <v>983</v>
      </c>
      <c r="E204" s="78" t="s">
        <v>113</v>
      </c>
      <c r="F204" s="76" t="s">
        <v>318</v>
      </c>
      <c r="G204" s="75" t="s">
        <v>551</v>
      </c>
      <c r="H204" s="70"/>
      <c r="P204" s="70">
        <f t="shared" si="3"/>
        <v>0</v>
      </c>
      <c r="Q204" s="70" cm="1">
        <f t="array" ref="Q204">IF(P204=1,IF(SUMPRODUCT(($P$2:P204)*(--($G$2:G204=$G204)))=1,1,0),0)</f>
        <v>0</v>
      </c>
      <c r="R204" s="70" t="str">
        <f>IF(Q204=1,SUM($Q$2:Q204),"")</f>
        <v/>
      </c>
    </row>
    <row r="205" spans="1:18" ht="16" x14ac:dyDescent="0.2">
      <c r="A205" s="73" t="s">
        <v>318</v>
      </c>
      <c r="B205" s="85" t="s">
        <v>1604</v>
      </c>
      <c r="C205" s="74" t="s">
        <v>1602</v>
      </c>
      <c r="D205" s="74" t="s">
        <v>983</v>
      </c>
      <c r="E205" s="78" t="s">
        <v>113</v>
      </c>
      <c r="F205" s="76" t="s">
        <v>318</v>
      </c>
      <c r="G205" s="75" t="s">
        <v>553</v>
      </c>
      <c r="H205" s="70"/>
      <c r="P205" s="70">
        <f t="shared" si="3"/>
        <v>0</v>
      </c>
      <c r="Q205" s="70" cm="1">
        <f t="array" ref="Q205">IF(P205=1,IF(SUMPRODUCT(($P$2:P205)*(--($G$2:G205=$G205)))=1,1,0),0)</f>
        <v>0</v>
      </c>
      <c r="R205" s="70" t="str">
        <f>IF(Q205=1,SUM($Q$2:Q205),"")</f>
        <v/>
      </c>
    </row>
    <row r="206" spans="1:18" ht="16" x14ac:dyDescent="0.2">
      <c r="A206" s="73" t="s">
        <v>318</v>
      </c>
      <c r="B206" s="85" t="s">
        <v>1603</v>
      </c>
      <c r="C206" s="74" t="s">
        <v>1602</v>
      </c>
      <c r="D206" s="74" t="s">
        <v>983</v>
      </c>
      <c r="E206" s="78" t="s">
        <v>113</v>
      </c>
      <c r="F206" s="76" t="s">
        <v>1605</v>
      </c>
      <c r="G206" s="75" t="s">
        <v>555</v>
      </c>
      <c r="H206" s="70"/>
      <c r="P206" s="70">
        <f t="shared" si="3"/>
        <v>0</v>
      </c>
      <c r="Q206" s="70" cm="1">
        <f t="array" ref="Q206">IF(P206=1,IF(SUMPRODUCT(($P$2:P206)*(--($G$2:G206=$G206)))=1,1,0),0)</f>
        <v>0</v>
      </c>
      <c r="R206" s="70" t="str">
        <f>IF(Q206=1,SUM($Q$2:Q206),"")</f>
        <v/>
      </c>
    </row>
    <row r="207" spans="1:18" ht="16" x14ac:dyDescent="0.2">
      <c r="A207" s="73" t="s">
        <v>318</v>
      </c>
      <c r="B207" s="85" t="s">
        <v>1604</v>
      </c>
      <c r="C207" s="74" t="s">
        <v>1602</v>
      </c>
      <c r="D207" s="74" t="s">
        <v>983</v>
      </c>
      <c r="E207" s="78" t="s">
        <v>113</v>
      </c>
      <c r="F207" s="76" t="s">
        <v>1605</v>
      </c>
      <c r="G207" s="75" t="s">
        <v>557</v>
      </c>
      <c r="H207" s="70"/>
      <c r="P207" s="70">
        <f t="shared" si="3"/>
        <v>0</v>
      </c>
      <c r="Q207" s="70" cm="1">
        <f t="array" ref="Q207">IF(P207=1,IF(SUMPRODUCT(($P$2:P207)*(--($G$2:G207=$G207)))=1,1,0),0)</f>
        <v>0</v>
      </c>
      <c r="R207" s="70" t="str">
        <f>IF(Q207=1,SUM($Q$2:Q207),"")</f>
        <v/>
      </c>
    </row>
    <row r="208" spans="1:18" ht="16" x14ac:dyDescent="0.2">
      <c r="A208" s="73" t="s">
        <v>323</v>
      </c>
      <c r="B208" s="77" t="s">
        <v>1541</v>
      </c>
      <c r="C208" s="74" t="s">
        <v>1606</v>
      </c>
      <c r="D208" s="74" t="s">
        <v>985</v>
      </c>
      <c r="E208" s="78" t="s">
        <v>113</v>
      </c>
      <c r="F208" s="76" t="s">
        <v>323</v>
      </c>
      <c r="G208" s="75" t="s">
        <v>1214</v>
      </c>
      <c r="H208" s="70"/>
      <c r="P208" s="70">
        <f t="shared" si="3"/>
        <v>0</v>
      </c>
      <c r="Q208" s="70" cm="1">
        <f t="array" ref="Q208">IF(P208=1,IF(SUMPRODUCT(($P$2:P208)*(--($G$2:G208=$G208)))=1,1,0),0)</f>
        <v>0</v>
      </c>
      <c r="R208" s="70" t="str">
        <f>IF(Q208=1,SUM($Q$2:Q208),"")</f>
        <v/>
      </c>
    </row>
    <row r="209" spans="1:18" ht="16" x14ac:dyDescent="0.2">
      <c r="A209" s="73" t="s">
        <v>323</v>
      </c>
      <c r="B209" s="77" t="s">
        <v>1541</v>
      </c>
      <c r="C209" s="74" t="s">
        <v>1606</v>
      </c>
      <c r="D209" s="74" t="s">
        <v>985</v>
      </c>
      <c r="E209" s="78" t="s">
        <v>1002</v>
      </c>
      <c r="F209" s="76" t="s">
        <v>323</v>
      </c>
      <c r="G209" s="75" t="s">
        <v>1214</v>
      </c>
      <c r="H209" s="70"/>
      <c r="P209" s="70">
        <f t="shared" si="3"/>
        <v>0</v>
      </c>
      <c r="Q209" s="70" cm="1">
        <f t="array" ref="Q209">IF(P209=1,IF(SUMPRODUCT(($P$2:P209)*(--($G$2:G209=$G209)))=1,1,0),0)</f>
        <v>0</v>
      </c>
      <c r="R209" s="70" t="str">
        <f>IF(Q209=1,SUM($Q$2:Q209),"")</f>
        <v/>
      </c>
    </row>
    <row r="210" spans="1:18" ht="16" x14ac:dyDescent="0.2">
      <c r="A210" s="73" t="s">
        <v>323</v>
      </c>
      <c r="B210" s="77" t="s">
        <v>1541</v>
      </c>
      <c r="C210" s="74" t="s">
        <v>1606</v>
      </c>
      <c r="D210" s="74" t="s">
        <v>985</v>
      </c>
      <c r="E210" s="78" t="s">
        <v>113</v>
      </c>
      <c r="F210" s="76" t="s">
        <v>1607</v>
      </c>
      <c r="G210" s="75" t="s">
        <v>1217</v>
      </c>
      <c r="H210" s="70"/>
      <c r="P210" s="70">
        <f t="shared" si="3"/>
        <v>0</v>
      </c>
      <c r="Q210" s="70" cm="1">
        <f t="array" ref="Q210">IF(P210=1,IF(SUMPRODUCT(($P$2:P210)*(--($G$2:G210=$G210)))=1,1,0),0)</f>
        <v>0</v>
      </c>
      <c r="R210" s="70" t="str">
        <f>IF(Q210=1,SUM($Q$2:Q210),"")</f>
        <v/>
      </c>
    </row>
    <row r="211" spans="1:18" ht="16" x14ac:dyDescent="0.2">
      <c r="A211" s="73" t="s">
        <v>323</v>
      </c>
      <c r="B211" s="77" t="s">
        <v>1541</v>
      </c>
      <c r="C211" s="74" t="s">
        <v>1606</v>
      </c>
      <c r="D211" s="74" t="s">
        <v>985</v>
      </c>
      <c r="E211" s="78" t="s">
        <v>1002</v>
      </c>
      <c r="F211" s="76" t="s">
        <v>1607</v>
      </c>
      <c r="G211" s="75" t="s">
        <v>1217</v>
      </c>
      <c r="H211" s="70"/>
      <c r="P211" s="70">
        <f t="shared" si="3"/>
        <v>0</v>
      </c>
      <c r="Q211" s="70" cm="1">
        <f t="array" ref="Q211">IF(P211=1,IF(SUMPRODUCT(($P$2:P211)*(--($G$2:G211=$G211)))=1,1,0),0)</f>
        <v>0</v>
      </c>
      <c r="R211" s="70" t="str">
        <f>IF(Q211=1,SUM($Q$2:Q211),"")</f>
        <v/>
      </c>
    </row>
    <row r="212" spans="1:18" x14ac:dyDescent="0.2">
      <c r="A212" s="73" t="s">
        <v>323</v>
      </c>
      <c r="B212" s="77" t="s">
        <v>1541</v>
      </c>
      <c r="C212" s="74" t="s">
        <v>1606</v>
      </c>
      <c r="D212" s="74" t="s">
        <v>985</v>
      </c>
      <c r="E212" s="78" t="s">
        <v>113</v>
      </c>
      <c r="F212" s="76" t="s">
        <v>1608</v>
      </c>
      <c r="G212" s="76" t="s">
        <v>1216</v>
      </c>
      <c r="H212" s="70"/>
      <c r="P212" s="70">
        <f t="shared" si="3"/>
        <v>0</v>
      </c>
      <c r="Q212" s="70" cm="1">
        <f t="array" ref="Q212">IF(P212=1,IF(SUMPRODUCT(($P$2:P212)*(--($G$2:G212=$G212)))=1,1,0),0)</f>
        <v>0</v>
      </c>
      <c r="R212" s="70" t="str">
        <f>IF(Q212=1,SUM($Q$2:Q212),"")</f>
        <v/>
      </c>
    </row>
    <row r="213" spans="1:18" x14ac:dyDescent="0.2">
      <c r="A213" s="73" t="s">
        <v>323</v>
      </c>
      <c r="B213" s="77" t="s">
        <v>1541</v>
      </c>
      <c r="C213" s="74" t="s">
        <v>1606</v>
      </c>
      <c r="D213" s="74" t="s">
        <v>985</v>
      </c>
      <c r="E213" s="78" t="s">
        <v>1002</v>
      </c>
      <c r="F213" s="76" t="s">
        <v>1608</v>
      </c>
      <c r="G213" s="76" t="s">
        <v>1216</v>
      </c>
      <c r="H213" s="70"/>
      <c r="P213" s="70">
        <f t="shared" si="3"/>
        <v>0</v>
      </c>
      <c r="Q213" s="70" cm="1">
        <f t="array" ref="Q213">IF(P213=1,IF(SUMPRODUCT(($P$2:P213)*(--($G$2:G213=$G213)))=1,1,0),0)</f>
        <v>0</v>
      </c>
      <c r="R213" s="70" t="str">
        <f>IF(Q213=1,SUM($Q$2:Q213),"")</f>
        <v/>
      </c>
    </row>
    <row r="214" spans="1:18" x14ac:dyDescent="0.2">
      <c r="A214" s="73" t="s">
        <v>323</v>
      </c>
      <c r="B214" s="77" t="s">
        <v>1541</v>
      </c>
      <c r="C214" s="74" t="s">
        <v>1606</v>
      </c>
      <c r="D214" s="74" t="s">
        <v>985</v>
      </c>
      <c r="E214" s="78" t="s">
        <v>113</v>
      </c>
      <c r="F214" s="76" t="s">
        <v>1609</v>
      </c>
      <c r="G214" s="76" t="s">
        <v>1216</v>
      </c>
      <c r="H214" s="70"/>
      <c r="P214" s="70">
        <f t="shared" si="3"/>
        <v>0</v>
      </c>
      <c r="Q214" s="70" cm="1">
        <f t="array" ref="Q214">IF(P214=1,IF(SUMPRODUCT(($P$2:P214)*(--($G$2:G214=$G214)))=1,1,0),0)</f>
        <v>0</v>
      </c>
      <c r="R214" s="70" t="str">
        <f>IF(Q214=1,SUM($Q$2:Q214),"")</f>
        <v/>
      </c>
    </row>
    <row r="215" spans="1:18" x14ac:dyDescent="0.2">
      <c r="A215" s="73" t="s">
        <v>323</v>
      </c>
      <c r="B215" s="77" t="s">
        <v>1541</v>
      </c>
      <c r="C215" s="74" t="s">
        <v>1606</v>
      </c>
      <c r="D215" s="74" t="s">
        <v>985</v>
      </c>
      <c r="E215" s="78" t="s">
        <v>1002</v>
      </c>
      <c r="F215" s="76" t="s">
        <v>1609</v>
      </c>
      <c r="G215" s="76" t="s">
        <v>1216</v>
      </c>
      <c r="H215" s="70"/>
      <c r="P215" s="70">
        <f t="shared" si="3"/>
        <v>0</v>
      </c>
      <c r="Q215" s="70" cm="1">
        <f t="array" ref="Q215">IF(P215=1,IF(SUMPRODUCT(($P$2:P215)*(--($G$2:G215=$G215)))=1,1,0),0)</f>
        <v>0</v>
      </c>
      <c r="R215" s="70" t="str">
        <f>IF(Q215=1,SUM($Q$2:Q215),"")</f>
        <v/>
      </c>
    </row>
    <row r="216" spans="1:18" x14ac:dyDescent="0.2">
      <c r="A216" s="73" t="s">
        <v>323</v>
      </c>
      <c r="B216" s="77" t="s">
        <v>1541</v>
      </c>
      <c r="C216" s="74" t="s">
        <v>1606</v>
      </c>
      <c r="D216" s="74" t="s">
        <v>985</v>
      </c>
      <c r="E216" s="78" t="s">
        <v>113</v>
      </c>
      <c r="F216" s="76" t="s">
        <v>1610</v>
      </c>
      <c r="G216" s="76" t="s">
        <v>1216</v>
      </c>
      <c r="H216" s="70"/>
      <c r="P216" s="70">
        <f t="shared" si="3"/>
        <v>0</v>
      </c>
      <c r="Q216" s="70" cm="1">
        <f t="array" ref="Q216">IF(P216=1,IF(SUMPRODUCT(($P$2:P216)*(--($G$2:G216=$G216)))=1,1,0),0)</f>
        <v>0</v>
      </c>
      <c r="R216" s="70" t="str">
        <f>IF(Q216=1,SUM($Q$2:Q216),"")</f>
        <v/>
      </c>
    </row>
    <row r="217" spans="1:18" x14ac:dyDescent="0.2">
      <c r="A217" s="73" t="s">
        <v>323</v>
      </c>
      <c r="B217" s="77" t="s">
        <v>1541</v>
      </c>
      <c r="C217" s="74" t="s">
        <v>1606</v>
      </c>
      <c r="D217" s="74" t="s">
        <v>985</v>
      </c>
      <c r="E217" s="78" t="s">
        <v>1002</v>
      </c>
      <c r="F217" s="76" t="s">
        <v>1610</v>
      </c>
      <c r="G217" s="76" t="s">
        <v>1216</v>
      </c>
      <c r="H217" s="70"/>
      <c r="P217" s="70">
        <f t="shared" si="3"/>
        <v>0</v>
      </c>
      <c r="Q217" s="70" cm="1">
        <f t="array" ref="Q217">IF(P217=1,IF(SUMPRODUCT(($P$2:P217)*(--($G$2:G217=$G217)))=1,1,0),0)</f>
        <v>0</v>
      </c>
      <c r="R217" s="70" t="str">
        <f>IF(Q217=1,SUM($Q$2:Q217),"")</f>
        <v/>
      </c>
    </row>
    <row r="218" spans="1:18" ht="16" x14ac:dyDescent="0.2">
      <c r="A218" s="73" t="s">
        <v>323</v>
      </c>
      <c r="B218" s="77" t="s">
        <v>1541</v>
      </c>
      <c r="C218" s="74" t="s">
        <v>1606</v>
      </c>
      <c r="D218" s="74" t="s">
        <v>985</v>
      </c>
      <c r="E218" s="78" t="s">
        <v>113</v>
      </c>
      <c r="F218" s="76" t="s">
        <v>1611</v>
      </c>
      <c r="G218" s="75" t="s">
        <v>1215</v>
      </c>
      <c r="H218" s="70"/>
      <c r="P218" s="70">
        <f t="shared" si="3"/>
        <v>0</v>
      </c>
      <c r="Q218" s="70" cm="1">
        <f t="array" ref="Q218">IF(P218=1,IF(SUMPRODUCT(($P$2:P218)*(--($G$2:G218=$G218)))=1,1,0),0)</f>
        <v>0</v>
      </c>
      <c r="R218" s="70" t="str">
        <f>IF(Q218=1,SUM($Q$2:Q218),"")</f>
        <v/>
      </c>
    </row>
    <row r="219" spans="1:18" ht="16" x14ac:dyDescent="0.2">
      <c r="A219" s="73" t="s">
        <v>323</v>
      </c>
      <c r="B219" s="77" t="s">
        <v>1541</v>
      </c>
      <c r="C219" s="74" t="s">
        <v>1606</v>
      </c>
      <c r="D219" s="74" t="s">
        <v>985</v>
      </c>
      <c r="E219" s="78" t="s">
        <v>1002</v>
      </c>
      <c r="F219" s="76" t="s">
        <v>1611</v>
      </c>
      <c r="G219" s="75" t="s">
        <v>1215</v>
      </c>
      <c r="H219" s="70"/>
      <c r="P219" s="70">
        <f t="shared" si="3"/>
        <v>0</v>
      </c>
      <c r="Q219" s="70" cm="1">
        <f t="array" ref="Q219">IF(P219=1,IF(SUMPRODUCT(($P$2:P219)*(--($G$2:G219=$G219)))=1,1,0),0)</f>
        <v>0</v>
      </c>
      <c r="R219" s="70" t="str">
        <f>IF(Q219=1,SUM($Q$2:Q219),"")</f>
        <v/>
      </c>
    </row>
    <row r="220" spans="1:18" ht="16" x14ac:dyDescent="0.2">
      <c r="A220" s="73" t="s">
        <v>323</v>
      </c>
      <c r="B220" s="77" t="s">
        <v>1541</v>
      </c>
      <c r="C220" s="74" t="s">
        <v>1606</v>
      </c>
      <c r="D220" s="74" t="s">
        <v>985</v>
      </c>
      <c r="E220" s="78" t="s">
        <v>113</v>
      </c>
      <c r="F220" s="76" t="s">
        <v>1612</v>
      </c>
      <c r="G220" s="75" t="s">
        <v>1215</v>
      </c>
      <c r="H220" s="70"/>
      <c r="P220" s="70">
        <f t="shared" si="3"/>
        <v>0</v>
      </c>
      <c r="Q220" s="70" cm="1">
        <f t="array" ref="Q220">IF(P220=1,IF(SUMPRODUCT(($P$2:P220)*(--($G$2:G220=$G220)))=1,1,0),0)</f>
        <v>0</v>
      </c>
      <c r="R220" s="70" t="str">
        <f>IF(Q220=1,SUM($Q$2:Q220),"")</f>
        <v/>
      </c>
    </row>
    <row r="221" spans="1:18" ht="16" x14ac:dyDescent="0.2">
      <c r="A221" s="73" t="s">
        <v>323</v>
      </c>
      <c r="B221" s="77" t="s">
        <v>1541</v>
      </c>
      <c r="C221" s="74" t="s">
        <v>1606</v>
      </c>
      <c r="D221" s="74" t="s">
        <v>985</v>
      </c>
      <c r="E221" s="78" t="s">
        <v>1002</v>
      </c>
      <c r="F221" s="76" t="s">
        <v>1612</v>
      </c>
      <c r="G221" s="75" t="s">
        <v>1215</v>
      </c>
      <c r="H221" s="70"/>
      <c r="P221" s="70">
        <f t="shared" si="3"/>
        <v>0</v>
      </c>
      <c r="Q221" s="70" cm="1">
        <f t="array" ref="Q221">IF(P221=1,IF(SUMPRODUCT(($P$2:P221)*(--($G$2:G221=$G221)))=1,1,0),0)</f>
        <v>0</v>
      </c>
      <c r="R221" s="70" t="str">
        <f>IF(Q221=1,SUM($Q$2:Q221),"")</f>
        <v/>
      </c>
    </row>
    <row r="222" spans="1:18" x14ac:dyDescent="0.2">
      <c r="A222" s="73" t="s">
        <v>323</v>
      </c>
      <c r="B222" s="77" t="s">
        <v>1541</v>
      </c>
      <c r="C222" s="74" t="s">
        <v>1606</v>
      </c>
      <c r="D222" s="74" t="s">
        <v>985</v>
      </c>
      <c r="E222" s="78" t="s">
        <v>113</v>
      </c>
      <c r="F222" s="76" t="s">
        <v>1613</v>
      </c>
      <c r="G222" s="76" t="s">
        <v>1079</v>
      </c>
      <c r="H222" s="70"/>
      <c r="P222" s="70">
        <f t="shared" si="3"/>
        <v>0</v>
      </c>
      <c r="Q222" s="70" cm="1">
        <f t="array" ref="Q222">IF(P222=1,IF(SUMPRODUCT(($P$2:P222)*(--($G$2:G222=$G222)))=1,1,0),0)</f>
        <v>0</v>
      </c>
      <c r="R222" s="70" t="str">
        <f>IF(Q222=1,SUM($Q$2:Q222),"")</f>
        <v/>
      </c>
    </row>
    <row r="223" spans="1:18" x14ac:dyDescent="0.2">
      <c r="A223" s="73" t="s">
        <v>323</v>
      </c>
      <c r="B223" s="77" t="s">
        <v>1541</v>
      </c>
      <c r="C223" s="74" t="s">
        <v>1606</v>
      </c>
      <c r="D223" s="74" t="s">
        <v>985</v>
      </c>
      <c r="E223" s="78" t="s">
        <v>1002</v>
      </c>
      <c r="F223" s="76" t="s">
        <v>1613</v>
      </c>
      <c r="G223" s="76" t="s">
        <v>1079</v>
      </c>
      <c r="H223" s="70"/>
      <c r="P223" s="70">
        <f t="shared" si="3"/>
        <v>0</v>
      </c>
      <c r="Q223" s="70" cm="1">
        <f t="array" ref="Q223">IF(P223=1,IF(SUMPRODUCT(($P$2:P223)*(--($G$2:G223=$G223)))=1,1,0),0)</f>
        <v>0</v>
      </c>
      <c r="R223" s="70" t="str">
        <f>IF(Q223=1,SUM($Q$2:Q223),"")</f>
        <v/>
      </c>
    </row>
    <row r="224" spans="1:18" ht="16" x14ac:dyDescent="0.2">
      <c r="A224" s="73" t="s">
        <v>402</v>
      </c>
      <c r="B224" s="77" t="s">
        <v>1541</v>
      </c>
      <c r="C224" s="74" t="s">
        <v>1606</v>
      </c>
      <c r="D224" s="74" t="s">
        <v>985</v>
      </c>
      <c r="E224" s="78" t="s">
        <v>113</v>
      </c>
      <c r="F224" s="76" t="s">
        <v>402</v>
      </c>
      <c r="G224" s="75" t="s">
        <v>1218</v>
      </c>
      <c r="H224" s="70"/>
      <c r="P224" s="70">
        <f t="shared" si="3"/>
        <v>0</v>
      </c>
      <c r="Q224" s="70" cm="1">
        <f t="array" ref="Q224">IF(P224=1,IF(SUMPRODUCT(($P$2:P224)*(--($G$2:G224=$G224)))=1,1,0),0)</f>
        <v>0</v>
      </c>
      <c r="R224" s="70" t="str">
        <f>IF(Q224=1,SUM($Q$2:Q224),"")</f>
        <v/>
      </c>
    </row>
    <row r="225" spans="1:18" ht="16" x14ac:dyDescent="0.2">
      <c r="A225" s="73" t="s">
        <v>402</v>
      </c>
      <c r="B225" s="77" t="s">
        <v>1541</v>
      </c>
      <c r="C225" s="74" t="s">
        <v>1606</v>
      </c>
      <c r="D225" s="74" t="s">
        <v>985</v>
      </c>
      <c r="E225" s="78" t="s">
        <v>1002</v>
      </c>
      <c r="F225" s="76" t="s">
        <v>402</v>
      </c>
      <c r="G225" s="75" t="s">
        <v>1218</v>
      </c>
      <c r="H225" s="70"/>
      <c r="P225" s="70">
        <f t="shared" si="3"/>
        <v>0</v>
      </c>
      <c r="Q225" s="70" cm="1">
        <f t="array" ref="Q225">IF(P225=1,IF(SUMPRODUCT(($P$2:P225)*(--($G$2:G225=$G225)))=1,1,0),0)</f>
        <v>0</v>
      </c>
      <c r="R225" s="70" t="str">
        <f>IF(Q225=1,SUM($Q$2:Q225),"")</f>
        <v/>
      </c>
    </row>
    <row r="226" spans="1:18" ht="16" x14ac:dyDescent="0.2">
      <c r="A226" s="73" t="s">
        <v>402</v>
      </c>
      <c r="B226" s="77" t="s">
        <v>1541</v>
      </c>
      <c r="C226" s="74" t="s">
        <v>1606</v>
      </c>
      <c r="D226" s="74" t="s">
        <v>985</v>
      </c>
      <c r="E226" s="78" t="s">
        <v>113</v>
      </c>
      <c r="F226" s="76" t="s">
        <v>1614</v>
      </c>
      <c r="G226" s="75" t="s">
        <v>1219</v>
      </c>
      <c r="H226" s="70"/>
      <c r="P226" s="70">
        <f t="shared" si="3"/>
        <v>0</v>
      </c>
      <c r="Q226" s="70" cm="1">
        <f t="array" ref="Q226">IF(P226=1,IF(SUMPRODUCT(($P$2:P226)*(--($G$2:G226=$G226)))=1,1,0),0)</f>
        <v>0</v>
      </c>
      <c r="R226" s="70" t="str">
        <f>IF(Q226=1,SUM($Q$2:Q226),"")</f>
        <v/>
      </c>
    </row>
    <row r="227" spans="1:18" ht="16" x14ac:dyDescent="0.2">
      <c r="A227" s="73" t="s">
        <v>402</v>
      </c>
      <c r="B227" s="77" t="s">
        <v>1541</v>
      </c>
      <c r="C227" s="74" t="s">
        <v>1606</v>
      </c>
      <c r="D227" s="74" t="s">
        <v>985</v>
      </c>
      <c r="E227" s="78" t="s">
        <v>1002</v>
      </c>
      <c r="F227" s="76" t="s">
        <v>1614</v>
      </c>
      <c r="G227" s="75" t="s">
        <v>1219</v>
      </c>
      <c r="H227" s="70"/>
      <c r="P227" s="70">
        <f t="shared" si="3"/>
        <v>0</v>
      </c>
      <c r="Q227" s="70" cm="1">
        <f t="array" ref="Q227">IF(P227=1,IF(SUMPRODUCT(($P$2:P227)*(--($G$2:G227=$G227)))=1,1,0),0)</f>
        <v>0</v>
      </c>
      <c r="R227" s="70" t="str">
        <f>IF(Q227=1,SUM($Q$2:Q227),"")</f>
        <v/>
      </c>
    </row>
    <row r="228" spans="1:18" ht="16" x14ac:dyDescent="0.2">
      <c r="A228" s="73" t="s">
        <v>491</v>
      </c>
      <c r="B228" s="77" t="s">
        <v>1541</v>
      </c>
      <c r="C228" s="74" t="s">
        <v>1615</v>
      </c>
      <c r="D228" s="74" t="s">
        <v>975</v>
      </c>
      <c r="E228" s="78" t="s">
        <v>113</v>
      </c>
      <c r="F228" s="76" t="s">
        <v>1616</v>
      </c>
      <c r="G228" s="75" t="s">
        <v>1184</v>
      </c>
      <c r="H228" s="70"/>
      <c r="P228" s="70">
        <f t="shared" si="3"/>
        <v>0</v>
      </c>
      <c r="Q228" s="70" cm="1">
        <f t="array" ref="Q228">IF(P228=1,IF(SUMPRODUCT(($P$2:P228)*(--($G$2:G228=$G228)))=1,1,0),0)</f>
        <v>0</v>
      </c>
      <c r="R228" s="70" t="str">
        <f>IF(Q228=1,SUM($Q$2:Q228),"")</f>
        <v/>
      </c>
    </row>
    <row r="229" spans="1:18" ht="16" x14ac:dyDescent="0.2">
      <c r="A229" s="73" t="s">
        <v>491</v>
      </c>
      <c r="B229" s="77" t="s">
        <v>1541</v>
      </c>
      <c r="C229" s="74" t="s">
        <v>1615</v>
      </c>
      <c r="D229" s="74" t="s">
        <v>975</v>
      </c>
      <c r="E229" s="78" t="s">
        <v>1002</v>
      </c>
      <c r="F229" s="76" t="s">
        <v>1616</v>
      </c>
      <c r="G229" s="75" t="s">
        <v>1184</v>
      </c>
      <c r="H229" s="70"/>
      <c r="P229" s="70">
        <f t="shared" si="3"/>
        <v>0</v>
      </c>
      <c r="Q229" s="70" cm="1">
        <f t="array" ref="Q229">IF(P229=1,IF(SUMPRODUCT(($P$2:P229)*(--($G$2:G229=$G229)))=1,1,0),0)</f>
        <v>0</v>
      </c>
      <c r="R229" s="70" t="str">
        <f>IF(Q229=1,SUM($Q$2:Q229),"")</f>
        <v/>
      </c>
    </row>
    <row r="230" spans="1:18" ht="16" x14ac:dyDescent="0.2">
      <c r="A230" s="73" t="s">
        <v>491</v>
      </c>
      <c r="B230" s="77" t="s">
        <v>1541</v>
      </c>
      <c r="C230" s="74" t="s">
        <v>1615</v>
      </c>
      <c r="D230" s="74" t="s">
        <v>975</v>
      </c>
      <c r="E230" s="78" t="s">
        <v>113</v>
      </c>
      <c r="F230" s="76" t="s">
        <v>1617</v>
      </c>
      <c r="G230" s="75" t="s">
        <v>1185</v>
      </c>
      <c r="H230" s="70"/>
      <c r="P230" s="70">
        <f t="shared" si="3"/>
        <v>0</v>
      </c>
      <c r="Q230" s="70" cm="1">
        <f t="array" ref="Q230">IF(P230=1,IF(SUMPRODUCT(($P$2:P230)*(--($G$2:G230=$G230)))=1,1,0),0)</f>
        <v>0</v>
      </c>
      <c r="R230" s="70" t="str">
        <f>IF(Q230=1,SUM($Q$2:Q230),"")</f>
        <v/>
      </c>
    </row>
    <row r="231" spans="1:18" ht="16" x14ac:dyDescent="0.2">
      <c r="A231" s="73" t="s">
        <v>491</v>
      </c>
      <c r="B231" s="77" t="s">
        <v>1541</v>
      </c>
      <c r="C231" s="74" t="s">
        <v>1615</v>
      </c>
      <c r="D231" s="74" t="s">
        <v>975</v>
      </c>
      <c r="E231" s="78" t="s">
        <v>1002</v>
      </c>
      <c r="F231" s="76" t="s">
        <v>1617</v>
      </c>
      <c r="G231" s="75" t="s">
        <v>1185</v>
      </c>
      <c r="H231" s="70"/>
      <c r="P231" s="70">
        <f t="shared" si="3"/>
        <v>0</v>
      </c>
      <c r="Q231" s="70" cm="1">
        <f t="array" ref="Q231">IF(P231=1,IF(SUMPRODUCT(($P$2:P231)*(--($G$2:G231=$G231)))=1,1,0),0)</f>
        <v>0</v>
      </c>
      <c r="R231" s="70" t="str">
        <f>IF(Q231=1,SUM($Q$2:Q231),"")</f>
        <v/>
      </c>
    </row>
    <row r="232" spans="1:18" ht="16" x14ac:dyDescent="0.2">
      <c r="A232" s="73" t="s">
        <v>491</v>
      </c>
      <c r="B232" s="77" t="s">
        <v>1541</v>
      </c>
      <c r="C232" s="74" t="s">
        <v>1615</v>
      </c>
      <c r="D232" s="74" t="s">
        <v>975</v>
      </c>
      <c r="E232" s="78" t="s">
        <v>113</v>
      </c>
      <c r="F232" s="76" t="s">
        <v>1566</v>
      </c>
      <c r="G232" s="75" t="s">
        <v>1187</v>
      </c>
      <c r="H232" s="70"/>
      <c r="P232" s="70">
        <f t="shared" si="3"/>
        <v>0</v>
      </c>
      <c r="Q232" s="70" cm="1">
        <f t="array" ref="Q232">IF(P232=1,IF(SUMPRODUCT(($P$2:P232)*(--($G$2:G232=$G232)))=1,1,0),0)</f>
        <v>0</v>
      </c>
      <c r="R232" s="70" t="str">
        <f>IF(Q232=1,SUM($Q$2:Q232),"")</f>
        <v/>
      </c>
    </row>
    <row r="233" spans="1:18" ht="16" x14ac:dyDescent="0.2">
      <c r="A233" s="73" t="s">
        <v>491</v>
      </c>
      <c r="B233" s="77" t="s">
        <v>1541</v>
      </c>
      <c r="C233" s="74" t="s">
        <v>1615</v>
      </c>
      <c r="D233" s="74" t="s">
        <v>975</v>
      </c>
      <c r="E233" s="78" t="s">
        <v>1002</v>
      </c>
      <c r="F233" s="76" t="s">
        <v>1566</v>
      </c>
      <c r="G233" s="75" t="s">
        <v>1187</v>
      </c>
      <c r="H233" s="70"/>
      <c r="P233" s="70">
        <f t="shared" si="3"/>
        <v>0</v>
      </c>
      <c r="Q233" s="70" cm="1">
        <f t="array" ref="Q233">IF(P233=1,IF(SUMPRODUCT(($P$2:P233)*(--($G$2:G233=$G233)))=1,1,0),0)</f>
        <v>0</v>
      </c>
      <c r="R233" s="70" t="str">
        <f>IF(Q233=1,SUM($Q$2:Q233),"")</f>
        <v/>
      </c>
    </row>
    <row r="234" spans="1:18" ht="16" x14ac:dyDescent="0.2">
      <c r="A234" s="73" t="s">
        <v>491</v>
      </c>
      <c r="B234" s="77" t="s">
        <v>1541</v>
      </c>
      <c r="C234" s="74" t="s">
        <v>1615</v>
      </c>
      <c r="D234" s="74" t="s">
        <v>975</v>
      </c>
      <c r="E234" s="78" t="s">
        <v>113</v>
      </c>
      <c r="F234" s="76" t="s">
        <v>1567</v>
      </c>
      <c r="G234" s="75" t="s">
        <v>1187</v>
      </c>
      <c r="H234" s="70"/>
      <c r="P234" s="70">
        <f t="shared" si="3"/>
        <v>0</v>
      </c>
      <c r="Q234" s="70" cm="1">
        <f t="array" ref="Q234">IF(P234=1,IF(SUMPRODUCT(($P$2:P234)*(--($G$2:G234=$G234)))=1,1,0),0)</f>
        <v>0</v>
      </c>
      <c r="R234" s="70" t="str">
        <f>IF(Q234=1,SUM($Q$2:Q234),"")</f>
        <v/>
      </c>
    </row>
    <row r="235" spans="1:18" ht="16" x14ac:dyDescent="0.2">
      <c r="A235" s="73" t="s">
        <v>491</v>
      </c>
      <c r="B235" s="77" t="s">
        <v>1541</v>
      </c>
      <c r="C235" s="74" t="s">
        <v>1615</v>
      </c>
      <c r="D235" s="74" t="s">
        <v>975</v>
      </c>
      <c r="E235" s="78" t="s">
        <v>1002</v>
      </c>
      <c r="F235" s="76" t="s">
        <v>1567</v>
      </c>
      <c r="G235" s="75" t="s">
        <v>1187</v>
      </c>
      <c r="H235" s="70"/>
      <c r="P235" s="70">
        <f t="shared" si="3"/>
        <v>0</v>
      </c>
      <c r="Q235" s="70" cm="1">
        <f t="array" ref="Q235">IF(P235=1,IF(SUMPRODUCT(($P$2:P235)*(--($G$2:G235=$G235)))=1,1,0),0)</f>
        <v>0</v>
      </c>
      <c r="R235" s="70" t="str">
        <f>IF(Q235=1,SUM($Q$2:Q235),"")</f>
        <v/>
      </c>
    </row>
    <row r="236" spans="1:18" ht="16" x14ac:dyDescent="0.2">
      <c r="A236" s="73" t="s">
        <v>491</v>
      </c>
      <c r="B236" s="77" t="s">
        <v>1541</v>
      </c>
      <c r="C236" s="74" t="s">
        <v>1615</v>
      </c>
      <c r="D236" s="74" t="s">
        <v>975</v>
      </c>
      <c r="E236" s="78" t="s">
        <v>113</v>
      </c>
      <c r="F236" s="76" t="s">
        <v>1568</v>
      </c>
      <c r="G236" s="75" t="s">
        <v>1187</v>
      </c>
      <c r="H236" s="70"/>
      <c r="P236" s="70">
        <f t="shared" si="3"/>
        <v>0</v>
      </c>
      <c r="Q236" s="70" cm="1">
        <f t="array" ref="Q236">IF(P236=1,IF(SUMPRODUCT(($P$2:P236)*(--($G$2:G236=$G236)))=1,1,0),0)</f>
        <v>0</v>
      </c>
      <c r="R236" s="70" t="str">
        <f>IF(Q236=1,SUM($Q$2:Q236),"")</f>
        <v/>
      </c>
    </row>
    <row r="237" spans="1:18" ht="16" x14ac:dyDescent="0.2">
      <c r="A237" s="73" t="s">
        <v>491</v>
      </c>
      <c r="B237" s="77" t="s">
        <v>1541</v>
      </c>
      <c r="C237" s="74" t="s">
        <v>1615</v>
      </c>
      <c r="D237" s="74" t="s">
        <v>975</v>
      </c>
      <c r="E237" s="78" t="s">
        <v>1002</v>
      </c>
      <c r="F237" s="76" t="s">
        <v>1568</v>
      </c>
      <c r="G237" s="75" t="s">
        <v>1187</v>
      </c>
      <c r="H237" s="70"/>
      <c r="P237" s="70">
        <f t="shared" si="3"/>
        <v>0</v>
      </c>
      <c r="Q237" s="70" cm="1">
        <f t="array" ref="Q237">IF(P237=1,IF(SUMPRODUCT(($P$2:P237)*(--($G$2:G237=$G237)))=1,1,0),0)</f>
        <v>0</v>
      </c>
      <c r="R237" s="70" t="str">
        <f>IF(Q237=1,SUM($Q$2:Q237),"")</f>
        <v/>
      </c>
    </row>
    <row r="238" spans="1:18" ht="16" x14ac:dyDescent="0.2">
      <c r="A238" s="73" t="s">
        <v>491</v>
      </c>
      <c r="B238" s="77" t="s">
        <v>1541</v>
      </c>
      <c r="C238" s="74" t="s">
        <v>1615</v>
      </c>
      <c r="D238" s="74" t="s">
        <v>975</v>
      </c>
      <c r="E238" s="78" t="s">
        <v>113</v>
      </c>
      <c r="F238" s="76" t="s">
        <v>1618</v>
      </c>
      <c r="G238" s="75" t="s">
        <v>1187</v>
      </c>
      <c r="H238" s="70"/>
      <c r="P238" s="70">
        <f t="shared" si="3"/>
        <v>0</v>
      </c>
      <c r="Q238" s="70" cm="1">
        <f t="array" ref="Q238">IF(P238=1,IF(SUMPRODUCT(($P$2:P238)*(--($G$2:G238=$G238)))=1,1,0),0)</f>
        <v>0</v>
      </c>
      <c r="R238" s="70" t="str">
        <f>IF(Q238=1,SUM($Q$2:Q238),"")</f>
        <v/>
      </c>
    </row>
    <row r="239" spans="1:18" ht="16" x14ac:dyDescent="0.2">
      <c r="A239" s="73" t="s">
        <v>491</v>
      </c>
      <c r="B239" s="77" t="s">
        <v>1541</v>
      </c>
      <c r="C239" s="74" t="s">
        <v>1615</v>
      </c>
      <c r="D239" s="74" t="s">
        <v>975</v>
      </c>
      <c r="E239" s="78" t="s">
        <v>1002</v>
      </c>
      <c r="F239" s="76" t="s">
        <v>1618</v>
      </c>
      <c r="G239" s="75" t="s">
        <v>1187</v>
      </c>
      <c r="H239" s="70"/>
      <c r="P239" s="70">
        <f t="shared" si="3"/>
        <v>0</v>
      </c>
      <c r="Q239" s="70" cm="1">
        <f t="array" ref="Q239">IF(P239=1,IF(SUMPRODUCT(($P$2:P239)*(--($G$2:G239=$G239)))=1,1,0),0)</f>
        <v>0</v>
      </c>
      <c r="R239" s="70" t="str">
        <f>IF(Q239=1,SUM($Q$2:Q239),"")</f>
        <v/>
      </c>
    </row>
    <row r="240" spans="1:18" ht="16" x14ac:dyDescent="0.2">
      <c r="A240" s="80" t="s">
        <v>491</v>
      </c>
      <c r="B240" s="83" t="s">
        <v>1541</v>
      </c>
      <c r="C240" s="74" t="s">
        <v>1615</v>
      </c>
      <c r="D240" s="74" t="s">
        <v>975</v>
      </c>
      <c r="E240" s="84" t="s">
        <v>113</v>
      </c>
      <c r="F240" s="82" t="s">
        <v>1619</v>
      </c>
      <c r="G240" s="81" t="s">
        <v>1191</v>
      </c>
      <c r="H240" s="70"/>
      <c r="P240" s="70">
        <f t="shared" si="3"/>
        <v>0</v>
      </c>
      <c r="Q240" s="70" cm="1">
        <f t="array" ref="Q240">IF(P240=1,IF(SUMPRODUCT(($P$2:P240)*(--($G$2:G240=$G240)))=1,1,0),0)</f>
        <v>0</v>
      </c>
      <c r="R240" s="70" t="str">
        <f>IF(Q240=1,SUM($Q$2:Q240),"")</f>
        <v/>
      </c>
    </row>
    <row r="241" spans="1:18" ht="16" x14ac:dyDescent="0.2">
      <c r="A241" s="80" t="s">
        <v>491</v>
      </c>
      <c r="B241" s="83" t="s">
        <v>1541</v>
      </c>
      <c r="C241" s="74" t="s">
        <v>1615</v>
      </c>
      <c r="D241" s="74" t="s">
        <v>975</v>
      </c>
      <c r="E241" s="84" t="s">
        <v>1002</v>
      </c>
      <c r="F241" s="82" t="s">
        <v>1619</v>
      </c>
      <c r="G241" s="81" t="s">
        <v>1191</v>
      </c>
      <c r="H241" s="70"/>
      <c r="P241" s="70">
        <f t="shared" si="3"/>
        <v>0</v>
      </c>
      <c r="Q241" s="70" cm="1">
        <f t="array" ref="Q241">IF(P241=1,IF(SUMPRODUCT(($P$2:P241)*(--($G$2:G241=$G241)))=1,1,0),0)</f>
        <v>0</v>
      </c>
      <c r="R241" s="70" t="str">
        <f>IF(Q241=1,SUM($Q$2:Q241),"")</f>
        <v/>
      </c>
    </row>
    <row r="242" spans="1:18" ht="16" x14ac:dyDescent="0.2">
      <c r="A242" s="73" t="s">
        <v>491</v>
      </c>
      <c r="B242" s="77" t="s">
        <v>1541</v>
      </c>
      <c r="C242" s="74" t="s">
        <v>1615</v>
      </c>
      <c r="D242" s="74" t="s">
        <v>975</v>
      </c>
      <c r="E242" s="78" t="s">
        <v>113</v>
      </c>
      <c r="F242" s="76" t="s">
        <v>1620</v>
      </c>
      <c r="G242" s="75" t="s">
        <v>1189</v>
      </c>
      <c r="H242" s="70"/>
      <c r="P242" s="70">
        <f t="shared" si="3"/>
        <v>0</v>
      </c>
      <c r="Q242" s="70" cm="1">
        <f t="array" ref="Q242">IF(P242=1,IF(SUMPRODUCT(($P$2:P242)*(--($G$2:G242=$G242)))=1,1,0),0)</f>
        <v>0</v>
      </c>
      <c r="R242" s="70" t="str">
        <f>IF(Q242=1,SUM($Q$2:Q242),"")</f>
        <v/>
      </c>
    </row>
    <row r="243" spans="1:18" ht="16" x14ac:dyDescent="0.2">
      <c r="A243" s="73" t="s">
        <v>491</v>
      </c>
      <c r="B243" s="77" t="s">
        <v>1541</v>
      </c>
      <c r="C243" s="74" t="s">
        <v>1615</v>
      </c>
      <c r="D243" s="74" t="s">
        <v>975</v>
      </c>
      <c r="E243" s="78" t="s">
        <v>1002</v>
      </c>
      <c r="F243" s="76" t="s">
        <v>1620</v>
      </c>
      <c r="G243" s="75" t="s">
        <v>1189</v>
      </c>
      <c r="H243" s="70"/>
      <c r="P243" s="70">
        <f t="shared" si="3"/>
        <v>0</v>
      </c>
      <c r="Q243" s="70" cm="1">
        <f t="array" ref="Q243">IF(P243=1,IF(SUMPRODUCT(($P$2:P243)*(--($G$2:G243=$G243)))=1,1,0),0)</f>
        <v>0</v>
      </c>
      <c r="R243" s="70" t="str">
        <f>IF(Q243=1,SUM($Q$2:Q243),"")</f>
        <v/>
      </c>
    </row>
    <row r="244" spans="1:18" ht="16" x14ac:dyDescent="0.2">
      <c r="A244" s="73" t="s">
        <v>491</v>
      </c>
      <c r="B244" s="77" t="s">
        <v>1541</v>
      </c>
      <c r="C244" s="74" t="s">
        <v>1615</v>
      </c>
      <c r="D244" s="74" t="s">
        <v>975</v>
      </c>
      <c r="E244" s="78" t="s">
        <v>113</v>
      </c>
      <c r="F244" s="76" t="s">
        <v>1569</v>
      </c>
      <c r="G244" s="75" t="s">
        <v>1193</v>
      </c>
      <c r="H244" s="70"/>
      <c r="P244" s="70">
        <f t="shared" si="3"/>
        <v>0</v>
      </c>
      <c r="Q244" s="70" cm="1">
        <f t="array" ref="Q244">IF(P244=1,IF(SUMPRODUCT(($P$2:P244)*(--($G$2:G244=$G244)))=1,1,0),0)</f>
        <v>0</v>
      </c>
      <c r="R244" s="70" t="str">
        <f>IF(Q244=1,SUM($Q$2:Q244),"")</f>
        <v/>
      </c>
    </row>
    <row r="245" spans="1:18" ht="16" x14ac:dyDescent="0.2">
      <c r="A245" s="73" t="s">
        <v>491</v>
      </c>
      <c r="B245" s="77" t="s">
        <v>1541</v>
      </c>
      <c r="C245" s="74" t="s">
        <v>1615</v>
      </c>
      <c r="D245" s="74" t="s">
        <v>975</v>
      </c>
      <c r="E245" s="78" t="s">
        <v>1002</v>
      </c>
      <c r="F245" s="76" t="s">
        <v>1569</v>
      </c>
      <c r="G245" s="75" t="s">
        <v>1193</v>
      </c>
      <c r="H245" s="70"/>
      <c r="P245" s="70">
        <f t="shared" si="3"/>
        <v>0</v>
      </c>
      <c r="Q245" s="70" cm="1">
        <f t="array" ref="Q245">IF(P245=1,IF(SUMPRODUCT(($P$2:P245)*(--($G$2:G245=$G245)))=1,1,0),0)</f>
        <v>0</v>
      </c>
      <c r="R245" s="70" t="str">
        <f>IF(Q245=1,SUM($Q$2:Q245),"")</f>
        <v/>
      </c>
    </row>
    <row r="246" spans="1:18" ht="16" x14ac:dyDescent="0.2">
      <c r="A246" s="73" t="s">
        <v>491</v>
      </c>
      <c r="B246" s="77" t="s">
        <v>1541</v>
      </c>
      <c r="C246" s="74" t="s">
        <v>1615</v>
      </c>
      <c r="D246" s="74" t="s">
        <v>975</v>
      </c>
      <c r="E246" s="78" t="s">
        <v>113</v>
      </c>
      <c r="F246" s="76" t="s">
        <v>1565</v>
      </c>
      <c r="G246" s="75" t="s">
        <v>1195</v>
      </c>
      <c r="H246" s="70"/>
      <c r="P246" s="70">
        <f t="shared" si="3"/>
        <v>0</v>
      </c>
      <c r="Q246" s="70" cm="1">
        <f t="array" ref="Q246">IF(P246=1,IF(SUMPRODUCT(($P$2:P246)*(--($G$2:G246=$G246)))=1,1,0),0)</f>
        <v>0</v>
      </c>
      <c r="R246" s="70" t="str">
        <f>IF(Q246=1,SUM($Q$2:Q246),"")</f>
        <v/>
      </c>
    </row>
    <row r="247" spans="1:18" ht="16" x14ac:dyDescent="0.2">
      <c r="A247" s="73" t="s">
        <v>491</v>
      </c>
      <c r="B247" s="77" t="s">
        <v>1541</v>
      </c>
      <c r="C247" s="74" t="s">
        <v>1615</v>
      </c>
      <c r="D247" s="74" t="s">
        <v>975</v>
      </c>
      <c r="E247" s="78" t="s">
        <v>1002</v>
      </c>
      <c r="F247" s="76" t="s">
        <v>1565</v>
      </c>
      <c r="G247" s="75" t="s">
        <v>1195</v>
      </c>
      <c r="H247" s="70"/>
      <c r="P247" s="70">
        <f t="shared" si="3"/>
        <v>0</v>
      </c>
      <c r="Q247" s="70" cm="1">
        <f t="array" ref="Q247">IF(P247=1,IF(SUMPRODUCT(($P$2:P247)*(--($G$2:G247=$G247)))=1,1,0),0)</f>
        <v>0</v>
      </c>
      <c r="R247" s="70" t="str">
        <f>IF(Q247=1,SUM($Q$2:Q247),"")</f>
        <v/>
      </c>
    </row>
    <row r="248" spans="1:18" ht="16" x14ac:dyDescent="0.2">
      <c r="A248" s="73" t="s">
        <v>491</v>
      </c>
      <c r="B248" s="77" t="s">
        <v>1541</v>
      </c>
      <c r="C248" s="74" t="s">
        <v>1615</v>
      </c>
      <c r="D248" s="74" t="s">
        <v>975</v>
      </c>
      <c r="E248" s="78" t="s">
        <v>113</v>
      </c>
      <c r="F248" s="76" t="s">
        <v>1621</v>
      </c>
      <c r="G248" s="75" t="s">
        <v>1192</v>
      </c>
      <c r="H248" s="70"/>
      <c r="P248" s="70">
        <f t="shared" si="3"/>
        <v>0</v>
      </c>
      <c r="Q248" s="70" cm="1">
        <f t="array" ref="Q248">IF(P248=1,IF(SUMPRODUCT(($P$2:P248)*(--($G$2:G248=$G248)))=1,1,0),0)</f>
        <v>0</v>
      </c>
      <c r="R248" s="70" t="str">
        <f>IF(Q248=1,SUM($Q$2:Q248),"")</f>
        <v/>
      </c>
    </row>
    <row r="249" spans="1:18" ht="16" x14ac:dyDescent="0.2">
      <c r="A249" s="73" t="s">
        <v>491</v>
      </c>
      <c r="B249" s="77" t="s">
        <v>1541</v>
      </c>
      <c r="C249" s="74" t="s">
        <v>1615</v>
      </c>
      <c r="D249" s="74" t="s">
        <v>975</v>
      </c>
      <c r="E249" s="78" t="s">
        <v>1002</v>
      </c>
      <c r="F249" s="76" t="s">
        <v>1621</v>
      </c>
      <c r="G249" s="75" t="s">
        <v>1192</v>
      </c>
      <c r="H249" s="70"/>
      <c r="P249" s="70">
        <f t="shared" si="3"/>
        <v>0</v>
      </c>
      <c r="Q249" s="70" cm="1">
        <f t="array" ref="Q249">IF(P249=1,IF(SUMPRODUCT(($P$2:P249)*(--($G$2:G249=$G249)))=1,1,0),0)</f>
        <v>0</v>
      </c>
      <c r="R249" s="70" t="str">
        <f>IF(Q249=1,SUM($Q$2:Q249),"")</f>
        <v/>
      </c>
    </row>
    <row r="250" spans="1:18" ht="16" x14ac:dyDescent="0.2">
      <c r="A250" s="73" t="s">
        <v>491</v>
      </c>
      <c r="B250" s="77" t="s">
        <v>1541</v>
      </c>
      <c r="C250" s="74" t="s">
        <v>1615</v>
      </c>
      <c r="D250" s="74" t="s">
        <v>975</v>
      </c>
      <c r="E250" s="78" t="s">
        <v>113</v>
      </c>
      <c r="F250" s="76" t="s">
        <v>1622</v>
      </c>
      <c r="G250" s="75" t="s">
        <v>1194</v>
      </c>
      <c r="H250" s="70"/>
      <c r="P250" s="70">
        <f t="shared" si="3"/>
        <v>0</v>
      </c>
      <c r="Q250" s="70" cm="1">
        <f t="array" ref="Q250">IF(P250=1,IF(SUMPRODUCT(($P$2:P250)*(--($G$2:G250=$G250)))=1,1,0),0)</f>
        <v>0</v>
      </c>
      <c r="R250" s="70" t="str">
        <f>IF(Q250=1,SUM($Q$2:Q250),"")</f>
        <v/>
      </c>
    </row>
    <row r="251" spans="1:18" ht="16" x14ac:dyDescent="0.2">
      <c r="A251" s="73" t="s">
        <v>491</v>
      </c>
      <c r="B251" s="77" t="s">
        <v>1541</v>
      </c>
      <c r="C251" s="74" t="s">
        <v>1615</v>
      </c>
      <c r="D251" s="74" t="s">
        <v>975</v>
      </c>
      <c r="E251" s="78" t="s">
        <v>1002</v>
      </c>
      <c r="F251" s="76" t="s">
        <v>1622</v>
      </c>
      <c r="G251" s="75" t="s">
        <v>1194</v>
      </c>
      <c r="H251" s="70"/>
      <c r="P251" s="70">
        <f t="shared" si="3"/>
        <v>0</v>
      </c>
      <c r="Q251" s="70" cm="1">
        <f t="array" ref="Q251">IF(P251=1,IF(SUMPRODUCT(($P$2:P251)*(--($G$2:G251=$G251)))=1,1,0),0)</f>
        <v>0</v>
      </c>
      <c r="R251" s="70" t="str">
        <f>IF(Q251=1,SUM($Q$2:Q251),"")</f>
        <v/>
      </c>
    </row>
    <row r="252" spans="1:18" x14ac:dyDescent="0.2">
      <c r="A252" s="73" t="s">
        <v>491</v>
      </c>
      <c r="B252" s="77" t="s">
        <v>1541</v>
      </c>
      <c r="C252" s="74" t="s">
        <v>1615</v>
      </c>
      <c r="D252" s="74" t="s">
        <v>975</v>
      </c>
      <c r="E252" s="78" t="s">
        <v>120</v>
      </c>
      <c r="F252" s="76" t="s">
        <v>1617</v>
      </c>
      <c r="G252" s="76" t="s">
        <v>1186</v>
      </c>
      <c r="H252" s="70"/>
      <c r="P252" s="70">
        <f t="shared" si="3"/>
        <v>0</v>
      </c>
      <c r="Q252" s="70" cm="1">
        <f t="array" ref="Q252">IF(P252=1,IF(SUMPRODUCT(($P$2:P252)*(--($G$2:G252=$G252)))=1,1,0),0)</f>
        <v>0</v>
      </c>
      <c r="R252" s="70" t="str">
        <f>IF(Q252=1,SUM($Q$2:Q252),"")</f>
        <v/>
      </c>
    </row>
    <row r="253" spans="1:18" x14ac:dyDescent="0.2">
      <c r="A253" s="73" t="s">
        <v>491</v>
      </c>
      <c r="B253" s="77" t="s">
        <v>1541</v>
      </c>
      <c r="C253" s="74" t="s">
        <v>1615</v>
      </c>
      <c r="D253" s="74" t="s">
        <v>975</v>
      </c>
      <c r="E253" s="78" t="s">
        <v>113</v>
      </c>
      <c r="F253" s="76" t="s">
        <v>1570</v>
      </c>
      <c r="G253" s="76" t="s">
        <v>1188</v>
      </c>
      <c r="H253" s="70"/>
      <c r="P253" s="70">
        <f t="shared" si="3"/>
        <v>0</v>
      </c>
      <c r="Q253" s="70" cm="1">
        <f t="array" ref="Q253">IF(P253=1,IF(SUMPRODUCT(($P$2:P253)*(--($G$2:G253=$G253)))=1,1,0),0)</f>
        <v>0</v>
      </c>
      <c r="R253" s="70" t="str">
        <f>IF(Q253=1,SUM($Q$2:Q253),"")</f>
        <v/>
      </c>
    </row>
    <row r="254" spans="1:18" x14ac:dyDescent="0.2">
      <c r="A254" s="73" t="s">
        <v>491</v>
      </c>
      <c r="B254" s="77" t="s">
        <v>1541</v>
      </c>
      <c r="C254" s="74" t="s">
        <v>1615</v>
      </c>
      <c r="D254" s="74" t="s">
        <v>975</v>
      </c>
      <c r="E254" s="78" t="s">
        <v>1002</v>
      </c>
      <c r="F254" s="76" t="s">
        <v>1570</v>
      </c>
      <c r="G254" s="76" t="s">
        <v>1188</v>
      </c>
      <c r="H254" s="70"/>
      <c r="P254" s="70">
        <f t="shared" si="3"/>
        <v>0</v>
      </c>
      <c r="Q254" s="70" cm="1">
        <f t="array" ref="Q254">IF(P254=1,IF(SUMPRODUCT(($P$2:P254)*(--($G$2:G254=$G254)))=1,1,0),0)</f>
        <v>0</v>
      </c>
      <c r="R254" s="70" t="str">
        <f>IF(Q254=1,SUM($Q$2:Q254),"")</f>
        <v/>
      </c>
    </row>
    <row r="255" spans="1:18" x14ac:dyDescent="0.2">
      <c r="A255" s="73" t="s">
        <v>491</v>
      </c>
      <c r="B255" s="77" t="s">
        <v>1541</v>
      </c>
      <c r="C255" s="74" t="s">
        <v>1615</v>
      </c>
      <c r="D255" s="74" t="s">
        <v>975</v>
      </c>
      <c r="E255" s="78" t="s">
        <v>113</v>
      </c>
      <c r="F255" s="76" t="s">
        <v>1571</v>
      </c>
      <c r="G255" s="76" t="s">
        <v>1188</v>
      </c>
      <c r="H255" s="70"/>
      <c r="P255" s="70">
        <f t="shared" si="3"/>
        <v>0</v>
      </c>
      <c r="Q255" s="70" cm="1">
        <f t="array" ref="Q255">IF(P255=1,IF(SUMPRODUCT(($P$2:P255)*(--($G$2:G255=$G255)))=1,1,0),0)</f>
        <v>0</v>
      </c>
      <c r="R255" s="70" t="str">
        <f>IF(Q255=1,SUM($Q$2:Q255),"")</f>
        <v/>
      </c>
    </row>
    <row r="256" spans="1:18" x14ac:dyDescent="0.2">
      <c r="A256" s="73" t="s">
        <v>491</v>
      </c>
      <c r="B256" s="77" t="s">
        <v>1541</v>
      </c>
      <c r="C256" s="74" t="s">
        <v>1615</v>
      </c>
      <c r="D256" s="74" t="s">
        <v>975</v>
      </c>
      <c r="E256" s="78" t="s">
        <v>1002</v>
      </c>
      <c r="F256" s="76" t="s">
        <v>1571</v>
      </c>
      <c r="G256" s="76" t="s">
        <v>1188</v>
      </c>
      <c r="H256" s="70"/>
      <c r="P256" s="70">
        <f t="shared" si="3"/>
        <v>0</v>
      </c>
      <c r="Q256" s="70" cm="1">
        <f t="array" ref="Q256">IF(P256=1,IF(SUMPRODUCT(($P$2:P256)*(--($G$2:G256=$G256)))=1,1,0),0)</f>
        <v>0</v>
      </c>
      <c r="R256" s="70" t="str">
        <f>IF(Q256=1,SUM($Q$2:Q256),"")</f>
        <v/>
      </c>
    </row>
    <row r="257" spans="1:18" x14ac:dyDescent="0.2">
      <c r="A257" s="73" t="s">
        <v>491</v>
      </c>
      <c r="B257" s="77" t="s">
        <v>1541</v>
      </c>
      <c r="C257" s="74" t="s">
        <v>1615</v>
      </c>
      <c r="D257" s="74" t="s">
        <v>975</v>
      </c>
      <c r="E257" s="78" t="s">
        <v>113</v>
      </c>
      <c r="F257" s="76" t="s">
        <v>1623</v>
      </c>
      <c r="G257" s="76" t="s">
        <v>1188</v>
      </c>
      <c r="H257" s="70"/>
      <c r="P257" s="70">
        <f t="shared" si="3"/>
        <v>0</v>
      </c>
      <c r="Q257" s="70" cm="1">
        <f t="array" ref="Q257">IF(P257=1,IF(SUMPRODUCT(($P$2:P257)*(--($G$2:G257=$G257)))=1,1,0),0)</f>
        <v>0</v>
      </c>
      <c r="R257" s="70" t="str">
        <f>IF(Q257=1,SUM($Q$2:Q257),"")</f>
        <v/>
      </c>
    </row>
    <row r="258" spans="1:18" x14ac:dyDescent="0.2">
      <c r="A258" s="73" t="s">
        <v>491</v>
      </c>
      <c r="B258" s="77" t="s">
        <v>1541</v>
      </c>
      <c r="C258" s="74" t="s">
        <v>1615</v>
      </c>
      <c r="D258" s="74" t="s">
        <v>975</v>
      </c>
      <c r="E258" s="78" t="s">
        <v>1002</v>
      </c>
      <c r="F258" s="76" t="s">
        <v>1623</v>
      </c>
      <c r="G258" s="76" t="s">
        <v>1188</v>
      </c>
      <c r="H258" s="70"/>
      <c r="P258" s="70">
        <f t="shared" si="3"/>
        <v>0</v>
      </c>
      <c r="Q258" s="70" cm="1">
        <f t="array" ref="Q258">IF(P258=1,IF(SUMPRODUCT(($P$2:P258)*(--($G$2:G258=$G258)))=1,1,0),0)</f>
        <v>0</v>
      </c>
      <c r="R258" s="70" t="str">
        <f>IF(Q258=1,SUM($Q$2:Q258),"")</f>
        <v/>
      </c>
    </row>
    <row r="259" spans="1:18" x14ac:dyDescent="0.2">
      <c r="A259" s="73" t="s">
        <v>491</v>
      </c>
      <c r="B259" s="77" t="s">
        <v>1541</v>
      </c>
      <c r="C259" s="74" t="s">
        <v>1615</v>
      </c>
      <c r="D259" s="74" t="s">
        <v>975</v>
      </c>
      <c r="E259" s="78" t="s">
        <v>113</v>
      </c>
      <c r="F259" s="76" t="s">
        <v>1624</v>
      </c>
      <c r="G259" s="76" t="s">
        <v>1188</v>
      </c>
      <c r="H259" s="70"/>
      <c r="P259" s="70">
        <f t="shared" ref="P259:P322" si="4">IF(AND(IF(TRIM($J$2&amp;"")="",TRUE,LEFT($D259,LEN($J$2))=$J$2),IF(TRIM($K$2&amp;"")="",TRUE,$E259=$K$2),IF($L$2="",TRUE,$F259=$L$2)),1,0)</f>
        <v>0</v>
      </c>
      <c r="Q259" s="70" cm="1">
        <f t="array" ref="Q259">IF(P259=1,IF(SUMPRODUCT(($P$2:P259)*(--($G$2:G259=$G259)))=1,1,0),0)</f>
        <v>0</v>
      </c>
      <c r="R259" s="70" t="str">
        <f>IF(Q259=1,SUM($Q$2:Q259),"")</f>
        <v/>
      </c>
    </row>
    <row r="260" spans="1:18" x14ac:dyDescent="0.2">
      <c r="A260" s="73" t="s">
        <v>491</v>
      </c>
      <c r="B260" s="77" t="s">
        <v>1541</v>
      </c>
      <c r="C260" s="74" t="s">
        <v>1615</v>
      </c>
      <c r="D260" s="74" t="s">
        <v>975</v>
      </c>
      <c r="E260" s="78" t="s">
        <v>1002</v>
      </c>
      <c r="F260" s="76" t="s">
        <v>1624</v>
      </c>
      <c r="G260" s="76" t="s">
        <v>1188</v>
      </c>
      <c r="H260" s="70"/>
      <c r="P260" s="70">
        <f t="shared" si="4"/>
        <v>0</v>
      </c>
      <c r="Q260" s="70" cm="1">
        <f t="array" ref="Q260">IF(P260=1,IF(SUMPRODUCT(($P$2:P260)*(--($G$2:G260=$G260)))=1,1,0),0)</f>
        <v>0</v>
      </c>
      <c r="R260" s="70" t="str">
        <f>IF(Q260=1,SUM($Q$2:Q260),"")</f>
        <v/>
      </c>
    </row>
    <row r="261" spans="1:18" x14ac:dyDescent="0.2">
      <c r="A261" s="73" t="s">
        <v>491</v>
      </c>
      <c r="B261" s="77" t="s">
        <v>1541</v>
      </c>
      <c r="C261" s="74" t="s">
        <v>1615</v>
      </c>
      <c r="D261" s="74" t="s">
        <v>975</v>
      </c>
      <c r="E261" s="78" t="s">
        <v>113</v>
      </c>
      <c r="F261" s="76" t="s">
        <v>1625</v>
      </c>
      <c r="G261" s="76" t="s">
        <v>1188</v>
      </c>
      <c r="H261" s="70"/>
      <c r="P261" s="70">
        <f t="shared" si="4"/>
        <v>0</v>
      </c>
      <c r="Q261" s="70" cm="1">
        <f t="array" ref="Q261">IF(P261=1,IF(SUMPRODUCT(($P$2:P261)*(--($G$2:G261=$G261)))=1,1,0),0)</f>
        <v>0</v>
      </c>
      <c r="R261" s="70" t="str">
        <f>IF(Q261=1,SUM($Q$2:Q261),"")</f>
        <v/>
      </c>
    </row>
    <row r="262" spans="1:18" x14ac:dyDescent="0.2">
      <c r="A262" s="73" t="s">
        <v>491</v>
      </c>
      <c r="B262" s="77" t="s">
        <v>1541</v>
      </c>
      <c r="C262" s="74" t="s">
        <v>1615</v>
      </c>
      <c r="D262" s="74" t="s">
        <v>975</v>
      </c>
      <c r="E262" s="78" t="s">
        <v>1002</v>
      </c>
      <c r="F262" s="76" t="s">
        <v>1625</v>
      </c>
      <c r="G262" s="76" t="s">
        <v>1188</v>
      </c>
      <c r="H262" s="70"/>
      <c r="P262" s="70">
        <f t="shared" si="4"/>
        <v>0</v>
      </c>
      <c r="Q262" s="70" cm="1">
        <f t="array" ref="Q262">IF(P262=1,IF(SUMPRODUCT(($P$2:P262)*(--($G$2:G262=$G262)))=1,1,0),0)</f>
        <v>0</v>
      </c>
      <c r="R262" s="70" t="str">
        <f>IF(Q262=1,SUM($Q$2:Q262),"")</f>
        <v/>
      </c>
    </row>
    <row r="263" spans="1:18" x14ac:dyDescent="0.2">
      <c r="A263" s="73" t="s">
        <v>491</v>
      </c>
      <c r="B263" s="77" t="s">
        <v>1541</v>
      </c>
      <c r="C263" s="74" t="s">
        <v>1615</v>
      </c>
      <c r="D263" s="74" t="s">
        <v>975</v>
      </c>
      <c r="E263" s="78" t="s">
        <v>113</v>
      </c>
      <c r="F263" s="76" t="s">
        <v>1626</v>
      </c>
      <c r="G263" s="76" t="s">
        <v>1188</v>
      </c>
      <c r="H263" s="70"/>
      <c r="P263" s="70">
        <f t="shared" si="4"/>
        <v>0</v>
      </c>
      <c r="Q263" s="70" cm="1">
        <f t="array" ref="Q263">IF(P263=1,IF(SUMPRODUCT(($P$2:P263)*(--($G$2:G263=$G263)))=1,1,0),0)</f>
        <v>0</v>
      </c>
      <c r="R263" s="70" t="str">
        <f>IF(Q263=1,SUM($Q$2:Q263),"")</f>
        <v/>
      </c>
    </row>
    <row r="264" spans="1:18" x14ac:dyDescent="0.2">
      <c r="A264" s="73" t="s">
        <v>491</v>
      </c>
      <c r="B264" s="77" t="s">
        <v>1541</v>
      </c>
      <c r="C264" s="74" t="s">
        <v>1615</v>
      </c>
      <c r="D264" s="74" t="s">
        <v>975</v>
      </c>
      <c r="E264" s="78" t="s">
        <v>1002</v>
      </c>
      <c r="F264" s="76" t="s">
        <v>1626</v>
      </c>
      <c r="G264" s="76" t="s">
        <v>1188</v>
      </c>
      <c r="H264" s="70"/>
      <c r="P264" s="70">
        <f t="shared" si="4"/>
        <v>0</v>
      </c>
      <c r="Q264" s="70" cm="1">
        <f t="array" ref="Q264">IF(P264=1,IF(SUMPRODUCT(($P$2:P264)*(--($G$2:G264=$G264)))=1,1,0),0)</f>
        <v>0</v>
      </c>
      <c r="R264" s="70" t="str">
        <f>IF(Q264=1,SUM($Q$2:Q264),"")</f>
        <v/>
      </c>
    </row>
    <row r="265" spans="1:18" x14ac:dyDescent="0.2">
      <c r="A265" s="73" t="s">
        <v>491</v>
      </c>
      <c r="B265" s="77" t="s">
        <v>1541</v>
      </c>
      <c r="C265" s="74" t="s">
        <v>1615</v>
      </c>
      <c r="D265" s="74" t="s">
        <v>975</v>
      </c>
      <c r="E265" s="78" t="s">
        <v>113</v>
      </c>
      <c r="F265" s="76" t="s">
        <v>1627</v>
      </c>
      <c r="G265" s="76" t="s">
        <v>1076</v>
      </c>
      <c r="H265" s="70"/>
      <c r="P265" s="70">
        <f t="shared" si="4"/>
        <v>0</v>
      </c>
      <c r="Q265" s="70" cm="1">
        <f t="array" ref="Q265">IF(P265=1,IF(SUMPRODUCT(($P$2:P265)*(--($G$2:G265=$G265)))=1,1,0),0)</f>
        <v>0</v>
      </c>
      <c r="R265" s="70" t="str">
        <f>IF(Q265=1,SUM($Q$2:Q265),"")</f>
        <v/>
      </c>
    </row>
    <row r="266" spans="1:18" x14ac:dyDescent="0.2">
      <c r="A266" s="73" t="s">
        <v>491</v>
      </c>
      <c r="B266" s="77" t="s">
        <v>1541</v>
      </c>
      <c r="C266" s="74" t="s">
        <v>1615</v>
      </c>
      <c r="D266" s="74" t="s">
        <v>975</v>
      </c>
      <c r="E266" s="78" t="s">
        <v>1002</v>
      </c>
      <c r="F266" s="76" t="s">
        <v>1627</v>
      </c>
      <c r="G266" s="76" t="s">
        <v>1076</v>
      </c>
      <c r="H266" s="70"/>
      <c r="P266" s="70">
        <f t="shared" si="4"/>
        <v>0</v>
      </c>
      <c r="Q266" s="70" cm="1">
        <f t="array" ref="Q266">IF(P266=1,IF(SUMPRODUCT(($P$2:P266)*(--($G$2:G266=$G266)))=1,1,0),0)</f>
        <v>0</v>
      </c>
      <c r="R266" s="70" t="str">
        <f>IF(Q266=1,SUM($Q$2:Q266),"")</f>
        <v/>
      </c>
    </row>
    <row r="267" spans="1:18" x14ac:dyDescent="0.2">
      <c r="A267" s="73" t="s">
        <v>491</v>
      </c>
      <c r="B267" s="77" t="s">
        <v>1541</v>
      </c>
      <c r="C267" s="74" t="s">
        <v>1615</v>
      </c>
      <c r="D267" s="74" t="s">
        <v>975</v>
      </c>
      <c r="E267" s="78" t="s">
        <v>113</v>
      </c>
      <c r="F267" s="76" t="s">
        <v>1628</v>
      </c>
      <c r="G267" s="76" t="s">
        <v>1172</v>
      </c>
      <c r="H267" s="70"/>
      <c r="P267" s="70">
        <f t="shared" si="4"/>
        <v>0</v>
      </c>
      <c r="Q267" s="70" cm="1">
        <f t="array" ref="Q267">IF(P267=1,IF(SUMPRODUCT(($P$2:P267)*(--($G$2:G267=$G267)))=1,1,0),0)</f>
        <v>0</v>
      </c>
      <c r="R267" s="70" t="str">
        <f>IF(Q267=1,SUM($Q$2:Q267),"")</f>
        <v/>
      </c>
    </row>
    <row r="268" spans="1:18" x14ac:dyDescent="0.2">
      <c r="A268" s="73" t="s">
        <v>491</v>
      </c>
      <c r="B268" s="77" t="s">
        <v>1541</v>
      </c>
      <c r="C268" s="74" t="s">
        <v>1615</v>
      </c>
      <c r="D268" s="74" t="s">
        <v>975</v>
      </c>
      <c r="E268" s="78" t="s">
        <v>1002</v>
      </c>
      <c r="F268" s="76" t="s">
        <v>1628</v>
      </c>
      <c r="G268" s="76" t="s">
        <v>1172</v>
      </c>
      <c r="H268" s="70"/>
      <c r="P268" s="70">
        <f t="shared" si="4"/>
        <v>0</v>
      </c>
      <c r="Q268" s="70" cm="1">
        <f t="array" ref="Q268">IF(P268=1,IF(SUMPRODUCT(($P$2:P268)*(--($G$2:G268=$G268)))=1,1,0),0)</f>
        <v>0</v>
      </c>
      <c r="R268" s="70" t="str">
        <f>IF(Q268=1,SUM($Q$2:Q268),"")</f>
        <v/>
      </c>
    </row>
    <row r="269" spans="1:18" x14ac:dyDescent="0.2">
      <c r="A269" s="73" t="s">
        <v>491</v>
      </c>
      <c r="B269" s="77" t="s">
        <v>1541</v>
      </c>
      <c r="C269" s="74" t="s">
        <v>1615</v>
      </c>
      <c r="D269" s="74" t="s">
        <v>975</v>
      </c>
      <c r="E269" s="78" t="s">
        <v>113</v>
      </c>
      <c r="F269" s="76" t="s">
        <v>1588</v>
      </c>
      <c r="G269" s="76" t="s">
        <v>1175</v>
      </c>
      <c r="H269" s="70"/>
      <c r="P269" s="70">
        <f t="shared" si="4"/>
        <v>0</v>
      </c>
      <c r="Q269" s="70" cm="1">
        <f t="array" ref="Q269">IF(P269=1,IF(SUMPRODUCT(($P$2:P269)*(--($G$2:G269=$G269)))=1,1,0),0)</f>
        <v>0</v>
      </c>
      <c r="R269" s="70" t="str">
        <f>IF(Q269=1,SUM($Q$2:Q269),"")</f>
        <v/>
      </c>
    </row>
    <row r="270" spans="1:18" x14ac:dyDescent="0.2">
      <c r="A270" s="73" t="s">
        <v>491</v>
      </c>
      <c r="B270" s="77" t="s">
        <v>1541</v>
      </c>
      <c r="C270" s="74" t="s">
        <v>1615</v>
      </c>
      <c r="D270" s="74" t="s">
        <v>975</v>
      </c>
      <c r="E270" s="78" t="s">
        <v>1002</v>
      </c>
      <c r="F270" s="76" t="s">
        <v>1588</v>
      </c>
      <c r="G270" s="76" t="s">
        <v>1175</v>
      </c>
      <c r="H270" s="70"/>
      <c r="P270" s="70">
        <f t="shared" si="4"/>
        <v>0</v>
      </c>
      <c r="Q270" s="70" cm="1">
        <f t="array" ref="Q270">IF(P270=1,IF(SUMPRODUCT(($P$2:P270)*(--($G$2:G270=$G270)))=1,1,0),0)</f>
        <v>0</v>
      </c>
      <c r="R270" s="70" t="str">
        <f>IF(Q270=1,SUM($Q$2:Q270),"")</f>
        <v/>
      </c>
    </row>
    <row r="271" spans="1:18" x14ac:dyDescent="0.2">
      <c r="A271" s="73" t="s">
        <v>491</v>
      </c>
      <c r="B271" s="77" t="s">
        <v>1541</v>
      </c>
      <c r="C271" s="74" t="s">
        <v>1615</v>
      </c>
      <c r="D271" s="74" t="s">
        <v>975</v>
      </c>
      <c r="E271" s="78" t="s">
        <v>1002</v>
      </c>
      <c r="F271" s="76" t="s">
        <v>1589</v>
      </c>
      <c r="G271" s="76" t="s">
        <v>1177</v>
      </c>
      <c r="H271" s="70"/>
      <c r="P271" s="70">
        <f t="shared" si="4"/>
        <v>0</v>
      </c>
      <c r="Q271" s="70" cm="1">
        <f t="array" ref="Q271">IF(P271=1,IF(SUMPRODUCT(($P$2:P271)*(--($G$2:G271=$G271)))=1,1,0),0)</f>
        <v>0</v>
      </c>
      <c r="R271" s="70" t="str">
        <f>IF(Q271=1,SUM($Q$2:Q271),"")</f>
        <v/>
      </c>
    </row>
    <row r="272" spans="1:18" x14ac:dyDescent="0.2">
      <c r="A272" s="73" t="s">
        <v>491</v>
      </c>
      <c r="B272" s="77" t="s">
        <v>1541</v>
      </c>
      <c r="C272" s="74" t="s">
        <v>1615</v>
      </c>
      <c r="D272" s="74" t="s">
        <v>975</v>
      </c>
      <c r="E272" s="78" t="s">
        <v>113</v>
      </c>
      <c r="F272" s="76" t="s">
        <v>1590</v>
      </c>
      <c r="G272" s="76" t="s">
        <v>1174</v>
      </c>
      <c r="H272" s="70"/>
      <c r="P272" s="70">
        <f t="shared" si="4"/>
        <v>0</v>
      </c>
      <c r="Q272" s="70" cm="1">
        <f t="array" ref="Q272">IF(P272=1,IF(SUMPRODUCT(($P$2:P272)*(--($G$2:G272=$G272)))=1,1,0),0)</f>
        <v>0</v>
      </c>
      <c r="R272" s="70" t="str">
        <f>IF(Q272=1,SUM($Q$2:Q272),"")</f>
        <v/>
      </c>
    </row>
    <row r="273" spans="1:18" x14ac:dyDescent="0.2">
      <c r="A273" s="73" t="s">
        <v>491</v>
      </c>
      <c r="B273" s="77" t="s">
        <v>1541</v>
      </c>
      <c r="C273" s="74" t="s">
        <v>1615</v>
      </c>
      <c r="D273" s="74" t="s">
        <v>975</v>
      </c>
      <c r="E273" s="78" t="s">
        <v>1002</v>
      </c>
      <c r="F273" s="76" t="s">
        <v>1590</v>
      </c>
      <c r="G273" s="76" t="s">
        <v>1174</v>
      </c>
      <c r="H273" s="70"/>
      <c r="P273" s="70">
        <f t="shared" si="4"/>
        <v>0</v>
      </c>
      <c r="Q273" s="70" cm="1">
        <f t="array" ref="Q273">IF(P273=1,IF(SUMPRODUCT(($P$2:P273)*(--($G$2:G273=$G273)))=1,1,0),0)</f>
        <v>0</v>
      </c>
      <c r="R273" s="70" t="str">
        <f>IF(Q273=1,SUM($Q$2:Q273),"")</f>
        <v/>
      </c>
    </row>
    <row r="274" spans="1:18" x14ac:dyDescent="0.2">
      <c r="A274" s="73" t="s">
        <v>491</v>
      </c>
      <c r="B274" s="77" t="s">
        <v>1541</v>
      </c>
      <c r="C274" s="74" t="s">
        <v>1615</v>
      </c>
      <c r="D274" s="74" t="s">
        <v>975</v>
      </c>
      <c r="E274" s="78" t="s">
        <v>113</v>
      </c>
      <c r="F274" s="76" t="s">
        <v>1629</v>
      </c>
      <c r="G274" s="76" t="s">
        <v>1174</v>
      </c>
      <c r="H274" s="70"/>
      <c r="P274" s="70">
        <f t="shared" si="4"/>
        <v>0</v>
      </c>
      <c r="Q274" s="70" cm="1">
        <f t="array" ref="Q274">IF(P274=1,IF(SUMPRODUCT(($P$2:P274)*(--($G$2:G274=$G274)))=1,1,0),0)</f>
        <v>0</v>
      </c>
      <c r="R274" s="70" t="str">
        <f>IF(Q274=1,SUM($Q$2:Q274),"")</f>
        <v/>
      </c>
    </row>
    <row r="275" spans="1:18" x14ac:dyDescent="0.2">
      <c r="A275" s="73" t="s">
        <v>491</v>
      </c>
      <c r="B275" s="77" t="s">
        <v>1541</v>
      </c>
      <c r="C275" s="74" t="s">
        <v>1615</v>
      </c>
      <c r="D275" s="74" t="s">
        <v>975</v>
      </c>
      <c r="E275" s="78" t="s">
        <v>1002</v>
      </c>
      <c r="F275" s="76" t="s">
        <v>1629</v>
      </c>
      <c r="G275" s="76" t="s">
        <v>1174</v>
      </c>
      <c r="H275" s="70"/>
      <c r="P275" s="70">
        <f t="shared" si="4"/>
        <v>0</v>
      </c>
      <c r="Q275" s="70" cm="1">
        <f t="array" ref="Q275">IF(P275=1,IF(SUMPRODUCT(($P$2:P275)*(--($G$2:G275=$G275)))=1,1,0),0)</f>
        <v>0</v>
      </c>
      <c r="R275" s="70" t="str">
        <f>IF(Q275=1,SUM($Q$2:Q275),"")</f>
        <v/>
      </c>
    </row>
    <row r="276" spans="1:18" x14ac:dyDescent="0.2">
      <c r="A276" s="73" t="s">
        <v>491</v>
      </c>
      <c r="B276" s="77" t="s">
        <v>1541</v>
      </c>
      <c r="C276" s="74" t="s">
        <v>1615</v>
      </c>
      <c r="D276" s="74" t="s">
        <v>975</v>
      </c>
      <c r="E276" s="78" t="s">
        <v>113</v>
      </c>
      <c r="F276" s="76" t="s">
        <v>1630</v>
      </c>
      <c r="G276" s="76" t="s">
        <v>1174</v>
      </c>
      <c r="H276" s="70"/>
      <c r="P276" s="70">
        <f t="shared" si="4"/>
        <v>0</v>
      </c>
      <c r="Q276" s="70" cm="1">
        <f t="array" ref="Q276">IF(P276=1,IF(SUMPRODUCT(($P$2:P276)*(--($G$2:G276=$G276)))=1,1,0),0)</f>
        <v>0</v>
      </c>
      <c r="R276" s="70" t="str">
        <f>IF(Q276=1,SUM($Q$2:Q276),"")</f>
        <v/>
      </c>
    </row>
    <row r="277" spans="1:18" x14ac:dyDescent="0.2">
      <c r="A277" s="73" t="s">
        <v>491</v>
      </c>
      <c r="B277" s="77" t="s">
        <v>1541</v>
      </c>
      <c r="C277" s="74" t="s">
        <v>1615</v>
      </c>
      <c r="D277" s="74" t="s">
        <v>975</v>
      </c>
      <c r="E277" s="78" t="s">
        <v>1002</v>
      </c>
      <c r="F277" s="76" t="s">
        <v>1630</v>
      </c>
      <c r="G277" s="76" t="s">
        <v>1174</v>
      </c>
      <c r="H277" s="70"/>
      <c r="P277" s="70">
        <f t="shared" si="4"/>
        <v>0</v>
      </c>
      <c r="Q277" s="70" cm="1">
        <f t="array" ref="Q277">IF(P277=1,IF(SUMPRODUCT(($P$2:P277)*(--($G$2:G277=$G277)))=1,1,0),0)</f>
        <v>0</v>
      </c>
      <c r="R277" s="70" t="str">
        <f>IF(Q277=1,SUM($Q$2:Q277),"")</f>
        <v/>
      </c>
    </row>
    <row r="278" spans="1:18" x14ac:dyDescent="0.2">
      <c r="A278" s="73" t="s">
        <v>491</v>
      </c>
      <c r="B278" s="77" t="s">
        <v>1541</v>
      </c>
      <c r="C278" s="74" t="s">
        <v>1615</v>
      </c>
      <c r="D278" s="74" t="s">
        <v>975</v>
      </c>
      <c r="E278" s="78" t="s">
        <v>1002</v>
      </c>
      <c r="F278" s="76" t="s">
        <v>1591</v>
      </c>
      <c r="G278" s="76" t="s">
        <v>1171</v>
      </c>
      <c r="H278" s="70"/>
      <c r="P278" s="70">
        <f t="shared" si="4"/>
        <v>0</v>
      </c>
      <c r="Q278" s="70" cm="1">
        <f t="array" ref="Q278">IF(P278=1,IF(SUMPRODUCT(($P$2:P278)*(--($G$2:G278=$G278)))=1,1,0),0)</f>
        <v>0</v>
      </c>
      <c r="R278" s="70" t="str">
        <f>IF(Q278=1,SUM($Q$2:Q278),"")</f>
        <v/>
      </c>
    </row>
    <row r="279" spans="1:18" x14ac:dyDescent="0.2">
      <c r="A279" s="73" t="s">
        <v>491</v>
      </c>
      <c r="B279" s="77" t="s">
        <v>1541</v>
      </c>
      <c r="C279" s="74" t="s">
        <v>1615</v>
      </c>
      <c r="D279" s="74" t="s">
        <v>975</v>
      </c>
      <c r="E279" s="78" t="s">
        <v>113</v>
      </c>
      <c r="F279" s="76" t="s">
        <v>1591</v>
      </c>
      <c r="G279" s="76" t="s">
        <v>1171</v>
      </c>
      <c r="H279" s="70"/>
      <c r="P279" s="70">
        <f t="shared" si="4"/>
        <v>0</v>
      </c>
      <c r="Q279" s="70" cm="1">
        <f t="array" ref="Q279">IF(P279=1,IF(SUMPRODUCT(($P$2:P279)*(--($G$2:G279=$G279)))=1,1,0),0)</f>
        <v>0</v>
      </c>
      <c r="R279" s="70" t="str">
        <f>IF(Q279=1,SUM($Q$2:Q279),"")</f>
        <v/>
      </c>
    </row>
    <row r="280" spans="1:18" x14ac:dyDescent="0.2">
      <c r="A280" s="73" t="s">
        <v>491</v>
      </c>
      <c r="B280" s="77" t="s">
        <v>1541</v>
      </c>
      <c r="C280" s="74" t="s">
        <v>1615</v>
      </c>
      <c r="D280" s="74" t="s">
        <v>975</v>
      </c>
      <c r="E280" s="78" t="s">
        <v>1002</v>
      </c>
      <c r="F280" s="76" t="s">
        <v>1592</v>
      </c>
      <c r="G280" s="76" t="s">
        <v>1171</v>
      </c>
      <c r="H280" s="70"/>
      <c r="P280" s="70">
        <f t="shared" si="4"/>
        <v>0</v>
      </c>
      <c r="Q280" s="70" cm="1">
        <f t="array" ref="Q280">IF(P280=1,IF(SUMPRODUCT(($P$2:P280)*(--($G$2:G280=$G280)))=1,1,0),0)</f>
        <v>0</v>
      </c>
      <c r="R280" s="70" t="str">
        <f>IF(Q280=1,SUM($Q$2:Q280),"")</f>
        <v/>
      </c>
    </row>
    <row r="281" spans="1:18" x14ac:dyDescent="0.2">
      <c r="A281" s="73" t="s">
        <v>491</v>
      </c>
      <c r="B281" s="77" t="s">
        <v>1541</v>
      </c>
      <c r="C281" s="74" t="s">
        <v>1615</v>
      </c>
      <c r="D281" s="74" t="s">
        <v>975</v>
      </c>
      <c r="E281" s="78" t="s">
        <v>113</v>
      </c>
      <c r="F281" s="76" t="s">
        <v>1592</v>
      </c>
      <c r="G281" s="76" t="s">
        <v>1171</v>
      </c>
      <c r="H281" s="70"/>
      <c r="P281" s="70">
        <f t="shared" si="4"/>
        <v>0</v>
      </c>
      <c r="Q281" s="70" cm="1">
        <f t="array" ref="Q281">IF(P281=1,IF(SUMPRODUCT(($P$2:P281)*(--($G$2:G281=$G281)))=1,1,0),0)</f>
        <v>0</v>
      </c>
      <c r="R281" s="70" t="str">
        <f>IF(Q281=1,SUM($Q$2:Q281),"")</f>
        <v/>
      </c>
    </row>
    <row r="282" spans="1:18" x14ac:dyDescent="0.2">
      <c r="A282" s="73" t="s">
        <v>491</v>
      </c>
      <c r="B282" s="77" t="s">
        <v>1541</v>
      </c>
      <c r="C282" s="74" t="s">
        <v>1615</v>
      </c>
      <c r="D282" s="74" t="s">
        <v>975</v>
      </c>
      <c r="E282" s="78" t="s">
        <v>113</v>
      </c>
      <c r="F282" s="76" t="s">
        <v>1631</v>
      </c>
      <c r="G282" s="76" t="s">
        <v>1173</v>
      </c>
      <c r="H282" s="70"/>
      <c r="P282" s="70">
        <f t="shared" si="4"/>
        <v>0</v>
      </c>
      <c r="Q282" s="70" cm="1">
        <f t="array" ref="Q282">IF(P282=1,IF(SUMPRODUCT(($P$2:P282)*(--($G$2:G282=$G282)))=1,1,0),0)</f>
        <v>0</v>
      </c>
      <c r="R282" s="70" t="str">
        <f>IF(Q282=1,SUM($Q$2:Q282),"")</f>
        <v/>
      </c>
    </row>
    <row r="283" spans="1:18" x14ac:dyDescent="0.2">
      <c r="A283" s="73" t="s">
        <v>491</v>
      </c>
      <c r="B283" s="77" t="s">
        <v>1541</v>
      </c>
      <c r="C283" s="74" t="s">
        <v>1615</v>
      </c>
      <c r="D283" s="74" t="s">
        <v>975</v>
      </c>
      <c r="E283" s="78" t="s">
        <v>1002</v>
      </c>
      <c r="F283" s="76" t="s">
        <v>1631</v>
      </c>
      <c r="G283" s="76" t="s">
        <v>1173</v>
      </c>
      <c r="H283" s="70"/>
      <c r="P283" s="70">
        <f t="shared" si="4"/>
        <v>0</v>
      </c>
      <c r="Q283" s="70" cm="1">
        <f t="array" ref="Q283">IF(P283=1,IF(SUMPRODUCT(($P$2:P283)*(--($G$2:G283=$G283)))=1,1,0),0)</f>
        <v>0</v>
      </c>
      <c r="R283" s="70" t="str">
        <f>IF(Q283=1,SUM($Q$2:Q283),"")</f>
        <v/>
      </c>
    </row>
    <row r="284" spans="1:18" x14ac:dyDescent="0.2">
      <c r="A284" s="73" t="s">
        <v>491</v>
      </c>
      <c r="B284" s="77" t="s">
        <v>1541</v>
      </c>
      <c r="C284" s="74" t="s">
        <v>1615</v>
      </c>
      <c r="D284" s="74" t="s">
        <v>975</v>
      </c>
      <c r="E284" s="78" t="s">
        <v>113</v>
      </c>
      <c r="F284" s="76" t="s">
        <v>1632</v>
      </c>
      <c r="G284" s="76" t="s">
        <v>1176</v>
      </c>
      <c r="H284" s="70"/>
      <c r="P284" s="70">
        <f t="shared" si="4"/>
        <v>0</v>
      </c>
      <c r="Q284" s="70" cm="1">
        <f t="array" ref="Q284">IF(P284=1,IF(SUMPRODUCT(($P$2:P284)*(--($G$2:G284=$G284)))=1,1,0),0)</f>
        <v>0</v>
      </c>
      <c r="R284" s="70" t="str">
        <f>IF(Q284=1,SUM($Q$2:Q284),"")</f>
        <v/>
      </c>
    </row>
    <row r="285" spans="1:18" x14ac:dyDescent="0.2">
      <c r="A285" s="73" t="s">
        <v>491</v>
      </c>
      <c r="B285" s="77" t="s">
        <v>1541</v>
      </c>
      <c r="C285" s="74" t="s">
        <v>1615</v>
      </c>
      <c r="D285" s="74" t="s">
        <v>975</v>
      </c>
      <c r="E285" s="78" t="s">
        <v>1002</v>
      </c>
      <c r="F285" s="76" t="s">
        <v>1632</v>
      </c>
      <c r="G285" s="76" t="s">
        <v>1176</v>
      </c>
      <c r="H285" s="70"/>
      <c r="P285" s="70">
        <f t="shared" si="4"/>
        <v>0</v>
      </c>
      <c r="Q285" s="70" cm="1">
        <f t="array" ref="Q285">IF(P285=1,IF(SUMPRODUCT(($P$2:P285)*(--($G$2:G285=$G285)))=1,1,0),0)</f>
        <v>0</v>
      </c>
      <c r="R285" s="70" t="str">
        <f>IF(Q285=1,SUM($Q$2:Q285),"")</f>
        <v/>
      </c>
    </row>
    <row r="286" spans="1:18" ht="16" x14ac:dyDescent="0.2">
      <c r="A286" s="73" t="s">
        <v>491</v>
      </c>
      <c r="B286" s="77" t="s">
        <v>1541</v>
      </c>
      <c r="C286" s="74" t="s">
        <v>1615</v>
      </c>
      <c r="D286" s="74" t="s">
        <v>975</v>
      </c>
      <c r="E286" s="78" t="s">
        <v>113</v>
      </c>
      <c r="F286" s="76" t="s">
        <v>1576</v>
      </c>
      <c r="G286" s="75" t="s">
        <v>1181</v>
      </c>
      <c r="H286" s="70"/>
      <c r="P286" s="70">
        <f t="shared" si="4"/>
        <v>0</v>
      </c>
      <c r="Q286" s="70" cm="1">
        <f t="array" ref="Q286">IF(P286=1,IF(SUMPRODUCT(($P$2:P286)*(--($G$2:G286=$G286)))=1,1,0),0)</f>
        <v>0</v>
      </c>
      <c r="R286" s="70" t="str">
        <f>IF(Q286=1,SUM($Q$2:Q286),"")</f>
        <v/>
      </c>
    </row>
    <row r="287" spans="1:18" ht="16" x14ac:dyDescent="0.2">
      <c r="A287" s="73" t="s">
        <v>491</v>
      </c>
      <c r="B287" s="77" t="s">
        <v>1541</v>
      </c>
      <c r="C287" s="74" t="s">
        <v>1615</v>
      </c>
      <c r="D287" s="74" t="s">
        <v>975</v>
      </c>
      <c r="E287" s="78" t="s">
        <v>1002</v>
      </c>
      <c r="F287" s="76" t="s">
        <v>1576</v>
      </c>
      <c r="G287" s="75" t="s">
        <v>1181</v>
      </c>
      <c r="H287" s="70"/>
      <c r="P287" s="70">
        <f t="shared" si="4"/>
        <v>0</v>
      </c>
      <c r="Q287" s="70" cm="1">
        <f t="array" ref="Q287">IF(P287=1,IF(SUMPRODUCT(($P$2:P287)*(--($G$2:G287=$G287)))=1,1,0),0)</f>
        <v>0</v>
      </c>
      <c r="R287" s="70" t="str">
        <f>IF(Q287=1,SUM($Q$2:Q287),"")</f>
        <v/>
      </c>
    </row>
    <row r="288" spans="1:18" ht="16" x14ac:dyDescent="0.2">
      <c r="A288" s="73" t="s">
        <v>491</v>
      </c>
      <c r="B288" s="77" t="s">
        <v>1541</v>
      </c>
      <c r="C288" s="74" t="s">
        <v>1615</v>
      </c>
      <c r="D288" s="74" t="s">
        <v>975</v>
      </c>
      <c r="E288" s="78" t="s">
        <v>113</v>
      </c>
      <c r="F288" s="76" t="s">
        <v>1577</v>
      </c>
      <c r="G288" s="75" t="s">
        <v>1181</v>
      </c>
      <c r="H288" s="70"/>
      <c r="P288" s="70">
        <f t="shared" si="4"/>
        <v>0</v>
      </c>
      <c r="Q288" s="70" cm="1">
        <f t="array" ref="Q288">IF(P288=1,IF(SUMPRODUCT(($P$2:P288)*(--($G$2:G288=$G288)))=1,1,0),0)</f>
        <v>0</v>
      </c>
      <c r="R288" s="70" t="str">
        <f>IF(Q288=1,SUM($Q$2:Q288),"")</f>
        <v/>
      </c>
    </row>
    <row r="289" spans="1:18" ht="16" x14ac:dyDescent="0.2">
      <c r="A289" s="73" t="s">
        <v>491</v>
      </c>
      <c r="B289" s="77" t="s">
        <v>1541</v>
      </c>
      <c r="C289" s="74" t="s">
        <v>1615</v>
      </c>
      <c r="D289" s="74" t="s">
        <v>975</v>
      </c>
      <c r="E289" s="78" t="s">
        <v>1002</v>
      </c>
      <c r="F289" s="76" t="s">
        <v>1577</v>
      </c>
      <c r="G289" s="75" t="s">
        <v>1181</v>
      </c>
      <c r="H289" s="70"/>
      <c r="P289" s="70">
        <f t="shared" si="4"/>
        <v>0</v>
      </c>
      <c r="Q289" s="70" cm="1">
        <f t="array" ref="Q289">IF(P289=1,IF(SUMPRODUCT(($P$2:P289)*(--($G$2:G289=$G289)))=1,1,0),0)</f>
        <v>0</v>
      </c>
      <c r="R289" s="70" t="str">
        <f>IF(Q289=1,SUM($Q$2:Q289),"")</f>
        <v/>
      </c>
    </row>
    <row r="290" spans="1:18" ht="16" x14ac:dyDescent="0.2">
      <c r="A290" s="73" t="s">
        <v>491</v>
      </c>
      <c r="B290" s="77" t="s">
        <v>1541</v>
      </c>
      <c r="C290" s="74" t="s">
        <v>1615</v>
      </c>
      <c r="D290" s="74" t="s">
        <v>975</v>
      </c>
      <c r="E290" s="78" t="s">
        <v>113</v>
      </c>
      <c r="F290" s="76" t="s">
        <v>1633</v>
      </c>
      <c r="G290" s="75" t="s">
        <v>1181</v>
      </c>
      <c r="H290" s="70"/>
      <c r="P290" s="70">
        <f t="shared" si="4"/>
        <v>0</v>
      </c>
      <c r="Q290" s="70" cm="1">
        <f t="array" ref="Q290">IF(P290=1,IF(SUMPRODUCT(($P$2:P290)*(--($G$2:G290=$G290)))=1,1,0),0)</f>
        <v>0</v>
      </c>
      <c r="R290" s="70" t="str">
        <f>IF(Q290=1,SUM($Q$2:Q290),"")</f>
        <v/>
      </c>
    </row>
    <row r="291" spans="1:18" ht="16" x14ac:dyDescent="0.2">
      <c r="A291" s="73" t="s">
        <v>491</v>
      </c>
      <c r="B291" s="77" t="s">
        <v>1541</v>
      </c>
      <c r="C291" s="74" t="s">
        <v>1615</v>
      </c>
      <c r="D291" s="74" t="s">
        <v>975</v>
      </c>
      <c r="E291" s="78" t="s">
        <v>1002</v>
      </c>
      <c r="F291" s="76" t="s">
        <v>1633</v>
      </c>
      <c r="G291" s="75" t="s">
        <v>1181</v>
      </c>
      <c r="H291" s="70"/>
      <c r="P291" s="70">
        <f t="shared" si="4"/>
        <v>0</v>
      </c>
      <c r="Q291" s="70" cm="1">
        <f t="array" ref="Q291">IF(P291=1,IF(SUMPRODUCT(($P$2:P291)*(--($G$2:G291=$G291)))=1,1,0),0)</f>
        <v>0</v>
      </c>
      <c r="R291" s="70" t="str">
        <f>IF(Q291=1,SUM($Q$2:Q291),"")</f>
        <v/>
      </c>
    </row>
    <row r="292" spans="1:18" ht="16" x14ac:dyDescent="0.2">
      <c r="A292" s="73" t="s">
        <v>491</v>
      </c>
      <c r="B292" s="77" t="s">
        <v>1541</v>
      </c>
      <c r="C292" s="74" t="s">
        <v>1615</v>
      </c>
      <c r="D292" s="74" t="s">
        <v>975</v>
      </c>
      <c r="E292" s="78" t="s">
        <v>113</v>
      </c>
      <c r="F292" s="76" t="s">
        <v>1578</v>
      </c>
      <c r="G292" s="75" t="s">
        <v>1181</v>
      </c>
      <c r="H292" s="70"/>
      <c r="P292" s="70">
        <f t="shared" si="4"/>
        <v>0</v>
      </c>
      <c r="Q292" s="70" cm="1">
        <f t="array" ref="Q292">IF(P292=1,IF(SUMPRODUCT(($P$2:P292)*(--($G$2:G292=$G292)))=1,1,0),0)</f>
        <v>0</v>
      </c>
      <c r="R292" s="70" t="str">
        <f>IF(Q292=1,SUM($Q$2:Q292),"")</f>
        <v/>
      </c>
    </row>
    <row r="293" spans="1:18" ht="16" x14ac:dyDescent="0.2">
      <c r="A293" s="73" t="s">
        <v>491</v>
      </c>
      <c r="B293" s="77" t="s">
        <v>1541</v>
      </c>
      <c r="C293" s="74" t="s">
        <v>1615</v>
      </c>
      <c r="D293" s="74" t="s">
        <v>975</v>
      </c>
      <c r="E293" s="78" t="s">
        <v>1002</v>
      </c>
      <c r="F293" s="76" t="s">
        <v>1578</v>
      </c>
      <c r="G293" s="75" t="s">
        <v>1181</v>
      </c>
      <c r="H293" s="70"/>
      <c r="P293" s="70">
        <f t="shared" si="4"/>
        <v>0</v>
      </c>
      <c r="Q293" s="70" cm="1">
        <f t="array" ref="Q293">IF(P293=1,IF(SUMPRODUCT(($P$2:P293)*(--($G$2:G293=$G293)))=1,1,0),0)</f>
        <v>0</v>
      </c>
      <c r="R293" s="70" t="str">
        <f>IF(Q293=1,SUM($Q$2:Q293),"")</f>
        <v/>
      </c>
    </row>
    <row r="294" spans="1:18" ht="16" x14ac:dyDescent="0.2">
      <c r="A294" s="73" t="s">
        <v>491</v>
      </c>
      <c r="B294" s="77" t="s">
        <v>1541</v>
      </c>
      <c r="C294" s="74" t="s">
        <v>1615</v>
      </c>
      <c r="D294" s="74" t="s">
        <v>975</v>
      </c>
      <c r="E294" s="78" t="s">
        <v>113</v>
      </c>
      <c r="F294" s="76" t="s">
        <v>1579</v>
      </c>
      <c r="G294" s="75" t="s">
        <v>1181</v>
      </c>
      <c r="H294" s="70"/>
      <c r="P294" s="70">
        <f t="shared" si="4"/>
        <v>0</v>
      </c>
      <c r="Q294" s="70" cm="1">
        <f t="array" ref="Q294">IF(P294=1,IF(SUMPRODUCT(($P$2:P294)*(--($G$2:G294=$G294)))=1,1,0),0)</f>
        <v>0</v>
      </c>
      <c r="R294" s="70" t="str">
        <f>IF(Q294=1,SUM($Q$2:Q294),"")</f>
        <v/>
      </c>
    </row>
    <row r="295" spans="1:18" ht="16" x14ac:dyDescent="0.2">
      <c r="A295" s="73" t="s">
        <v>491</v>
      </c>
      <c r="B295" s="77" t="s">
        <v>1541</v>
      </c>
      <c r="C295" s="74" t="s">
        <v>1615</v>
      </c>
      <c r="D295" s="74" t="s">
        <v>975</v>
      </c>
      <c r="E295" s="78" t="s">
        <v>1002</v>
      </c>
      <c r="F295" s="76" t="s">
        <v>1579</v>
      </c>
      <c r="G295" s="75" t="s">
        <v>1181</v>
      </c>
      <c r="H295" s="70"/>
      <c r="P295" s="70">
        <f t="shared" si="4"/>
        <v>0</v>
      </c>
      <c r="Q295" s="70" cm="1">
        <f t="array" ref="Q295">IF(P295=1,IF(SUMPRODUCT(($P$2:P295)*(--($G$2:G295=$G295)))=1,1,0),0)</f>
        <v>0</v>
      </c>
      <c r="R295" s="70" t="str">
        <f>IF(Q295=1,SUM($Q$2:Q295),"")</f>
        <v/>
      </c>
    </row>
    <row r="296" spans="1:18" ht="16" x14ac:dyDescent="0.2">
      <c r="A296" s="73" t="s">
        <v>491</v>
      </c>
      <c r="B296" s="77" t="s">
        <v>1541</v>
      </c>
      <c r="C296" s="74" t="s">
        <v>1615</v>
      </c>
      <c r="D296" s="74" t="s">
        <v>975</v>
      </c>
      <c r="E296" s="78" t="s">
        <v>113</v>
      </c>
      <c r="F296" s="76" t="s">
        <v>1580</v>
      </c>
      <c r="G296" s="75" t="s">
        <v>1181</v>
      </c>
      <c r="H296" s="70"/>
      <c r="P296" s="70">
        <f t="shared" si="4"/>
        <v>0</v>
      </c>
      <c r="Q296" s="70" cm="1">
        <f t="array" ref="Q296">IF(P296=1,IF(SUMPRODUCT(($P$2:P296)*(--($G$2:G296=$G296)))=1,1,0),0)</f>
        <v>0</v>
      </c>
      <c r="R296" s="70" t="str">
        <f>IF(Q296=1,SUM($Q$2:Q296),"")</f>
        <v/>
      </c>
    </row>
    <row r="297" spans="1:18" ht="16" x14ac:dyDescent="0.2">
      <c r="A297" s="73" t="s">
        <v>491</v>
      </c>
      <c r="B297" s="77" t="s">
        <v>1541</v>
      </c>
      <c r="C297" s="74" t="s">
        <v>1615</v>
      </c>
      <c r="D297" s="74" t="s">
        <v>975</v>
      </c>
      <c r="E297" s="78" t="s">
        <v>1002</v>
      </c>
      <c r="F297" s="76" t="s">
        <v>1580</v>
      </c>
      <c r="G297" s="75" t="s">
        <v>1181</v>
      </c>
      <c r="H297" s="70"/>
      <c r="P297" s="70">
        <f t="shared" si="4"/>
        <v>0</v>
      </c>
      <c r="Q297" s="70" cm="1">
        <f t="array" ref="Q297">IF(P297=1,IF(SUMPRODUCT(($P$2:P297)*(--($G$2:G297=$G297)))=1,1,0),0)</f>
        <v>0</v>
      </c>
      <c r="R297" s="70" t="str">
        <f>IF(Q297=1,SUM($Q$2:Q297),"")</f>
        <v/>
      </c>
    </row>
    <row r="298" spans="1:18" ht="16" x14ac:dyDescent="0.2">
      <c r="A298" s="73" t="s">
        <v>491</v>
      </c>
      <c r="B298" s="77" t="s">
        <v>1541</v>
      </c>
      <c r="C298" s="74" t="s">
        <v>1615</v>
      </c>
      <c r="D298" s="74" t="s">
        <v>975</v>
      </c>
      <c r="E298" s="78" t="s">
        <v>113</v>
      </c>
      <c r="F298" s="76" t="s">
        <v>1634</v>
      </c>
      <c r="G298" s="75" t="s">
        <v>1181</v>
      </c>
      <c r="H298" s="70"/>
      <c r="P298" s="70">
        <f t="shared" si="4"/>
        <v>0</v>
      </c>
      <c r="Q298" s="70" cm="1">
        <f t="array" ref="Q298">IF(P298=1,IF(SUMPRODUCT(($P$2:P298)*(--($G$2:G298=$G298)))=1,1,0),0)</f>
        <v>0</v>
      </c>
      <c r="R298" s="70" t="str">
        <f>IF(Q298=1,SUM($Q$2:Q298),"")</f>
        <v/>
      </c>
    </row>
    <row r="299" spans="1:18" ht="16" x14ac:dyDescent="0.2">
      <c r="A299" s="73" t="s">
        <v>491</v>
      </c>
      <c r="B299" s="77" t="s">
        <v>1541</v>
      </c>
      <c r="C299" s="74" t="s">
        <v>1615</v>
      </c>
      <c r="D299" s="74" t="s">
        <v>975</v>
      </c>
      <c r="E299" s="78" t="s">
        <v>1002</v>
      </c>
      <c r="F299" s="76" t="s">
        <v>1634</v>
      </c>
      <c r="G299" s="75" t="s">
        <v>1181</v>
      </c>
      <c r="H299" s="70"/>
      <c r="P299" s="70">
        <f t="shared" si="4"/>
        <v>0</v>
      </c>
      <c r="Q299" s="70" cm="1">
        <f t="array" ref="Q299">IF(P299=1,IF(SUMPRODUCT(($P$2:P299)*(--($G$2:G299=$G299)))=1,1,0),0)</f>
        <v>0</v>
      </c>
      <c r="R299" s="70" t="str">
        <f>IF(Q299=1,SUM($Q$2:Q299),"")</f>
        <v/>
      </c>
    </row>
    <row r="300" spans="1:18" ht="16" x14ac:dyDescent="0.2">
      <c r="A300" s="73" t="s">
        <v>491</v>
      </c>
      <c r="B300" s="77" t="s">
        <v>1541</v>
      </c>
      <c r="C300" s="74" t="s">
        <v>1615</v>
      </c>
      <c r="D300" s="74" t="s">
        <v>975</v>
      </c>
      <c r="E300" s="78" t="s">
        <v>113</v>
      </c>
      <c r="F300" s="76" t="s">
        <v>1635</v>
      </c>
      <c r="G300" s="75" t="s">
        <v>1178</v>
      </c>
      <c r="H300" s="70"/>
      <c r="P300" s="70">
        <f t="shared" si="4"/>
        <v>0</v>
      </c>
      <c r="Q300" s="70" cm="1">
        <f t="array" ref="Q300">IF(P300=1,IF(SUMPRODUCT(($P$2:P300)*(--($G$2:G300=$G300)))=1,1,0),0)</f>
        <v>0</v>
      </c>
      <c r="R300" s="70" t="str">
        <f>IF(Q300=1,SUM($Q$2:Q300),"")</f>
        <v/>
      </c>
    </row>
    <row r="301" spans="1:18" ht="16" x14ac:dyDescent="0.2">
      <c r="A301" s="73" t="s">
        <v>491</v>
      </c>
      <c r="B301" s="77" t="s">
        <v>1541</v>
      </c>
      <c r="C301" s="74" t="s">
        <v>1615</v>
      </c>
      <c r="D301" s="74" t="s">
        <v>975</v>
      </c>
      <c r="E301" s="78" t="s">
        <v>1002</v>
      </c>
      <c r="F301" s="76" t="s">
        <v>1635</v>
      </c>
      <c r="G301" s="75" t="s">
        <v>1178</v>
      </c>
      <c r="H301" s="70"/>
      <c r="P301" s="70">
        <f t="shared" si="4"/>
        <v>0</v>
      </c>
      <c r="Q301" s="70" cm="1">
        <f t="array" ref="Q301">IF(P301=1,IF(SUMPRODUCT(($P$2:P301)*(--($G$2:G301=$G301)))=1,1,0),0)</f>
        <v>0</v>
      </c>
      <c r="R301" s="70" t="str">
        <f>IF(Q301=1,SUM($Q$2:Q301),"")</f>
        <v/>
      </c>
    </row>
    <row r="302" spans="1:18" ht="16" x14ac:dyDescent="0.2">
      <c r="A302" s="73" t="s">
        <v>491</v>
      </c>
      <c r="B302" s="77" t="s">
        <v>1541</v>
      </c>
      <c r="C302" s="74" t="s">
        <v>1615</v>
      </c>
      <c r="D302" s="74" t="s">
        <v>975</v>
      </c>
      <c r="E302" s="78" t="s">
        <v>113</v>
      </c>
      <c r="F302" s="76" t="s">
        <v>1636</v>
      </c>
      <c r="G302" s="75" t="s">
        <v>1178</v>
      </c>
      <c r="H302" s="70"/>
      <c r="P302" s="70">
        <f t="shared" si="4"/>
        <v>0</v>
      </c>
      <c r="Q302" s="70" cm="1">
        <f t="array" ref="Q302">IF(P302=1,IF(SUMPRODUCT(($P$2:P302)*(--($G$2:G302=$G302)))=1,1,0),0)</f>
        <v>0</v>
      </c>
      <c r="R302" s="70" t="str">
        <f>IF(Q302=1,SUM($Q$2:Q302),"")</f>
        <v/>
      </c>
    </row>
    <row r="303" spans="1:18" ht="16" x14ac:dyDescent="0.2">
      <c r="A303" s="73" t="s">
        <v>491</v>
      </c>
      <c r="B303" s="77" t="s">
        <v>1541</v>
      </c>
      <c r="C303" s="74" t="s">
        <v>1615</v>
      </c>
      <c r="D303" s="74" t="s">
        <v>975</v>
      </c>
      <c r="E303" s="78" t="s">
        <v>1002</v>
      </c>
      <c r="F303" s="76" t="s">
        <v>1636</v>
      </c>
      <c r="G303" s="75" t="s">
        <v>1178</v>
      </c>
      <c r="H303" s="70"/>
      <c r="P303" s="70">
        <f t="shared" si="4"/>
        <v>0</v>
      </c>
      <c r="Q303" s="70" cm="1">
        <f t="array" ref="Q303">IF(P303=1,IF(SUMPRODUCT(($P$2:P303)*(--($G$2:G303=$G303)))=1,1,0),0)</f>
        <v>0</v>
      </c>
      <c r="R303" s="70" t="str">
        <f>IF(Q303=1,SUM($Q$2:Q303),"")</f>
        <v/>
      </c>
    </row>
    <row r="304" spans="1:18" ht="16" x14ac:dyDescent="0.2">
      <c r="A304" s="73" t="s">
        <v>491</v>
      </c>
      <c r="B304" s="77" t="s">
        <v>1541</v>
      </c>
      <c r="C304" s="74" t="s">
        <v>1615</v>
      </c>
      <c r="D304" s="74" t="s">
        <v>975</v>
      </c>
      <c r="E304" s="78" t="s">
        <v>113</v>
      </c>
      <c r="F304" s="76" t="s">
        <v>1637</v>
      </c>
      <c r="G304" s="75" t="s">
        <v>1179</v>
      </c>
      <c r="H304" s="70"/>
      <c r="P304" s="70">
        <f t="shared" si="4"/>
        <v>0</v>
      </c>
      <c r="Q304" s="70" cm="1">
        <f t="array" ref="Q304">IF(P304=1,IF(SUMPRODUCT(($P$2:P304)*(--($G$2:G304=$G304)))=1,1,0),0)</f>
        <v>0</v>
      </c>
      <c r="R304" s="70" t="str">
        <f>IF(Q304=1,SUM($Q$2:Q304),"")</f>
        <v/>
      </c>
    </row>
    <row r="305" spans="1:18" ht="16" x14ac:dyDescent="0.2">
      <c r="A305" s="73" t="s">
        <v>491</v>
      </c>
      <c r="B305" s="77" t="s">
        <v>1541</v>
      </c>
      <c r="C305" s="74" t="s">
        <v>1615</v>
      </c>
      <c r="D305" s="74" t="s">
        <v>975</v>
      </c>
      <c r="E305" s="78" t="s">
        <v>113</v>
      </c>
      <c r="F305" s="76" t="s">
        <v>1638</v>
      </c>
      <c r="G305" s="75" t="s">
        <v>1179</v>
      </c>
      <c r="H305" s="70"/>
      <c r="P305" s="70">
        <f t="shared" si="4"/>
        <v>0</v>
      </c>
      <c r="Q305" s="70" cm="1">
        <f t="array" ref="Q305">IF(P305=1,IF(SUMPRODUCT(($P$2:P305)*(--($G$2:G305=$G305)))=1,1,0),0)</f>
        <v>0</v>
      </c>
      <c r="R305" s="70" t="str">
        <f>IF(Q305=1,SUM($Q$2:Q305),"")</f>
        <v/>
      </c>
    </row>
    <row r="306" spans="1:18" ht="16" x14ac:dyDescent="0.2">
      <c r="A306" s="73" t="s">
        <v>491</v>
      </c>
      <c r="B306" s="77" t="s">
        <v>1541</v>
      </c>
      <c r="C306" s="74" t="s">
        <v>1615</v>
      </c>
      <c r="D306" s="74" t="s">
        <v>975</v>
      </c>
      <c r="E306" s="78" t="s">
        <v>113</v>
      </c>
      <c r="F306" s="76" t="s">
        <v>1639</v>
      </c>
      <c r="G306" s="75" t="s">
        <v>1179</v>
      </c>
      <c r="H306" s="70"/>
      <c r="P306" s="70">
        <f t="shared" si="4"/>
        <v>0</v>
      </c>
      <c r="Q306" s="70" cm="1">
        <f t="array" ref="Q306">IF(P306=1,IF(SUMPRODUCT(($P$2:P306)*(--($G$2:G306=$G306)))=1,1,0),0)</f>
        <v>0</v>
      </c>
      <c r="R306" s="70" t="str">
        <f>IF(Q306=1,SUM($Q$2:Q306),"")</f>
        <v/>
      </c>
    </row>
    <row r="307" spans="1:18" ht="16" x14ac:dyDescent="0.2">
      <c r="A307" s="73" t="s">
        <v>491</v>
      </c>
      <c r="B307" s="77" t="s">
        <v>1541</v>
      </c>
      <c r="C307" s="74" t="s">
        <v>1615</v>
      </c>
      <c r="D307" s="74" t="s">
        <v>975</v>
      </c>
      <c r="E307" s="78" t="s">
        <v>113</v>
      </c>
      <c r="F307" s="76" t="s">
        <v>1640</v>
      </c>
      <c r="G307" s="75" t="s">
        <v>1179</v>
      </c>
      <c r="H307" s="70"/>
      <c r="P307" s="70">
        <f t="shared" si="4"/>
        <v>0</v>
      </c>
      <c r="Q307" s="70" cm="1">
        <f t="array" ref="Q307">IF(P307=1,IF(SUMPRODUCT(($P$2:P307)*(--($G$2:G307=$G307)))=1,1,0),0)</f>
        <v>0</v>
      </c>
      <c r="R307" s="70" t="str">
        <f>IF(Q307=1,SUM($Q$2:Q307),"")</f>
        <v/>
      </c>
    </row>
    <row r="308" spans="1:18" x14ac:dyDescent="0.2">
      <c r="A308" s="73" t="s">
        <v>491</v>
      </c>
      <c r="B308" s="77" t="s">
        <v>1541</v>
      </c>
      <c r="C308" s="74" t="s">
        <v>1615</v>
      </c>
      <c r="D308" s="74" t="s">
        <v>975</v>
      </c>
      <c r="E308" s="78" t="s">
        <v>113</v>
      </c>
      <c r="F308" s="76" t="s">
        <v>1581</v>
      </c>
      <c r="G308" s="76" t="s">
        <v>1183</v>
      </c>
      <c r="H308" s="70"/>
      <c r="P308" s="70">
        <f t="shared" si="4"/>
        <v>0</v>
      </c>
      <c r="Q308" s="70" cm="1">
        <f t="array" ref="Q308">IF(P308=1,IF(SUMPRODUCT(($P$2:P308)*(--($G$2:G308=$G308)))=1,1,0),0)</f>
        <v>0</v>
      </c>
      <c r="R308" s="70" t="str">
        <f>IF(Q308=1,SUM($Q$2:Q308),"")</f>
        <v/>
      </c>
    </row>
    <row r="309" spans="1:18" x14ac:dyDescent="0.2">
      <c r="A309" s="73" t="s">
        <v>491</v>
      </c>
      <c r="B309" s="77" t="s">
        <v>1541</v>
      </c>
      <c r="C309" s="74" t="s">
        <v>1615</v>
      </c>
      <c r="D309" s="74" t="s">
        <v>975</v>
      </c>
      <c r="E309" s="78" t="s">
        <v>1002</v>
      </c>
      <c r="F309" s="76" t="s">
        <v>1581</v>
      </c>
      <c r="G309" s="76" t="s">
        <v>1183</v>
      </c>
      <c r="H309" s="70"/>
      <c r="P309" s="70">
        <f t="shared" si="4"/>
        <v>0</v>
      </c>
      <c r="Q309" s="70" cm="1">
        <f t="array" ref="Q309">IF(P309=1,IF(SUMPRODUCT(($P$2:P309)*(--($G$2:G309=$G309)))=1,1,0),0)</f>
        <v>0</v>
      </c>
      <c r="R309" s="70" t="str">
        <f>IF(Q309=1,SUM($Q$2:Q309),"")</f>
        <v/>
      </c>
    </row>
    <row r="310" spans="1:18" x14ac:dyDescent="0.2">
      <c r="A310" s="73" t="s">
        <v>491</v>
      </c>
      <c r="B310" s="77" t="s">
        <v>1541</v>
      </c>
      <c r="C310" s="74" t="s">
        <v>1615</v>
      </c>
      <c r="D310" s="74" t="s">
        <v>975</v>
      </c>
      <c r="E310" s="78" t="s">
        <v>113</v>
      </c>
      <c r="F310" s="76" t="s">
        <v>1582</v>
      </c>
      <c r="G310" s="76" t="s">
        <v>1183</v>
      </c>
      <c r="H310" s="70"/>
      <c r="P310" s="70">
        <f t="shared" si="4"/>
        <v>0</v>
      </c>
      <c r="Q310" s="70" cm="1">
        <f t="array" ref="Q310">IF(P310=1,IF(SUMPRODUCT(($P$2:P310)*(--($G$2:G310=$G310)))=1,1,0),0)</f>
        <v>0</v>
      </c>
      <c r="R310" s="70" t="str">
        <f>IF(Q310=1,SUM($Q$2:Q310),"")</f>
        <v/>
      </c>
    </row>
    <row r="311" spans="1:18" x14ac:dyDescent="0.2">
      <c r="A311" s="73" t="s">
        <v>491</v>
      </c>
      <c r="B311" s="77" t="s">
        <v>1541</v>
      </c>
      <c r="C311" s="74" t="s">
        <v>1615</v>
      </c>
      <c r="D311" s="74" t="s">
        <v>975</v>
      </c>
      <c r="E311" s="78" t="s">
        <v>1002</v>
      </c>
      <c r="F311" s="76" t="s">
        <v>1582</v>
      </c>
      <c r="G311" s="76" t="s">
        <v>1183</v>
      </c>
      <c r="H311" s="70"/>
      <c r="P311" s="70">
        <f t="shared" si="4"/>
        <v>0</v>
      </c>
      <c r="Q311" s="70" cm="1">
        <f t="array" ref="Q311">IF(P311=1,IF(SUMPRODUCT(($P$2:P311)*(--($G$2:G311=$G311)))=1,1,0),0)</f>
        <v>0</v>
      </c>
      <c r="R311" s="70" t="str">
        <f>IF(Q311=1,SUM($Q$2:Q311),"")</f>
        <v/>
      </c>
    </row>
    <row r="312" spans="1:18" x14ac:dyDescent="0.2">
      <c r="A312" s="73" t="s">
        <v>491</v>
      </c>
      <c r="B312" s="77" t="s">
        <v>1541</v>
      </c>
      <c r="C312" s="74" t="s">
        <v>1615</v>
      </c>
      <c r="D312" s="74" t="s">
        <v>975</v>
      </c>
      <c r="E312" s="78" t="s">
        <v>113</v>
      </c>
      <c r="F312" s="76" t="s">
        <v>1641</v>
      </c>
      <c r="G312" s="76" t="s">
        <v>1182</v>
      </c>
      <c r="H312" s="70"/>
      <c r="P312" s="70">
        <f t="shared" si="4"/>
        <v>0</v>
      </c>
      <c r="Q312" s="70" cm="1">
        <f t="array" ref="Q312">IF(P312=1,IF(SUMPRODUCT(($P$2:P312)*(--($G$2:G312=$G312)))=1,1,0),0)</f>
        <v>0</v>
      </c>
      <c r="R312" s="70" t="str">
        <f>IF(Q312=1,SUM($Q$2:Q312),"")</f>
        <v/>
      </c>
    </row>
    <row r="313" spans="1:18" ht="15" customHeight="1" x14ac:dyDescent="0.2">
      <c r="A313" s="73" t="s">
        <v>491</v>
      </c>
      <c r="B313" s="77" t="s">
        <v>1541</v>
      </c>
      <c r="C313" s="74" t="s">
        <v>1615</v>
      </c>
      <c r="D313" s="74" t="s">
        <v>975</v>
      </c>
      <c r="E313" s="78" t="s">
        <v>1002</v>
      </c>
      <c r="F313" s="76" t="s">
        <v>1641</v>
      </c>
      <c r="G313" s="76" t="s">
        <v>1182</v>
      </c>
      <c r="H313" s="70"/>
      <c r="P313" s="70">
        <f t="shared" si="4"/>
        <v>0</v>
      </c>
      <c r="Q313" s="70" cm="1">
        <f t="array" ref="Q313">IF(P313=1,IF(SUMPRODUCT(($P$2:P313)*(--($G$2:G313=$G313)))=1,1,0),0)</f>
        <v>0</v>
      </c>
      <c r="R313" s="70" t="str">
        <f>IF(Q313=1,SUM($Q$2:Q313),"")</f>
        <v/>
      </c>
    </row>
    <row r="314" spans="1:18" x14ac:dyDescent="0.2">
      <c r="A314" s="73" t="s">
        <v>491</v>
      </c>
      <c r="B314" s="77" t="s">
        <v>1541</v>
      </c>
      <c r="C314" s="74" t="s">
        <v>1615</v>
      </c>
      <c r="D314" s="74" t="s">
        <v>975</v>
      </c>
      <c r="E314" s="78" t="s">
        <v>113</v>
      </c>
      <c r="F314" s="76" t="s">
        <v>1642</v>
      </c>
      <c r="G314" s="76" t="s">
        <v>1182</v>
      </c>
      <c r="H314" s="70"/>
      <c r="P314" s="70">
        <f t="shared" si="4"/>
        <v>0</v>
      </c>
      <c r="Q314" s="70" cm="1">
        <f t="array" ref="Q314">IF(P314=1,IF(SUMPRODUCT(($P$2:P314)*(--($G$2:G314=$G314)))=1,1,0),0)</f>
        <v>0</v>
      </c>
      <c r="R314" s="70" t="str">
        <f>IF(Q314=1,SUM($Q$2:Q314),"")</f>
        <v/>
      </c>
    </row>
    <row r="315" spans="1:18" x14ac:dyDescent="0.2">
      <c r="A315" s="73" t="s">
        <v>491</v>
      </c>
      <c r="B315" s="77" t="s">
        <v>1541</v>
      </c>
      <c r="C315" s="74" t="s">
        <v>1615</v>
      </c>
      <c r="D315" s="74" t="s">
        <v>975</v>
      </c>
      <c r="E315" s="78" t="s">
        <v>1002</v>
      </c>
      <c r="F315" s="76" t="s">
        <v>1642</v>
      </c>
      <c r="G315" s="76" t="s">
        <v>1182</v>
      </c>
      <c r="H315" s="70"/>
      <c r="P315" s="70">
        <f t="shared" si="4"/>
        <v>0</v>
      </c>
      <c r="Q315" s="70" cm="1">
        <f t="array" ref="Q315">IF(P315=1,IF(SUMPRODUCT(($P$2:P315)*(--($G$2:G315=$G315)))=1,1,0),0)</f>
        <v>0</v>
      </c>
      <c r="R315" s="70" t="str">
        <f>IF(Q315=1,SUM($Q$2:Q315),"")</f>
        <v/>
      </c>
    </row>
    <row r="316" spans="1:18" x14ac:dyDescent="0.2">
      <c r="A316" s="73" t="s">
        <v>491</v>
      </c>
      <c r="B316" s="77" t="s">
        <v>1541</v>
      </c>
      <c r="C316" s="74" t="s">
        <v>1615</v>
      </c>
      <c r="D316" s="74" t="s">
        <v>975</v>
      </c>
      <c r="E316" s="78" t="s">
        <v>113</v>
      </c>
      <c r="F316" s="76" t="s">
        <v>1575</v>
      </c>
      <c r="G316" s="76" t="s">
        <v>1190</v>
      </c>
      <c r="H316" s="70"/>
      <c r="P316" s="70">
        <f t="shared" si="4"/>
        <v>0</v>
      </c>
      <c r="Q316" s="70" cm="1">
        <f t="array" ref="Q316">IF(P316=1,IF(SUMPRODUCT(($P$2:P316)*(--($G$2:G316=$G316)))=1,1,0),0)</f>
        <v>0</v>
      </c>
      <c r="R316" s="70" t="str">
        <f>IF(Q316=1,SUM($Q$2:Q316),"")</f>
        <v/>
      </c>
    </row>
    <row r="317" spans="1:18" ht="15" customHeight="1" x14ac:dyDescent="0.2">
      <c r="A317" s="73" t="s">
        <v>491</v>
      </c>
      <c r="B317" s="77" t="s">
        <v>1541</v>
      </c>
      <c r="C317" s="74" t="s">
        <v>1615</v>
      </c>
      <c r="D317" s="74" t="s">
        <v>975</v>
      </c>
      <c r="E317" s="78" t="s">
        <v>1002</v>
      </c>
      <c r="F317" s="76" t="s">
        <v>1575</v>
      </c>
      <c r="G317" s="76" t="s">
        <v>1190</v>
      </c>
      <c r="H317" s="70"/>
      <c r="P317" s="70">
        <f t="shared" si="4"/>
        <v>0</v>
      </c>
      <c r="Q317" s="70" cm="1">
        <f t="array" ref="Q317">IF(P317=1,IF(SUMPRODUCT(($P$2:P317)*(--($G$2:G317=$G317)))=1,1,0),0)</f>
        <v>0</v>
      </c>
      <c r="R317" s="70" t="str">
        <f>IF(Q317=1,SUM($Q$2:Q317),"")</f>
        <v/>
      </c>
    </row>
    <row r="318" spans="1:18" x14ac:dyDescent="0.2">
      <c r="A318" s="73" t="s">
        <v>491</v>
      </c>
      <c r="B318" s="77" t="s">
        <v>1541</v>
      </c>
      <c r="C318" s="74" t="s">
        <v>1615</v>
      </c>
      <c r="D318" s="74" t="s">
        <v>975</v>
      </c>
      <c r="E318" s="78" t="s">
        <v>113</v>
      </c>
      <c r="F318" s="76" t="s">
        <v>1574</v>
      </c>
      <c r="G318" s="76" t="s">
        <v>1190</v>
      </c>
      <c r="H318" s="70"/>
      <c r="P318" s="70">
        <f t="shared" si="4"/>
        <v>0</v>
      </c>
      <c r="Q318" s="70" cm="1">
        <f t="array" ref="Q318">IF(P318=1,IF(SUMPRODUCT(($P$2:P318)*(--($G$2:G318=$G318)))=1,1,0),0)</f>
        <v>0</v>
      </c>
      <c r="R318" s="70" t="str">
        <f>IF(Q318=1,SUM($Q$2:Q318),"")</f>
        <v/>
      </c>
    </row>
    <row r="319" spans="1:18" ht="15" customHeight="1" x14ac:dyDescent="0.2">
      <c r="A319" s="73" t="s">
        <v>491</v>
      </c>
      <c r="B319" s="77" t="s">
        <v>1541</v>
      </c>
      <c r="C319" s="74" t="s">
        <v>1615</v>
      </c>
      <c r="D319" s="74" t="s">
        <v>975</v>
      </c>
      <c r="E319" s="78" t="s">
        <v>1002</v>
      </c>
      <c r="F319" s="76" t="s">
        <v>1574</v>
      </c>
      <c r="G319" s="76" t="s">
        <v>1190</v>
      </c>
      <c r="H319" s="70"/>
      <c r="P319" s="70">
        <f t="shared" si="4"/>
        <v>0</v>
      </c>
      <c r="Q319" s="70" cm="1">
        <f t="array" ref="Q319">IF(P319=1,IF(SUMPRODUCT(($P$2:P319)*(--($G$2:G319=$G319)))=1,1,0),0)</f>
        <v>0</v>
      </c>
      <c r="R319" s="70" t="str">
        <f>IF(Q319=1,SUM($Q$2:Q319),"")</f>
        <v/>
      </c>
    </row>
    <row r="320" spans="1:18" x14ac:dyDescent="0.2">
      <c r="A320" s="73" t="s">
        <v>491</v>
      </c>
      <c r="B320" s="77" t="s">
        <v>1541</v>
      </c>
      <c r="C320" s="74" t="s">
        <v>1615</v>
      </c>
      <c r="D320" s="74" t="s">
        <v>975</v>
      </c>
      <c r="E320" s="78" t="s">
        <v>113</v>
      </c>
      <c r="F320" s="76" t="s">
        <v>1643</v>
      </c>
      <c r="G320" s="76" t="s">
        <v>1180</v>
      </c>
      <c r="H320" s="70"/>
      <c r="P320" s="70">
        <f t="shared" si="4"/>
        <v>0</v>
      </c>
      <c r="Q320" s="70" cm="1">
        <f t="array" ref="Q320">IF(P320=1,IF(SUMPRODUCT(($P$2:P320)*(--($G$2:G320=$G320)))=1,1,0),0)</f>
        <v>0</v>
      </c>
      <c r="R320" s="70" t="str">
        <f>IF(Q320=1,SUM($Q$2:Q320),"")</f>
        <v/>
      </c>
    </row>
    <row r="321" spans="1:18" x14ac:dyDescent="0.2">
      <c r="A321" s="73" t="s">
        <v>491</v>
      </c>
      <c r="B321" s="77" t="s">
        <v>1541</v>
      </c>
      <c r="C321" s="74" t="s">
        <v>1615</v>
      </c>
      <c r="D321" s="74" t="s">
        <v>975</v>
      </c>
      <c r="E321" s="78" t="s">
        <v>1002</v>
      </c>
      <c r="F321" s="76" t="s">
        <v>1643</v>
      </c>
      <c r="G321" s="76" t="s">
        <v>1180</v>
      </c>
      <c r="H321" s="70"/>
      <c r="P321" s="70">
        <f t="shared" si="4"/>
        <v>0</v>
      </c>
      <c r="Q321" s="70" cm="1">
        <f t="array" ref="Q321">IF(P321=1,IF(SUMPRODUCT(($P$2:P321)*(--($G$2:G321=$G321)))=1,1,0),0)</f>
        <v>0</v>
      </c>
      <c r="R321" s="70" t="str">
        <f>IF(Q321=1,SUM($Q$2:Q321),"")</f>
        <v/>
      </c>
    </row>
    <row r="322" spans="1:18" x14ac:dyDescent="0.2">
      <c r="A322" s="73" t="s">
        <v>491</v>
      </c>
      <c r="B322" s="77" t="s">
        <v>1541</v>
      </c>
      <c r="C322" s="74" t="s">
        <v>1615</v>
      </c>
      <c r="D322" s="74" t="s">
        <v>975</v>
      </c>
      <c r="E322" s="78" t="s">
        <v>113</v>
      </c>
      <c r="F322" s="76" t="s">
        <v>1644</v>
      </c>
      <c r="G322" s="76" t="s">
        <v>1180</v>
      </c>
      <c r="H322" s="70"/>
      <c r="P322" s="70">
        <f t="shared" si="4"/>
        <v>0</v>
      </c>
      <c r="Q322" s="70" cm="1">
        <f t="array" ref="Q322">IF(P322=1,IF(SUMPRODUCT(($P$2:P322)*(--($G$2:G322=$G322)))=1,1,0),0)</f>
        <v>0</v>
      </c>
      <c r="R322" s="70" t="str">
        <f>IF(Q322=1,SUM($Q$2:Q322),"")</f>
        <v/>
      </c>
    </row>
    <row r="323" spans="1:18" x14ac:dyDescent="0.2">
      <c r="A323" s="73" t="s">
        <v>491</v>
      </c>
      <c r="B323" s="77" t="s">
        <v>1541</v>
      </c>
      <c r="C323" s="74" t="s">
        <v>1615</v>
      </c>
      <c r="D323" s="74" t="s">
        <v>975</v>
      </c>
      <c r="E323" s="78" t="s">
        <v>1002</v>
      </c>
      <c r="F323" s="76" t="s">
        <v>1644</v>
      </c>
      <c r="G323" s="76" t="s">
        <v>1180</v>
      </c>
      <c r="H323" s="70"/>
      <c r="P323" s="70">
        <f t="shared" ref="P323:P386" si="5">IF(AND(IF(TRIM($J$2&amp;"")="",TRUE,LEFT($D323,LEN($J$2))=$J$2),IF(TRIM($K$2&amp;"")="",TRUE,$E323=$K$2),IF($L$2="",TRUE,$F323=$L$2)),1,0)</f>
        <v>0</v>
      </c>
      <c r="Q323" s="70" cm="1">
        <f t="array" ref="Q323">IF(P323=1,IF(SUMPRODUCT(($P$2:P323)*(--($G$2:G323=$G323)))=1,1,0),0)</f>
        <v>0</v>
      </c>
      <c r="R323" s="70" t="str">
        <f>IF(Q323=1,SUM($Q$2:Q323),"")</f>
        <v/>
      </c>
    </row>
    <row r="324" spans="1:18" x14ac:dyDescent="0.2">
      <c r="A324" s="73" t="s">
        <v>491</v>
      </c>
      <c r="B324" s="77" t="s">
        <v>1541</v>
      </c>
      <c r="C324" s="74" t="s">
        <v>1615</v>
      </c>
      <c r="D324" s="74" t="s">
        <v>975</v>
      </c>
      <c r="E324" s="78" t="s">
        <v>113</v>
      </c>
      <c r="F324" s="76" t="s">
        <v>1645</v>
      </c>
      <c r="G324" s="76" t="s">
        <v>1170</v>
      </c>
      <c r="H324" s="70"/>
      <c r="P324" s="70">
        <f t="shared" si="5"/>
        <v>0</v>
      </c>
      <c r="Q324" s="70" cm="1">
        <f t="array" ref="Q324">IF(P324=1,IF(SUMPRODUCT(($P$2:P324)*(--($G$2:G324=$G324)))=1,1,0),0)</f>
        <v>0</v>
      </c>
      <c r="R324" s="70" t="str">
        <f>IF(Q324=1,SUM($Q$2:Q324),"")</f>
        <v/>
      </c>
    </row>
    <row r="325" spans="1:18" x14ac:dyDescent="0.2">
      <c r="A325" s="73" t="s">
        <v>491</v>
      </c>
      <c r="B325" s="77" t="s">
        <v>1541</v>
      </c>
      <c r="C325" s="74" t="s">
        <v>1615</v>
      </c>
      <c r="D325" s="74" t="s">
        <v>975</v>
      </c>
      <c r="E325" s="78" t="s">
        <v>1002</v>
      </c>
      <c r="F325" s="76" t="s">
        <v>1645</v>
      </c>
      <c r="G325" s="76" t="s">
        <v>1170</v>
      </c>
      <c r="H325" s="70"/>
      <c r="P325" s="70">
        <f t="shared" si="5"/>
        <v>0</v>
      </c>
      <c r="Q325" s="70" cm="1">
        <f t="array" ref="Q325">IF(P325=1,IF(SUMPRODUCT(($P$2:P325)*(--($G$2:G325=$G325)))=1,1,0),0)</f>
        <v>0</v>
      </c>
      <c r="R325" s="70" t="str">
        <f>IF(Q325=1,SUM($Q$2:Q325),"")</f>
        <v/>
      </c>
    </row>
    <row r="326" spans="1:18" x14ac:dyDescent="0.2">
      <c r="A326" s="73" t="s">
        <v>491</v>
      </c>
      <c r="B326" s="77" t="s">
        <v>1541</v>
      </c>
      <c r="C326" s="74" t="s">
        <v>1615</v>
      </c>
      <c r="D326" s="74" t="s">
        <v>975</v>
      </c>
      <c r="E326" s="78" t="s">
        <v>113</v>
      </c>
      <c r="F326" s="76" t="s">
        <v>1646</v>
      </c>
      <c r="G326" s="76" t="s">
        <v>1170</v>
      </c>
      <c r="H326" s="70"/>
      <c r="P326" s="70">
        <f t="shared" si="5"/>
        <v>0</v>
      </c>
      <c r="Q326" s="70" cm="1">
        <f t="array" ref="Q326">IF(P326=1,IF(SUMPRODUCT(($P$2:P326)*(--($G$2:G326=$G326)))=1,1,0),0)</f>
        <v>0</v>
      </c>
      <c r="R326" s="70" t="str">
        <f>IF(Q326=1,SUM($Q$2:Q326),"")</f>
        <v/>
      </c>
    </row>
    <row r="327" spans="1:18" x14ac:dyDescent="0.2">
      <c r="A327" s="73" t="s">
        <v>491</v>
      </c>
      <c r="B327" s="77" t="s">
        <v>1541</v>
      </c>
      <c r="C327" s="74" t="s">
        <v>1615</v>
      </c>
      <c r="D327" s="74" t="s">
        <v>975</v>
      </c>
      <c r="E327" s="78" t="s">
        <v>1002</v>
      </c>
      <c r="F327" s="76" t="s">
        <v>1646</v>
      </c>
      <c r="G327" s="76" t="s">
        <v>1170</v>
      </c>
      <c r="H327" s="70"/>
      <c r="P327" s="70">
        <f t="shared" si="5"/>
        <v>0</v>
      </c>
      <c r="Q327" s="70" cm="1">
        <f t="array" ref="Q327">IF(P327=1,IF(SUMPRODUCT(($P$2:P327)*(--($G$2:G327=$G327)))=1,1,0),0)</f>
        <v>0</v>
      </c>
      <c r="R327" s="70" t="str">
        <f>IF(Q327=1,SUM($Q$2:Q327),"")</f>
        <v/>
      </c>
    </row>
    <row r="328" spans="1:18" ht="16" x14ac:dyDescent="0.2">
      <c r="A328" s="73" t="s">
        <v>226</v>
      </c>
      <c r="B328" s="85" t="s">
        <v>1648</v>
      </c>
      <c r="C328" s="74" t="s">
        <v>1647</v>
      </c>
      <c r="D328" s="74" t="s">
        <v>972</v>
      </c>
      <c r="E328" s="78" t="s">
        <v>1002</v>
      </c>
      <c r="F328" s="76" t="s">
        <v>226</v>
      </c>
      <c r="G328" s="75" t="s">
        <v>1143</v>
      </c>
      <c r="H328" s="70"/>
      <c r="P328" s="70">
        <f t="shared" si="5"/>
        <v>0</v>
      </c>
      <c r="Q328" s="70" cm="1">
        <f t="array" ref="Q328">IF(P328=1,IF(SUMPRODUCT(($P$2:P328)*(--($G$2:G328=$G328)))=1,1,0),0)</f>
        <v>0</v>
      </c>
      <c r="R328" s="70" t="str">
        <f>IF(Q328=1,SUM($Q$2:Q328),"")</f>
        <v/>
      </c>
    </row>
    <row r="329" spans="1:18" ht="16" x14ac:dyDescent="0.2">
      <c r="A329" s="73" t="s">
        <v>226</v>
      </c>
      <c r="B329" s="85" t="s">
        <v>1648</v>
      </c>
      <c r="C329" s="74" t="s">
        <v>1647</v>
      </c>
      <c r="D329" s="74" t="s">
        <v>972</v>
      </c>
      <c r="E329" s="78" t="s">
        <v>1002</v>
      </c>
      <c r="F329" s="76" t="s">
        <v>1649</v>
      </c>
      <c r="G329" s="75" t="s">
        <v>1143</v>
      </c>
      <c r="H329" s="70"/>
      <c r="P329" s="70">
        <f t="shared" si="5"/>
        <v>0</v>
      </c>
      <c r="Q329" s="70" cm="1">
        <f t="array" ref="Q329">IF(P329=1,IF(SUMPRODUCT(($P$2:P329)*(--($G$2:G329=$G329)))=1,1,0),0)</f>
        <v>0</v>
      </c>
      <c r="R329" s="70" t="str">
        <f>IF(Q329=1,SUM($Q$2:Q329),"")</f>
        <v/>
      </c>
    </row>
    <row r="330" spans="1:18" ht="16" x14ac:dyDescent="0.2">
      <c r="A330" s="73" t="s">
        <v>226</v>
      </c>
      <c r="B330" s="85" t="s">
        <v>1648</v>
      </c>
      <c r="C330" s="74" t="s">
        <v>1647</v>
      </c>
      <c r="D330" s="74" t="s">
        <v>972</v>
      </c>
      <c r="E330" s="78" t="s">
        <v>1002</v>
      </c>
      <c r="F330" s="76" t="s">
        <v>1650</v>
      </c>
      <c r="G330" s="75" t="s">
        <v>1143</v>
      </c>
      <c r="H330" s="70"/>
      <c r="P330" s="70">
        <f t="shared" si="5"/>
        <v>0</v>
      </c>
      <c r="Q330" s="70" cm="1">
        <f t="array" ref="Q330">IF(P330=1,IF(SUMPRODUCT(($P$2:P330)*(--($G$2:G330=$G330)))=1,1,0),0)</f>
        <v>0</v>
      </c>
      <c r="R330" s="70" t="str">
        <f>IF(Q330=1,SUM($Q$2:Q330),"")</f>
        <v/>
      </c>
    </row>
    <row r="331" spans="1:18" x14ac:dyDescent="0.2">
      <c r="A331" s="73" t="s">
        <v>226</v>
      </c>
      <c r="B331" s="77" t="s">
        <v>1541</v>
      </c>
      <c r="C331" s="74" t="s">
        <v>1647</v>
      </c>
      <c r="D331" s="74" t="s">
        <v>972</v>
      </c>
      <c r="E331" s="78" t="s">
        <v>113</v>
      </c>
      <c r="F331" s="76" t="s">
        <v>226</v>
      </c>
      <c r="G331" s="76" t="s">
        <v>1144</v>
      </c>
      <c r="H331" s="70"/>
      <c r="P331" s="70">
        <f t="shared" si="5"/>
        <v>0</v>
      </c>
      <c r="Q331" s="70" cm="1">
        <f t="array" ref="Q331">IF(P331=1,IF(SUMPRODUCT(($P$2:P331)*(--($G$2:G331=$G331)))=1,1,0),0)</f>
        <v>0</v>
      </c>
      <c r="R331" s="70" t="str">
        <f>IF(Q331=1,SUM($Q$2:Q331),"")</f>
        <v/>
      </c>
    </row>
    <row r="332" spans="1:18" x14ac:dyDescent="0.2">
      <c r="A332" s="73" t="s">
        <v>226</v>
      </c>
      <c r="B332" s="77" t="s">
        <v>1541</v>
      </c>
      <c r="C332" s="74" t="s">
        <v>1647</v>
      </c>
      <c r="D332" s="74" t="s">
        <v>972</v>
      </c>
      <c r="E332" s="78" t="s">
        <v>1002</v>
      </c>
      <c r="F332" s="76" t="s">
        <v>226</v>
      </c>
      <c r="G332" s="76" t="s">
        <v>1144</v>
      </c>
      <c r="H332" s="70"/>
      <c r="P332" s="70">
        <f t="shared" si="5"/>
        <v>0</v>
      </c>
      <c r="Q332" s="70" cm="1">
        <f t="array" ref="Q332">IF(P332=1,IF(SUMPRODUCT(($P$2:P332)*(--($G$2:G332=$G332)))=1,1,0),0)</f>
        <v>0</v>
      </c>
      <c r="R332" s="70" t="str">
        <f>IF(Q332=1,SUM($Q$2:Q332),"")</f>
        <v/>
      </c>
    </row>
    <row r="333" spans="1:18" x14ac:dyDescent="0.2">
      <c r="A333" s="73" t="s">
        <v>226</v>
      </c>
      <c r="B333" s="77" t="s">
        <v>1541</v>
      </c>
      <c r="C333" s="74" t="s">
        <v>1647</v>
      </c>
      <c r="D333" s="74" t="s">
        <v>972</v>
      </c>
      <c r="E333" s="78" t="s">
        <v>129</v>
      </c>
      <c r="F333" s="76" t="s">
        <v>226</v>
      </c>
      <c r="G333" s="76" t="s">
        <v>1144</v>
      </c>
      <c r="H333" s="70"/>
      <c r="P333" s="70">
        <f t="shared" si="5"/>
        <v>0</v>
      </c>
      <c r="Q333" s="70" cm="1">
        <f t="array" ref="Q333">IF(P333=1,IF(SUMPRODUCT(($P$2:P333)*(--($G$2:G333=$G333)))=1,1,0),0)</f>
        <v>0</v>
      </c>
      <c r="R333" s="70" t="str">
        <f>IF(Q333=1,SUM($Q$2:Q333),"")</f>
        <v/>
      </c>
    </row>
    <row r="334" spans="1:18" x14ac:dyDescent="0.2">
      <c r="A334" s="73" t="s">
        <v>226</v>
      </c>
      <c r="B334" s="77" t="s">
        <v>1541</v>
      </c>
      <c r="C334" s="74" t="s">
        <v>1647</v>
      </c>
      <c r="D334" s="74" t="s">
        <v>972</v>
      </c>
      <c r="E334" s="78" t="s">
        <v>113</v>
      </c>
      <c r="F334" s="76" t="s">
        <v>1649</v>
      </c>
      <c r="G334" s="76" t="s">
        <v>1144</v>
      </c>
      <c r="H334" s="70"/>
      <c r="P334" s="70">
        <f t="shared" si="5"/>
        <v>0</v>
      </c>
      <c r="Q334" s="70" cm="1">
        <f t="array" ref="Q334">IF(P334=1,IF(SUMPRODUCT(($P$2:P334)*(--($G$2:G334=$G334)))=1,1,0),0)</f>
        <v>0</v>
      </c>
      <c r="R334" s="70" t="str">
        <f>IF(Q334=1,SUM($Q$2:Q334),"")</f>
        <v/>
      </c>
    </row>
    <row r="335" spans="1:18" x14ac:dyDescent="0.2">
      <c r="A335" s="73" t="s">
        <v>226</v>
      </c>
      <c r="B335" s="77" t="s">
        <v>1541</v>
      </c>
      <c r="C335" s="74" t="s">
        <v>1647</v>
      </c>
      <c r="D335" s="74" t="s">
        <v>972</v>
      </c>
      <c r="E335" s="78" t="s">
        <v>1002</v>
      </c>
      <c r="F335" s="76" t="s">
        <v>1649</v>
      </c>
      <c r="G335" s="76" t="s">
        <v>1144</v>
      </c>
      <c r="H335" s="70"/>
      <c r="P335" s="70">
        <f t="shared" si="5"/>
        <v>0</v>
      </c>
      <c r="Q335" s="70" cm="1">
        <f t="array" ref="Q335">IF(P335=1,IF(SUMPRODUCT(($P$2:P335)*(--($G$2:G335=$G335)))=1,1,0),0)</f>
        <v>0</v>
      </c>
      <c r="R335" s="70" t="str">
        <f>IF(Q335=1,SUM($Q$2:Q335),"")</f>
        <v/>
      </c>
    </row>
    <row r="336" spans="1:18" x14ac:dyDescent="0.2">
      <c r="A336" s="73" t="s">
        <v>226</v>
      </c>
      <c r="B336" s="77" t="s">
        <v>1541</v>
      </c>
      <c r="C336" s="74" t="s">
        <v>1647</v>
      </c>
      <c r="D336" s="74" t="s">
        <v>972</v>
      </c>
      <c r="E336" s="78" t="s">
        <v>129</v>
      </c>
      <c r="F336" s="76" t="s">
        <v>1649</v>
      </c>
      <c r="G336" s="76" t="s">
        <v>1144</v>
      </c>
      <c r="H336" s="70"/>
      <c r="P336" s="70">
        <f t="shared" si="5"/>
        <v>0</v>
      </c>
      <c r="Q336" s="70" cm="1">
        <f t="array" ref="Q336">IF(P336=1,IF(SUMPRODUCT(($P$2:P336)*(--($G$2:G336=$G336)))=1,1,0),0)</f>
        <v>0</v>
      </c>
      <c r="R336" s="70" t="str">
        <f>IF(Q336=1,SUM($Q$2:Q336),"")</f>
        <v/>
      </c>
    </row>
    <row r="337" spans="1:18" x14ac:dyDescent="0.2">
      <c r="A337" s="73" t="s">
        <v>226</v>
      </c>
      <c r="B337" s="77" t="s">
        <v>1541</v>
      </c>
      <c r="C337" s="74" t="s">
        <v>1647</v>
      </c>
      <c r="D337" s="74" t="s">
        <v>972</v>
      </c>
      <c r="E337" s="78" t="s">
        <v>113</v>
      </c>
      <c r="F337" s="76" t="s">
        <v>231</v>
      </c>
      <c r="G337" s="76" t="s">
        <v>1146</v>
      </c>
      <c r="H337" s="70"/>
      <c r="P337" s="70">
        <f t="shared" si="5"/>
        <v>0</v>
      </c>
      <c r="Q337" s="70" cm="1">
        <f t="array" ref="Q337">IF(P337=1,IF(SUMPRODUCT(($P$2:P337)*(--($G$2:G337=$G337)))=1,1,0),0)</f>
        <v>0</v>
      </c>
      <c r="R337" s="70" t="str">
        <f>IF(Q337=1,SUM($Q$2:Q337),"")</f>
        <v/>
      </c>
    </row>
    <row r="338" spans="1:18" x14ac:dyDescent="0.2">
      <c r="A338" s="73" t="s">
        <v>226</v>
      </c>
      <c r="B338" s="77" t="s">
        <v>1541</v>
      </c>
      <c r="C338" s="74" t="s">
        <v>1647</v>
      </c>
      <c r="D338" s="74" t="s">
        <v>972</v>
      </c>
      <c r="E338" s="78" t="s">
        <v>1002</v>
      </c>
      <c r="F338" s="76" t="s">
        <v>231</v>
      </c>
      <c r="G338" s="76" t="s">
        <v>1146</v>
      </c>
      <c r="H338" s="70"/>
      <c r="P338" s="70">
        <f t="shared" si="5"/>
        <v>0</v>
      </c>
      <c r="Q338" s="70" cm="1">
        <f t="array" ref="Q338">IF(P338=1,IF(SUMPRODUCT(($P$2:P338)*(--($G$2:G338=$G338)))=1,1,0),0)</f>
        <v>0</v>
      </c>
      <c r="R338" s="70" t="str">
        <f>IF(Q338=1,SUM($Q$2:Q338),"")</f>
        <v/>
      </c>
    </row>
    <row r="339" spans="1:18" x14ac:dyDescent="0.2">
      <c r="A339" s="73" t="s">
        <v>226</v>
      </c>
      <c r="B339" s="77" t="s">
        <v>1541</v>
      </c>
      <c r="C339" s="74" t="s">
        <v>1647</v>
      </c>
      <c r="D339" s="74" t="s">
        <v>972</v>
      </c>
      <c r="E339" s="78" t="s">
        <v>129</v>
      </c>
      <c r="F339" s="76" t="s">
        <v>231</v>
      </c>
      <c r="G339" s="76" t="s">
        <v>1146</v>
      </c>
      <c r="H339" s="70"/>
      <c r="P339" s="70">
        <f t="shared" si="5"/>
        <v>0</v>
      </c>
      <c r="Q339" s="70" cm="1">
        <f t="array" ref="Q339">IF(P339=1,IF(SUMPRODUCT(($P$2:P339)*(--($G$2:G339=$G339)))=1,1,0),0)</f>
        <v>0</v>
      </c>
      <c r="R339" s="70" t="str">
        <f>IF(Q339=1,SUM($Q$2:Q339),"")</f>
        <v/>
      </c>
    </row>
    <row r="340" spans="1:18" x14ac:dyDescent="0.2">
      <c r="A340" s="73" t="s">
        <v>226</v>
      </c>
      <c r="B340" s="77" t="s">
        <v>1541</v>
      </c>
      <c r="C340" s="74" t="s">
        <v>1647</v>
      </c>
      <c r="D340" s="74" t="s">
        <v>972</v>
      </c>
      <c r="E340" s="78" t="s">
        <v>113</v>
      </c>
      <c r="F340" s="76" t="s">
        <v>1651</v>
      </c>
      <c r="G340" s="76" t="s">
        <v>1147</v>
      </c>
      <c r="H340" s="70"/>
      <c r="P340" s="70">
        <f t="shared" si="5"/>
        <v>0</v>
      </c>
      <c r="Q340" s="70" cm="1">
        <f t="array" ref="Q340">IF(P340=1,IF(SUMPRODUCT(($P$2:P340)*(--($G$2:G340=$G340)))=1,1,0),0)</f>
        <v>0</v>
      </c>
      <c r="R340" s="70" t="str">
        <f>IF(Q340=1,SUM($Q$2:Q340),"")</f>
        <v/>
      </c>
    </row>
    <row r="341" spans="1:18" x14ac:dyDescent="0.2">
      <c r="A341" s="73" t="s">
        <v>226</v>
      </c>
      <c r="B341" s="77" t="s">
        <v>1541</v>
      </c>
      <c r="C341" s="74" t="s">
        <v>1647</v>
      </c>
      <c r="D341" s="74" t="s">
        <v>972</v>
      </c>
      <c r="E341" s="78" t="s">
        <v>1002</v>
      </c>
      <c r="F341" s="76" t="s">
        <v>1651</v>
      </c>
      <c r="G341" s="76" t="s">
        <v>1147</v>
      </c>
      <c r="H341" s="70"/>
      <c r="P341" s="70">
        <f t="shared" si="5"/>
        <v>0</v>
      </c>
      <c r="Q341" s="70" cm="1">
        <f t="array" ref="Q341">IF(P341=1,IF(SUMPRODUCT(($P$2:P341)*(--($G$2:G341=$G341)))=1,1,0),0)</f>
        <v>0</v>
      </c>
      <c r="R341" s="70" t="str">
        <f>IF(Q341=1,SUM($Q$2:Q341),"")</f>
        <v/>
      </c>
    </row>
    <row r="342" spans="1:18" x14ac:dyDescent="0.2">
      <c r="A342" s="73" t="s">
        <v>226</v>
      </c>
      <c r="B342" s="77" t="s">
        <v>1541</v>
      </c>
      <c r="C342" s="74" t="s">
        <v>1647</v>
      </c>
      <c r="D342" s="74" t="s">
        <v>972</v>
      </c>
      <c r="E342" s="78" t="s">
        <v>129</v>
      </c>
      <c r="F342" s="76" t="s">
        <v>1651</v>
      </c>
      <c r="G342" s="76" t="s">
        <v>1147</v>
      </c>
      <c r="H342" s="70"/>
      <c r="P342" s="70">
        <f t="shared" si="5"/>
        <v>0</v>
      </c>
      <c r="Q342" s="70" cm="1">
        <f t="array" ref="Q342">IF(P342=1,IF(SUMPRODUCT(($P$2:P342)*(--($G$2:G342=$G342)))=1,1,0),0)</f>
        <v>0</v>
      </c>
      <c r="R342" s="70" t="str">
        <f>IF(Q342=1,SUM($Q$2:Q342),"")</f>
        <v/>
      </c>
    </row>
    <row r="343" spans="1:18" x14ac:dyDescent="0.2">
      <c r="A343" s="73" t="s">
        <v>226</v>
      </c>
      <c r="B343" s="77" t="s">
        <v>1541</v>
      </c>
      <c r="C343" s="74" t="s">
        <v>1647</v>
      </c>
      <c r="D343" s="74" t="s">
        <v>972</v>
      </c>
      <c r="E343" s="78" t="s">
        <v>113</v>
      </c>
      <c r="F343" s="76" t="s">
        <v>1652</v>
      </c>
      <c r="G343" s="76" t="s">
        <v>1149</v>
      </c>
      <c r="H343" s="70"/>
      <c r="P343" s="70">
        <f t="shared" si="5"/>
        <v>0</v>
      </c>
      <c r="Q343" s="70" cm="1">
        <f t="array" ref="Q343">IF(P343=1,IF(SUMPRODUCT(($P$2:P343)*(--($G$2:G343=$G343)))=1,1,0),0)</f>
        <v>0</v>
      </c>
      <c r="R343" s="70" t="str">
        <f>IF(Q343=1,SUM($Q$2:Q343),"")</f>
        <v/>
      </c>
    </row>
    <row r="344" spans="1:18" x14ac:dyDescent="0.2">
      <c r="A344" s="73" t="s">
        <v>226</v>
      </c>
      <c r="B344" s="77" t="s">
        <v>1541</v>
      </c>
      <c r="C344" s="74" t="s">
        <v>1647</v>
      </c>
      <c r="D344" s="74" t="s">
        <v>972</v>
      </c>
      <c r="E344" s="78" t="s">
        <v>1002</v>
      </c>
      <c r="F344" s="76" t="s">
        <v>1652</v>
      </c>
      <c r="G344" s="76" t="s">
        <v>1149</v>
      </c>
      <c r="H344" s="70"/>
      <c r="P344" s="70">
        <f t="shared" si="5"/>
        <v>0</v>
      </c>
      <c r="Q344" s="70" cm="1">
        <f t="array" ref="Q344">IF(P344=1,IF(SUMPRODUCT(($P$2:P344)*(--($G$2:G344=$G344)))=1,1,0),0)</f>
        <v>0</v>
      </c>
      <c r="R344" s="70" t="str">
        <f>IF(Q344=1,SUM($Q$2:Q344),"")</f>
        <v/>
      </c>
    </row>
    <row r="345" spans="1:18" x14ac:dyDescent="0.2">
      <c r="A345" s="73" t="s">
        <v>226</v>
      </c>
      <c r="B345" s="77" t="s">
        <v>1541</v>
      </c>
      <c r="C345" s="74" t="s">
        <v>1647</v>
      </c>
      <c r="D345" s="74" t="s">
        <v>972</v>
      </c>
      <c r="E345" s="78" t="s">
        <v>129</v>
      </c>
      <c r="F345" s="76" t="s">
        <v>1652</v>
      </c>
      <c r="G345" s="76" t="s">
        <v>1149</v>
      </c>
      <c r="H345" s="70"/>
      <c r="P345" s="70">
        <f t="shared" si="5"/>
        <v>0</v>
      </c>
      <c r="Q345" s="70" cm="1">
        <f t="array" ref="Q345">IF(P345=1,IF(SUMPRODUCT(($P$2:P345)*(--($G$2:G345=$G345)))=1,1,0),0)</f>
        <v>0</v>
      </c>
      <c r="R345" s="70" t="str">
        <f>IF(Q345=1,SUM($Q$2:Q345),"")</f>
        <v/>
      </c>
    </row>
    <row r="346" spans="1:18" x14ac:dyDescent="0.2">
      <c r="A346" s="73" t="s">
        <v>226</v>
      </c>
      <c r="B346" s="77" t="s">
        <v>1541</v>
      </c>
      <c r="C346" s="74" t="s">
        <v>1647</v>
      </c>
      <c r="D346" s="74" t="s">
        <v>972</v>
      </c>
      <c r="E346" s="78" t="s">
        <v>113</v>
      </c>
      <c r="F346" s="76" t="s">
        <v>1653</v>
      </c>
      <c r="G346" s="76" t="s">
        <v>1149</v>
      </c>
      <c r="H346" s="70"/>
      <c r="P346" s="70">
        <f t="shared" si="5"/>
        <v>0</v>
      </c>
      <c r="Q346" s="70" cm="1">
        <f t="array" ref="Q346">IF(P346=1,IF(SUMPRODUCT(($P$2:P346)*(--($G$2:G346=$G346)))=1,1,0),0)</f>
        <v>0</v>
      </c>
      <c r="R346" s="70" t="str">
        <f>IF(Q346=1,SUM($Q$2:Q346),"")</f>
        <v/>
      </c>
    </row>
    <row r="347" spans="1:18" x14ac:dyDescent="0.2">
      <c r="A347" s="73" t="s">
        <v>226</v>
      </c>
      <c r="B347" s="77" t="s">
        <v>1541</v>
      </c>
      <c r="C347" s="74" t="s">
        <v>1647</v>
      </c>
      <c r="D347" s="74" t="s">
        <v>972</v>
      </c>
      <c r="E347" s="78" t="s">
        <v>1002</v>
      </c>
      <c r="F347" s="76" t="s">
        <v>1653</v>
      </c>
      <c r="G347" s="76" t="s">
        <v>1149</v>
      </c>
      <c r="H347" s="70"/>
      <c r="P347" s="70">
        <f t="shared" si="5"/>
        <v>0</v>
      </c>
      <c r="Q347" s="70" cm="1">
        <f t="array" ref="Q347">IF(P347=1,IF(SUMPRODUCT(($P$2:P347)*(--($G$2:G347=$G347)))=1,1,0),0)</f>
        <v>0</v>
      </c>
      <c r="R347" s="70" t="str">
        <f>IF(Q347=1,SUM($Q$2:Q347),"")</f>
        <v/>
      </c>
    </row>
    <row r="348" spans="1:18" x14ac:dyDescent="0.2">
      <c r="A348" s="73" t="s">
        <v>226</v>
      </c>
      <c r="B348" s="77" t="s">
        <v>1541</v>
      </c>
      <c r="C348" s="74" t="s">
        <v>1647</v>
      </c>
      <c r="D348" s="74" t="s">
        <v>972</v>
      </c>
      <c r="E348" s="78" t="s">
        <v>129</v>
      </c>
      <c r="F348" s="76" t="s">
        <v>1653</v>
      </c>
      <c r="G348" s="76" t="s">
        <v>1149</v>
      </c>
      <c r="H348" s="70"/>
      <c r="P348" s="70">
        <f t="shared" si="5"/>
        <v>0</v>
      </c>
      <c r="Q348" s="70" cm="1">
        <f t="array" ref="Q348">IF(P348=1,IF(SUMPRODUCT(($P$2:P348)*(--($G$2:G348=$G348)))=1,1,0),0)</f>
        <v>0</v>
      </c>
      <c r="R348" s="70" t="str">
        <f>IF(Q348=1,SUM($Q$2:Q348),"")</f>
        <v/>
      </c>
    </row>
    <row r="349" spans="1:18" x14ac:dyDescent="0.2">
      <c r="A349" s="73" t="s">
        <v>226</v>
      </c>
      <c r="B349" s="77" t="s">
        <v>1541</v>
      </c>
      <c r="C349" s="74" t="s">
        <v>1647</v>
      </c>
      <c r="D349" s="74" t="s">
        <v>972</v>
      </c>
      <c r="E349" s="78" t="s">
        <v>113</v>
      </c>
      <c r="F349" s="76" t="s">
        <v>1654</v>
      </c>
      <c r="G349" s="76" t="s">
        <v>1149</v>
      </c>
      <c r="H349" s="70"/>
      <c r="P349" s="70">
        <f t="shared" si="5"/>
        <v>0</v>
      </c>
      <c r="Q349" s="70" cm="1">
        <f t="array" ref="Q349">IF(P349=1,IF(SUMPRODUCT(($P$2:P349)*(--($G$2:G349=$G349)))=1,1,0),0)</f>
        <v>0</v>
      </c>
      <c r="R349" s="70" t="str">
        <f>IF(Q349=1,SUM($Q$2:Q349),"")</f>
        <v/>
      </c>
    </row>
    <row r="350" spans="1:18" x14ac:dyDescent="0.2">
      <c r="A350" s="73" t="s">
        <v>226</v>
      </c>
      <c r="B350" s="77" t="s">
        <v>1541</v>
      </c>
      <c r="C350" s="74" t="s">
        <v>1647</v>
      </c>
      <c r="D350" s="74" t="s">
        <v>972</v>
      </c>
      <c r="E350" s="78" t="s">
        <v>1002</v>
      </c>
      <c r="F350" s="76" t="s">
        <v>1654</v>
      </c>
      <c r="G350" s="76" t="s">
        <v>1149</v>
      </c>
      <c r="H350" s="70"/>
      <c r="P350" s="70">
        <f t="shared" si="5"/>
        <v>0</v>
      </c>
      <c r="Q350" s="70" cm="1">
        <f t="array" ref="Q350">IF(P350=1,IF(SUMPRODUCT(($P$2:P350)*(--($G$2:G350=$G350)))=1,1,0),0)</f>
        <v>0</v>
      </c>
      <c r="R350" s="70" t="str">
        <f>IF(Q350=1,SUM($Q$2:Q350),"")</f>
        <v/>
      </c>
    </row>
    <row r="351" spans="1:18" x14ac:dyDescent="0.2">
      <c r="A351" s="73" t="s">
        <v>226</v>
      </c>
      <c r="B351" s="77" t="s">
        <v>1541</v>
      </c>
      <c r="C351" s="74" t="s">
        <v>1647</v>
      </c>
      <c r="D351" s="74" t="s">
        <v>972</v>
      </c>
      <c r="E351" s="78" t="s">
        <v>129</v>
      </c>
      <c r="F351" s="76" t="s">
        <v>1654</v>
      </c>
      <c r="G351" s="76" t="s">
        <v>1149</v>
      </c>
      <c r="H351" s="70"/>
      <c r="P351" s="70">
        <f t="shared" si="5"/>
        <v>0</v>
      </c>
      <c r="Q351" s="70" cm="1">
        <f t="array" ref="Q351">IF(P351=1,IF(SUMPRODUCT(($P$2:P351)*(--($G$2:G351=$G351)))=1,1,0),0)</f>
        <v>0</v>
      </c>
      <c r="R351" s="70" t="str">
        <f>IF(Q351=1,SUM($Q$2:Q351),"")</f>
        <v/>
      </c>
    </row>
    <row r="352" spans="1:18" x14ac:dyDescent="0.2">
      <c r="A352" s="73" t="s">
        <v>226</v>
      </c>
      <c r="B352" s="77" t="s">
        <v>1541</v>
      </c>
      <c r="C352" s="74" t="s">
        <v>1647</v>
      </c>
      <c r="D352" s="74" t="s">
        <v>972</v>
      </c>
      <c r="E352" s="78" t="s">
        <v>113</v>
      </c>
      <c r="F352" s="76" t="s">
        <v>1655</v>
      </c>
      <c r="G352" s="76" t="s">
        <v>1148</v>
      </c>
      <c r="H352" s="70"/>
      <c r="P352" s="70">
        <f t="shared" si="5"/>
        <v>0</v>
      </c>
      <c r="Q352" s="70" cm="1">
        <f t="array" ref="Q352">IF(P352=1,IF(SUMPRODUCT(($P$2:P352)*(--($G$2:G352=$G352)))=1,1,0),0)</f>
        <v>0</v>
      </c>
      <c r="R352" s="70" t="str">
        <f>IF(Q352=1,SUM($Q$2:Q352),"")</f>
        <v/>
      </c>
    </row>
    <row r="353" spans="1:18" x14ac:dyDescent="0.2">
      <c r="A353" s="73" t="s">
        <v>226</v>
      </c>
      <c r="B353" s="77" t="s">
        <v>1541</v>
      </c>
      <c r="C353" s="74" t="s">
        <v>1647</v>
      </c>
      <c r="D353" s="74" t="s">
        <v>972</v>
      </c>
      <c r="E353" s="78" t="s">
        <v>1002</v>
      </c>
      <c r="F353" s="76" t="s">
        <v>1655</v>
      </c>
      <c r="G353" s="76" t="s">
        <v>1148</v>
      </c>
      <c r="H353" s="70"/>
      <c r="P353" s="70">
        <f t="shared" si="5"/>
        <v>0</v>
      </c>
      <c r="Q353" s="70" cm="1">
        <f t="array" ref="Q353">IF(P353=1,IF(SUMPRODUCT(($P$2:P353)*(--($G$2:G353=$G353)))=1,1,0),0)</f>
        <v>0</v>
      </c>
      <c r="R353" s="70" t="str">
        <f>IF(Q353=1,SUM($Q$2:Q353),"")</f>
        <v/>
      </c>
    </row>
    <row r="354" spans="1:18" x14ac:dyDescent="0.2">
      <c r="A354" s="73" t="s">
        <v>226</v>
      </c>
      <c r="B354" s="77" t="s">
        <v>1541</v>
      </c>
      <c r="C354" s="74" t="s">
        <v>1647</v>
      </c>
      <c r="D354" s="74" t="s">
        <v>972</v>
      </c>
      <c r="E354" s="78" t="s">
        <v>129</v>
      </c>
      <c r="F354" s="76" t="s">
        <v>1655</v>
      </c>
      <c r="G354" s="76" t="s">
        <v>1148</v>
      </c>
      <c r="H354" s="70"/>
      <c r="P354" s="70">
        <f t="shared" si="5"/>
        <v>0</v>
      </c>
      <c r="Q354" s="70" cm="1">
        <f t="array" ref="Q354">IF(P354=1,IF(SUMPRODUCT(($P$2:P354)*(--($G$2:G354=$G354)))=1,1,0),0)</f>
        <v>0</v>
      </c>
      <c r="R354" s="70" t="str">
        <f>IF(Q354=1,SUM($Q$2:Q354),"")</f>
        <v/>
      </c>
    </row>
    <row r="355" spans="1:18" x14ac:dyDescent="0.2">
      <c r="A355" s="73" t="s">
        <v>226</v>
      </c>
      <c r="B355" s="77" t="s">
        <v>1541</v>
      </c>
      <c r="C355" s="74" t="s">
        <v>1647</v>
      </c>
      <c r="D355" s="74" t="s">
        <v>972</v>
      </c>
      <c r="E355" s="78" t="s">
        <v>113</v>
      </c>
      <c r="F355" s="76" t="s">
        <v>1656</v>
      </c>
      <c r="G355" s="76" t="s">
        <v>1148</v>
      </c>
      <c r="H355" s="70"/>
      <c r="P355" s="70">
        <f t="shared" si="5"/>
        <v>0</v>
      </c>
      <c r="Q355" s="70" cm="1">
        <f t="array" ref="Q355">IF(P355=1,IF(SUMPRODUCT(($P$2:P355)*(--($G$2:G355=$G355)))=1,1,0),0)</f>
        <v>0</v>
      </c>
      <c r="R355" s="70" t="str">
        <f>IF(Q355=1,SUM($Q$2:Q355),"")</f>
        <v/>
      </c>
    </row>
    <row r="356" spans="1:18" x14ac:dyDescent="0.2">
      <c r="A356" s="73" t="s">
        <v>226</v>
      </c>
      <c r="B356" s="77" t="s">
        <v>1541</v>
      </c>
      <c r="C356" s="74" t="s">
        <v>1647</v>
      </c>
      <c r="D356" s="74" t="s">
        <v>972</v>
      </c>
      <c r="E356" s="78" t="s">
        <v>1002</v>
      </c>
      <c r="F356" s="76" t="s">
        <v>1656</v>
      </c>
      <c r="G356" s="76" t="s">
        <v>1148</v>
      </c>
      <c r="H356" s="70"/>
      <c r="P356" s="70">
        <f t="shared" si="5"/>
        <v>0</v>
      </c>
      <c r="Q356" s="70" cm="1">
        <f t="array" ref="Q356">IF(P356=1,IF(SUMPRODUCT(($P$2:P356)*(--($G$2:G356=$G356)))=1,1,0),0)</f>
        <v>0</v>
      </c>
      <c r="R356" s="70" t="str">
        <f>IF(Q356=1,SUM($Q$2:Q356),"")</f>
        <v/>
      </c>
    </row>
    <row r="357" spans="1:18" x14ac:dyDescent="0.2">
      <c r="A357" s="73" t="s">
        <v>226</v>
      </c>
      <c r="B357" s="77" t="s">
        <v>1541</v>
      </c>
      <c r="C357" s="74" t="s">
        <v>1647</v>
      </c>
      <c r="D357" s="74" t="s">
        <v>972</v>
      </c>
      <c r="E357" s="78" t="s">
        <v>129</v>
      </c>
      <c r="F357" s="76" t="s">
        <v>1656</v>
      </c>
      <c r="G357" s="76" t="s">
        <v>1148</v>
      </c>
      <c r="H357" s="70"/>
      <c r="P357" s="70">
        <f t="shared" si="5"/>
        <v>0</v>
      </c>
      <c r="Q357" s="70" cm="1">
        <f t="array" ref="Q357">IF(P357=1,IF(SUMPRODUCT(($P$2:P357)*(--($G$2:G357=$G357)))=1,1,0),0)</f>
        <v>0</v>
      </c>
      <c r="R357" s="70" t="str">
        <f>IF(Q357=1,SUM($Q$2:Q357),"")</f>
        <v/>
      </c>
    </row>
    <row r="358" spans="1:18" x14ac:dyDescent="0.2">
      <c r="A358" s="73" t="s">
        <v>226</v>
      </c>
      <c r="B358" s="77" t="s">
        <v>1541</v>
      </c>
      <c r="C358" s="74" t="s">
        <v>1647</v>
      </c>
      <c r="D358" s="74" t="s">
        <v>972</v>
      </c>
      <c r="E358" s="78" t="s">
        <v>113</v>
      </c>
      <c r="F358" s="76" t="s">
        <v>1657</v>
      </c>
      <c r="G358" s="76" t="s">
        <v>1148</v>
      </c>
      <c r="H358" s="70"/>
      <c r="P358" s="70">
        <f t="shared" si="5"/>
        <v>0</v>
      </c>
      <c r="Q358" s="70" cm="1">
        <f t="array" ref="Q358">IF(P358=1,IF(SUMPRODUCT(($P$2:P358)*(--($G$2:G358=$G358)))=1,1,0),0)</f>
        <v>0</v>
      </c>
      <c r="R358" s="70" t="str">
        <f>IF(Q358=1,SUM($Q$2:Q358),"")</f>
        <v/>
      </c>
    </row>
    <row r="359" spans="1:18" x14ac:dyDescent="0.2">
      <c r="A359" s="73" t="s">
        <v>226</v>
      </c>
      <c r="B359" s="77" t="s">
        <v>1541</v>
      </c>
      <c r="C359" s="74" t="s">
        <v>1647</v>
      </c>
      <c r="D359" s="74" t="s">
        <v>972</v>
      </c>
      <c r="E359" s="78" t="s">
        <v>1002</v>
      </c>
      <c r="F359" s="76" t="s">
        <v>1657</v>
      </c>
      <c r="G359" s="76" t="s">
        <v>1148</v>
      </c>
      <c r="H359" s="70"/>
      <c r="P359" s="70">
        <f t="shared" si="5"/>
        <v>0</v>
      </c>
      <c r="Q359" s="70" cm="1">
        <f t="array" ref="Q359">IF(P359=1,IF(SUMPRODUCT(($P$2:P359)*(--($G$2:G359=$G359)))=1,1,0),0)</f>
        <v>0</v>
      </c>
      <c r="R359" s="70" t="str">
        <f>IF(Q359=1,SUM($Q$2:Q359),"")</f>
        <v/>
      </c>
    </row>
    <row r="360" spans="1:18" x14ac:dyDescent="0.2">
      <c r="A360" s="73" t="s">
        <v>226</v>
      </c>
      <c r="B360" s="77" t="s">
        <v>1541</v>
      </c>
      <c r="C360" s="74" t="s">
        <v>1647</v>
      </c>
      <c r="D360" s="74" t="s">
        <v>972</v>
      </c>
      <c r="E360" s="78" t="s">
        <v>129</v>
      </c>
      <c r="F360" s="76" t="s">
        <v>1657</v>
      </c>
      <c r="G360" s="76" t="s">
        <v>1148</v>
      </c>
      <c r="H360" s="70"/>
      <c r="P360" s="70">
        <f t="shared" si="5"/>
        <v>0</v>
      </c>
      <c r="Q360" s="70" cm="1">
        <f t="array" ref="Q360">IF(P360=1,IF(SUMPRODUCT(($P$2:P360)*(--($G$2:G360=$G360)))=1,1,0),0)</f>
        <v>0</v>
      </c>
      <c r="R360" s="70" t="str">
        <f>IF(Q360=1,SUM($Q$2:Q360),"")</f>
        <v/>
      </c>
    </row>
    <row r="361" spans="1:18" x14ac:dyDescent="0.2">
      <c r="A361" s="73" t="s">
        <v>226</v>
      </c>
      <c r="B361" s="77" t="s">
        <v>1541</v>
      </c>
      <c r="C361" s="74" t="s">
        <v>1647</v>
      </c>
      <c r="D361" s="74" t="s">
        <v>972</v>
      </c>
      <c r="E361" s="78" t="s">
        <v>113</v>
      </c>
      <c r="F361" s="76" t="s">
        <v>1658</v>
      </c>
      <c r="G361" s="76" t="s">
        <v>1148</v>
      </c>
      <c r="H361" s="70"/>
      <c r="P361" s="70">
        <f t="shared" si="5"/>
        <v>0</v>
      </c>
      <c r="Q361" s="70" cm="1">
        <f t="array" ref="Q361">IF(P361=1,IF(SUMPRODUCT(($P$2:P361)*(--($G$2:G361=$G361)))=1,1,0),0)</f>
        <v>0</v>
      </c>
      <c r="R361" s="70" t="str">
        <f>IF(Q361=1,SUM($Q$2:Q361),"")</f>
        <v/>
      </c>
    </row>
    <row r="362" spans="1:18" x14ac:dyDescent="0.2">
      <c r="A362" s="73" t="s">
        <v>226</v>
      </c>
      <c r="B362" s="77" t="s">
        <v>1541</v>
      </c>
      <c r="C362" s="74" t="s">
        <v>1647</v>
      </c>
      <c r="D362" s="74" t="s">
        <v>972</v>
      </c>
      <c r="E362" s="78" t="s">
        <v>1002</v>
      </c>
      <c r="F362" s="76" t="s">
        <v>1658</v>
      </c>
      <c r="G362" s="76" t="s">
        <v>1148</v>
      </c>
      <c r="H362" s="70"/>
      <c r="P362" s="70">
        <f t="shared" si="5"/>
        <v>0</v>
      </c>
      <c r="Q362" s="70" cm="1">
        <f t="array" ref="Q362">IF(P362=1,IF(SUMPRODUCT(($P$2:P362)*(--($G$2:G362=$G362)))=1,1,0),0)</f>
        <v>0</v>
      </c>
      <c r="R362" s="70" t="str">
        <f>IF(Q362=1,SUM($Q$2:Q362),"")</f>
        <v/>
      </c>
    </row>
    <row r="363" spans="1:18" x14ac:dyDescent="0.2">
      <c r="A363" s="73" t="s">
        <v>226</v>
      </c>
      <c r="B363" s="77" t="s">
        <v>1541</v>
      </c>
      <c r="C363" s="74" t="s">
        <v>1647</v>
      </c>
      <c r="D363" s="74" t="s">
        <v>972</v>
      </c>
      <c r="E363" s="78" t="s">
        <v>129</v>
      </c>
      <c r="F363" s="76" t="s">
        <v>1658</v>
      </c>
      <c r="G363" s="76" t="s">
        <v>1148</v>
      </c>
      <c r="H363" s="70"/>
      <c r="P363" s="70">
        <f t="shared" si="5"/>
        <v>0</v>
      </c>
      <c r="Q363" s="70" cm="1">
        <f t="array" ref="Q363">IF(P363=1,IF(SUMPRODUCT(($P$2:P363)*(--($G$2:G363=$G363)))=1,1,0),0)</f>
        <v>0</v>
      </c>
      <c r="R363" s="70" t="str">
        <f>IF(Q363=1,SUM($Q$2:Q363),"")</f>
        <v/>
      </c>
    </row>
    <row r="364" spans="1:18" ht="16" x14ac:dyDescent="0.2">
      <c r="A364" s="73" t="s">
        <v>226</v>
      </c>
      <c r="B364" s="85" t="s">
        <v>1660</v>
      </c>
      <c r="C364" s="74" t="s">
        <v>1647</v>
      </c>
      <c r="D364" s="74" t="s">
        <v>972</v>
      </c>
      <c r="E364" s="78" t="s">
        <v>113</v>
      </c>
      <c r="F364" s="76" t="s">
        <v>1659</v>
      </c>
      <c r="G364" s="75" t="s">
        <v>1071</v>
      </c>
      <c r="H364" s="70"/>
      <c r="P364" s="70">
        <f t="shared" si="5"/>
        <v>0</v>
      </c>
      <c r="Q364" s="70" cm="1">
        <f t="array" ref="Q364">IF(P364=1,IF(SUMPRODUCT(($P$2:P364)*(--($G$2:G364=$G364)))=1,1,0),0)</f>
        <v>0</v>
      </c>
      <c r="R364" s="70" t="str">
        <f>IF(Q364=1,SUM($Q$2:Q364),"")</f>
        <v/>
      </c>
    </row>
    <row r="365" spans="1:18" ht="16" x14ac:dyDescent="0.2">
      <c r="A365" s="73" t="s">
        <v>226</v>
      </c>
      <c r="B365" s="85" t="s">
        <v>1660</v>
      </c>
      <c r="C365" s="74" t="s">
        <v>1647</v>
      </c>
      <c r="D365" s="74" t="s">
        <v>972</v>
      </c>
      <c r="E365" s="78" t="s">
        <v>1002</v>
      </c>
      <c r="F365" s="76" t="s">
        <v>1659</v>
      </c>
      <c r="G365" s="75" t="s">
        <v>1071</v>
      </c>
      <c r="H365" s="70"/>
      <c r="P365" s="70">
        <f t="shared" si="5"/>
        <v>0</v>
      </c>
      <c r="Q365" s="70" cm="1">
        <f t="array" ref="Q365">IF(P365=1,IF(SUMPRODUCT(($P$2:P365)*(--($G$2:G365=$G365)))=1,1,0),0)</f>
        <v>0</v>
      </c>
      <c r="R365" s="70" t="str">
        <f>IF(Q365=1,SUM($Q$2:Q365),"")</f>
        <v/>
      </c>
    </row>
    <row r="366" spans="1:18" ht="16" x14ac:dyDescent="0.2">
      <c r="A366" s="73" t="s">
        <v>226</v>
      </c>
      <c r="B366" s="85" t="s">
        <v>1660</v>
      </c>
      <c r="C366" s="74" t="s">
        <v>1647</v>
      </c>
      <c r="D366" s="74" t="s">
        <v>972</v>
      </c>
      <c r="E366" s="78" t="s">
        <v>129</v>
      </c>
      <c r="F366" s="76" t="s">
        <v>1659</v>
      </c>
      <c r="G366" s="75" t="s">
        <v>1071</v>
      </c>
      <c r="H366" s="70"/>
      <c r="P366" s="70">
        <f t="shared" si="5"/>
        <v>0</v>
      </c>
      <c r="Q366" s="70" cm="1">
        <f t="array" ref="Q366">IF(P366=1,IF(SUMPRODUCT(($P$2:P366)*(--($G$2:G366=$G366)))=1,1,0),0)</f>
        <v>0</v>
      </c>
      <c r="R366" s="70" t="str">
        <f>IF(Q366=1,SUM($Q$2:Q366),"")</f>
        <v/>
      </c>
    </row>
    <row r="367" spans="1:18" ht="16" x14ac:dyDescent="0.2">
      <c r="A367" s="73" t="s">
        <v>226</v>
      </c>
      <c r="B367" s="85" t="s">
        <v>1660</v>
      </c>
      <c r="C367" s="74" t="s">
        <v>1647</v>
      </c>
      <c r="D367" s="74" t="s">
        <v>972</v>
      </c>
      <c r="E367" s="78" t="s">
        <v>113</v>
      </c>
      <c r="F367" s="76" t="s">
        <v>1661</v>
      </c>
      <c r="G367" s="75" t="s">
        <v>1071</v>
      </c>
      <c r="H367" s="70"/>
      <c r="P367" s="70">
        <f t="shared" si="5"/>
        <v>0</v>
      </c>
      <c r="Q367" s="70" cm="1">
        <f t="array" ref="Q367">IF(P367=1,IF(SUMPRODUCT(($P$2:P367)*(--($G$2:G367=$G367)))=1,1,0),0)</f>
        <v>0</v>
      </c>
      <c r="R367" s="70" t="str">
        <f>IF(Q367=1,SUM($Q$2:Q367),"")</f>
        <v/>
      </c>
    </row>
    <row r="368" spans="1:18" ht="16" x14ac:dyDescent="0.2">
      <c r="A368" s="73" t="s">
        <v>226</v>
      </c>
      <c r="B368" s="85" t="s">
        <v>1660</v>
      </c>
      <c r="C368" s="74" t="s">
        <v>1647</v>
      </c>
      <c r="D368" s="74" t="s">
        <v>972</v>
      </c>
      <c r="E368" s="78" t="s">
        <v>1002</v>
      </c>
      <c r="F368" s="76" t="s">
        <v>1661</v>
      </c>
      <c r="G368" s="75" t="s">
        <v>1071</v>
      </c>
      <c r="H368" s="70"/>
      <c r="P368" s="70">
        <f t="shared" si="5"/>
        <v>0</v>
      </c>
      <c r="Q368" s="70" cm="1">
        <f t="array" ref="Q368">IF(P368=1,IF(SUMPRODUCT(($P$2:P368)*(--($G$2:G368=$G368)))=1,1,0),0)</f>
        <v>0</v>
      </c>
      <c r="R368" s="70" t="str">
        <f>IF(Q368=1,SUM($Q$2:Q368),"")</f>
        <v/>
      </c>
    </row>
    <row r="369" spans="1:18" ht="16" x14ac:dyDescent="0.2">
      <c r="A369" s="73" t="s">
        <v>226</v>
      </c>
      <c r="B369" s="85" t="s">
        <v>1660</v>
      </c>
      <c r="C369" s="74" t="s">
        <v>1647</v>
      </c>
      <c r="D369" s="74" t="s">
        <v>972</v>
      </c>
      <c r="E369" s="78" t="s">
        <v>129</v>
      </c>
      <c r="F369" s="76" t="s">
        <v>1661</v>
      </c>
      <c r="G369" s="75" t="s">
        <v>1071</v>
      </c>
      <c r="H369" s="70"/>
      <c r="P369" s="70">
        <f t="shared" si="5"/>
        <v>0</v>
      </c>
      <c r="Q369" s="70" cm="1">
        <f t="array" ref="Q369">IF(P369=1,IF(SUMPRODUCT(($P$2:P369)*(--($G$2:G369=$G369)))=1,1,0),0)</f>
        <v>0</v>
      </c>
      <c r="R369" s="70" t="str">
        <f>IF(Q369=1,SUM($Q$2:Q369),"")</f>
        <v/>
      </c>
    </row>
    <row r="370" spans="1:18" ht="16" x14ac:dyDescent="0.2">
      <c r="A370" s="73" t="s">
        <v>226</v>
      </c>
      <c r="B370" s="85" t="s">
        <v>1660</v>
      </c>
      <c r="C370" s="74" t="s">
        <v>1647</v>
      </c>
      <c r="D370" s="74" t="s">
        <v>972</v>
      </c>
      <c r="E370" s="78" t="s">
        <v>113</v>
      </c>
      <c r="F370" s="76" t="s">
        <v>1662</v>
      </c>
      <c r="G370" s="75" t="s">
        <v>1145</v>
      </c>
      <c r="H370" s="70"/>
      <c r="P370" s="70">
        <f t="shared" si="5"/>
        <v>0</v>
      </c>
      <c r="Q370" s="70" cm="1">
        <f t="array" ref="Q370">IF(P370=1,IF(SUMPRODUCT(($P$2:P370)*(--($G$2:G370=$G370)))=1,1,0),0)</f>
        <v>0</v>
      </c>
      <c r="R370" s="70" t="str">
        <f>IF(Q370=1,SUM($Q$2:Q370),"")</f>
        <v/>
      </c>
    </row>
    <row r="371" spans="1:18" ht="16" x14ac:dyDescent="0.2">
      <c r="A371" s="73" t="s">
        <v>226</v>
      </c>
      <c r="B371" s="85" t="s">
        <v>1660</v>
      </c>
      <c r="C371" s="74" t="s">
        <v>1647</v>
      </c>
      <c r="D371" s="74" t="s">
        <v>972</v>
      </c>
      <c r="E371" s="78" t="s">
        <v>1002</v>
      </c>
      <c r="F371" s="76" t="s">
        <v>1662</v>
      </c>
      <c r="G371" s="75" t="s">
        <v>1145</v>
      </c>
      <c r="H371" s="70"/>
      <c r="P371" s="70">
        <f t="shared" si="5"/>
        <v>0</v>
      </c>
      <c r="Q371" s="70" cm="1">
        <f t="array" ref="Q371">IF(P371=1,IF(SUMPRODUCT(($P$2:P371)*(--($G$2:G371=$G371)))=1,1,0),0)</f>
        <v>0</v>
      </c>
      <c r="R371" s="70" t="str">
        <f>IF(Q371=1,SUM($Q$2:Q371),"")</f>
        <v/>
      </c>
    </row>
    <row r="372" spans="1:18" ht="16" x14ac:dyDescent="0.2">
      <c r="A372" s="73" t="s">
        <v>226</v>
      </c>
      <c r="B372" s="85" t="s">
        <v>1660</v>
      </c>
      <c r="C372" s="74" t="s">
        <v>1647</v>
      </c>
      <c r="D372" s="74" t="s">
        <v>972</v>
      </c>
      <c r="E372" s="78" t="s">
        <v>129</v>
      </c>
      <c r="F372" s="76" t="s">
        <v>1662</v>
      </c>
      <c r="G372" s="75" t="s">
        <v>1145</v>
      </c>
      <c r="H372" s="70"/>
      <c r="P372" s="70">
        <f t="shared" si="5"/>
        <v>0</v>
      </c>
      <c r="Q372" s="70" cm="1">
        <f t="array" ref="Q372">IF(P372=1,IF(SUMPRODUCT(($P$2:P372)*(--($G$2:G372=$G372)))=1,1,0),0)</f>
        <v>0</v>
      </c>
      <c r="R372" s="70" t="str">
        <f>IF(Q372=1,SUM($Q$2:Q372),"")</f>
        <v/>
      </c>
    </row>
    <row r="373" spans="1:18" ht="16" x14ac:dyDescent="0.2">
      <c r="A373" s="73" t="s">
        <v>226</v>
      </c>
      <c r="B373" s="85" t="s">
        <v>1660</v>
      </c>
      <c r="C373" s="74" t="s">
        <v>1647</v>
      </c>
      <c r="D373" s="74" t="s">
        <v>972</v>
      </c>
      <c r="E373" s="78" t="s">
        <v>113</v>
      </c>
      <c r="F373" s="76" t="s">
        <v>1663</v>
      </c>
      <c r="G373" s="75" t="s">
        <v>1145</v>
      </c>
      <c r="H373" s="70"/>
      <c r="P373" s="70">
        <f t="shared" si="5"/>
        <v>0</v>
      </c>
      <c r="Q373" s="70" cm="1">
        <f t="array" ref="Q373">IF(P373=1,IF(SUMPRODUCT(($P$2:P373)*(--($G$2:G373=$G373)))=1,1,0),0)</f>
        <v>0</v>
      </c>
      <c r="R373" s="70" t="str">
        <f>IF(Q373=1,SUM($Q$2:Q373),"")</f>
        <v/>
      </c>
    </row>
    <row r="374" spans="1:18" ht="16" x14ac:dyDescent="0.2">
      <c r="A374" s="73" t="s">
        <v>226</v>
      </c>
      <c r="B374" s="85" t="s">
        <v>1660</v>
      </c>
      <c r="C374" s="74" t="s">
        <v>1647</v>
      </c>
      <c r="D374" s="74" t="s">
        <v>972</v>
      </c>
      <c r="E374" s="78" t="s">
        <v>1002</v>
      </c>
      <c r="F374" s="76" t="s">
        <v>1663</v>
      </c>
      <c r="G374" s="75" t="s">
        <v>1145</v>
      </c>
      <c r="H374" s="70"/>
      <c r="P374" s="70">
        <f t="shared" si="5"/>
        <v>0</v>
      </c>
      <c r="Q374" s="70" cm="1">
        <f t="array" ref="Q374">IF(P374=1,IF(SUMPRODUCT(($P$2:P374)*(--($G$2:G374=$G374)))=1,1,0),0)</f>
        <v>0</v>
      </c>
      <c r="R374" s="70" t="str">
        <f>IF(Q374=1,SUM($Q$2:Q374),"")</f>
        <v/>
      </c>
    </row>
    <row r="375" spans="1:18" ht="16" x14ac:dyDescent="0.2">
      <c r="A375" s="73" t="s">
        <v>226</v>
      </c>
      <c r="B375" s="85" t="s">
        <v>1660</v>
      </c>
      <c r="C375" s="74" t="s">
        <v>1647</v>
      </c>
      <c r="D375" s="74" t="s">
        <v>972</v>
      </c>
      <c r="E375" s="78" t="s">
        <v>129</v>
      </c>
      <c r="F375" s="76" t="s">
        <v>1663</v>
      </c>
      <c r="G375" s="75" t="s">
        <v>1145</v>
      </c>
      <c r="H375" s="70"/>
      <c r="P375" s="70">
        <f t="shared" si="5"/>
        <v>0</v>
      </c>
      <c r="Q375" s="70" cm="1">
        <f t="array" ref="Q375">IF(P375=1,IF(SUMPRODUCT(($P$2:P375)*(--($G$2:G375=$G375)))=1,1,0),0)</f>
        <v>0</v>
      </c>
      <c r="R375" s="70" t="str">
        <f>IF(Q375=1,SUM($Q$2:Q375),"")</f>
        <v/>
      </c>
    </row>
    <row r="376" spans="1:18" ht="16" x14ac:dyDescent="0.2">
      <c r="A376" s="73" t="s">
        <v>226</v>
      </c>
      <c r="B376" s="85" t="s">
        <v>1660</v>
      </c>
      <c r="C376" s="74" t="s">
        <v>1647</v>
      </c>
      <c r="D376" s="74" t="s">
        <v>972</v>
      </c>
      <c r="E376" s="78" t="s">
        <v>129</v>
      </c>
      <c r="F376" s="76" t="s">
        <v>1664</v>
      </c>
      <c r="G376" s="75" t="s">
        <v>1070</v>
      </c>
      <c r="H376" s="70"/>
      <c r="P376" s="70">
        <f t="shared" si="5"/>
        <v>0</v>
      </c>
      <c r="Q376" s="70" cm="1">
        <f t="array" ref="Q376">IF(P376=1,IF(SUMPRODUCT(($P$2:P376)*(--($G$2:G376=$G376)))=1,1,0),0)</f>
        <v>0</v>
      </c>
      <c r="R376" s="70" t="str">
        <f>IF(Q376=1,SUM($Q$2:Q376),"")</f>
        <v/>
      </c>
    </row>
    <row r="377" spans="1:18" ht="16" x14ac:dyDescent="0.2">
      <c r="A377" s="73" t="s">
        <v>226</v>
      </c>
      <c r="B377" s="85" t="s">
        <v>1660</v>
      </c>
      <c r="C377" s="74" t="s">
        <v>1647</v>
      </c>
      <c r="D377" s="74" t="s">
        <v>972</v>
      </c>
      <c r="E377" s="78" t="s">
        <v>113</v>
      </c>
      <c r="F377" s="76" t="s">
        <v>1664</v>
      </c>
      <c r="G377" s="75" t="s">
        <v>1070</v>
      </c>
      <c r="H377" s="70"/>
      <c r="P377" s="70">
        <f t="shared" si="5"/>
        <v>0</v>
      </c>
      <c r="Q377" s="70" cm="1">
        <f t="array" ref="Q377">IF(P377=1,IF(SUMPRODUCT(($P$2:P377)*(--($G$2:G377=$G377)))=1,1,0),0)</f>
        <v>0</v>
      </c>
      <c r="R377" s="70" t="str">
        <f>IF(Q377=1,SUM($Q$2:Q377),"")</f>
        <v/>
      </c>
    </row>
    <row r="378" spans="1:18" ht="16" x14ac:dyDescent="0.2">
      <c r="A378" s="73" t="s">
        <v>226</v>
      </c>
      <c r="B378" s="85" t="s">
        <v>1660</v>
      </c>
      <c r="C378" s="74" t="s">
        <v>1647</v>
      </c>
      <c r="D378" s="74" t="s">
        <v>972</v>
      </c>
      <c r="E378" s="78" t="s">
        <v>1002</v>
      </c>
      <c r="F378" s="76" t="s">
        <v>1664</v>
      </c>
      <c r="G378" s="75" t="s">
        <v>1070</v>
      </c>
      <c r="H378" s="70"/>
      <c r="P378" s="70">
        <f t="shared" si="5"/>
        <v>0</v>
      </c>
      <c r="Q378" s="70" cm="1">
        <f t="array" ref="Q378">IF(P378=1,IF(SUMPRODUCT(($P$2:P378)*(--($G$2:G378=$G378)))=1,1,0),0)</f>
        <v>0</v>
      </c>
      <c r="R378" s="70" t="str">
        <f>IF(Q378=1,SUM($Q$2:Q378),"")</f>
        <v/>
      </c>
    </row>
    <row r="379" spans="1:18" ht="16" x14ac:dyDescent="0.2">
      <c r="A379" s="73" t="s">
        <v>285</v>
      </c>
      <c r="B379" s="77" t="s">
        <v>1541</v>
      </c>
      <c r="C379" s="74" t="s">
        <v>1665</v>
      </c>
      <c r="D379" s="74" t="s">
        <v>971</v>
      </c>
      <c r="E379" s="78" t="s">
        <v>97</v>
      </c>
      <c r="F379" s="76" t="s">
        <v>285</v>
      </c>
      <c r="G379" s="75" t="s">
        <v>1141</v>
      </c>
      <c r="H379" s="70"/>
      <c r="P379" s="70">
        <f t="shared" si="5"/>
        <v>0</v>
      </c>
      <c r="Q379" s="70" cm="1">
        <f t="array" ref="Q379">IF(P379=1,IF(SUMPRODUCT(($P$2:P379)*(--($G$2:G379=$G379)))=1,1,0),0)</f>
        <v>0</v>
      </c>
      <c r="R379" s="70" t="str">
        <f>IF(Q379=1,SUM($Q$2:Q379),"")</f>
        <v/>
      </c>
    </row>
    <row r="380" spans="1:18" ht="16" x14ac:dyDescent="0.2">
      <c r="A380" s="73" t="s">
        <v>285</v>
      </c>
      <c r="B380" s="77" t="s">
        <v>1541</v>
      </c>
      <c r="C380" s="74" t="s">
        <v>1665</v>
      </c>
      <c r="D380" s="74" t="s">
        <v>971</v>
      </c>
      <c r="E380" s="78" t="s">
        <v>138</v>
      </c>
      <c r="F380" s="76" t="s">
        <v>285</v>
      </c>
      <c r="G380" s="75" t="s">
        <v>1141</v>
      </c>
      <c r="H380" s="70"/>
      <c r="P380" s="70">
        <f t="shared" si="5"/>
        <v>0</v>
      </c>
      <c r="Q380" s="70" cm="1">
        <f t="array" ref="Q380">IF(P380=1,IF(SUMPRODUCT(($P$2:P380)*(--($G$2:G380=$G380)))=1,1,0),0)</f>
        <v>0</v>
      </c>
      <c r="R380" s="70" t="str">
        <f>IF(Q380=1,SUM($Q$2:Q380),"")</f>
        <v/>
      </c>
    </row>
    <row r="381" spans="1:18" ht="16" x14ac:dyDescent="0.2">
      <c r="A381" s="73" t="s">
        <v>285</v>
      </c>
      <c r="B381" s="77" t="s">
        <v>1541</v>
      </c>
      <c r="C381" s="74" t="s">
        <v>1665</v>
      </c>
      <c r="D381" s="74" t="s">
        <v>971</v>
      </c>
      <c r="E381" s="78" t="s">
        <v>97</v>
      </c>
      <c r="F381" s="76" t="s">
        <v>289</v>
      </c>
      <c r="G381" s="75" t="s">
        <v>1141</v>
      </c>
      <c r="H381" s="70"/>
      <c r="P381" s="70">
        <f t="shared" si="5"/>
        <v>0</v>
      </c>
      <c r="Q381" s="70" cm="1">
        <f t="array" ref="Q381">IF(P381=1,IF(SUMPRODUCT(($P$2:P381)*(--($G$2:G381=$G381)))=1,1,0),0)</f>
        <v>0</v>
      </c>
      <c r="R381" s="70" t="str">
        <f>IF(Q381=1,SUM($Q$2:Q381),"")</f>
        <v/>
      </c>
    </row>
    <row r="382" spans="1:18" ht="16" x14ac:dyDescent="0.2">
      <c r="A382" s="73" t="s">
        <v>285</v>
      </c>
      <c r="B382" s="77" t="s">
        <v>1541</v>
      </c>
      <c r="C382" s="74" t="s">
        <v>1665</v>
      </c>
      <c r="D382" s="74" t="s">
        <v>971</v>
      </c>
      <c r="E382" s="78" t="s">
        <v>138</v>
      </c>
      <c r="F382" s="76" t="s">
        <v>289</v>
      </c>
      <c r="G382" s="75" t="s">
        <v>1141</v>
      </c>
      <c r="H382" s="70"/>
      <c r="P382" s="70">
        <f t="shared" si="5"/>
        <v>0</v>
      </c>
      <c r="Q382" s="70" cm="1">
        <f t="array" ref="Q382">IF(P382=1,IF(SUMPRODUCT(($P$2:P382)*(--($G$2:G382=$G382)))=1,1,0),0)</f>
        <v>0</v>
      </c>
      <c r="R382" s="70" t="str">
        <f>IF(Q382=1,SUM($Q$2:Q382),"")</f>
        <v/>
      </c>
    </row>
    <row r="383" spans="1:18" ht="16" x14ac:dyDescent="0.2">
      <c r="A383" s="73" t="s">
        <v>285</v>
      </c>
      <c r="B383" s="77" t="s">
        <v>1541</v>
      </c>
      <c r="C383" s="74" t="s">
        <v>1665</v>
      </c>
      <c r="D383" s="74" t="s">
        <v>971</v>
      </c>
      <c r="E383" s="78" t="s">
        <v>97</v>
      </c>
      <c r="F383" s="76" t="s">
        <v>1593</v>
      </c>
      <c r="G383" s="75" t="s">
        <v>1141</v>
      </c>
      <c r="H383" s="70"/>
      <c r="P383" s="70">
        <f t="shared" si="5"/>
        <v>0</v>
      </c>
      <c r="Q383" s="70" cm="1">
        <f t="array" ref="Q383">IF(P383=1,IF(SUMPRODUCT(($P$2:P383)*(--($G$2:G383=$G383)))=1,1,0),0)</f>
        <v>0</v>
      </c>
      <c r="R383" s="70" t="str">
        <f>IF(Q383=1,SUM($Q$2:Q383),"")</f>
        <v/>
      </c>
    </row>
    <row r="384" spans="1:18" ht="16" x14ac:dyDescent="0.2">
      <c r="A384" s="73" t="s">
        <v>285</v>
      </c>
      <c r="B384" s="77" t="s">
        <v>1541</v>
      </c>
      <c r="C384" s="74" t="s">
        <v>1665</v>
      </c>
      <c r="D384" s="74" t="s">
        <v>971</v>
      </c>
      <c r="E384" s="78" t="s">
        <v>138</v>
      </c>
      <c r="F384" s="76" t="s">
        <v>1593</v>
      </c>
      <c r="G384" s="75" t="s">
        <v>1141</v>
      </c>
      <c r="H384" s="70"/>
      <c r="P384" s="70">
        <f t="shared" si="5"/>
        <v>0</v>
      </c>
      <c r="Q384" s="70" cm="1">
        <f t="array" ref="Q384">IF(P384=1,IF(SUMPRODUCT(($P$2:P384)*(--($G$2:G384=$G384)))=1,1,0),0)</f>
        <v>0</v>
      </c>
      <c r="R384" s="70" t="str">
        <f>IF(Q384=1,SUM($Q$2:Q384),"")</f>
        <v/>
      </c>
    </row>
    <row r="385" spans="1:18" ht="16" x14ac:dyDescent="0.2">
      <c r="A385" s="73" t="s">
        <v>285</v>
      </c>
      <c r="B385" s="77" t="s">
        <v>1541</v>
      </c>
      <c r="C385" s="74" t="s">
        <v>1665</v>
      </c>
      <c r="D385" s="74" t="s">
        <v>971</v>
      </c>
      <c r="E385" s="78" t="s">
        <v>97</v>
      </c>
      <c r="F385" s="76" t="s">
        <v>1594</v>
      </c>
      <c r="G385" s="75" t="s">
        <v>1141</v>
      </c>
      <c r="H385" s="70"/>
      <c r="P385" s="70">
        <f t="shared" si="5"/>
        <v>0</v>
      </c>
      <c r="Q385" s="70" cm="1">
        <f t="array" ref="Q385">IF(P385=1,IF(SUMPRODUCT(($P$2:P385)*(--($G$2:G385=$G385)))=1,1,0),0)</f>
        <v>0</v>
      </c>
      <c r="R385" s="70" t="str">
        <f>IF(Q385=1,SUM($Q$2:Q385),"")</f>
        <v/>
      </c>
    </row>
    <row r="386" spans="1:18" ht="16" x14ac:dyDescent="0.2">
      <c r="A386" s="73" t="s">
        <v>285</v>
      </c>
      <c r="B386" s="77" t="s">
        <v>1541</v>
      </c>
      <c r="C386" s="74" t="s">
        <v>1665</v>
      </c>
      <c r="D386" s="74" t="s">
        <v>971</v>
      </c>
      <c r="E386" s="78" t="s">
        <v>138</v>
      </c>
      <c r="F386" s="76" t="s">
        <v>1594</v>
      </c>
      <c r="G386" s="75" t="s">
        <v>1141</v>
      </c>
      <c r="H386" s="70"/>
      <c r="P386" s="70">
        <f t="shared" si="5"/>
        <v>0</v>
      </c>
      <c r="Q386" s="70" cm="1">
        <f t="array" ref="Q386">IF(P386=1,IF(SUMPRODUCT(($P$2:P386)*(--($G$2:G386=$G386)))=1,1,0),0)</f>
        <v>0</v>
      </c>
      <c r="R386" s="70" t="str">
        <f>IF(Q386=1,SUM($Q$2:Q386),"")</f>
        <v/>
      </c>
    </row>
    <row r="387" spans="1:18" ht="16" x14ac:dyDescent="0.2">
      <c r="A387" s="73" t="s">
        <v>285</v>
      </c>
      <c r="B387" s="77" t="s">
        <v>1541</v>
      </c>
      <c r="C387" s="74" t="s">
        <v>1665</v>
      </c>
      <c r="D387" s="74" t="s">
        <v>971</v>
      </c>
      <c r="E387" s="78" t="s">
        <v>97</v>
      </c>
      <c r="F387" s="76" t="s">
        <v>1595</v>
      </c>
      <c r="G387" s="75" t="s">
        <v>1141</v>
      </c>
      <c r="H387" s="70"/>
      <c r="P387" s="70">
        <f t="shared" ref="P387:P450" si="6">IF(AND(IF(TRIM($J$2&amp;"")="",TRUE,LEFT($D387,LEN($J$2))=$J$2),IF(TRIM($K$2&amp;"")="",TRUE,$E387=$K$2),IF($L$2="",TRUE,$F387=$L$2)),1,0)</f>
        <v>0</v>
      </c>
      <c r="Q387" s="70" cm="1">
        <f t="array" ref="Q387">IF(P387=1,IF(SUMPRODUCT(($P$2:P387)*(--($G$2:G387=$G387)))=1,1,0),0)</f>
        <v>0</v>
      </c>
      <c r="R387" s="70" t="str">
        <f>IF(Q387=1,SUM($Q$2:Q387),"")</f>
        <v/>
      </c>
    </row>
    <row r="388" spans="1:18" ht="16" x14ac:dyDescent="0.2">
      <c r="A388" s="73" t="s">
        <v>285</v>
      </c>
      <c r="B388" s="77" t="s">
        <v>1541</v>
      </c>
      <c r="C388" s="74" t="s">
        <v>1665</v>
      </c>
      <c r="D388" s="74" t="s">
        <v>971</v>
      </c>
      <c r="E388" s="78" t="s">
        <v>138</v>
      </c>
      <c r="F388" s="76" t="s">
        <v>1595</v>
      </c>
      <c r="G388" s="75" t="s">
        <v>1141</v>
      </c>
      <c r="H388" s="70"/>
      <c r="P388" s="70">
        <f t="shared" si="6"/>
        <v>0</v>
      </c>
      <c r="Q388" s="70" cm="1">
        <f t="array" ref="Q388">IF(P388=1,IF(SUMPRODUCT(($P$2:P388)*(--($G$2:G388=$G388)))=1,1,0),0)</f>
        <v>0</v>
      </c>
      <c r="R388" s="70" t="str">
        <f>IF(Q388=1,SUM($Q$2:Q388),"")</f>
        <v/>
      </c>
    </row>
    <row r="389" spans="1:18" ht="16" x14ac:dyDescent="0.2">
      <c r="A389" s="73" t="s">
        <v>285</v>
      </c>
      <c r="B389" s="85" t="s">
        <v>1551</v>
      </c>
      <c r="C389" s="74" t="s">
        <v>1665</v>
      </c>
      <c r="D389" s="74" t="s">
        <v>971</v>
      </c>
      <c r="E389" s="78" t="s">
        <v>97</v>
      </c>
      <c r="F389" s="76" t="s">
        <v>1598</v>
      </c>
      <c r="G389" s="75" t="s">
        <v>1067</v>
      </c>
      <c r="H389" s="70"/>
      <c r="P389" s="70">
        <f t="shared" si="6"/>
        <v>0</v>
      </c>
      <c r="Q389" s="70" cm="1">
        <f t="array" ref="Q389">IF(P389=1,IF(SUMPRODUCT(($P$2:P389)*(--($G$2:G389=$G389)))=1,1,0),0)</f>
        <v>0</v>
      </c>
      <c r="R389" s="70" t="str">
        <f>IF(Q389=1,SUM($Q$2:Q389),"")</f>
        <v/>
      </c>
    </row>
    <row r="390" spans="1:18" ht="16" x14ac:dyDescent="0.2">
      <c r="A390" s="73" t="s">
        <v>285</v>
      </c>
      <c r="B390" s="85" t="s">
        <v>1551</v>
      </c>
      <c r="C390" s="74" t="s">
        <v>1665</v>
      </c>
      <c r="D390" s="74" t="s">
        <v>971</v>
      </c>
      <c r="E390" s="78" t="s">
        <v>138</v>
      </c>
      <c r="F390" s="76" t="s">
        <v>1598</v>
      </c>
      <c r="G390" s="75" t="s">
        <v>1067</v>
      </c>
      <c r="H390" s="70"/>
      <c r="P390" s="70">
        <f t="shared" si="6"/>
        <v>0</v>
      </c>
      <c r="Q390" s="70" cm="1">
        <f t="array" ref="Q390">IF(P390=1,IF(SUMPRODUCT(($P$2:P390)*(--($G$2:G390=$G390)))=1,1,0),0)</f>
        <v>0</v>
      </c>
      <c r="R390" s="70" t="str">
        <f>IF(Q390=1,SUM($Q$2:Q390),"")</f>
        <v/>
      </c>
    </row>
    <row r="391" spans="1:18" ht="16" x14ac:dyDescent="0.2">
      <c r="A391" s="73" t="s">
        <v>285</v>
      </c>
      <c r="B391" s="77" t="s">
        <v>1541</v>
      </c>
      <c r="C391" s="74" t="s">
        <v>1665</v>
      </c>
      <c r="D391" s="74" t="s">
        <v>971</v>
      </c>
      <c r="E391" s="78" t="s">
        <v>106</v>
      </c>
      <c r="F391" s="76" t="s">
        <v>285</v>
      </c>
      <c r="G391" s="75" t="s">
        <v>392</v>
      </c>
      <c r="H391" s="70"/>
      <c r="P391" s="70">
        <f t="shared" si="6"/>
        <v>0</v>
      </c>
      <c r="Q391" s="70" cm="1">
        <f t="array" ref="Q391">IF(P391=1,IF(SUMPRODUCT(($P$2:P391)*(--($G$2:G391=$G391)))=1,1,0),0)</f>
        <v>0</v>
      </c>
      <c r="R391" s="70" t="str">
        <f>IF(Q391=1,SUM($Q$2:Q391),"")</f>
        <v/>
      </c>
    </row>
    <row r="392" spans="1:18" ht="16" x14ac:dyDescent="0.2">
      <c r="A392" s="73" t="s">
        <v>285</v>
      </c>
      <c r="B392" s="77" t="s">
        <v>1541</v>
      </c>
      <c r="C392" s="74" t="s">
        <v>1665</v>
      </c>
      <c r="D392" s="74" t="s">
        <v>971</v>
      </c>
      <c r="E392" s="78" t="s">
        <v>106</v>
      </c>
      <c r="F392" s="76" t="s">
        <v>289</v>
      </c>
      <c r="G392" s="75" t="s">
        <v>392</v>
      </c>
      <c r="H392" s="70"/>
      <c r="P392" s="70">
        <f t="shared" si="6"/>
        <v>0</v>
      </c>
      <c r="Q392" s="70" cm="1">
        <f t="array" ref="Q392">IF(P392=1,IF(SUMPRODUCT(($P$2:P392)*(--($G$2:G392=$G392)))=1,1,0),0)</f>
        <v>0</v>
      </c>
      <c r="R392" s="70" t="str">
        <f>IF(Q392=1,SUM($Q$2:Q392),"")</f>
        <v/>
      </c>
    </row>
    <row r="393" spans="1:18" ht="16" x14ac:dyDescent="0.2">
      <c r="A393" s="73" t="s">
        <v>285</v>
      </c>
      <c r="B393" s="77" t="s">
        <v>1541</v>
      </c>
      <c r="C393" s="74" t="s">
        <v>1665</v>
      </c>
      <c r="D393" s="74" t="s">
        <v>971</v>
      </c>
      <c r="E393" s="78" t="s">
        <v>106</v>
      </c>
      <c r="F393" s="76" t="s">
        <v>1593</v>
      </c>
      <c r="G393" s="75" t="s">
        <v>392</v>
      </c>
      <c r="H393" s="70"/>
      <c r="P393" s="70">
        <f t="shared" si="6"/>
        <v>0</v>
      </c>
      <c r="Q393" s="70" cm="1">
        <f t="array" ref="Q393">IF(P393=1,IF(SUMPRODUCT(($P$2:P393)*(--($G$2:G393=$G393)))=1,1,0),0)</f>
        <v>0</v>
      </c>
      <c r="R393" s="70" t="str">
        <f>IF(Q393=1,SUM($Q$2:Q393),"")</f>
        <v/>
      </c>
    </row>
    <row r="394" spans="1:18" ht="16" x14ac:dyDescent="0.2">
      <c r="A394" s="73" t="s">
        <v>285</v>
      </c>
      <c r="B394" s="77" t="s">
        <v>1541</v>
      </c>
      <c r="C394" s="74" t="s">
        <v>1665</v>
      </c>
      <c r="D394" s="74" t="s">
        <v>971</v>
      </c>
      <c r="E394" s="78" t="s">
        <v>106</v>
      </c>
      <c r="F394" s="76" t="s">
        <v>1594</v>
      </c>
      <c r="G394" s="75" t="s">
        <v>392</v>
      </c>
      <c r="H394" s="70"/>
      <c r="P394" s="70">
        <f t="shared" si="6"/>
        <v>0</v>
      </c>
      <c r="Q394" s="70" cm="1">
        <f t="array" ref="Q394">IF(P394=1,IF(SUMPRODUCT(($P$2:P394)*(--($G$2:G394=$G394)))=1,1,0),0)</f>
        <v>0</v>
      </c>
      <c r="R394" s="70" t="str">
        <f>IF(Q394=1,SUM($Q$2:Q394),"")</f>
        <v/>
      </c>
    </row>
    <row r="395" spans="1:18" ht="16" x14ac:dyDescent="0.2">
      <c r="A395" s="73" t="s">
        <v>285</v>
      </c>
      <c r="B395" s="77" t="s">
        <v>1541</v>
      </c>
      <c r="C395" s="74" t="s">
        <v>1665</v>
      </c>
      <c r="D395" s="74" t="s">
        <v>971</v>
      </c>
      <c r="E395" s="78" t="s">
        <v>106</v>
      </c>
      <c r="F395" s="76" t="s">
        <v>1595</v>
      </c>
      <c r="G395" s="75" t="s">
        <v>392</v>
      </c>
      <c r="H395" s="70"/>
      <c r="P395" s="70">
        <f t="shared" si="6"/>
        <v>0</v>
      </c>
      <c r="Q395" s="70" cm="1">
        <f t="array" ref="Q395">IF(P395=1,IF(SUMPRODUCT(($P$2:P395)*(--($G$2:G395=$G395)))=1,1,0),0)</f>
        <v>0</v>
      </c>
      <c r="R395" s="70" t="str">
        <f>IF(Q395=1,SUM($Q$2:Q395),"")</f>
        <v/>
      </c>
    </row>
    <row r="396" spans="1:18" ht="16" x14ac:dyDescent="0.2">
      <c r="A396" s="73" t="s">
        <v>285</v>
      </c>
      <c r="B396" s="77" t="s">
        <v>1541</v>
      </c>
      <c r="C396" s="74" t="s">
        <v>1665</v>
      </c>
      <c r="D396" s="74" t="s">
        <v>971</v>
      </c>
      <c r="E396" s="78" t="s">
        <v>106</v>
      </c>
      <c r="F396" s="76" t="s">
        <v>1666</v>
      </c>
      <c r="G396" s="75" t="s">
        <v>392</v>
      </c>
      <c r="H396" s="70"/>
      <c r="P396" s="70">
        <f t="shared" si="6"/>
        <v>0</v>
      </c>
      <c r="Q396" s="70" cm="1">
        <f t="array" ref="Q396">IF(P396=1,IF(SUMPRODUCT(($P$2:P396)*(--($G$2:G396=$G396)))=1,1,0),0)</f>
        <v>0</v>
      </c>
      <c r="R396" s="70" t="str">
        <f>IF(Q396=1,SUM($Q$2:Q396),"")</f>
        <v/>
      </c>
    </row>
    <row r="397" spans="1:18" ht="16" x14ac:dyDescent="0.2">
      <c r="A397" s="73" t="s">
        <v>285</v>
      </c>
      <c r="B397" s="77" t="s">
        <v>1541</v>
      </c>
      <c r="C397" s="74" t="s">
        <v>1665</v>
      </c>
      <c r="D397" s="74" t="s">
        <v>971</v>
      </c>
      <c r="E397" s="78" t="s">
        <v>106</v>
      </c>
      <c r="F397" s="76" t="s">
        <v>1667</v>
      </c>
      <c r="G397" s="75" t="s">
        <v>392</v>
      </c>
      <c r="H397" s="70"/>
      <c r="P397" s="70">
        <f t="shared" si="6"/>
        <v>0</v>
      </c>
      <c r="Q397" s="70" cm="1">
        <f t="array" ref="Q397">IF(P397=1,IF(SUMPRODUCT(($P$2:P397)*(--($G$2:G397=$G397)))=1,1,0),0)</f>
        <v>0</v>
      </c>
      <c r="R397" s="70" t="str">
        <f>IF(Q397=1,SUM($Q$2:Q397),"")</f>
        <v/>
      </c>
    </row>
    <row r="398" spans="1:18" ht="16" x14ac:dyDescent="0.2">
      <c r="A398" s="73" t="s">
        <v>285</v>
      </c>
      <c r="B398" s="77" t="s">
        <v>1541</v>
      </c>
      <c r="C398" s="74" t="s">
        <v>1665</v>
      </c>
      <c r="D398" s="74" t="s">
        <v>971</v>
      </c>
      <c r="E398" s="78" t="s">
        <v>106</v>
      </c>
      <c r="F398" s="76" t="s">
        <v>1668</v>
      </c>
      <c r="G398" s="75" t="s">
        <v>392</v>
      </c>
      <c r="H398" s="70"/>
      <c r="P398" s="70">
        <f t="shared" si="6"/>
        <v>0</v>
      </c>
      <c r="Q398" s="70" cm="1">
        <f t="array" ref="Q398">IF(P398=1,IF(SUMPRODUCT(($P$2:P398)*(--($G$2:G398=$G398)))=1,1,0),0)</f>
        <v>0</v>
      </c>
      <c r="R398" s="70" t="str">
        <f>IF(Q398=1,SUM($Q$2:Q398),"")</f>
        <v/>
      </c>
    </row>
    <row r="399" spans="1:18" ht="16" x14ac:dyDescent="0.2">
      <c r="A399" s="73" t="s">
        <v>285</v>
      </c>
      <c r="B399" s="77" t="s">
        <v>1541</v>
      </c>
      <c r="C399" s="74" t="s">
        <v>1665</v>
      </c>
      <c r="D399" s="74" t="s">
        <v>971</v>
      </c>
      <c r="E399" s="78" t="s">
        <v>106</v>
      </c>
      <c r="F399" s="76" t="s">
        <v>1669</v>
      </c>
      <c r="G399" s="75" t="s">
        <v>392</v>
      </c>
      <c r="H399" s="70"/>
      <c r="P399" s="70">
        <f t="shared" si="6"/>
        <v>0</v>
      </c>
      <c r="Q399" s="70" cm="1">
        <f t="array" ref="Q399">IF(P399=1,IF(SUMPRODUCT(($P$2:P399)*(--($G$2:G399=$G399)))=1,1,0),0)</f>
        <v>0</v>
      </c>
      <c r="R399" s="70" t="str">
        <f>IF(Q399=1,SUM($Q$2:Q399),"")</f>
        <v/>
      </c>
    </row>
    <row r="400" spans="1:18" x14ac:dyDescent="0.2">
      <c r="A400" s="73" t="s">
        <v>285</v>
      </c>
      <c r="B400" s="77" t="s">
        <v>1541</v>
      </c>
      <c r="C400" s="74" t="s">
        <v>1665</v>
      </c>
      <c r="D400" s="74" t="s">
        <v>971</v>
      </c>
      <c r="E400" s="78" t="s">
        <v>113</v>
      </c>
      <c r="F400" s="76" t="s">
        <v>285</v>
      </c>
      <c r="G400" s="76" t="s">
        <v>1142</v>
      </c>
      <c r="H400" s="70"/>
      <c r="P400" s="70">
        <f t="shared" si="6"/>
        <v>0</v>
      </c>
      <c r="Q400" s="70" cm="1">
        <f t="array" ref="Q400">IF(P400=1,IF(SUMPRODUCT(($P$2:P400)*(--($G$2:G400=$G400)))=1,1,0),0)</f>
        <v>0</v>
      </c>
      <c r="R400" s="70" t="str">
        <f>IF(Q400=1,SUM($Q$2:Q400),"")</f>
        <v/>
      </c>
    </row>
    <row r="401" spans="1:18" x14ac:dyDescent="0.2">
      <c r="A401" s="73" t="s">
        <v>285</v>
      </c>
      <c r="B401" s="77" t="s">
        <v>1541</v>
      </c>
      <c r="C401" s="74" t="s">
        <v>1665</v>
      </c>
      <c r="D401" s="74" t="s">
        <v>971</v>
      </c>
      <c r="E401" s="78" t="s">
        <v>1002</v>
      </c>
      <c r="F401" s="76" t="s">
        <v>285</v>
      </c>
      <c r="G401" s="76" t="s">
        <v>1142</v>
      </c>
      <c r="H401" s="70"/>
      <c r="P401" s="70">
        <f t="shared" si="6"/>
        <v>0</v>
      </c>
      <c r="Q401" s="70" cm="1">
        <f t="array" ref="Q401">IF(P401=1,IF(SUMPRODUCT(($P$2:P401)*(--($G$2:G401=$G401)))=1,1,0),0)</f>
        <v>0</v>
      </c>
      <c r="R401" s="70" t="str">
        <f>IF(Q401=1,SUM($Q$2:Q401),"")</f>
        <v/>
      </c>
    </row>
    <row r="402" spans="1:18" x14ac:dyDescent="0.2">
      <c r="A402" s="73" t="s">
        <v>285</v>
      </c>
      <c r="B402" s="77" t="s">
        <v>1541</v>
      </c>
      <c r="C402" s="74" t="s">
        <v>1665</v>
      </c>
      <c r="D402" s="74" t="s">
        <v>971</v>
      </c>
      <c r="E402" s="78" t="s">
        <v>120</v>
      </c>
      <c r="F402" s="76" t="s">
        <v>285</v>
      </c>
      <c r="G402" s="76" t="s">
        <v>1142</v>
      </c>
      <c r="H402" s="70"/>
      <c r="P402" s="70">
        <f t="shared" si="6"/>
        <v>0</v>
      </c>
      <c r="Q402" s="70" cm="1">
        <f t="array" ref="Q402">IF(P402=1,IF(SUMPRODUCT(($P$2:P402)*(--($G$2:G402=$G402)))=1,1,0),0)</f>
        <v>0</v>
      </c>
      <c r="R402" s="70" t="str">
        <f>IF(Q402=1,SUM($Q$2:Q402),"")</f>
        <v/>
      </c>
    </row>
    <row r="403" spans="1:18" x14ac:dyDescent="0.2">
      <c r="A403" s="73" t="s">
        <v>285</v>
      </c>
      <c r="B403" s="77" t="s">
        <v>1541</v>
      </c>
      <c r="C403" s="74" t="s">
        <v>1665</v>
      </c>
      <c r="D403" s="74" t="s">
        <v>971</v>
      </c>
      <c r="E403" s="78" t="s">
        <v>113</v>
      </c>
      <c r="F403" s="76" t="s">
        <v>1593</v>
      </c>
      <c r="G403" s="76" t="s">
        <v>1142</v>
      </c>
      <c r="H403" s="70"/>
      <c r="P403" s="70">
        <f t="shared" si="6"/>
        <v>0</v>
      </c>
      <c r="Q403" s="70" cm="1">
        <f t="array" ref="Q403">IF(P403=1,IF(SUMPRODUCT(($P$2:P403)*(--($G$2:G403=$G403)))=1,1,0),0)</f>
        <v>0</v>
      </c>
      <c r="R403" s="70" t="str">
        <f>IF(Q403=1,SUM($Q$2:Q403),"")</f>
        <v/>
      </c>
    </row>
    <row r="404" spans="1:18" x14ac:dyDescent="0.2">
      <c r="A404" s="73" t="s">
        <v>285</v>
      </c>
      <c r="B404" s="77" t="s">
        <v>1541</v>
      </c>
      <c r="C404" s="74" t="s">
        <v>1665</v>
      </c>
      <c r="D404" s="74" t="s">
        <v>971</v>
      </c>
      <c r="E404" s="78" t="s">
        <v>1002</v>
      </c>
      <c r="F404" s="76" t="s">
        <v>1593</v>
      </c>
      <c r="G404" s="76" t="s">
        <v>1142</v>
      </c>
      <c r="H404" s="70"/>
      <c r="P404" s="70">
        <f t="shared" si="6"/>
        <v>0</v>
      </c>
      <c r="Q404" s="70" cm="1">
        <f t="array" ref="Q404">IF(P404=1,IF(SUMPRODUCT(($P$2:P404)*(--($G$2:G404=$G404)))=1,1,0),0)</f>
        <v>0</v>
      </c>
      <c r="R404" s="70" t="str">
        <f>IF(Q404=1,SUM($Q$2:Q404),"")</f>
        <v/>
      </c>
    </row>
    <row r="405" spans="1:18" x14ac:dyDescent="0.2">
      <c r="A405" s="73" t="s">
        <v>285</v>
      </c>
      <c r="B405" s="77" t="s">
        <v>1541</v>
      </c>
      <c r="C405" s="74" t="s">
        <v>1665</v>
      </c>
      <c r="D405" s="74" t="s">
        <v>971</v>
      </c>
      <c r="E405" s="78" t="s">
        <v>120</v>
      </c>
      <c r="F405" s="76" t="s">
        <v>1593</v>
      </c>
      <c r="G405" s="76" t="s">
        <v>1142</v>
      </c>
      <c r="H405" s="70"/>
      <c r="P405" s="70">
        <f t="shared" si="6"/>
        <v>0</v>
      </c>
      <c r="Q405" s="70" cm="1">
        <f t="array" ref="Q405">IF(P405=1,IF(SUMPRODUCT(($P$2:P405)*(--($G$2:G405=$G405)))=1,1,0),0)</f>
        <v>0</v>
      </c>
      <c r="R405" s="70" t="str">
        <f>IF(Q405=1,SUM($Q$2:Q405),"")</f>
        <v/>
      </c>
    </row>
    <row r="406" spans="1:18" x14ac:dyDescent="0.2">
      <c r="A406" s="73" t="s">
        <v>285</v>
      </c>
      <c r="B406" s="77" t="s">
        <v>1541</v>
      </c>
      <c r="C406" s="74" t="s">
        <v>1665</v>
      </c>
      <c r="D406" s="74" t="s">
        <v>971</v>
      </c>
      <c r="E406" s="78" t="s">
        <v>113</v>
      </c>
      <c r="F406" s="76" t="s">
        <v>1594</v>
      </c>
      <c r="G406" s="76" t="s">
        <v>1142</v>
      </c>
      <c r="H406" s="70"/>
      <c r="P406" s="70">
        <f t="shared" si="6"/>
        <v>0</v>
      </c>
      <c r="Q406" s="70" cm="1">
        <f t="array" ref="Q406">IF(P406=1,IF(SUMPRODUCT(($P$2:P406)*(--($G$2:G406=$G406)))=1,1,0),0)</f>
        <v>0</v>
      </c>
      <c r="R406" s="70" t="str">
        <f>IF(Q406=1,SUM($Q$2:Q406),"")</f>
        <v/>
      </c>
    </row>
    <row r="407" spans="1:18" x14ac:dyDescent="0.2">
      <c r="A407" s="73" t="s">
        <v>285</v>
      </c>
      <c r="B407" s="77" t="s">
        <v>1541</v>
      </c>
      <c r="C407" s="74" t="s">
        <v>1665</v>
      </c>
      <c r="D407" s="74" t="s">
        <v>971</v>
      </c>
      <c r="E407" s="78" t="s">
        <v>1002</v>
      </c>
      <c r="F407" s="76" t="s">
        <v>1594</v>
      </c>
      <c r="G407" s="76" t="s">
        <v>1142</v>
      </c>
      <c r="H407" s="70"/>
      <c r="P407" s="70">
        <f t="shared" si="6"/>
        <v>0</v>
      </c>
      <c r="Q407" s="70" cm="1">
        <f t="array" ref="Q407">IF(P407=1,IF(SUMPRODUCT(($P$2:P407)*(--($G$2:G407=$G407)))=1,1,0),0)</f>
        <v>0</v>
      </c>
      <c r="R407" s="70" t="str">
        <f>IF(Q407=1,SUM($Q$2:Q407),"")</f>
        <v/>
      </c>
    </row>
    <row r="408" spans="1:18" x14ac:dyDescent="0.2">
      <c r="A408" s="73" t="s">
        <v>285</v>
      </c>
      <c r="B408" s="77" t="s">
        <v>1541</v>
      </c>
      <c r="C408" s="74" t="s">
        <v>1665</v>
      </c>
      <c r="D408" s="74" t="s">
        <v>971</v>
      </c>
      <c r="E408" s="78" t="s">
        <v>120</v>
      </c>
      <c r="F408" s="76" t="s">
        <v>1594</v>
      </c>
      <c r="G408" s="76" t="s">
        <v>1142</v>
      </c>
      <c r="H408" s="70"/>
      <c r="P408" s="70">
        <f t="shared" si="6"/>
        <v>0</v>
      </c>
      <c r="Q408" s="70" cm="1">
        <f t="array" ref="Q408">IF(P408=1,IF(SUMPRODUCT(($P$2:P408)*(--($G$2:G408=$G408)))=1,1,0),0)</f>
        <v>0</v>
      </c>
      <c r="R408" s="70" t="str">
        <f>IF(Q408=1,SUM($Q$2:Q408),"")</f>
        <v/>
      </c>
    </row>
    <row r="409" spans="1:18" x14ac:dyDescent="0.2">
      <c r="A409" s="73" t="s">
        <v>285</v>
      </c>
      <c r="B409" s="77" t="s">
        <v>1541</v>
      </c>
      <c r="C409" s="74" t="s">
        <v>1665</v>
      </c>
      <c r="D409" s="74" t="s">
        <v>971</v>
      </c>
      <c r="E409" s="78" t="s">
        <v>113</v>
      </c>
      <c r="F409" s="76" t="s">
        <v>1595</v>
      </c>
      <c r="G409" s="76" t="s">
        <v>1142</v>
      </c>
      <c r="H409" s="70"/>
      <c r="P409" s="70">
        <f t="shared" si="6"/>
        <v>0</v>
      </c>
      <c r="Q409" s="70" cm="1">
        <f t="array" ref="Q409">IF(P409=1,IF(SUMPRODUCT(($P$2:P409)*(--($G$2:G409=$G409)))=1,1,0),0)</f>
        <v>0</v>
      </c>
      <c r="R409" s="70" t="str">
        <f>IF(Q409=1,SUM($Q$2:Q409),"")</f>
        <v/>
      </c>
    </row>
    <row r="410" spans="1:18" x14ac:dyDescent="0.2">
      <c r="A410" s="73" t="s">
        <v>285</v>
      </c>
      <c r="B410" s="77" t="s">
        <v>1541</v>
      </c>
      <c r="C410" s="74" t="s">
        <v>1665</v>
      </c>
      <c r="D410" s="74" t="s">
        <v>971</v>
      </c>
      <c r="E410" s="78" t="s">
        <v>1002</v>
      </c>
      <c r="F410" s="76" t="s">
        <v>1595</v>
      </c>
      <c r="G410" s="76" t="s">
        <v>1142</v>
      </c>
      <c r="H410" s="70"/>
      <c r="P410" s="70">
        <f t="shared" si="6"/>
        <v>0</v>
      </c>
      <c r="Q410" s="70" cm="1">
        <f t="array" ref="Q410">IF(P410=1,IF(SUMPRODUCT(($P$2:P410)*(--($G$2:G410=$G410)))=1,1,0),0)</f>
        <v>0</v>
      </c>
      <c r="R410" s="70" t="str">
        <f>IF(Q410=1,SUM($Q$2:Q410),"")</f>
        <v/>
      </c>
    </row>
    <row r="411" spans="1:18" x14ac:dyDescent="0.2">
      <c r="A411" s="73" t="s">
        <v>285</v>
      </c>
      <c r="B411" s="77" t="s">
        <v>1541</v>
      </c>
      <c r="C411" s="74" t="s">
        <v>1665</v>
      </c>
      <c r="D411" s="74" t="s">
        <v>971</v>
      </c>
      <c r="E411" s="78" t="s">
        <v>120</v>
      </c>
      <c r="F411" s="76" t="s">
        <v>1595</v>
      </c>
      <c r="G411" s="76" t="s">
        <v>1142</v>
      </c>
      <c r="H411" s="70"/>
      <c r="P411" s="70">
        <f t="shared" si="6"/>
        <v>0</v>
      </c>
      <c r="Q411" s="70" cm="1">
        <f t="array" ref="Q411">IF(P411=1,IF(SUMPRODUCT(($P$2:P411)*(--($G$2:G411=$G411)))=1,1,0),0)</f>
        <v>0</v>
      </c>
      <c r="R411" s="70" t="str">
        <f>IF(Q411=1,SUM($Q$2:Q411),"")</f>
        <v/>
      </c>
    </row>
    <row r="412" spans="1:18" x14ac:dyDescent="0.2">
      <c r="A412" s="73" t="s">
        <v>285</v>
      </c>
      <c r="B412" s="77" t="s">
        <v>1541</v>
      </c>
      <c r="C412" s="74" t="s">
        <v>1665</v>
      </c>
      <c r="D412" s="74" t="s">
        <v>971</v>
      </c>
      <c r="E412" s="78" t="s">
        <v>113</v>
      </c>
      <c r="F412" s="76" t="s">
        <v>1666</v>
      </c>
      <c r="G412" s="76" t="s">
        <v>1135</v>
      </c>
      <c r="H412" s="70"/>
      <c r="P412" s="70">
        <f t="shared" si="6"/>
        <v>0</v>
      </c>
      <c r="Q412" s="70" cm="1">
        <f t="array" ref="Q412">IF(P412=1,IF(SUMPRODUCT(($P$2:P412)*(--($G$2:G412=$G412)))=1,1,0),0)</f>
        <v>0</v>
      </c>
      <c r="R412" s="70" t="str">
        <f>IF(Q412=1,SUM($Q$2:Q412),"")</f>
        <v/>
      </c>
    </row>
    <row r="413" spans="1:18" x14ac:dyDescent="0.2">
      <c r="A413" s="73" t="s">
        <v>285</v>
      </c>
      <c r="B413" s="77" t="s">
        <v>1541</v>
      </c>
      <c r="C413" s="74" t="s">
        <v>1665</v>
      </c>
      <c r="D413" s="74" t="s">
        <v>971</v>
      </c>
      <c r="E413" s="78" t="s">
        <v>1002</v>
      </c>
      <c r="F413" s="76" t="s">
        <v>1666</v>
      </c>
      <c r="G413" s="76" t="s">
        <v>1135</v>
      </c>
      <c r="H413" s="70"/>
      <c r="P413" s="70">
        <f t="shared" si="6"/>
        <v>0</v>
      </c>
      <c r="Q413" s="70" cm="1">
        <f t="array" ref="Q413">IF(P413=1,IF(SUMPRODUCT(($P$2:P413)*(--($G$2:G413=$G413)))=1,1,0),0)</f>
        <v>0</v>
      </c>
      <c r="R413" s="70" t="str">
        <f>IF(Q413=1,SUM($Q$2:Q413),"")</f>
        <v/>
      </c>
    </row>
    <row r="414" spans="1:18" x14ac:dyDescent="0.2">
      <c r="A414" s="73" t="s">
        <v>285</v>
      </c>
      <c r="B414" s="77" t="s">
        <v>1541</v>
      </c>
      <c r="C414" s="74" t="s">
        <v>1665</v>
      </c>
      <c r="D414" s="74" t="s">
        <v>971</v>
      </c>
      <c r="E414" s="78" t="s">
        <v>113</v>
      </c>
      <c r="F414" s="76" t="s">
        <v>1670</v>
      </c>
      <c r="G414" s="76" t="s">
        <v>1135</v>
      </c>
      <c r="H414" s="70"/>
      <c r="P414" s="70">
        <f t="shared" si="6"/>
        <v>0</v>
      </c>
      <c r="Q414" s="70" cm="1">
        <f t="array" ref="Q414">IF(P414=1,IF(SUMPRODUCT(($P$2:P414)*(--($G$2:G414=$G414)))=1,1,0),0)</f>
        <v>0</v>
      </c>
      <c r="R414" s="70" t="str">
        <f>IF(Q414=1,SUM($Q$2:Q414),"")</f>
        <v/>
      </c>
    </row>
    <row r="415" spans="1:18" x14ac:dyDescent="0.2">
      <c r="A415" s="73" t="s">
        <v>285</v>
      </c>
      <c r="B415" s="77" t="s">
        <v>1541</v>
      </c>
      <c r="C415" s="74" t="s">
        <v>1665</v>
      </c>
      <c r="D415" s="74" t="s">
        <v>971</v>
      </c>
      <c r="E415" s="78" t="s">
        <v>1002</v>
      </c>
      <c r="F415" s="76" t="s">
        <v>1670</v>
      </c>
      <c r="G415" s="76" t="s">
        <v>1135</v>
      </c>
      <c r="H415" s="70"/>
      <c r="P415" s="70">
        <f t="shared" si="6"/>
        <v>0</v>
      </c>
      <c r="Q415" s="70" cm="1">
        <f t="array" ref="Q415">IF(P415=1,IF(SUMPRODUCT(($P$2:P415)*(--($G$2:G415=$G415)))=1,1,0),0)</f>
        <v>0</v>
      </c>
      <c r="R415" s="70" t="str">
        <f>IF(Q415=1,SUM($Q$2:Q415),"")</f>
        <v/>
      </c>
    </row>
    <row r="416" spans="1:18" x14ac:dyDescent="0.2">
      <c r="A416" s="73" t="s">
        <v>285</v>
      </c>
      <c r="B416" s="77" t="s">
        <v>1541</v>
      </c>
      <c r="C416" s="74" t="s">
        <v>1665</v>
      </c>
      <c r="D416" s="74" t="s">
        <v>971</v>
      </c>
      <c r="E416" s="78" t="s">
        <v>113</v>
      </c>
      <c r="F416" s="76" t="s">
        <v>1666</v>
      </c>
      <c r="G416" s="76" t="s">
        <v>1135</v>
      </c>
      <c r="H416" s="70"/>
      <c r="P416" s="70">
        <f t="shared" si="6"/>
        <v>0</v>
      </c>
      <c r="Q416" s="70" cm="1">
        <f t="array" ref="Q416">IF(P416=1,IF(SUMPRODUCT(($P$2:P416)*(--($G$2:G416=$G416)))=1,1,0),0)</f>
        <v>0</v>
      </c>
      <c r="R416" s="70" t="str">
        <f>IF(Q416=1,SUM($Q$2:Q416),"")</f>
        <v/>
      </c>
    </row>
    <row r="417" spans="1:18" x14ac:dyDescent="0.2">
      <c r="A417" s="73" t="s">
        <v>285</v>
      </c>
      <c r="B417" s="77" t="s">
        <v>1541</v>
      </c>
      <c r="C417" s="74" t="s">
        <v>1665</v>
      </c>
      <c r="D417" s="74" t="s">
        <v>971</v>
      </c>
      <c r="E417" s="78" t="s">
        <v>1002</v>
      </c>
      <c r="F417" s="76" t="s">
        <v>1666</v>
      </c>
      <c r="G417" s="76" t="s">
        <v>1135</v>
      </c>
      <c r="H417" s="70"/>
      <c r="P417" s="70">
        <f t="shared" si="6"/>
        <v>0</v>
      </c>
      <c r="Q417" s="70" cm="1">
        <f t="array" ref="Q417">IF(P417=1,IF(SUMPRODUCT(($P$2:P417)*(--($G$2:G417=$G417)))=1,1,0),0)</f>
        <v>0</v>
      </c>
      <c r="R417" s="70" t="str">
        <f>IF(Q417=1,SUM($Q$2:Q417),"")</f>
        <v/>
      </c>
    </row>
    <row r="418" spans="1:18" x14ac:dyDescent="0.2">
      <c r="A418" s="73" t="s">
        <v>285</v>
      </c>
      <c r="B418" s="77" t="s">
        <v>1541</v>
      </c>
      <c r="C418" s="74" t="s">
        <v>1665</v>
      </c>
      <c r="D418" s="74" t="s">
        <v>971</v>
      </c>
      <c r="E418" s="78" t="s">
        <v>113</v>
      </c>
      <c r="F418" s="76" t="s">
        <v>1670</v>
      </c>
      <c r="G418" s="76" t="s">
        <v>1135</v>
      </c>
      <c r="H418" s="70"/>
      <c r="P418" s="70">
        <f t="shared" si="6"/>
        <v>0</v>
      </c>
      <c r="Q418" s="70" cm="1">
        <f t="array" ref="Q418">IF(P418=1,IF(SUMPRODUCT(($P$2:P418)*(--($G$2:G418=$G418)))=1,1,0),0)</f>
        <v>0</v>
      </c>
      <c r="R418" s="70" t="str">
        <f>IF(Q418=1,SUM($Q$2:Q418),"")</f>
        <v/>
      </c>
    </row>
    <row r="419" spans="1:18" x14ac:dyDescent="0.2">
      <c r="A419" s="73" t="s">
        <v>285</v>
      </c>
      <c r="B419" s="77" t="s">
        <v>1541</v>
      </c>
      <c r="C419" s="74" t="s">
        <v>1665</v>
      </c>
      <c r="D419" s="74" t="s">
        <v>971</v>
      </c>
      <c r="E419" s="78" t="s">
        <v>1002</v>
      </c>
      <c r="F419" s="76" t="s">
        <v>1670</v>
      </c>
      <c r="G419" s="76" t="s">
        <v>1135</v>
      </c>
      <c r="H419" s="70"/>
      <c r="P419" s="70">
        <f t="shared" si="6"/>
        <v>0</v>
      </c>
      <c r="Q419" s="70" cm="1">
        <f t="array" ref="Q419">IF(P419=1,IF(SUMPRODUCT(($P$2:P419)*(--($G$2:G419=$G419)))=1,1,0),0)</f>
        <v>0</v>
      </c>
      <c r="R419" s="70" t="str">
        <f>IF(Q419=1,SUM($Q$2:Q419),"")</f>
        <v/>
      </c>
    </row>
    <row r="420" spans="1:18" x14ac:dyDescent="0.2">
      <c r="A420" s="73" t="s">
        <v>285</v>
      </c>
      <c r="B420" s="77" t="s">
        <v>1541</v>
      </c>
      <c r="C420" s="74" t="s">
        <v>1665</v>
      </c>
      <c r="D420" s="74" t="s">
        <v>971</v>
      </c>
      <c r="E420" s="78" t="s">
        <v>106</v>
      </c>
      <c r="F420" s="76" t="s">
        <v>1596</v>
      </c>
      <c r="G420" s="76" t="s">
        <v>1138</v>
      </c>
      <c r="H420" s="70"/>
      <c r="P420" s="70">
        <f t="shared" si="6"/>
        <v>0</v>
      </c>
      <c r="Q420" s="70" cm="1">
        <f t="array" ref="Q420">IF(P420=1,IF(SUMPRODUCT(($P$2:P420)*(--($G$2:G420=$G420)))=1,1,0),0)</f>
        <v>0</v>
      </c>
      <c r="R420" s="70" t="str">
        <f>IF(Q420=1,SUM($Q$2:Q420),"")</f>
        <v/>
      </c>
    </row>
    <row r="421" spans="1:18" x14ac:dyDescent="0.2">
      <c r="A421" s="73" t="s">
        <v>285</v>
      </c>
      <c r="B421" s="77" t="s">
        <v>1541</v>
      </c>
      <c r="C421" s="74" t="s">
        <v>1665</v>
      </c>
      <c r="D421" s="74" t="s">
        <v>971</v>
      </c>
      <c r="E421" s="78" t="s">
        <v>106</v>
      </c>
      <c r="F421" s="76" t="s">
        <v>1671</v>
      </c>
      <c r="G421" s="76" t="s">
        <v>1138</v>
      </c>
      <c r="H421" s="70"/>
      <c r="P421" s="70">
        <f t="shared" si="6"/>
        <v>0</v>
      </c>
      <c r="Q421" s="70" cm="1">
        <f t="array" ref="Q421">IF(P421=1,IF(SUMPRODUCT(($P$2:P421)*(--($G$2:G421=$G421)))=1,1,0),0)</f>
        <v>0</v>
      </c>
      <c r="R421" s="70" t="str">
        <f>IF(Q421=1,SUM($Q$2:Q421),"")</f>
        <v/>
      </c>
    </row>
    <row r="422" spans="1:18" x14ac:dyDescent="0.2">
      <c r="A422" s="73" t="s">
        <v>285</v>
      </c>
      <c r="B422" s="77" t="s">
        <v>1541</v>
      </c>
      <c r="C422" s="74" t="s">
        <v>1665</v>
      </c>
      <c r="D422" s="74" t="s">
        <v>971</v>
      </c>
      <c r="E422" s="78" t="s">
        <v>106</v>
      </c>
      <c r="F422" s="76" t="s">
        <v>1672</v>
      </c>
      <c r="G422" s="76" t="s">
        <v>1138</v>
      </c>
      <c r="H422" s="70"/>
      <c r="P422" s="70">
        <f t="shared" si="6"/>
        <v>0</v>
      </c>
      <c r="Q422" s="70" cm="1">
        <f t="array" ref="Q422">IF(P422=1,IF(SUMPRODUCT(($P$2:P422)*(--($G$2:G422=$G422)))=1,1,0),0)</f>
        <v>0</v>
      </c>
      <c r="R422" s="70" t="str">
        <f>IF(Q422=1,SUM($Q$2:Q422),"")</f>
        <v/>
      </c>
    </row>
    <row r="423" spans="1:18" x14ac:dyDescent="0.2">
      <c r="A423" s="73" t="s">
        <v>285</v>
      </c>
      <c r="B423" s="77" t="s">
        <v>1541</v>
      </c>
      <c r="C423" s="74" t="s">
        <v>1665</v>
      </c>
      <c r="D423" s="74" t="s">
        <v>971</v>
      </c>
      <c r="E423" s="78" t="s">
        <v>97</v>
      </c>
      <c r="F423" s="76" t="s">
        <v>1596</v>
      </c>
      <c r="G423" s="76" t="s">
        <v>1139</v>
      </c>
      <c r="H423" s="70"/>
      <c r="P423" s="70">
        <f t="shared" si="6"/>
        <v>0</v>
      </c>
      <c r="Q423" s="70" cm="1">
        <f t="array" ref="Q423">IF(P423=1,IF(SUMPRODUCT(($P$2:P423)*(--($G$2:G423=$G423)))=1,1,0),0)</f>
        <v>0</v>
      </c>
      <c r="R423" s="70" t="str">
        <f>IF(Q423=1,SUM($Q$2:Q423),"")</f>
        <v/>
      </c>
    </row>
    <row r="424" spans="1:18" x14ac:dyDescent="0.2">
      <c r="A424" s="73" t="s">
        <v>285</v>
      </c>
      <c r="B424" s="77" t="s">
        <v>1541</v>
      </c>
      <c r="C424" s="74" t="s">
        <v>1665</v>
      </c>
      <c r="D424" s="74" t="s">
        <v>971</v>
      </c>
      <c r="E424" s="78" t="s">
        <v>97</v>
      </c>
      <c r="F424" s="76" t="s">
        <v>1597</v>
      </c>
      <c r="G424" s="76" t="s">
        <v>1139</v>
      </c>
      <c r="H424" s="70"/>
      <c r="P424" s="70">
        <f t="shared" si="6"/>
        <v>0</v>
      </c>
      <c r="Q424" s="70" cm="1">
        <f t="array" ref="Q424">IF(P424=1,IF(SUMPRODUCT(($P$2:P424)*(--($G$2:G424=$G424)))=1,1,0),0)</f>
        <v>0</v>
      </c>
      <c r="R424" s="70" t="str">
        <f>IF(Q424=1,SUM($Q$2:Q424),"")</f>
        <v/>
      </c>
    </row>
    <row r="425" spans="1:18" x14ac:dyDescent="0.2">
      <c r="A425" s="73" t="s">
        <v>285</v>
      </c>
      <c r="B425" s="77" t="s">
        <v>1541</v>
      </c>
      <c r="C425" s="74" t="s">
        <v>1665</v>
      </c>
      <c r="D425" s="74" t="s">
        <v>971</v>
      </c>
      <c r="E425" s="78" t="s">
        <v>97</v>
      </c>
      <c r="F425" s="76" t="s">
        <v>1673</v>
      </c>
      <c r="G425" s="76" t="s">
        <v>1139</v>
      </c>
      <c r="H425" s="70"/>
      <c r="P425" s="70">
        <f t="shared" si="6"/>
        <v>0</v>
      </c>
      <c r="Q425" s="70" cm="1">
        <f t="array" ref="Q425">IF(P425=1,IF(SUMPRODUCT(($P$2:P425)*(--($G$2:G425=$G425)))=1,1,0),0)</f>
        <v>0</v>
      </c>
      <c r="R425" s="70" t="str">
        <f>IF(Q425=1,SUM($Q$2:Q425),"")</f>
        <v/>
      </c>
    </row>
    <row r="426" spans="1:18" x14ac:dyDescent="0.2">
      <c r="A426" s="73" t="s">
        <v>285</v>
      </c>
      <c r="B426" s="77" t="s">
        <v>1541</v>
      </c>
      <c r="C426" s="74" t="s">
        <v>1665</v>
      </c>
      <c r="D426" s="74" t="s">
        <v>971</v>
      </c>
      <c r="E426" s="78" t="s">
        <v>138</v>
      </c>
      <c r="F426" s="76" t="s">
        <v>1596</v>
      </c>
      <c r="G426" s="76" t="s">
        <v>1139</v>
      </c>
      <c r="H426" s="70"/>
      <c r="P426" s="70">
        <f t="shared" si="6"/>
        <v>0</v>
      </c>
      <c r="Q426" s="70" cm="1">
        <f t="array" ref="Q426">IF(P426=1,IF(SUMPRODUCT(($P$2:P426)*(--($G$2:G426=$G426)))=1,1,0),0)</f>
        <v>0</v>
      </c>
      <c r="R426" s="70" t="str">
        <f>IF(Q426=1,SUM($Q$2:Q426),"")</f>
        <v/>
      </c>
    </row>
    <row r="427" spans="1:18" x14ac:dyDescent="0.2">
      <c r="A427" s="73" t="s">
        <v>285</v>
      </c>
      <c r="B427" s="77" t="s">
        <v>1541</v>
      </c>
      <c r="C427" s="74" t="s">
        <v>1665</v>
      </c>
      <c r="D427" s="74" t="s">
        <v>971</v>
      </c>
      <c r="E427" s="78" t="s">
        <v>138</v>
      </c>
      <c r="F427" s="76" t="s">
        <v>1597</v>
      </c>
      <c r="G427" s="76" t="s">
        <v>1139</v>
      </c>
      <c r="H427" s="70"/>
      <c r="P427" s="70">
        <f t="shared" si="6"/>
        <v>0</v>
      </c>
      <c r="Q427" s="70" cm="1">
        <f t="array" ref="Q427">IF(P427=1,IF(SUMPRODUCT(($P$2:P427)*(--($G$2:G427=$G427)))=1,1,0),0)</f>
        <v>0</v>
      </c>
      <c r="R427" s="70" t="str">
        <f>IF(Q427=1,SUM($Q$2:Q427),"")</f>
        <v/>
      </c>
    </row>
    <row r="428" spans="1:18" x14ac:dyDescent="0.2">
      <c r="A428" s="73" t="s">
        <v>285</v>
      </c>
      <c r="B428" s="77" t="s">
        <v>1541</v>
      </c>
      <c r="C428" s="74" t="s">
        <v>1665</v>
      </c>
      <c r="D428" s="74" t="s">
        <v>971</v>
      </c>
      <c r="E428" s="78" t="s">
        <v>138</v>
      </c>
      <c r="F428" s="76" t="s">
        <v>1673</v>
      </c>
      <c r="G428" s="76" t="s">
        <v>1139</v>
      </c>
      <c r="H428" s="70"/>
      <c r="P428" s="70">
        <f t="shared" si="6"/>
        <v>0</v>
      </c>
      <c r="Q428" s="70" cm="1">
        <f t="array" ref="Q428">IF(P428=1,IF(SUMPRODUCT(($P$2:P428)*(--($G$2:G428=$G428)))=1,1,0),0)</f>
        <v>0</v>
      </c>
      <c r="R428" s="70" t="str">
        <f>IF(Q428=1,SUM($Q$2:Q428),"")</f>
        <v/>
      </c>
    </row>
    <row r="429" spans="1:18" ht="16" x14ac:dyDescent="0.2">
      <c r="A429" s="73" t="s">
        <v>285</v>
      </c>
      <c r="B429" s="77" t="s">
        <v>1541</v>
      </c>
      <c r="C429" s="74" t="s">
        <v>1665</v>
      </c>
      <c r="D429" s="74" t="s">
        <v>971</v>
      </c>
      <c r="E429" s="78" t="s">
        <v>113</v>
      </c>
      <c r="F429" s="76" t="s">
        <v>1666</v>
      </c>
      <c r="G429" s="75" t="s">
        <v>1135</v>
      </c>
      <c r="H429" s="70"/>
      <c r="P429" s="70">
        <f t="shared" si="6"/>
        <v>0</v>
      </c>
      <c r="Q429" s="70" cm="1">
        <f t="array" ref="Q429">IF(P429=1,IF(SUMPRODUCT(($P$2:P429)*(--($G$2:G429=$G429)))=1,1,0),0)</f>
        <v>0</v>
      </c>
      <c r="R429" s="70" t="str">
        <f>IF(Q429=1,SUM($Q$2:Q429),"")</f>
        <v/>
      </c>
    </row>
    <row r="430" spans="1:18" ht="16" x14ac:dyDescent="0.2">
      <c r="A430" s="73" t="s">
        <v>285</v>
      </c>
      <c r="B430" s="77" t="s">
        <v>1541</v>
      </c>
      <c r="C430" s="74" t="s">
        <v>1665</v>
      </c>
      <c r="D430" s="74" t="s">
        <v>971</v>
      </c>
      <c r="E430" s="78" t="s">
        <v>1002</v>
      </c>
      <c r="F430" s="76" t="s">
        <v>1666</v>
      </c>
      <c r="G430" s="75" t="s">
        <v>1135</v>
      </c>
      <c r="H430" s="70"/>
      <c r="P430" s="70">
        <f t="shared" si="6"/>
        <v>0</v>
      </c>
      <c r="Q430" s="70" cm="1">
        <f t="array" ref="Q430">IF(P430=1,IF(SUMPRODUCT(($P$2:P430)*(--($G$2:G430=$G430)))=1,1,0),0)</f>
        <v>0</v>
      </c>
      <c r="R430" s="70" t="str">
        <f>IF(Q430=1,SUM($Q$2:Q430),"")</f>
        <v/>
      </c>
    </row>
    <row r="431" spans="1:18" ht="16" x14ac:dyDescent="0.2">
      <c r="A431" s="73" t="s">
        <v>285</v>
      </c>
      <c r="B431" s="77" t="s">
        <v>1541</v>
      </c>
      <c r="C431" s="74" t="s">
        <v>1665</v>
      </c>
      <c r="D431" s="74" t="s">
        <v>971</v>
      </c>
      <c r="E431" s="78" t="s">
        <v>113</v>
      </c>
      <c r="F431" s="76" t="s">
        <v>1667</v>
      </c>
      <c r="G431" s="75" t="s">
        <v>1135</v>
      </c>
      <c r="H431" s="70"/>
      <c r="P431" s="70">
        <f t="shared" si="6"/>
        <v>0</v>
      </c>
      <c r="Q431" s="70" cm="1">
        <f t="array" ref="Q431">IF(P431=1,IF(SUMPRODUCT(($P$2:P431)*(--($G$2:G431=$G431)))=1,1,0),0)</f>
        <v>0</v>
      </c>
      <c r="R431" s="70" t="str">
        <f>IF(Q431=1,SUM($Q$2:Q431),"")</f>
        <v/>
      </c>
    </row>
    <row r="432" spans="1:18" ht="16" x14ac:dyDescent="0.2">
      <c r="A432" s="73" t="s">
        <v>285</v>
      </c>
      <c r="B432" s="77" t="s">
        <v>1541</v>
      </c>
      <c r="C432" s="74" t="s">
        <v>1665</v>
      </c>
      <c r="D432" s="74" t="s">
        <v>971</v>
      </c>
      <c r="E432" s="78" t="s">
        <v>1002</v>
      </c>
      <c r="F432" s="76" t="s">
        <v>1667</v>
      </c>
      <c r="G432" s="75" t="s">
        <v>1135</v>
      </c>
      <c r="H432" s="70"/>
      <c r="P432" s="70">
        <f t="shared" si="6"/>
        <v>0</v>
      </c>
      <c r="Q432" s="70" cm="1">
        <f t="array" ref="Q432">IF(P432=1,IF(SUMPRODUCT(($P$2:P432)*(--($G$2:G432=$G432)))=1,1,0),0)</f>
        <v>0</v>
      </c>
      <c r="R432" s="70" t="str">
        <f>IF(Q432=1,SUM($Q$2:Q432),"")</f>
        <v/>
      </c>
    </row>
    <row r="433" spans="1:18" ht="16" x14ac:dyDescent="0.2">
      <c r="A433" s="73" t="s">
        <v>285</v>
      </c>
      <c r="B433" s="77" t="s">
        <v>1541</v>
      </c>
      <c r="C433" s="74" t="s">
        <v>1665</v>
      </c>
      <c r="D433" s="74" t="s">
        <v>971</v>
      </c>
      <c r="E433" s="78" t="s">
        <v>113</v>
      </c>
      <c r="F433" s="76" t="s">
        <v>1669</v>
      </c>
      <c r="G433" s="75" t="s">
        <v>1135</v>
      </c>
      <c r="H433" s="70"/>
      <c r="P433" s="70">
        <f t="shared" si="6"/>
        <v>0</v>
      </c>
      <c r="Q433" s="70" cm="1">
        <f t="array" ref="Q433">IF(P433=1,IF(SUMPRODUCT(($P$2:P433)*(--($G$2:G433=$G433)))=1,1,0),0)</f>
        <v>0</v>
      </c>
      <c r="R433" s="70" t="str">
        <f>IF(Q433=1,SUM($Q$2:Q433),"")</f>
        <v/>
      </c>
    </row>
    <row r="434" spans="1:18" ht="16" x14ac:dyDescent="0.2">
      <c r="A434" s="73" t="s">
        <v>285</v>
      </c>
      <c r="B434" s="77" t="s">
        <v>1541</v>
      </c>
      <c r="C434" s="74" t="s">
        <v>1665</v>
      </c>
      <c r="D434" s="74" t="s">
        <v>971</v>
      </c>
      <c r="E434" s="78" t="s">
        <v>1002</v>
      </c>
      <c r="F434" s="76" t="s">
        <v>1669</v>
      </c>
      <c r="G434" s="75" t="s">
        <v>1135</v>
      </c>
      <c r="H434" s="70"/>
      <c r="P434" s="70">
        <f t="shared" si="6"/>
        <v>0</v>
      </c>
      <c r="Q434" s="70" cm="1">
        <f t="array" ref="Q434">IF(P434=1,IF(SUMPRODUCT(($P$2:P434)*(--($G$2:G434=$G434)))=1,1,0),0)</f>
        <v>0</v>
      </c>
      <c r="R434" s="70" t="str">
        <f>IF(Q434=1,SUM($Q$2:Q434),"")</f>
        <v/>
      </c>
    </row>
    <row r="435" spans="1:18" ht="16" x14ac:dyDescent="0.2">
      <c r="A435" s="73" t="s">
        <v>97</v>
      </c>
      <c r="B435" s="77" t="s">
        <v>1541</v>
      </c>
      <c r="C435" s="74" t="s">
        <v>1665</v>
      </c>
      <c r="D435" s="74" t="s">
        <v>971</v>
      </c>
      <c r="E435" s="78" t="s">
        <v>106</v>
      </c>
      <c r="F435" s="76" t="s">
        <v>97</v>
      </c>
      <c r="G435" s="75" t="s">
        <v>385</v>
      </c>
      <c r="H435" s="70"/>
      <c r="P435" s="70">
        <f t="shared" si="6"/>
        <v>0</v>
      </c>
      <c r="Q435" s="70" cm="1">
        <f t="array" ref="Q435">IF(P435=1,IF(SUMPRODUCT(($P$2:P435)*(--($G$2:G435=$G435)))=1,1,0),0)</f>
        <v>0</v>
      </c>
      <c r="R435" s="70" t="str">
        <f>IF(Q435=1,SUM($Q$2:Q435),"")</f>
        <v/>
      </c>
    </row>
    <row r="436" spans="1:18" x14ac:dyDescent="0.2">
      <c r="A436" s="73" t="s">
        <v>97</v>
      </c>
      <c r="B436" s="77" t="s">
        <v>1541</v>
      </c>
      <c r="C436" s="74" t="s">
        <v>1665</v>
      </c>
      <c r="D436" s="74" t="s">
        <v>971</v>
      </c>
      <c r="E436" s="78" t="s">
        <v>113</v>
      </c>
      <c r="F436" s="76" t="s">
        <v>97</v>
      </c>
      <c r="G436" s="76" t="s">
        <v>1134</v>
      </c>
      <c r="H436" s="70"/>
      <c r="P436" s="70">
        <f t="shared" si="6"/>
        <v>0</v>
      </c>
      <c r="Q436" s="70" cm="1">
        <f t="array" ref="Q436">IF(P436=1,IF(SUMPRODUCT(($P$2:P436)*(--($G$2:G436=$G436)))=1,1,0),0)</f>
        <v>0</v>
      </c>
      <c r="R436" s="70" t="str">
        <f>IF(Q436=1,SUM($Q$2:Q436),"")</f>
        <v/>
      </c>
    </row>
    <row r="437" spans="1:18" ht="16" x14ac:dyDescent="0.2">
      <c r="A437" s="73" t="s">
        <v>97</v>
      </c>
      <c r="B437" s="77" t="s">
        <v>1541</v>
      </c>
      <c r="C437" s="74" t="s">
        <v>1665</v>
      </c>
      <c r="D437" s="74" t="s">
        <v>971</v>
      </c>
      <c r="E437" s="78" t="s">
        <v>106</v>
      </c>
      <c r="F437" s="76" t="s">
        <v>97</v>
      </c>
      <c r="G437" s="75" t="s">
        <v>385</v>
      </c>
      <c r="H437" s="70"/>
      <c r="P437" s="70">
        <f t="shared" si="6"/>
        <v>0</v>
      </c>
      <c r="Q437" s="70" cm="1">
        <f t="array" ref="Q437">IF(P437=1,IF(SUMPRODUCT(($P$2:P437)*(--($G$2:G437=$G437)))=1,1,0),0)</f>
        <v>0</v>
      </c>
      <c r="R437" s="70" t="str">
        <f>IF(Q437=1,SUM($Q$2:Q437),"")</f>
        <v/>
      </c>
    </row>
    <row r="438" spans="1:18" x14ac:dyDescent="0.2">
      <c r="A438" s="73" t="s">
        <v>97</v>
      </c>
      <c r="B438" s="77" t="s">
        <v>1541</v>
      </c>
      <c r="C438" s="74" t="s">
        <v>1665</v>
      </c>
      <c r="D438" s="74" t="s">
        <v>971</v>
      </c>
      <c r="E438" s="78" t="s">
        <v>113</v>
      </c>
      <c r="F438" s="76" t="s">
        <v>97</v>
      </c>
      <c r="G438" s="76" t="s">
        <v>1134</v>
      </c>
      <c r="H438" s="70"/>
      <c r="P438" s="70">
        <f t="shared" si="6"/>
        <v>0</v>
      </c>
      <c r="Q438" s="70" cm="1">
        <f t="array" ref="Q438">IF(P438=1,IF(SUMPRODUCT(($P$2:P438)*(--($G$2:G438=$G438)))=1,1,0),0)</f>
        <v>0</v>
      </c>
      <c r="R438" s="70" t="str">
        <f>IF(Q438=1,SUM($Q$2:Q438),"")</f>
        <v/>
      </c>
    </row>
    <row r="439" spans="1:18" ht="16" x14ac:dyDescent="0.2">
      <c r="A439" s="73" t="s">
        <v>333</v>
      </c>
      <c r="B439" s="85" t="s">
        <v>1660</v>
      </c>
      <c r="C439" s="74" t="s">
        <v>1665</v>
      </c>
      <c r="D439" s="74" t="s">
        <v>971</v>
      </c>
      <c r="E439" s="78" t="s">
        <v>106</v>
      </c>
      <c r="F439" s="76" t="s">
        <v>333</v>
      </c>
      <c r="G439" s="75" t="s">
        <v>400</v>
      </c>
      <c r="H439" s="70"/>
      <c r="P439" s="70">
        <f t="shared" si="6"/>
        <v>0</v>
      </c>
      <c r="Q439" s="70" cm="1">
        <f t="array" ref="Q439">IF(P439=1,IF(SUMPRODUCT(($P$2:P439)*(--($G$2:G439=$G439)))=1,1,0),0)</f>
        <v>0</v>
      </c>
      <c r="R439" s="70" t="str">
        <f>IF(Q439=1,SUM($Q$2:Q439),"")</f>
        <v/>
      </c>
    </row>
    <row r="440" spans="1:18" x14ac:dyDescent="0.2">
      <c r="A440" s="73" t="s">
        <v>333</v>
      </c>
      <c r="B440" s="85" t="s">
        <v>1660</v>
      </c>
      <c r="C440" s="74" t="s">
        <v>1665</v>
      </c>
      <c r="D440" s="74" t="s">
        <v>971</v>
      </c>
      <c r="E440" s="78" t="s">
        <v>106</v>
      </c>
      <c r="F440" s="76" t="s">
        <v>1563</v>
      </c>
      <c r="G440" s="76" t="s">
        <v>1140</v>
      </c>
      <c r="H440" s="70"/>
      <c r="P440" s="70">
        <f t="shared" si="6"/>
        <v>0</v>
      </c>
      <c r="Q440" s="70" cm="1">
        <f t="array" ref="Q440">IF(P440=1,IF(SUMPRODUCT(($P$2:P440)*(--($G$2:G440=$G440)))=1,1,0),0)</f>
        <v>0</v>
      </c>
      <c r="R440" s="70" t="str">
        <f>IF(Q440=1,SUM($Q$2:Q440),"")</f>
        <v/>
      </c>
    </row>
    <row r="441" spans="1:18" ht="16" x14ac:dyDescent="0.2">
      <c r="A441" s="73" t="s">
        <v>1539</v>
      </c>
      <c r="B441" s="87" t="s">
        <v>1541</v>
      </c>
      <c r="C441" s="74" t="s">
        <v>1674</v>
      </c>
      <c r="D441" s="74" t="s">
        <v>977</v>
      </c>
      <c r="E441" s="78" t="s">
        <v>129</v>
      </c>
      <c r="F441" s="76" t="s">
        <v>231</v>
      </c>
      <c r="G441" s="75" t="s">
        <v>1199</v>
      </c>
      <c r="H441" s="70"/>
      <c r="P441" s="70">
        <f t="shared" si="6"/>
        <v>0</v>
      </c>
      <c r="Q441" s="70" cm="1">
        <f t="array" ref="Q441">IF(P441=1,IF(SUMPRODUCT(($P$2:P441)*(--($G$2:G441=$G441)))=1,1,0),0)</f>
        <v>0</v>
      </c>
      <c r="R441" s="70" t="str">
        <f>IF(Q441=1,SUM($Q$2:Q441),"")</f>
        <v/>
      </c>
    </row>
    <row r="442" spans="1:18" ht="16" x14ac:dyDescent="0.2">
      <c r="A442" s="73" t="s">
        <v>1539</v>
      </c>
      <c r="B442" s="87" t="s">
        <v>1541</v>
      </c>
      <c r="C442" s="74" t="s">
        <v>1674</v>
      </c>
      <c r="D442" s="74" t="s">
        <v>977</v>
      </c>
      <c r="E442" s="78" t="s">
        <v>113</v>
      </c>
      <c r="F442" s="76" t="s">
        <v>231</v>
      </c>
      <c r="G442" s="75" t="s">
        <v>1198</v>
      </c>
      <c r="H442" s="70"/>
      <c r="P442" s="70">
        <f t="shared" si="6"/>
        <v>0</v>
      </c>
      <c r="Q442" s="70" cm="1">
        <f t="array" ref="Q442">IF(P442=1,IF(SUMPRODUCT(($P$2:P442)*(--($G$2:G442=$G442)))=1,1,0),0)</f>
        <v>0</v>
      </c>
      <c r="R442" s="70" t="str">
        <f>IF(Q442=1,SUM($Q$2:Q442),"")</f>
        <v/>
      </c>
    </row>
    <row r="443" spans="1:18" ht="16" x14ac:dyDescent="0.2">
      <c r="A443" s="73" t="s">
        <v>1539</v>
      </c>
      <c r="B443" s="87" t="s">
        <v>1541</v>
      </c>
      <c r="C443" s="74" t="s">
        <v>1674</v>
      </c>
      <c r="D443" s="74" t="s">
        <v>977</v>
      </c>
      <c r="E443" s="78" t="s">
        <v>1002</v>
      </c>
      <c r="F443" s="76" t="s">
        <v>231</v>
      </c>
      <c r="G443" s="75" t="s">
        <v>1198</v>
      </c>
      <c r="H443" s="70"/>
      <c r="P443" s="70">
        <f t="shared" si="6"/>
        <v>0</v>
      </c>
      <c r="Q443" s="70" cm="1">
        <f t="array" ref="Q443">IF(P443=1,IF(SUMPRODUCT(($P$2:P443)*(--($G$2:G443=$G443)))=1,1,0),0)</f>
        <v>0</v>
      </c>
      <c r="R443" s="70" t="str">
        <f>IF(Q443=1,SUM($Q$2:Q443),"")</f>
        <v/>
      </c>
    </row>
    <row r="444" spans="1:18" ht="16" x14ac:dyDescent="0.2">
      <c r="A444" s="73" t="s">
        <v>1539</v>
      </c>
      <c r="B444" s="87" t="s">
        <v>1541</v>
      </c>
      <c r="C444" s="74" t="s">
        <v>1674</v>
      </c>
      <c r="D444" s="74" t="s">
        <v>977</v>
      </c>
      <c r="E444" s="78" t="s">
        <v>97</v>
      </c>
      <c r="F444" s="76" t="s">
        <v>231</v>
      </c>
      <c r="G444" s="75" t="s">
        <v>1197</v>
      </c>
      <c r="H444" s="70"/>
      <c r="P444" s="70">
        <f t="shared" si="6"/>
        <v>0</v>
      </c>
      <c r="Q444" s="70" cm="1">
        <f t="array" ref="Q444">IF(P444=1,IF(SUMPRODUCT(($P$2:P444)*(--($G$2:G444=$G444)))=1,1,0),0)</f>
        <v>0</v>
      </c>
      <c r="R444" s="70" t="str">
        <f>IF(Q444=1,SUM($Q$2:Q444),"")</f>
        <v/>
      </c>
    </row>
    <row r="445" spans="1:18" ht="16" x14ac:dyDescent="0.2">
      <c r="A445" s="73" t="s">
        <v>1539</v>
      </c>
      <c r="B445" s="87" t="s">
        <v>1541</v>
      </c>
      <c r="C445" s="74" t="s">
        <v>1674</v>
      </c>
      <c r="D445" s="74" t="s">
        <v>977</v>
      </c>
      <c r="E445" s="78" t="s">
        <v>138</v>
      </c>
      <c r="F445" s="76" t="s">
        <v>231</v>
      </c>
      <c r="G445" s="75" t="s">
        <v>1197</v>
      </c>
      <c r="H445" s="70"/>
      <c r="P445" s="70">
        <f t="shared" si="6"/>
        <v>0</v>
      </c>
      <c r="Q445" s="70" cm="1">
        <f t="array" ref="Q445">IF(P445=1,IF(SUMPRODUCT(($P$2:P445)*(--($G$2:G445=$G445)))=1,1,0),0)</f>
        <v>0</v>
      </c>
      <c r="R445" s="70" t="str">
        <f>IF(Q445=1,SUM($Q$2:Q445),"")</f>
        <v/>
      </c>
    </row>
    <row r="446" spans="1:18" ht="16" x14ac:dyDescent="0.2">
      <c r="A446" s="73" t="s">
        <v>1539</v>
      </c>
      <c r="B446" s="87" t="s">
        <v>1541</v>
      </c>
      <c r="C446" s="74" t="s">
        <v>1674</v>
      </c>
      <c r="D446" s="74" t="s">
        <v>977</v>
      </c>
      <c r="E446" s="78" t="s">
        <v>97</v>
      </c>
      <c r="F446" s="76" t="s">
        <v>1675</v>
      </c>
      <c r="G446" s="75" t="s">
        <v>1201</v>
      </c>
      <c r="H446" s="70"/>
      <c r="P446" s="70">
        <f t="shared" si="6"/>
        <v>0</v>
      </c>
      <c r="Q446" s="70" cm="1">
        <f t="array" ref="Q446">IF(P446=1,IF(SUMPRODUCT(($P$2:P446)*(--($G$2:G446=$G446)))=1,1,0),0)</f>
        <v>0</v>
      </c>
      <c r="R446" s="70" t="str">
        <f>IF(Q446=1,SUM($Q$2:Q446),"")</f>
        <v/>
      </c>
    </row>
    <row r="447" spans="1:18" ht="16" x14ac:dyDescent="0.2">
      <c r="A447" s="73" t="s">
        <v>1539</v>
      </c>
      <c r="B447" s="87" t="s">
        <v>1541</v>
      </c>
      <c r="C447" s="74" t="s">
        <v>1674</v>
      </c>
      <c r="D447" s="74" t="s">
        <v>977</v>
      </c>
      <c r="E447" s="78" t="s">
        <v>97</v>
      </c>
      <c r="F447" s="76" t="s">
        <v>1676</v>
      </c>
      <c r="G447" s="75" t="s">
        <v>1201</v>
      </c>
      <c r="H447" s="70"/>
      <c r="P447" s="70">
        <f t="shared" si="6"/>
        <v>0</v>
      </c>
      <c r="Q447" s="70" cm="1">
        <f t="array" ref="Q447">IF(P447=1,IF(SUMPRODUCT(($P$2:P447)*(--($G$2:G447=$G447)))=1,1,0),0)</f>
        <v>0</v>
      </c>
      <c r="R447" s="70" t="str">
        <f>IF(Q447=1,SUM($Q$2:Q447),"")</f>
        <v/>
      </c>
    </row>
    <row r="448" spans="1:18" ht="16" x14ac:dyDescent="0.2">
      <c r="A448" s="73" t="s">
        <v>1539</v>
      </c>
      <c r="B448" s="87" t="s">
        <v>1541</v>
      </c>
      <c r="C448" s="74" t="s">
        <v>1674</v>
      </c>
      <c r="D448" s="74" t="s">
        <v>977</v>
      </c>
      <c r="E448" s="78" t="s">
        <v>97</v>
      </c>
      <c r="F448" s="76" t="s">
        <v>1677</v>
      </c>
      <c r="G448" s="75" t="s">
        <v>1201</v>
      </c>
      <c r="H448" s="70"/>
      <c r="P448" s="70">
        <f t="shared" si="6"/>
        <v>0</v>
      </c>
      <c r="Q448" s="70" cm="1">
        <f t="array" ref="Q448">IF(P448=1,IF(SUMPRODUCT(($P$2:P448)*(--($G$2:G448=$G448)))=1,1,0),0)</f>
        <v>0</v>
      </c>
      <c r="R448" s="70" t="str">
        <f>IF(Q448=1,SUM($Q$2:Q448),"")</f>
        <v/>
      </c>
    </row>
    <row r="449" spans="1:18" ht="16" x14ac:dyDescent="0.2">
      <c r="A449" s="73" t="s">
        <v>1539</v>
      </c>
      <c r="B449" s="87" t="s">
        <v>1541</v>
      </c>
      <c r="C449" s="74" t="s">
        <v>1674</v>
      </c>
      <c r="D449" s="74" t="s">
        <v>977</v>
      </c>
      <c r="E449" s="78" t="s">
        <v>97</v>
      </c>
      <c r="F449" s="76" t="s">
        <v>1678</v>
      </c>
      <c r="G449" s="75" t="s">
        <v>1200</v>
      </c>
      <c r="H449" s="70"/>
      <c r="P449" s="70">
        <f t="shared" si="6"/>
        <v>0</v>
      </c>
      <c r="Q449" s="70" cm="1">
        <f t="array" ref="Q449">IF(P449=1,IF(SUMPRODUCT(($P$2:P449)*(--($G$2:G449=$G449)))=1,1,0),0)</f>
        <v>0</v>
      </c>
      <c r="R449" s="70" t="str">
        <f>IF(Q449=1,SUM($Q$2:Q449),"")</f>
        <v/>
      </c>
    </row>
    <row r="450" spans="1:18" ht="16" x14ac:dyDescent="0.2">
      <c r="A450" s="73" t="s">
        <v>1539</v>
      </c>
      <c r="B450" s="87" t="s">
        <v>1541</v>
      </c>
      <c r="C450" s="74" t="s">
        <v>1674</v>
      </c>
      <c r="D450" s="74" t="s">
        <v>977</v>
      </c>
      <c r="E450" s="78" t="s">
        <v>97</v>
      </c>
      <c r="F450" s="76" t="s">
        <v>1679</v>
      </c>
      <c r="G450" s="75" t="s">
        <v>1200</v>
      </c>
      <c r="H450" s="70"/>
      <c r="P450" s="70">
        <f t="shared" si="6"/>
        <v>0</v>
      </c>
      <c r="Q450" s="70" cm="1">
        <f t="array" ref="Q450">IF(P450=1,IF(SUMPRODUCT(($P$2:P450)*(--($G$2:G450=$G450)))=1,1,0),0)</f>
        <v>0</v>
      </c>
      <c r="R450" s="70" t="str">
        <f>IF(Q450=1,SUM($Q$2:Q450),"")</f>
        <v/>
      </c>
    </row>
    <row r="451" spans="1:18" ht="16" x14ac:dyDescent="0.2">
      <c r="A451" s="73" t="s">
        <v>1539</v>
      </c>
      <c r="B451" s="87" t="s">
        <v>1541</v>
      </c>
      <c r="C451" s="74" t="s">
        <v>1674</v>
      </c>
      <c r="D451" s="74" t="s">
        <v>977</v>
      </c>
      <c r="E451" s="78" t="s">
        <v>97</v>
      </c>
      <c r="F451" s="76" t="s">
        <v>1680</v>
      </c>
      <c r="G451" s="75" t="s">
        <v>1200</v>
      </c>
      <c r="H451" s="70"/>
      <c r="P451" s="70">
        <f t="shared" ref="P451:P514" si="7">IF(AND(IF(TRIM($J$2&amp;"")="",TRUE,LEFT($D451,LEN($J$2))=$J$2),IF(TRIM($K$2&amp;"")="",TRUE,$E451=$K$2),IF($L$2="",TRUE,$F451=$L$2)),1,0)</f>
        <v>0</v>
      </c>
      <c r="Q451" s="70" cm="1">
        <f t="array" ref="Q451">IF(P451=1,IF(SUMPRODUCT(($P$2:P451)*(--($G$2:G451=$G451)))=1,1,0),0)</f>
        <v>0</v>
      </c>
      <c r="R451" s="70" t="str">
        <f>IF(Q451=1,SUM($Q$2:Q451),"")</f>
        <v/>
      </c>
    </row>
    <row r="452" spans="1:18" ht="16" x14ac:dyDescent="0.2">
      <c r="A452" s="73" t="s">
        <v>375</v>
      </c>
      <c r="B452" s="85" t="s">
        <v>1682</v>
      </c>
      <c r="C452" s="74" t="s">
        <v>1674</v>
      </c>
      <c r="D452" s="74" t="s">
        <v>977</v>
      </c>
      <c r="E452" s="78" t="s">
        <v>113</v>
      </c>
      <c r="F452" s="76" t="s">
        <v>1681</v>
      </c>
      <c r="G452" s="75" t="s">
        <v>961</v>
      </c>
      <c r="H452" s="70"/>
      <c r="P452" s="70">
        <f t="shared" si="7"/>
        <v>0</v>
      </c>
      <c r="Q452" s="70" cm="1">
        <f t="array" ref="Q452">IF(P452=1,IF(SUMPRODUCT(($P$2:P452)*(--($G$2:G452=$G452)))=1,1,0),0)</f>
        <v>0</v>
      </c>
      <c r="R452" s="70" t="str">
        <f>IF(Q452=1,SUM($Q$2:Q452),"")</f>
        <v/>
      </c>
    </row>
    <row r="453" spans="1:18" ht="16" x14ac:dyDescent="0.2">
      <c r="A453" s="73" t="s">
        <v>375</v>
      </c>
      <c r="B453" s="85" t="s">
        <v>1682</v>
      </c>
      <c r="C453" s="74" t="s">
        <v>1674</v>
      </c>
      <c r="D453" s="74" t="s">
        <v>977</v>
      </c>
      <c r="E453" s="78" t="s">
        <v>113</v>
      </c>
      <c r="F453" s="76" t="s">
        <v>1683</v>
      </c>
      <c r="G453" s="75" t="s">
        <v>961</v>
      </c>
      <c r="H453" s="70"/>
      <c r="P453" s="70">
        <f t="shared" si="7"/>
        <v>0</v>
      </c>
      <c r="Q453" s="70" cm="1">
        <f t="array" ref="Q453">IF(P453=1,IF(SUMPRODUCT(($P$2:P453)*(--($G$2:G453=$G453)))=1,1,0),0)</f>
        <v>0</v>
      </c>
      <c r="R453" s="70" t="str">
        <f>IF(Q453=1,SUM($Q$2:Q453),"")</f>
        <v/>
      </c>
    </row>
    <row r="454" spans="1:18" ht="16" x14ac:dyDescent="0.2">
      <c r="A454" s="73" t="s">
        <v>375</v>
      </c>
      <c r="B454" s="85" t="s">
        <v>1682</v>
      </c>
      <c r="C454" s="74" t="s">
        <v>1674</v>
      </c>
      <c r="D454" s="74" t="s">
        <v>977</v>
      </c>
      <c r="E454" s="78" t="s">
        <v>113</v>
      </c>
      <c r="F454" s="76" t="s">
        <v>1684</v>
      </c>
      <c r="G454" s="75" t="s">
        <v>961</v>
      </c>
      <c r="H454" s="70"/>
      <c r="P454" s="70">
        <f t="shared" si="7"/>
        <v>0</v>
      </c>
      <c r="Q454" s="70" cm="1">
        <f t="array" ref="Q454">IF(P454=1,IF(SUMPRODUCT(($P$2:P454)*(--($G$2:G454=$G454)))=1,1,0),0)</f>
        <v>0</v>
      </c>
      <c r="R454" s="70" t="str">
        <f>IF(Q454=1,SUM($Q$2:Q454),"")</f>
        <v/>
      </c>
    </row>
    <row r="455" spans="1:18" ht="16" x14ac:dyDescent="0.2">
      <c r="A455" s="73" t="s">
        <v>375</v>
      </c>
      <c r="B455" s="85" t="s">
        <v>1682</v>
      </c>
      <c r="C455" s="74" t="s">
        <v>1674</v>
      </c>
      <c r="D455" s="74" t="s">
        <v>977</v>
      </c>
      <c r="E455" s="78" t="s">
        <v>113</v>
      </c>
      <c r="F455" s="76" t="s">
        <v>375</v>
      </c>
      <c r="G455" s="75" t="s">
        <v>961</v>
      </c>
      <c r="H455" s="70"/>
      <c r="P455" s="70">
        <f t="shared" si="7"/>
        <v>0</v>
      </c>
      <c r="Q455" s="70" cm="1">
        <f t="array" ref="Q455">IF(P455=1,IF(SUMPRODUCT(($P$2:P455)*(--($G$2:G455=$G455)))=1,1,0),0)</f>
        <v>0</v>
      </c>
      <c r="R455" s="70" t="str">
        <f>IF(Q455=1,SUM($Q$2:Q455),"")</f>
        <v/>
      </c>
    </row>
    <row r="456" spans="1:18" ht="16" x14ac:dyDescent="0.2">
      <c r="A456" s="73" t="s">
        <v>375</v>
      </c>
      <c r="B456" s="85" t="s">
        <v>1686</v>
      </c>
      <c r="C456" s="74" t="s">
        <v>1674</v>
      </c>
      <c r="D456" s="74" t="s">
        <v>977</v>
      </c>
      <c r="E456" s="78" t="s">
        <v>113</v>
      </c>
      <c r="F456" s="76" t="s">
        <v>1685</v>
      </c>
      <c r="G456" s="75" t="s">
        <v>1202</v>
      </c>
      <c r="H456" s="70"/>
      <c r="P456" s="70">
        <f t="shared" si="7"/>
        <v>0</v>
      </c>
      <c r="Q456" s="70" cm="1">
        <f t="array" ref="Q456">IF(P456=1,IF(SUMPRODUCT(($P$2:P456)*(--($G$2:G456=$G456)))=1,1,0),0)</f>
        <v>0</v>
      </c>
      <c r="R456" s="70" t="str">
        <f>IF(Q456=1,SUM($Q$2:Q456),"")</f>
        <v/>
      </c>
    </row>
    <row r="457" spans="1:18" ht="16" x14ac:dyDescent="0.2">
      <c r="A457" s="73" t="s">
        <v>375</v>
      </c>
      <c r="B457" s="85" t="s">
        <v>1686</v>
      </c>
      <c r="C457" s="74" t="s">
        <v>1674</v>
      </c>
      <c r="D457" s="74" t="s">
        <v>977</v>
      </c>
      <c r="E457" s="78" t="s">
        <v>113</v>
      </c>
      <c r="F457" s="76" t="s">
        <v>1687</v>
      </c>
      <c r="G457" s="75" t="s">
        <v>1202</v>
      </c>
      <c r="H457" s="70"/>
      <c r="P457" s="70">
        <f t="shared" si="7"/>
        <v>0</v>
      </c>
      <c r="Q457" s="70" cm="1">
        <f t="array" ref="Q457">IF(P457=1,IF(SUMPRODUCT(($P$2:P457)*(--($G$2:G457=$G457)))=1,1,0),0)</f>
        <v>0</v>
      </c>
      <c r="R457" s="70" t="str">
        <f>IF(Q457=1,SUM($Q$2:Q457),"")</f>
        <v/>
      </c>
    </row>
    <row r="458" spans="1:18" ht="16" x14ac:dyDescent="0.2">
      <c r="A458" s="73" t="s">
        <v>375</v>
      </c>
      <c r="B458" s="85" t="s">
        <v>1686</v>
      </c>
      <c r="C458" s="74" t="s">
        <v>1674</v>
      </c>
      <c r="D458" s="74" t="s">
        <v>977</v>
      </c>
      <c r="E458" s="78" t="s">
        <v>113</v>
      </c>
      <c r="F458" s="76" t="s">
        <v>1688</v>
      </c>
      <c r="G458" s="75" t="s">
        <v>1202</v>
      </c>
      <c r="H458" s="70"/>
      <c r="P458" s="70">
        <f t="shared" si="7"/>
        <v>0</v>
      </c>
      <c r="Q458" s="70" cm="1">
        <f t="array" ref="Q458">IF(P458=1,IF(SUMPRODUCT(($P$2:P458)*(--($G$2:G458=$G458)))=1,1,0),0)</f>
        <v>0</v>
      </c>
      <c r="R458" s="70" t="str">
        <f>IF(Q458=1,SUM($Q$2:Q458),"")</f>
        <v/>
      </c>
    </row>
    <row r="459" spans="1:18" ht="16" x14ac:dyDescent="0.2">
      <c r="A459" s="73" t="s">
        <v>375</v>
      </c>
      <c r="B459" s="85" t="s">
        <v>1686</v>
      </c>
      <c r="C459" s="74" t="s">
        <v>1674</v>
      </c>
      <c r="D459" s="74" t="s">
        <v>977</v>
      </c>
      <c r="E459" s="78" t="s">
        <v>113</v>
      </c>
      <c r="F459" s="76" t="s">
        <v>1689</v>
      </c>
      <c r="G459" s="75" t="s">
        <v>1202</v>
      </c>
      <c r="H459" s="70"/>
      <c r="P459" s="70">
        <f t="shared" si="7"/>
        <v>0</v>
      </c>
      <c r="Q459" s="70" cm="1">
        <f t="array" ref="Q459">IF(P459=1,IF(SUMPRODUCT(($P$2:P459)*(--($G$2:G459=$G459)))=1,1,0),0)</f>
        <v>0</v>
      </c>
      <c r="R459" s="70" t="str">
        <f>IF(Q459=1,SUM($Q$2:Q459),"")</f>
        <v/>
      </c>
    </row>
    <row r="460" spans="1:18" ht="16" x14ac:dyDescent="0.2">
      <c r="A460" s="73" t="s">
        <v>375</v>
      </c>
      <c r="B460" s="85" t="s">
        <v>1686</v>
      </c>
      <c r="C460" s="74" t="s">
        <v>1674</v>
      </c>
      <c r="D460" s="74" t="s">
        <v>977</v>
      </c>
      <c r="E460" s="78" t="s">
        <v>1002</v>
      </c>
      <c r="F460" s="76" t="s">
        <v>1685</v>
      </c>
      <c r="G460" s="75" t="s">
        <v>1202</v>
      </c>
      <c r="H460" s="70"/>
      <c r="P460" s="70">
        <f t="shared" si="7"/>
        <v>0</v>
      </c>
      <c r="Q460" s="70" cm="1">
        <f t="array" ref="Q460">IF(P460=1,IF(SUMPRODUCT(($P$2:P460)*(--($G$2:G460=$G460)))=1,1,0),0)</f>
        <v>0</v>
      </c>
      <c r="R460" s="70" t="str">
        <f>IF(Q460=1,SUM($Q$2:Q460),"")</f>
        <v/>
      </c>
    </row>
    <row r="461" spans="1:18" ht="16" x14ac:dyDescent="0.2">
      <c r="A461" s="73" t="s">
        <v>375</v>
      </c>
      <c r="B461" s="85" t="s">
        <v>1686</v>
      </c>
      <c r="C461" s="74" t="s">
        <v>1674</v>
      </c>
      <c r="D461" s="74" t="s">
        <v>977</v>
      </c>
      <c r="E461" s="78" t="s">
        <v>1002</v>
      </c>
      <c r="F461" s="76" t="s">
        <v>1687</v>
      </c>
      <c r="G461" s="75" t="s">
        <v>1202</v>
      </c>
      <c r="H461" s="70"/>
      <c r="P461" s="70">
        <f t="shared" si="7"/>
        <v>0</v>
      </c>
      <c r="Q461" s="70" cm="1">
        <f t="array" ref="Q461">IF(P461=1,IF(SUMPRODUCT(($P$2:P461)*(--($G$2:G461=$G461)))=1,1,0),0)</f>
        <v>0</v>
      </c>
      <c r="R461" s="70" t="str">
        <f>IF(Q461=1,SUM($Q$2:Q461),"")</f>
        <v/>
      </c>
    </row>
    <row r="462" spans="1:18" ht="16" x14ac:dyDescent="0.2">
      <c r="A462" s="73" t="s">
        <v>375</v>
      </c>
      <c r="B462" s="85" t="s">
        <v>1686</v>
      </c>
      <c r="C462" s="74" t="s">
        <v>1674</v>
      </c>
      <c r="D462" s="74" t="s">
        <v>977</v>
      </c>
      <c r="E462" s="78" t="s">
        <v>1002</v>
      </c>
      <c r="F462" s="76" t="s">
        <v>1688</v>
      </c>
      <c r="G462" s="75" t="s">
        <v>1202</v>
      </c>
      <c r="H462" s="70"/>
      <c r="P462" s="70">
        <f t="shared" si="7"/>
        <v>0</v>
      </c>
      <c r="Q462" s="70" cm="1">
        <f t="array" ref="Q462">IF(P462=1,IF(SUMPRODUCT(($P$2:P462)*(--($G$2:G462=$G462)))=1,1,0),0)</f>
        <v>0</v>
      </c>
      <c r="R462" s="70" t="str">
        <f>IF(Q462=1,SUM($Q$2:Q462),"")</f>
        <v/>
      </c>
    </row>
    <row r="463" spans="1:18" ht="16" x14ac:dyDescent="0.2">
      <c r="A463" s="73" t="s">
        <v>375</v>
      </c>
      <c r="B463" s="85" t="s">
        <v>1686</v>
      </c>
      <c r="C463" s="74" t="s">
        <v>1674</v>
      </c>
      <c r="D463" s="74" t="s">
        <v>977</v>
      </c>
      <c r="E463" s="78" t="s">
        <v>1002</v>
      </c>
      <c r="F463" s="76" t="s">
        <v>1689</v>
      </c>
      <c r="G463" s="75" t="s">
        <v>1202</v>
      </c>
      <c r="H463" s="70"/>
      <c r="P463" s="70">
        <f t="shared" si="7"/>
        <v>0</v>
      </c>
      <c r="Q463" s="70" cm="1">
        <f t="array" ref="Q463">IF(P463=1,IF(SUMPRODUCT(($P$2:P463)*(--($G$2:G463=$G463)))=1,1,0),0)</f>
        <v>0</v>
      </c>
      <c r="R463" s="70" t="str">
        <f>IF(Q463=1,SUM($Q$2:Q463),"")</f>
        <v/>
      </c>
    </row>
    <row r="464" spans="1:18" ht="16" x14ac:dyDescent="0.2">
      <c r="A464" s="73" t="s">
        <v>375</v>
      </c>
      <c r="B464" s="85" t="s">
        <v>1691</v>
      </c>
      <c r="C464" s="74" t="s">
        <v>1674</v>
      </c>
      <c r="D464" s="74" t="s">
        <v>977</v>
      </c>
      <c r="E464" s="78" t="s">
        <v>113</v>
      </c>
      <c r="F464" s="76" t="s">
        <v>1690</v>
      </c>
      <c r="G464" s="75" t="s">
        <v>1204</v>
      </c>
      <c r="H464" s="70"/>
      <c r="P464" s="70">
        <f t="shared" si="7"/>
        <v>0</v>
      </c>
      <c r="Q464" s="70" cm="1">
        <f t="array" ref="Q464">IF(P464=1,IF(SUMPRODUCT(($P$2:P464)*(--($G$2:G464=$G464)))=1,1,0),0)</f>
        <v>0</v>
      </c>
      <c r="R464" s="70" t="str">
        <f>IF(Q464=1,SUM($Q$2:Q464),"")</f>
        <v/>
      </c>
    </row>
    <row r="465" spans="1:18" ht="16" x14ac:dyDescent="0.2">
      <c r="A465" s="73" t="s">
        <v>375</v>
      </c>
      <c r="B465" s="85" t="s">
        <v>1691</v>
      </c>
      <c r="C465" s="74" t="s">
        <v>1674</v>
      </c>
      <c r="D465" s="74" t="s">
        <v>977</v>
      </c>
      <c r="E465" s="78" t="s">
        <v>113</v>
      </c>
      <c r="F465" s="76" t="s">
        <v>1692</v>
      </c>
      <c r="G465" s="75" t="s">
        <v>1204</v>
      </c>
      <c r="H465" s="70"/>
      <c r="P465" s="70">
        <f t="shared" si="7"/>
        <v>0</v>
      </c>
      <c r="Q465" s="70" cm="1">
        <f t="array" ref="Q465">IF(P465=1,IF(SUMPRODUCT(($P$2:P465)*(--($G$2:G465=$G465)))=1,1,0),0)</f>
        <v>0</v>
      </c>
      <c r="R465" s="70" t="str">
        <f>IF(Q465=1,SUM($Q$2:Q465),"")</f>
        <v/>
      </c>
    </row>
    <row r="466" spans="1:18" ht="16" x14ac:dyDescent="0.2">
      <c r="A466" s="73" t="s">
        <v>375</v>
      </c>
      <c r="B466" s="85" t="s">
        <v>1691</v>
      </c>
      <c r="C466" s="74" t="s">
        <v>1674</v>
      </c>
      <c r="D466" s="74" t="s">
        <v>977</v>
      </c>
      <c r="E466" s="78" t="s">
        <v>113</v>
      </c>
      <c r="F466" s="76" t="s">
        <v>1693</v>
      </c>
      <c r="G466" s="75" t="s">
        <v>1204</v>
      </c>
      <c r="H466" s="70"/>
      <c r="P466" s="70">
        <f t="shared" si="7"/>
        <v>0</v>
      </c>
      <c r="Q466" s="70" cm="1">
        <f t="array" ref="Q466">IF(P466=1,IF(SUMPRODUCT(($P$2:P466)*(--($G$2:G466=$G466)))=1,1,0),0)</f>
        <v>0</v>
      </c>
      <c r="R466" s="70" t="str">
        <f>IF(Q466=1,SUM($Q$2:Q466),"")</f>
        <v/>
      </c>
    </row>
    <row r="467" spans="1:18" ht="16" x14ac:dyDescent="0.2">
      <c r="A467" s="73" t="s">
        <v>375</v>
      </c>
      <c r="B467" s="85" t="s">
        <v>1691</v>
      </c>
      <c r="C467" s="74" t="s">
        <v>1674</v>
      </c>
      <c r="D467" s="74" t="s">
        <v>977</v>
      </c>
      <c r="E467" s="78" t="s">
        <v>113</v>
      </c>
      <c r="F467" s="76" t="s">
        <v>1694</v>
      </c>
      <c r="G467" s="75" t="s">
        <v>1204</v>
      </c>
      <c r="H467" s="70"/>
      <c r="P467" s="70">
        <f t="shared" si="7"/>
        <v>0</v>
      </c>
      <c r="Q467" s="70" cm="1">
        <f t="array" ref="Q467">IF(P467=1,IF(SUMPRODUCT(($P$2:P467)*(--($G$2:G467=$G467)))=1,1,0),0)</f>
        <v>0</v>
      </c>
      <c r="R467" s="70" t="str">
        <f>IF(Q467=1,SUM($Q$2:Q467),"")</f>
        <v/>
      </c>
    </row>
    <row r="468" spans="1:18" ht="16" x14ac:dyDescent="0.2">
      <c r="A468" s="73" t="s">
        <v>375</v>
      </c>
      <c r="B468" s="85" t="s">
        <v>1691</v>
      </c>
      <c r="C468" s="74" t="s">
        <v>1674</v>
      </c>
      <c r="D468" s="74" t="s">
        <v>977</v>
      </c>
      <c r="E468" s="78" t="s">
        <v>1002</v>
      </c>
      <c r="F468" s="76" t="s">
        <v>1690</v>
      </c>
      <c r="G468" s="75" t="s">
        <v>1204</v>
      </c>
      <c r="H468" s="70"/>
      <c r="P468" s="70">
        <f t="shared" si="7"/>
        <v>0</v>
      </c>
      <c r="Q468" s="70" cm="1">
        <f t="array" ref="Q468">IF(P468=1,IF(SUMPRODUCT(($P$2:P468)*(--($G$2:G468=$G468)))=1,1,0),0)</f>
        <v>0</v>
      </c>
      <c r="R468" s="70" t="str">
        <f>IF(Q468=1,SUM($Q$2:Q468),"")</f>
        <v/>
      </c>
    </row>
    <row r="469" spans="1:18" ht="16" x14ac:dyDescent="0.2">
      <c r="A469" s="73" t="s">
        <v>375</v>
      </c>
      <c r="B469" s="85" t="s">
        <v>1691</v>
      </c>
      <c r="C469" s="74" t="s">
        <v>1674</v>
      </c>
      <c r="D469" s="74" t="s">
        <v>977</v>
      </c>
      <c r="E469" s="78" t="s">
        <v>1002</v>
      </c>
      <c r="F469" s="76" t="s">
        <v>1692</v>
      </c>
      <c r="G469" s="75" t="s">
        <v>1204</v>
      </c>
      <c r="H469" s="70"/>
      <c r="P469" s="70">
        <f t="shared" si="7"/>
        <v>0</v>
      </c>
      <c r="Q469" s="70" cm="1">
        <f t="array" ref="Q469">IF(P469=1,IF(SUMPRODUCT(($P$2:P469)*(--($G$2:G469=$G469)))=1,1,0),0)</f>
        <v>0</v>
      </c>
      <c r="R469" s="70" t="str">
        <f>IF(Q469=1,SUM($Q$2:Q469),"")</f>
        <v/>
      </c>
    </row>
    <row r="470" spans="1:18" ht="16" x14ac:dyDescent="0.2">
      <c r="A470" s="73" t="s">
        <v>375</v>
      </c>
      <c r="B470" s="85" t="s">
        <v>1691</v>
      </c>
      <c r="C470" s="74" t="s">
        <v>1674</v>
      </c>
      <c r="D470" s="74" t="s">
        <v>977</v>
      </c>
      <c r="E470" s="78" t="s">
        <v>1002</v>
      </c>
      <c r="F470" s="76" t="s">
        <v>1693</v>
      </c>
      <c r="G470" s="75" t="s">
        <v>1204</v>
      </c>
      <c r="H470" s="70"/>
      <c r="P470" s="70">
        <f t="shared" si="7"/>
        <v>0</v>
      </c>
      <c r="Q470" s="70" cm="1">
        <f t="array" ref="Q470">IF(P470=1,IF(SUMPRODUCT(($P$2:P470)*(--($G$2:G470=$G470)))=1,1,0),0)</f>
        <v>0</v>
      </c>
      <c r="R470" s="70" t="str">
        <f>IF(Q470=1,SUM($Q$2:Q470),"")</f>
        <v/>
      </c>
    </row>
    <row r="471" spans="1:18" ht="16" x14ac:dyDescent="0.2">
      <c r="A471" s="73" t="s">
        <v>375</v>
      </c>
      <c r="B471" s="85" t="s">
        <v>1691</v>
      </c>
      <c r="C471" s="74" t="s">
        <v>1674</v>
      </c>
      <c r="D471" s="74" t="s">
        <v>977</v>
      </c>
      <c r="E471" s="78" t="s">
        <v>1002</v>
      </c>
      <c r="F471" s="76" t="s">
        <v>1694</v>
      </c>
      <c r="G471" s="75" t="s">
        <v>1204</v>
      </c>
      <c r="H471" s="70"/>
      <c r="P471" s="70">
        <f t="shared" si="7"/>
        <v>0</v>
      </c>
      <c r="Q471" s="70" cm="1">
        <f t="array" ref="Q471">IF(P471=1,IF(SUMPRODUCT(($P$2:P471)*(--($G$2:G471=$G471)))=1,1,0),0)</f>
        <v>0</v>
      </c>
      <c r="R471" s="70" t="str">
        <f>IF(Q471=1,SUM($Q$2:Q471),"")</f>
        <v/>
      </c>
    </row>
    <row r="472" spans="1:18" ht="16" x14ac:dyDescent="0.2">
      <c r="A472" s="73" t="s">
        <v>375</v>
      </c>
      <c r="B472" s="85" t="s">
        <v>1696</v>
      </c>
      <c r="C472" s="74" t="s">
        <v>1674</v>
      </c>
      <c r="D472" s="74" t="s">
        <v>977</v>
      </c>
      <c r="E472" s="78" t="s">
        <v>1003</v>
      </c>
      <c r="F472" s="76" t="s">
        <v>1695</v>
      </c>
      <c r="G472" s="75" t="s">
        <v>1196</v>
      </c>
      <c r="H472" s="70"/>
      <c r="P472" s="70">
        <f t="shared" si="7"/>
        <v>0</v>
      </c>
      <c r="Q472" s="70" cm="1">
        <f t="array" ref="Q472">IF(P472=1,IF(SUMPRODUCT(($P$2:P472)*(--($G$2:G472=$G472)))=1,1,0),0)</f>
        <v>0</v>
      </c>
      <c r="R472" s="70" t="str">
        <f>IF(Q472=1,SUM($Q$2:Q472),"")</f>
        <v/>
      </c>
    </row>
    <row r="473" spans="1:18" ht="16" x14ac:dyDescent="0.2">
      <c r="A473" s="73" t="s">
        <v>375</v>
      </c>
      <c r="B473" s="85" t="s">
        <v>1696</v>
      </c>
      <c r="C473" s="74" t="s">
        <v>1674</v>
      </c>
      <c r="D473" s="74" t="s">
        <v>977</v>
      </c>
      <c r="E473" s="78" t="s">
        <v>1003</v>
      </c>
      <c r="F473" s="76" t="s">
        <v>372</v>
      </c>
      <c r="G473" s="75" t="s">
        <v>1196</v>
      </c>
      <c r="H473" s="70"/>
      <c r="P473" s="70">
        <f t="shared" si="7"/>
        <v>0</v>
      </c>
      <c r="Q473" s="70" cm="1">
        <f t="array" ref="Q473">IF(P473=1,IF(SUMPRODUCT(($P$2:P473)*(--($G$2:G473=$G473)))=1,1,0),0)</f>
        <v>0</v>
      </c>
      <c r="R473" s="70" t="str">
        <f>IF(Q473=1,SUM($Q$2:Q473),"")</f>
        <v/>
      </c>
    </row>
    <row r="474" spans="1:18" ht="16" x14ac:dyDescent="0.2">
      <c r="A474" s="73" t="s">
        <v>375</v>
      </c>
      <c r="B474" s="85" t="s">
        <v>1696</v>
      </c>
      <c r="C474" s="74" t="s">
        <v>1674</v>
      </c>
      <c r="D474" s="74" t="s">
        <v>977</v>
      </c>
      <c r="E474" s="78" t="s">
        <v>113</v>
      </c>
      <c r="F474" s="76" t="s">
        <v>372</v>
      </c>
      <c r="G474" s="75" t="s">
        <v>1196</v>
      </c>
      <c r="H474" s="70"/>
      <c r="P474" s="70">
        <f t="shared" si="7"/>
        <v>0</v>
      </c>
      <c r="Q474" s="70" cm="1">
        <f t="array" ref="Q474">IF(P474=1,IF(SUMPRODUCT(($P$2:P474)*(--($G$2:G474=$G474)))=1,1,0),0)</f>
        <v>0</v>
      </c>
      <c r="R474" s="70" t="str">
        <f>IF(Q474=1,SUM($Q$2:Q474),"")</f>
        <v/>
      </c>
    </row>
    <row r="475" spans="1:18" ht="16" x14ac:dyDescent="0.2">
      <c r="A475" s="73" t="s">
        <v>375</v>
      </c>
      <c r="B475" s="85" t="s">
        <v>132</v>
      </c>
      <c r="C475" s="74" t="s">
        <v>1697</v>
      </c>
      <c r="D475" s="74" t="s">
        <v>981</v>
      </c>
      <c r="E475" s="78" t="s">
        <v>129</v>
      </c>
      <c r="F475" s="76" t="s">
        <v>1698</v>
      </c>
      <c r="G475" s="75" t="s">
        <v>381</v>
      </c>
      <c r="H475" s="70"/>
      <c r="P475" s="70">
        <f t="shared" si="7"/>
        <v>0</v>
      </c>
      <c r="Q475" s="70" cm="1">
        <f t="array" ref="Q475">IF(P475=1,IF(SUMPRODUCT(($P$2:P475)*(--($G$2:G475=$G475)))=1,1,0),0)</f>
        <v>0</v>
      </c>
      <c r="R475" s="70" t="str">
        <f>IF(Q475=1,SUM($Q$2:Q475),"")</f>
        <v/>
      </c>
    </row>
    <row r="476" spans="1:18" ht="16" x14ac:dyDescent="0.2">
      <c r="A476" s="73" t="s">
        <v>375</v>
      </c>
      <c r="B476" s="85" t="s">
        <v>132</v>
      </c>
      <c r="C476" s="74" t="s">
        <v>1697</v>
      </c>
      <c r="D476" s="74" t="s">
        <v>981</v>
      </c>
      <c r="E476" s="78" t="s">
        <v>129</v>
      </c>
      <c r="F476" s="76" t="s">
        <v>1699</v>
      </c>
      <c r="G476" s="75" t="s">
        <v>381</v>
      </c>
      <c r="H476" s="70"/>
      <c r="P476" s="70">
        <f t="shared" si="7"/>
        <v>0</v>
      </c>
      <c r="Q476" s="70" cm="1">
        <f t="array" ref="Q476">IF(P476=1,IF(SUMPRODUCT(($P$2:P476)*(--($G$2:G476=$G476)))=1,1,0),0)</f>
        <v>0</v>
      </c>
      <c r="R476" s="70" t="str">
        <f>IF(Q476=1,SUM($Q$2:Q476),"")</f>
        <v/>
      </c>
    </row>
    <row r="477" spans="1:18" ht="16" x14ac:dyDescent="0.2">
      <c r="A477" s="73" t="s">
        <v>375</v>
      </c>
      <c r="B477" s="85" t="s">
        <v>132</v>
      </c>
      <c r="C477" s="74" t="s">
        <v>1697</v>
      </c>
      <c r="D477" s="74" t="s">
        <v>981</v>
      </c>
      <c r="E477" s="78" t="s">
        <v>129</v>
      </c>
      <c r="F477" s="76" t="s">
        <v>1684</v>
      </c>
      <c r="G477" s="75" t="s">
        <v>381</v>
      </c>
      <c r="H477" s="70"/>
      <c r="P477" s="70">
        <f t="shared" si="7"/>
        <v>0</v>
      </c>
      <c r="Q477" s="70" cm="1">
        <f t="array" ref="Q477">IF(P477=1,IF(SUMPRODUCT(($P$2:P477)*(--($G$2:G477=$G477)))=1,1,0),0)</f>
        <v>0</v>
      </c>
      <c r="R477" s="70" t="str">
        <f>IF(Q477=1,SUM($Q$2:Q477),"")</f>
        <v/>
      </c>
    </row>
    <row r="478" spans="1:18" x14ac:dyDescent="0.2">
      <c r="A478" s="73" t="s">
        <v>375</v>
      </c>
      <c r="B478" s="77" t="s">
        <v>1541</v>
      </c>
      <c r="C478" s="74" t="s">
        <v>1674</v>
      </c>
      <c r="D478" s="74" t="s">
        <v>977</v>
      </c>
      <c r="E478" s="78" t="s">
        <v>113</v>
      </c>
      <c r="F478" s="76" t="s">
        <v>1700</v>
      </c>
      <c r="G478" s="76" t="s">
        <v>1077</v>
      </c>
      <c r="H478" s="70"/>
      <c r="P478" s="70">
        <f t="shared" si="7"/>
        <v>0</v>
      </c>
      <c r="Q478" s="70" cm="1">
        <f t="array" ref="Q478">IF(P478=1,IF(SUMPRODUCT(($P$2:P478)*(--($G$2:G478=$G478)))=1,1,0),0)</f>
        <v>0</v>
      </c>
      <c r="R478" s="70" t="str">
        <f>IF(Q478=1,SUM($Q$2:Q478),"")</f>
        <v/>
      </c>
    </row>
    <row r="479" spans="1:18" x14ac:dyDescent="0.2">
      <c r="A479" s="73" t="s">
        <v>375</v>
      </c>
      <c r="B479" s="77" t="s">
        <v>1541</v>
      </c>
      <c r="C479" s="74" t="s">
        <v>1674</v>
      </c>
      <c r="D479" s="74" t="s">
        <v>977</v>
      </c>
      <c r="E479" s="78" t="s">
        <v>113</v>
      </c>
      <c r="F479" s="76" t="s">
        <v>1701</v>
      </c>
      <c r="G479" s="76" t="s">
        <v>1077</v>
      </c>
      <c r="H479" s="70"/>
      <c r="P479" s="70">
        <f t="shared" si="7"/>
        <v>0</v>
      </c>
      <c r="Q479" s="70" cm="1">
        <f t="array" ref="Q479">IF(P479=1,IF(SUMPRODUCT(($P$2:P479)*(--($G$2:G479=$G479)))=1,1,0),0)</f>
        <v>0</v>
      </c>
      <c r="R479" s="70" t="str">
        <f>IF(Q479=1,SUM($Q$2:Q479),"")</f>
        <v/>
      </c>
    </row>
    <row r="480" spans="1:18" x14ac:dyDescent="0.2">
      <c r="A480" s="73" t="s">
        <v>375</v>
      </c>
      <c r="B480" s="77" t="s">
        <v>1541</v>
      </c>
      <c r="C480" s="74" t="s">
        <v>1674</v>
      </c>
      <c r="D480" s="74" t="s">
        <v>977</v>
      </c>
      <c r="E480" s="78" t="s">
        <v>113</v>
      </c>
      <c r="F480" s="76" t="s">
        <v>1702</v>
      </c>
      <c r="G480" s="76" t="s">
        <v>1077</v>
      </c>
      <c r="H480" s="70"/>
      <c r="P480" s="70">
        <f t="shared" si="7"/>
        <v>0</v>
      </c>
      <c r="Q480" s="70" cm="1">
        <f t="array" ref="Q480">IF(P480=1,IF(SUMPRODUCT(($P$2:P480)*(--($G$2:G480=$G480)))=1,1,0),0)</f>
        <v>0</v>
      </c>
      <c r="R480" s="70" t="str">
        <f>IF(Q480=1,SUM($Q$2:Q480),"")</f>
        <v/>
      </c>
    </row>
    <row r="481" spans="1:18" x14ac:dyDescent="0.2">
      <c r="A481" s="73" t="s">
        <v>375</v>
      </c>
      <c r="B481" s="77" t="s">
        <v>1541</v>
      </c>
      <c r="C481" s="74" t="s">
        <v>1674</v>
      </c>
      <c r="D481" s="74" t="s">
        <v>977</v>
      </c>
      <c r="E481" s="78" t="s">
        <v>113</v>
      </c>
      <c r="F481" s="76" t="s">
        <v>1703</v>
      </c>
      <c r="G481" s="76" t="s">
        <v>1077</v>
      </c>
      <c r="H481" s="70"/>
      <c r="P481" s="70">
        <f t="shared" si="7"/>
        <v>0</v>
      </c>
      <c r="Q481" s="70" cm="1">
        <f t="array" ref="Q481">IF(P481=1,IF(SUMPRODUCT(($P$2:P481)*(--($G$2:G481=$G481)))=1,1,0),0)</f>
        <v>0</v>
      </c>
      <c r="R481" s="70" t="str">
        <f>IF(Q481=1,SUM($Q$2:Q481),"")</f>
        <v/>
      </c>
    </row>
    <row r="482" spans="1:18" x14ac:dyDescent="0.2">
      <c r="A482" s="73" t="s">
        <v>375</v>
      </c>
      <c r="B482" s="77" t="s">
        <v>1541</v>
      </c>
      <c r="C482" s="74" t="s">
        <v>1674</v>
      </c>
      <c r="D482" s="74" t="s">
        <v>977</v>
      </c>
      <c r="E482" s="78" t="s">
        <v>1002</v>
      </c>
      <c r="F482" s="76" t="s">
        <v>1700</v>
      </c>
      <c r="G482" s="76" t="s">
        <v>1077</v>
      </c>
      <c r="H482" s="70"/>
      <c r="P482" s="70">
        <f t="shared" si="7"/>
        <v>0</v>
      </c>
      <c r="Q482" s="70" cm="1">
        <f t="array" ref="Q482">IF(P482=1,IF(SUMPRODUCT(($P$2:P482)*(--($G$2:G482=$G482)))=1,1,0),0)</f>
        <v>0</v>
      </c>
      <c r="R482" s="70" t="str">
        <f>IF(Q482=1,SUM($Q$2:Q482),"")</f>
        <v/>
      </c>
    </row>
    <row r="483" spans="1:18" x14ac:dyDescent="0.2">
      <c r="A483" s="73" t="s">
        <v>375</v>
      </c>
      <c r="B483" s="77" t="s">
        <v>1541</v>
      </c>
      <c r="C483" s="74" t="s">
        <v>1674</v>
      </c>
      <c r="D483" s="74" t="s">
        <v>977</v>
      </c>
      <c r="E483" s="78" t="s">
        <v>1002</v>
      </c>
      <c r="F483" s="76" t="s">
        <v>1701</v>
      </c>
      <c r="G483" s="76" t="s">
        <v>1077</v>
      </c>
      <c r="H483" s="70"/>
      <c r="P483" s="70">
        <f t="shared" si="7"/>
        <v>0</v>
      </c>
      <c r="Q483" s="70" cm="1">
        <f t="array" ref="Q483">IF(P483=1,IF(SUMPRODUCT(($P$2:P483)*(--($G$2:G483=$G483)))=1,1,0),0)</f>
        <v>0</v>
      </c>
      <c r="R483" s="70" t="str">
        <f>IF(Q483=1,SUM($Q$2:Q483),"")</f>
        <v/>
      </c>
    </row>
    <row r="484" spans="1:18" x14ac:dyDescent="0.2">
      <c r="A484" s="73" t="s">
        <v>375</v>
      </c>
      <c r="B484" s="77" t="s">
        <v>1541</v>
      </c>
      <c r="C484" s="74" t="s">
        <v>1674</v>
      </c>
      <c r="D484" s="74" t="s">
        <v>977</v>
      </c>
      <c r="E484" s="78" t="s">
        <v>1002</v>
      </c>
      <c r="F484" s="76" t="s">
        <v>1702</v>
      </c>
      <c r="G484" s="76" t="s">
        <v>1077</v>
      </c>
      <c r="H484" s="70"/>
      <c r="P484" s="70">
        <f t="shared" si="7"/>
        <v>0</v>
      </c>
      <c r="Q484" s="70" cm="1">
        <f t="array" ref="Q484">IF(P484=1,IF(SUMPRODUCT(($P$2:P484)*(--($G$2:G484=$G484)))=1,1,0),0)</f>
        <v>0</v>
      </c>
      <c r="R484" s="70" t="str">
        <f>IF(Q484=1,SUM($Q$2:Q484),"")</f>
        <v/>
      </c>
    </row>
    <row r="485" spans="1:18" x14ac:dyDescent="0.2">
      <c r="A485" s="73" t="s">
        <v>375</v>
      </c>
      <c r="B485" s="77" t="s">
        <v>1541</v>
      </c>
      <c r="C485" s="74" t="s">
        <v>1674</v>
      </c>
      <c r="D485" s="74" t="s">
        <v>977</v>
      </c>
      <c r="E485" s="78" t="s">
        <v>1002</v>
      </c>
      <c r="F485" s="76" t="s">
        <v>1703</v>
      </c>
      <c r="G485" s="76" t="s">
        <v>1077</v>
      </c>
      <c r="H485" s="70"/>
      <c r="P485" s="70">
        <f t="shared" si="7"/>
        <v>0</v>
      </c>
      <c r="Q485" s="70" cm="1">
        <f t="array" ref="Q485">IF(P485=1,IF(SUMPRODUCT(($P$2:P485)*(--($G$2:G485=$G485)))=1,1,0),0)</f>
        <v>0</v>
      </c>
      <c r="R485" s="70" t="str">
        <f>IF(Q485=1,SUM($Q$2:Q485),"")</f>
        <v/>
      </c>
    </row>
    <row r="486" spans="1:18" x14ac:dyDescent="0.2">
      <c r="A486" s="73" t="s">
        <v>375</v>
      </c>
      <c r="B486" s="77" t="s">
        <v>1541</v>
      </c>
      <c r="C486" s="74" t="s">
        <v>1697</v>
      </c>
      <c r="D486" s="74" t="s">
        <v>981</v>
      </c>
      <c r="E486" s="78" t="s">
        <v>113</v>
      </c>
      <c r="F486" s="76" t="s">
        <v>1704</v>
      </c>
      <c r="G486" s="76" t="s">
        <v>1078</v>
      </c>
      <c r="H486" s="70"/>
      <c r="P486" s="70">
        <f t="shared" si="7"/>
        <v>0</v>
      </c>
      <c r="Q486" s="70" cm="1">
        <f t="array" ref="Q486">IF(P486=1,IF(SUMPRODUCT(($P$2:P486)*(--($G$2:G486=$G486)))=1,1,0),0)</f>
        <v>0</v>
      </c>
      <c r="R486" s="70" t="str">
        <f>IF(Q486=1,SUM($Q$2:Q486),"")</f>
        <v/>
      </c>
    </row>
    <row r="487" spans="1:18" x14ac:dyDescent="0.2">
      <c r="A487" s="73" t="s">
        <v>375</v>
      </c>
      <c r="B487" s="77" t="s">
        <v>1541</v>
      </c>
      <c r="C487" s="74" t="s">
        <v>1697</v>
      </c>
      <c r="D487" s="74" t="s">
        <v>981</v>
      </c>
      <c r="E487" s="78" t="s">
        <v>113</v>
      </c>
      <c r="F487" s="76" t="s">
        <v>1701</v>
      </c>
      <c r="G487" s="76" t="s">
        <v>1078</v>
      </c>
      <c r="H487" s="70"/>
      <c r="P487" s="70">
        <f t="shared" si="7"/>
        <v>0</v>
      </c>
      <c r="Q487" s="70" cm="1">
        <f t="array" ref="Q487">IF(P487=1,IF(SUMPRODUCT(($P$2:P487)*(--($G$2:G487=$G487)))=1,1,0),0)</f>
        <v>0</v>
      </c>
      <c r="R487" s="70" t="str">
        <f>IF(Q487=1,SUM($Q$2:Q487),"")</f>
        <v/>
      </c>
    </row>
    <row r="488" spans="1:18" x14ac:dyDescent="0.2">
      <c r="A488" s="73" t="s">
        <v>375</v>
      </c>
      <c r="B488" s="77" t="s">
        <v>1541</v>
      </c>
      <c r="C488" s="74" t="s">
        <v>1697</v>
      </c>
      <c r="D488" s="74" t="s">
        <v>981</v>
      </c>
      <c r="E488" s="78" t="s">
        <v>113</v>
      </c>
      <c r="F488" s="76" t="s">
        <v>1705</v>
      </c>
      <c r="G488" s="76" t="s">
        <v>1078</v>
      </c>
      <c r="H488" s="70"/>
      <c r="P488" s="70">
        <f t="shared" si="7"/>
        <v>0</v>
      </c>
      <c r="Q488" s="70" cm="1">
        <f t="array" ref="Q488">IF(P488=1,IF(SUMPRODUCT(($P$2:P488)*(--($G$2:G488=$G488)))=1,1,0),0)</f>
        <v>0</v>
      </c>
      <c r="R488" s="70" t="str">
        <f>IF(Q488=1,SUM($Q$2:Q488),"")</f>
        <v/>
      </c>
    </row>
    <row r="489" spans="1:18" x14ac:dyDescent="0.2">
      <c r="A489" s="73" t="s">
        <v>375</v>
      </c>
      <c r="B489" s="77" t="s">
        <v>1541</v>
      </c>
      <c r="C489" s="74" t="s">
        <v>1697</v>
      </c>
      <c r="D489" s="74" t="s">
        <v>981</v>
      </c>
      <c r="E489" s="78" t="s">
        <v>113</v>
      </c>
      <c r="F489" s="76" t="s">
        <v>1703</v>
      </c>
      <c r="G489" s="76" t="s">
        <v>1078</v>
      </c>
      <c r="H489" s="70"/>
      <c r="P489" s="70">
        <f t="shared" si="7"/>
        <v>0</v>
      </c>
      <c r="Q489" s="70" cm="1">
        <f t="array" ref="Q489">IF(P489=1,IF(SUMPRODUCT(($P$2:P489)*(--($G$2:G489=$G489)))=1,1,0),0)</f>
        <v>0</v>
      </c>
      <c r="R489" s="70" t="str">
        <f>IF(Q489=1,SUM($Q$2:Q489),"")</f>
        <v/>
      </c>
    </row>
    <row r="490" spans="1:18" x14ac:dyDescent="0.2">
      <c r="A490" s="73" t="s">
        <v>375</v>
      </c>
      <c r="B490" s="77" t="s">
        <v>1541</v>
      </c>
      <c r="C490" s="74" t="s">
        <v>1697</v>
      </c>
      <c r="D490" s="74" t="s">
        <v>981</v>
      </c>
      <c r="E490" s="78" t="s">
        <v>1002</v>
      </c>
      <c r="F490" s="76" t="s">
        <v>1704</v>
      </c>
      <c r="G490" s="76" t="s">
        <v>1078</v>
      </c>
      <c r="H490" s="70"/>
      <c r="P490" s="70">
        <f t="shared" si="7"/>
        <v>0</v>
      </c>
      <c r="Q490" s="70" cm="1">
        <f t="array" ref="Q490">IF(P490=1,IF(SUMPRODUCT(($P$2:P490)*(--($G$2:G490=$G490)))=1,1,0),0)</f>
        <v>0</v>
      </c>
      <c r="R490" s="70" t="str">
        <f>IF(Q490=1,SUM($Q$2:Q490),"")</f>
        <v/>
      </c>
    </row>
    <row r="491" spans="1:18" x14ac:dyDescent="0.2">
      <c r="A491" s="73" t="s">
        <v>375</v>
      </c>
      <c r="B491" s="77" t="s">
        <v>1541</v>
      </c>
      <c r="C491" s="74" t="s">
        <v>1697</v>
      </c>
      <c r="D491" s="74" t="s">
        <v>981</v>
      </c>
      <c r="E491" s="78" t="s">
        <v>1002</v>
      </c>
      <c r="F491" s="76" t="s">
        <v>1701</v>
      </c>
      <c r="G491" s="76" t="s">
        <v>1078</v>
      </c>
      <c r="H491" s="70"/>
      <c r="P491" s="70">
        <f t="shared" si="7"/>
        <v>0</v>
      </c>
      <c r="Q491" s="70" cm="1">
        <f t="array" ref="Q491">IF(P491=1,IF(SUMPRODUCT(($P$2:P491)*(--($G$2:G491=$G491)))=1,1,0),0)</f>
        <v>0</v>
      </c>
      <c r="R491" s="70" t="str">
        <f>IF(Q491=1,SUM($Q$2:Q491),"")</f>
        <v/>
      </c>
    </row>
    <row r="492" spans="1:18" x14ac:dyDescent="0.2">
      <c r="A492" s="73" t="s">
        <v>375</v>
      </c>
      <c r="B492" s="77" t="s">
        <v>1541</v>
      </c>
      <c r="C492" s="74" t="s">
        <v>1697</v>
      </c>
      <c r="D492" s="74" t="s">
        <v>981</v>
      </c>
      <c r="E492" s="78" t="s">
        <v>1002</v>
      </c>
      <c r="F492" s="76" t="s">
        <v>1705</v>
      </c>
      <c r="G492" s="76" t="s">
        <v>1078</v>
      </c>
      <c r="H492" s="70"/>
      <c r="P492" s="70">
        <f t="shared" si="7"/>
        <v>0</v>
      </c>
      <c r="Q492" s="70" cm="1">
        <f t="array" ref="Q492">IF(P492=1,IF(SUMPRODUCT(($P$2:P492)*(--($G$2:G492=$G492)))=1,1,0),0)</f>
        <v>0</v>
      </c>
      <c r="R492" s="70" t="str">
        <f>IF(Q492=1,SUM($Q$2:Q492),"")</f>
        <v/>
      </c>
    </row>
    <row r="493" spans="1:18" x14ac:dyDescent="0.2">
      <c r="A493" s="73" t="s">
        <v>375</v>
      </c>
      <c r="B493" s="77" t="s">
        <v>1541</v>
      </c>
      <c r="C493" s="74" t="s">
        <v>1697</v>
      </c>
      <c r="D493" s="74" t="s">
        <v>981</v>
      </c>
      <c r="E493" s="78" t="s">
        <v>1002</v>
      </c>
      <c r="F493" s="76" t="s">
        <v>1703</v>
      </c>
      <c r="G493" s="76" t="s">
        <v>1078</v>
      </c>
      <c r="H493" s="70"/>
      <c r="P493" s="70">
        <f t="shared" si="7"/>
        <v>0</v>
      </c>
      <c r="Q493" s="70" cm="1">
        <f t="array" ref="Q493">IF(P493=1,IF(SUMPRODUCT(($P$2:P493)*(--($G$2:G493=$G493)))=1,1,0),0)</f>
        <v>0</v>
      </c>
      <c r="R493" s="70" t="str">
        <f>IF(Q493=1,SUM($Q$2:Q493),"")</f>
        <v/>
      </c>
    </row>
    <row r="494" spans="1:18" ht="16" x14ac:dyDescent="0.2">
      <c r="A494" s="73" t="s">
        <v>375</v>
      </c>
      <c r="B494" s="77" t="s">
        <v>1541</v>
      </c>
      <c r="C494" s="74" t="s">
        <v>1697</v>
      </c>
      <c r="D494" s="74" t="s">
        <v>981</v>
      </c>
      <c r="E494" s="78" t="s">
        <v>113</v>
      </c>
      <c r="F494" s="76" t="s">
        <v>1706</v>
      </c>
      <c r="G494" s="75" t="s">
        <v>1132</v>
      </c>
      <c r="H494" s="70"/>
      <c r="P494" s="70">
        <f t="shared" si="7"/>
        <v>0</v>
      </c>
      <c r="Q494" s="70" cm="1">
        <f t="array" ref="Q494">IF(P494=1,IF(SUMPRODUCT(($P$2:P494)*(--($G$2:G494=$G494)))=1,1,0),0)</f>
        <v>0</v>
      </c>
      <c r="R494" s="70" t="str">
        <f>IF(Q494=1,SUM($Q$2:Q494),"")</f>
        <v/>
      </c>
    </row>
    <row r="495" spans="1:18" ht="16" x14ac:dyDescent="0.2">
      <c r="A495" s="73" t="s">
        <v>375</v>
      </c>
      <c r="B495" s="77" t="s">
        <v>1541</v>
      </c>
      <c r="C495" s="74" t="s">
        <v>1697</v>
      </c>
      <c r="D495" s="74" t="s">
        <v>981</v>
      </c>
      <c r="E495" s="78" t="s">
        <v>113</v>
      </c>
      <c r="F495" s="76" t="s">
        <v>1707</v>
      </c>
      <c r="G495" s="75" t="s">
        <v>1132</v>
      </c>
      <c r="H495" s="70"/>
      <c r="P495" s="70">
        <f t="shared" si="7"/>
        <v>0</v>
      </c>
      <c r="Q495" s="70" cm="1">
        <f t="array" ref="Q495">IF(P495=1,IF(SUMPRODUCT(($P$2:P495)*(--($G$2:G495=$G495)))=1,1,0),0)</f>
        <v>0</v>
      </c>
      <c r="R495" s="70" t="str">
        <f>IF(Q495=1,SUM($Q$2:Q495),"")</f>
        <v/>
      </c>
    </row>
    <row r="496" spans="1:18" ht="16" x14ac:dyDescent="0.2">
      <c r="A496" s="73" t="s">
        <v>375</v>
      </c>
      <c r="B496" s="77" t="s">
        <v>1541</v>
      </c>
      <c r="C496" s="74" t="s">
        <v>1697</v>
      </c>
      <c r="D496" s="74" t="s">
        <v>981</v>
      </c>
      <c r="E496" s="78" t="s">
        <v>113</v>
      </c>
      <c r="F496" s="76" t="s">
        <v>1708</v>
      </c>
      <c r="G496" s="75" t="s">
        <v>1132</v>
      </c>
      <c r="H496" s="70"/>
      <c r="P496" s="70">
        <f t="shared" si="7"/>
        <v>0</v>
      </c>
      <c r="Q496" s="70" cm="1">
        <f t="array" ref="Q496">IF(P496=1,IF(SUMPRODUCT(($P$2:P496)*(--($G$2:G496=$G496)))=1,1,0),0)</f>
        <v>0</v>
      </c>
      <c r="R496" s="70" t="str">
        <f>IF(Q496=1,SUM($Q$2:Q496),"")</f>
        <v/>
      </c>
    </row>
    <row r="497" spans="1:18" ht="16" x14ac:dyDescent="0.2">
      <c r="A497" s="73" t="s">
        <v>375</v>
      </c>
      <c r="B497" s="77" t="s">
        <v>1541</v>
      </c>
      <c r="C497" s="74" t="s">
        <v>1697</v>
      </c>
      <c r="D497" s="74" t="s">
        <v>981</v>
      </c>
      <c r="E497" s="78" t="s">
        <v>113</v>
      </c>
      <c r="F497" s="76" t="s">
        <v>1684</v>
      </c>
      <c r="G497" s="75" t="s">
        <v>1132</v>
      </c>
      <c r="H497" s="70"/>
      <c r="P497" s="70">
        <f t="shared" si="7"/>
        <v>0</v>
      </c>
      <c r="Q497" s="70" cm="1">
        <f t="array" ref="Q497">IF(P497=1,IF(SUMPRODUCT(($P$2:P497)*(--($G$2:G497=$G497)))=1,1,0),0)</f>
        <v>0</v>
      </c>
      <c r="R497" s="70" t="str">
        <f>IF(Q497=1,SUM($Q$2:Q497),"")</f>
        <v/>
      </c>
    </row>
    <row r="498" spans="1:18" ht="16" x14ac:dyDescent="0.2">
      <c r="A498" s="73" t="s">
        <v>375</v>
      </c>
      <c r="B498" s="77" t="s">
        <v>1541</v>
      </c>
      <c r="C498" s="74" t="s">
        <v>1697</v>
      </c>
      <c r="D498" s="74" t="s">
        <v>981</v>
      </c>
      <c r="E498" s="78" t="s">
        <v>113</v>
      </c>
      <c r="F498" s="76" t="s">
        <v>375</v>
      </c>
      <c r="G498" s="75" t="s">
        <v>1132</v>
      </c>
      <c r="H498" s="70"/>
      <c r="P498" s="70">
        <f t="shared" si="7"/>
        <v>0</v>
      </c>
      <c r="Q498" s="70" cm="1">
        <f t="array" ref="Q498">IF(P498=1,IF(SUMPRODUCT(($P$2:P498)*(--($G$2:G498=$G498)))=1,1,0),0)</f>
        <v>0</v>
      </c>
      <c r="R498" s="70" t="str">
        <f>IF(Q498=1,SUM($Q$2:Q498),"")</f>
        <v/>
      </c>
    </row>
    <row r="499" spans="1:18" ht="16" x14ac:dyDescent="0.2">
      <c r="A499" s="73" t="s">
        <v>375</v>
      </c>
      <c r="B499" s="77" t="s">
        <v>1541</v>
      </c>
      <c r="C499" s="74" t="s">
        <v>1697</v>
      </c>
      <c r="D499" s="74" t="s">
        <v>981</v>
      </c>
      <c r="E499" s="78" t="s">
        <v>113</v>
      </c>
      <c r="F499" s="76" t="s">
        <v>1709</v>
      </c>
      <c r="G499" s="75" t="s">
        <v>1132</v>
      </c>
      <c r="H499" s="70"/>
      <c r="P499" s="70">
        <f t="shared" si="7"/>
        <v>0</v>
      </c>
      <c r="Q499" s="70" cm="1">
        <f t="array" ref="Q499">IF(P499=1,IF(SUMPRODUCT(($P$2:P499)*(--($G$2:G499=$G499)))=1,1,0),0)</f>
        <v>0</v>
      </c>
      <c r="R499" s="70" t="str">
        <f>IF(Q499=1,SUM($Q$2:Q499),"")</f>
        <v/>
      </c>
    </row>
    <row r="500" spans="1:18" ht="16" x14ac:dyDescent="0.2">
      <c r="A500" s="73" t="s">
        <v>375</v>
      </c>
      <c r="B500" s="77" t="s">
        <v>1541</v>
      </c>
      <c r="C500" s="74" t="s">
        <v>1697</v>
      </c>
      <c r="D500" s="74" t="s">
        <v>981</v>
      </c>
      <c r="E500" s="78" t="s">
        <v>1002</v>
      </c>
      <c r="F500" s="76" t="s">
        <v>1706</v>
      </c>
      <c r="G500" s="75" t="s">
        <v>1132</v>
      </c>
      <c r="H500" s="70"/>
      <c r="P500" s="70">
        <f t="shared" si="7"/>
        <v>0</v>
      </c>
      <c r="Q500" s="70" cm="1">
        <f t="array" ref="Q500">IF(P500=1,IF(SUMPRODUCT(($P$2:P500)*(--($G$2:G500=$G500)))=1,1,0),0)</f>
        <v>0</v>
      </c>
      <c r="R500" s="70" t="str">
        <f>IF(Q500=1,SUM($Q$2:Q500),"")</f>
        <v/>
      </c>
    </row>
    <row r="501" spans="1:18" ht="16" x14ac:dyDescent="0.2">
      <c r="A501" s="73" t="s">
        <v>375</v>
      </c>
      <c r="B501" s="77" t="s">
        <v>1541</v>
      </c>
      <c r="C501" s="74" t="s">
        <v>1697</v>
      </c>
      <c r="D501" s="74" t="s">
        <v>981</v>
      </c>
      <c r="E501" s="78" t="s">
        <v>1002</v>
      </c>
      <c r="F501" s="76" t="s">
        <v>1707</v>
      </c>
      <c r="G501" s="75" t="s">
        <v>1132</v>
      </c>
      <c r="H501" s="70"/>
      <c r="P501" s="70">
        <f t="shared" si="7"/>
        <v>0</v>
      </c>
      <c r="Q501" s="70" cm="1">
        <f t="array" ref="Q501">IF(P501=1,IF(SUMPRODUCT(($P$2:P501)*(--($G$2:G501=$G501)))=1,1,0),0)</f>
        <v>0</v>
      </c>
      <c r="R501" s="70" t="str">
        <f>IF(Q501=1,SUM($Q$2:Q501),"")</f>
        <v/>
      </c>
    </row>
    <row r="502" spans="1:18" ht="16" x14ac:dyDescent="0.2">
      <c r="A502" s="73" t="s">
        <v>375</v>
      </c>
      <c r="B502" s="77" t="s">
        <v>1541</v>
      </c>
      <c r="C502" s="74" t="s">
        <v>1697</v>
      </c>
      <c r="D502" s="74" t="s">
        <v>981</v>
      </c>
      <c r="E502" s="78" t="s">
        <v>1002</v>
      </c>
      <c r="F502" s="76" t="s">
        <v>1708</v>
      </c>
      <c r="G502" s="75" t="s">
        <v>1132</v>
      </c>
      <c r="H502" s="70"/>
      <c r="P502" s="70">
        <f t="shared" si="7"/>
        <v>0</v>
      </c>
      <c r="Q502" s="70" cm="1">
        <f t="array" ref="Q502">IF(P502=1,IF(SUMPRODUCT(($P$2:P502)*(--($G$2:G502=$G502)))=1,1,0),0)</f>
        <v>0</v>
      </c>
      <c r="R502" s="70" t="str">
        <f>IF(Q502=1,SUM($Q$2:Q502),"")</f>
        <v/>
      </c>
    </row>
    <row r="503" spans="1:18" ht="16" x14ac:dyDescent="0.2">
      <c r="A503" s="73" t="s">
        <v>375</v>
      </c>
      <c r="B503" s="77" t="s">
        <v>1541</v>
      </c>
      <c r="C503" s="74" t="s">
        <v>1697</v>
      </c>
      <c r="D503" s="74" t="s">
        <v>981</v>
      </c>
      <c r="E503" s="78" t="s">
        <v>1002</v>
      </c>
      <c r="F503" s="76" t="s">
        <v>1684</v>
      </c>
      <c r="G503" s="75" t="s">
        <v>1132</v>
      </c>
      <c r="H503" s="70"/>
      <c r="P503" s="70">
        <f t="shared" si="7"/>
        <v>0</v>
      </c>
      <c r="Q503" s="70" cm="1">
        <f t="array" ref="Q503">IF(P503=1,IF(SUMPRODUCT(($P$2:P503)*(--($G$2:G503=$G503)))=1,1,0),0)</f>
        <v>0</v>
      </c>
      <c r="R503" s="70" t="str">
        <f>IF(Q503=1,SUM($Q$2:Q503),"")</f>
        <v/>
      </c>
    </row>
    <row r="504" spans="1:18" ht="16" x14ac:dyDescent="0.2">
      <c r="A504" s="73" t="s">
        <v>375</v>
      </c>
      <c r="B504" s="77" t="s">
        <v>1541</v>
      </c>
      <c r="C504" s="74" t="s">
        <v>1697</v>
      </c>
      <c r="D504" s="74" t="s">
        <v>981</v>
      </c>
      <c r="E504" s="78" t="s">
        <v>1002</v>
      </c>
      <c r="F504" s="76" t="s">
        <v>375</v>
      </c>
      <c r="G504" s="75" t="s">
        <v>1132</v>
      </c>
      <c r="H504" s="70"/>
      <c r="P504" s="70">
        <f t="shared" si="7"/>
        <v>0</v>
      </c>
      <c r="Q504" s="70" cm="1">
        <f t="array" ref="Q504">IF(P504=1,IF(SUMPRODUCT(($P$2:P504)*(--($G$2:G504=$G504)))=1,1,0),0)</f>
        <v>0</v>
      </c>
      <c r="R504" s="70" t="str">
        <f>IF(Q504=1,SUM($Q$2:Q504),"")</f>
        <v/>
      </c>
    </row>
    <row r="505" spans="1:18" ht="16" x14ac:dyDescent="0.2">
      <c r="A505" s="73" t="s">
        <v>375</v>
      </c>
      <c r="B505" s="77" t="s">
        <v>1541</v>
      </c>
      <c r="C505" s="74" t="s">
        <v>1697</v>
      </c>
      <c r="D505" s="74" t="s">
        <v>981</v>
      </c>
      <c r="E505" s="78" t="s">
        <v>1002</v>
      </c>
      <c r="F505" s="76" t="s">
        <v>1709</v>
      </c>
      <c r="G505" s="75" t="s">
        <v>1132</v>
      </c>
      <c r="H505" s="70"/>
      <c r="P505" s="70">
        <f t="shared" si="7"/>
        <v>0</v>
      </c>
      <c r="Q505" s="70" cm="1">
        <f t="array" ref="Q505">IF(P505=1,IF(SUMPRODUCT(($P$2:P505)*(--($G$2:G505=$G505)))=1,1,0),0)</f>
        <v>0</v>
      </c>
      <c r="R505" s="70" t="str">
        <f>IF(Q505=1,SUM($Q$2:Q505),"")</f>
        <v/>
      </c>
    </row>
    <row r="506" spans="1:18" ht="16" x14ac:dyDescent="0.2">
      <c r="A506" s="73" t="s">
        <v>375</v>
      </c>
      <c r="B506" s="77" t="s">
        <v>1541</v>
      </c>
      <c r="C506" s="74" t="s">
        <v>1697</v>
      </c>
      <c r="D506" s="74" t="s">
        <v>981</v>
      </c>
      <c r="E506" s="78" t="s">
        <v>97</v>
      </c>
      <c r="F506" s="76" t="s">
        <v>1706</v>
      </c>
      <c r="G506" s="75" t="s">
        <v>1131</v>
      </c>
      <c r="H506" s="70"/>
      <c r="P506" s="70">
        <f t="shared" si="7"/>
        <v>0</v>
      </c>
      <c r="Q506" s="70" cm="1">
        <f t="array" ref="Q506">IF(P506=1,IF(SUMPRODUCT(($P$2:P506)*(--($G$2:G506=$G506)))=1,1,0),0)</f>
        <v>0</v>
      </c>
      <c r="R506" s="70" t="str">
        <f>IF(Q506=1,SUM($Q$2:Q506),"")</f>
        <v/>
      </c>
    </row>
    <row r="507" spans="1:18" ht="16" x14ac:dyDescent="0.2">
      <c r="A507" s="73" t="s">
        <v>375</v>
      </c>
      <c r="B507" s="77" t="s">
        <v>1541</v>
      </c>
      <c r="C507" s="74" t="s">
        <v>1697</v>
      </c>
      <c r="D507" s="74" t="s">
        <v>981</v>
      </c>
      <c r="E507" s="78" t="s">
        <v>97</v>
      </c>
      <c r="F507" s="76" t="s">
        <v>1707</v>
      </c>
      <c r="G507" s="75" t="s">
        <v>1131</v>
      </c>
      <c r="H507" s="70"/>
      <c r="P507" s="70">
        <f t="shared" si="7"/>
        <v>0</v>
      </c>
      <c r="Q507" s="70" cm="1">
        <f t="array" ref="Q507">IF(P507=1,IF(SUMPRODUCT(($P$2:P507)*(--($G$2:G507=$G507)))=1,1,0),0)</f>
        <v>0</v>
      </c>
      <c r="R507" s="70" t="str">
        <f>IF(Q507=1,SUM($Q$2:Q507),"")</f>
        <v/>
      </c>
    </row>
    <row r="508" spans="1:18" ht="16" x14ac:dyDescent="0.2">
      <c r="A508" s="73" t="s">
        <v>375</v>
      </c>
      <c r="B508" s="77" t="s">
        <v>1541</v>
      </c>
      <c r="C508" s="74" t="s">
        <v>1697</v>
      </c>
      <c r="D508" s="74" t="s">
        <v>981</v>
      </c>
      <c r="E508" s="78" t="s">
        <v>97</v>
      </c>
      <c r="F508" s="76" t="s">
        <v>1708</v>
      </c>
      <c r="G508" s="75" t="s">
        <v>1131</v>
      </c>
      <c r="H508" s="70"/>
      <c r="P508" s="70">
        <f t="shared" si="7"/>
        <v>0</v>
      </c>
      <c r="Q508" s="70" cm="1">
        <f t="array" ref="Q508">IF(P508=1,IF(SUMPRODUCT(($P$2:P508)*(--($G$2:G508=$G508)))=1,1,0),0)</f>
        <v>0</v>
      </c>
      <c r="R508" s="70" t="str">
        <f>IF(Q508=1,SUM($Q$2:Q508),"")</f>
        <v/>
      </c>
    </row>
    <row r="509" spans="1:18" ht="16" x14ac:dyDescent="0.2">
      <c r="A509" s="73" t="s">
        <v>375</v>
      </c>
      <c r="B509" s="77" t="s">
        <v>1541</v>
      </c>
      <c r="C509" s="74" t="s">
        <v>1697</v>
      </c>
      <c r="D509" s="74" t="s">
        <v>981</v>
      </c>
      <c r="E509" s="78" t="s">
        <v>97</v>
      </c>
      <c r="F509" s="76" t="s">
        <v>1684</v>
      </c>
      <c r="G509" s="75" t="s">
        <v>1131</v>
      </c>
      <c r="H509" s="70"/>
      <c r="P509" s="70">
        <f t="shared" si="7"/>
        <v>0</v>
      </c>
      <c r="Q509" s="70" cm="1">
        <f t="array" ref="Q509">IF(P509=1,IF(SUMPRODUCT(($P$2:P509)*(--($G$2:G509=$G509)))=1,1,0),0)</f>
        <v>0</v>
      </c>
      <c r="R509" s="70" t="str">
        <f>IF(Q509=1,SUM($Q$2:Q509),"")</f>
        <v/>
      </c>
    </row>
    <row r="510" spans="1:18" ht="16" x14ac:dyDescent="0.2">
      <c r="A510" s="73" t="s">
        <v>375</v>
      </c>
      <c r="B510" s="77" t="s">
        <v>1541</v>
      </c>
      <c r="C510" s="74" t="s">
        <v>1697</v>
      </c>
      <c r="D510" s="74" t="s">
        <v>981</v>
      </c>
      <c r="E510" s="78" t="s">
        <v>97</v>
      </c>
      <c r="F510" s="76" t="s">
        <v>375</v>
      </c>
      <c r="G510" s="75" t="s">
        <v>1131</v>
      </c>
      <c r="H510" s="70"/>
      <c r="P510" s="70">
        <f t="shared" si="7"/>
        <v>0</v>
      </c>
      <c r="Q510" s="70" cm="1">
        <f t="array" ref="Q510">IF(P510=1,IF(SUMPRODUCT(($P$2:P510)*(--($G$2:G510=$G510)))=1,1,0),0)</f>
        <v>0</v>
      </c>
      <c r="R510" s="70" t="str">
        <f>IF(Q510=1,SUM($Q$2:Q510),"")</f>
        <v/>
      </c>
    </row>
    <row r="511" spans="1:18" ht="16" x14ac:dyDescent="0.2">
      <c r="A511" s="73" t="s">
        <v>375</v>
      </c>
      <c r="B511" s="77" t="s">
        <v>1541</v>
      </c>
      <c r="C511" s="74" t="s">
        <v>1697</v>
      </c>
      <c r="D511" s="74" t="s">
        <v>981</v>
      </c>
      <c r="E511" s="78" t="s">
        <v>97</v>
      </c>
      <c r="F511" s="76" t="s">
        <v>1709</v>
      </c>
      <c r="G511" s="75" t="s">
        <v>1131</v>
      </c>
      <c r="H511" s="70"/>
      <c r="P511" s="70">
        <f t="shared" si="7"/>
        <v>0</v>
      </c>
      <c r="Q511" s="70" cm="1">
        <f t="array" ref="Q511">IF(P511=1,IF(SUMPRODUCT(($P$2:P511)*(--($G$2:G511=$G511)))=1,1,0),0)</f>
        <v>0</v>
      </c>
      <c r="R511" s="70" t="str">
        <f>IF(Q511=1,SUM($Q$2:Q511),"")</f>
        <v/>
      </c>
    </row>
    <row r="512" spans="1:18" ht="16" x14ac:dyDescent="0.2">
      <c r="A512" s="73" t="s">
        <v>375</v>
      </c>
      <c r="B512" s="77" t="s">
        <v>1541</v>
      </c>
      <c r="C512" s="74" t="s">
        <v>1674</v>
      </c>
      <c r="D512" s="74" t="s">
        <v>977</v>
      </c>
      <c r="E512" s="78" t="s">
        <v>97</v>
      </c>
      <c r="F512" s="76" t="s">
        <v>1706</v>
      </c>
      <c r="G512" s="75" t="s">
        <v>1129</v>
      </c>
      <c r="H512" s="70"/>
      <c r="P512" s="70">
        <f t="shared" si="7"/>
        <v>0</v>
      </c>
      <c r="Q512" s="70" cm="1">
        <f t="array" ref="Q512">IF(P512=1,IF(SUMPRODUCT(($P$2:P512)*(--($G$2:G512=$G512)))=1,1,0),0)</f>
        <v>0</v>
      </c>
      <c r="R512" s="70" t="str">
        <f>IF(Q512=1,SUM($Q$2:Q512),"")</f>
        <v/>
      </c>
    </row>
    <row r="513" spans="1:18" ht="16" x14ac:dyDescent="0.2">
      <c r="A513" s="73" t="s">
        <v>375</v>
      </c>
      <c r="B513" s="77" t="s">
        <v>1541</v>
      </c>
      <c r="C513" s="74" t="s">
        <v>1674</v>
      </c>
      <c r="D513" s="74" t="s">
        <v>977</v>
      </c>
      <c r="E513" s="78" t="s">
        <v>97</v>
      </c>
      <c r="F513" s="76" t="s">
        <v>1707</v>
      </c>
      <c r="G513" s="75" t="s">
        <v>1129</v>
      </c>
      <c r="H513" s="70"/>
      <c r="P513" s="70">
        <f t="shared" si="7"/>
        <v>0</v>
      </c>
      <c r="Q513" s="70" cm="1">
        <f t="array" ref="Q513">IF(P513=1,IF(SUMPRODUCT(($P$2:P513)*(--($G$2:G513=$G513)))=1,1,0),0)</f>
        <v>0</v>
      </c>
      <c r="R513" s="70" t="str">
        <f>IF(Q513=1,SUM($Q$2:Q513),"")</f>
        <v/>
      </c>
    </row>
    <row r="514" spans="1:18" ht="16" x14ac:dyDescent="0.2">
      <c r="A514" s="73" t="s">
        <v>375</v>
      </c>
      <c r="B514" s="77" t="s">
        <v>1541</v>
      </c>
      <c r="C514" s="74" t="s">
        <v>1674</v>
      </c>
      <c r="D514" s="74" t="s">
        <v>977</v>
      </c>
      <c r="E514" s="78" t="s">
        <v>97</v>
      </c>
      <c r="F514" s="76" t="s">
        <v>1708</v>
      </c>
      <c r="G514" s="75" t="s">
        <v>1129</v>
      </c>
      <c r="H514" s="70"/>
      <c r="P514" s="70">
        <f t="shared" si="7"/>
        <v>0</v>
      </c>
      <c r="Q514" s="70" cm="1">
        <f t="array" ref="Q514">IF(P514=1,IF(SUMPRODUCT(($P$2:P514)*(--($G$2:G514=$G514)))=1,1,0),0)</f>
        <v>0</v>
      </c>
      <c r="R514" s="70" t="str">
        <f>IF(Q514=1,SUM($Q$2:Q514),"")</f>
        <v/>
      </c>
    </row>
    <row r="515" spans="1:18" ht="16" x14ac:dyDescent="0.2">
      <c r="A515" s="73" t="s">
        <v>375</v>
      </c>
      <c r="B515" s="77" t="s">
        <v>1541</v>
      </c>
      <c r="C515" s="74" t="s">
        <v>1674</v>
      </c>
      <c r="D515" s="74" t="s">
        <v>977</v>
      </c>
      <c r="E515" s="78" t="s">
        <v>97</v>
      </c>
      <c r="F515" s="76" t="s">
        <v>1684</v>
      </c>
      <c r="G515" s="75" t="s">
        <v>1129</v>
      </c>
      <c r="H515" s="70"/>
      <c r="P515" s="70">
        <f t="shared" ref="P515:P578" si="8">IF(AND(IF(TRIM($J$2&amp;"")="",TRUE,LEFT($D515,LEN($J$2))=$J$2),IF(TRIM($K$2&amp;"")="",TRUE,$E515=$K$2),IF($L$2="",TRUE,$F515=$L$2)),1,0)</f>
        <v>0</v>
      </c>
      <c r="Q515" s="70" cm="1">
        <f t="array" ref="Q515">IF(P515=1,IF(SUMPRODUCT(($P$2:P515)*(--($G$2:G515=$G515)))=1,1,0),0)</f>
        <v>0</v>
      </c>
      <c r="R515" s="70" t="str">
        <f>IF(Q515=1,SUM($Q$2:Q515),"")</f>
        <v/>
      </c>
    </row>
    <row r="516" spans="1:18" ht="16" x14ac:dyDescent="0.2">
      <c r="A516" s="73" t="s">
        <v>375</v>
      </c>
      <c r="B516" s="77" t="s">
        <v>1541</v>
      </c>
      <c r="C516" s="74" t="s">
        <v>1674</v>
      </c>
      <c r="D516" s="74" t="s">
        <v>977</v>
      </c>
      <c r="E516" s="78" t="s">
        <v>97</v>
      </c>
      <c r="F516" s="76" t="s">
        <v>375</v>
      </c>
      <c r="G516" s="75" t="s">
        <v>1129</v>
      </c>
      <c r="H516" s="70"/>
      <c r="P516" s="70">
        <f t="shared" si="8"/>
        <v>0</v>
      </c>
      <c r="Q516" s="70" cm="1">
        <f t="array" ref="Q516">IF(P516=1,IF(SUMPRODUCT(($P$2:P516)*(--($G$2:G516=$G516)))=1,1,0),0)</f>
        <v>0</v>
      </c>
      <c r="R516" s="70" t="str">
        <f>IF(Q516=1,SUM($Q$2:Q516),"")</f>
        <v/>
      </c>
    </row>
    <row r="517" spans="1:18" ht="16" x14ac:dyDescent="0.2">
      <c r="A517" s="73" t="s">
        <v>375</v>
      </c>
      <c r="B517" s="77" t="s">
        <v>1541</v>
      </c>
      <c r="C517" s="74" t="s">
        <v>1674</v>
      </c>
      <c r="D517" s="74" t="s">
        <v>977</v>
      </c>
      <c r="E517" s="78" t="s">
        <v>97</v>
      </c>
      <c r="F517" s="76" t="s">
        <v>1709</v>
      </c>
      <c r="G517" s="75" t="s">
        <v>1129</v>
      </c>
      <c r="H517" s="70"/>
      <c r="P517" s="70">
        <f t="shared" si="8"/>
        <v>0</v>
      </c>
      <c r="Q517" s="70" cm="1">
        <f t="array" ref="Q517">IF(P517=1,IF(SUMPRODUCT(($P$2:P517)*(--($G$2:G517=$G517)))=1,1,0),0)</f>
        <v>0</v>
      </c>
      <c r="R517" s="70" t="str">
        <f>IF(Q517=1,SUM($Q$2:Q517),"")</f>
        <v/>
      </c>
    </row>
    <row r="518" spans="1:18" ht="16" x14ac:dyDescent="0.2">
      <c r="A518" s="73" t="s">
        <v>375</v>
      </c>
      <c r="B518" s="77" t="s">
        <v>1541</v>
      </c>
      <c r="C518" s="74" t="s">
        <v>1674</v>
      </c>
      <c r="D518" s="74" t="s">
        <v>977</v>
      </c>
      <c r="E518" s="78" t="s">
        <v>113</v>
      </c>
      <c r="F518" s="76" t="s">
        <v>1710</v>
      </c>
      <c r="G518" s="75" t="s">
        <v>355</v>
      </c>
      <c r="H518" s="70"/>
      <c r="P518" s="70">
        <f t="shared" si="8"/>
        <v>0</v>
      </c>
      <c r="Q518" s="70" cm="1">
        <f t="array" ref="Q518">IF(P518=1,IF(SUMPRODUCT(($P$2:P518)*(--($G$2:G518=$G518)))=1,1,0),0)</f>
        <v>0</v>
      </c>
      <c r="R518" s="70" t="str">
        <f>IF(Q518=1,SUM($Q$2:Q518),"")</f>
        <v/>
      </c>
    </row>
    <row r="519" spans="1:18" ht="16" x14ac:dyDescent="0.2">
      <c r="A519" s="73" t="s">
        <v>375</v>
      </c>
      <c r="B519" s="77" t="s">
        <v>1541</v>
      </c>
      <c r="C519" s="74" t="s">
        <v>1674</v>
      </c>
      <c r="D519" s="74" t="s">
        <v>977</v>
      </c>
      <c r="E519" s="78" t="s">
        <v>129</v>
      </c>
      <c r="F519" s="76" t="s">
        <v>1710</v>
      </c>
      <c r="G519" s="75" t="s">
        <v>355</v>
      </c>
      <c r="H519" s="70"/>
      <c r="P519" s="70">
        <f t="shared" si="8"/>
        <v>0</v>
      </c>
      <c r="Q519" s="70" cm="1">
        <f t="array" ref="Q519">IF(P519=1,IF(SUMPRODUCT(($P$2:P519)*(--($G$2:G519=$G519)))=1,1,0),0)</f>
        <v>0</v>
      </c>
      <c r="R519" s="70" t="str">
        <f>IF(Q519=1,SUM($Q$2:Q519),"")</f>
        <v/>
      </c>
    </row>
    <row r="520" spans="1:18" ht="16" x14ac:dyDescent="0.2">
      <c r="A520" s="73" t="s">
        <v>375</v>
      </c>
      <c r="B520" s="77" t="s">
        <v>1541</v>
      </c>
      <c r="C520" s="74" t="s">
        <v>1674</v>
      </c>
      <c r="D520" s="74" t="s">
        <v>977</v>
      </c>
      <c r="E520" s="78" t="s">
        <v>113</v>
      </c>
      <c r="F520" s="76" t="s">
        <v>1711</v>
      </c>
      <c r="G520" s="75" t="s">
        <v>355</v>
      </c>
      <c r="H520" s="70"/>
      <c r="P520" s="70">
        <f t="shared" si="8"/>
        <v>0</v>
      </c>
      <c r="Q520" s="70" cm="1">
        <f t="array" ref="Q520">IF(P520=1,IF(SUMPRODUCT(($P$2:P520)*(--($G$2:G520=$G520)))=1,1,0),0)</f>
        <v>0</v>
      </c>
      <c r="R520" s="70" t="str">
        <f>IF(Q520=1,SUM($Q$2:Q520),"")</f>
        <v/>
      </c>
    </row>
    <row r="521" spans="1:18" ht="16" x14ac:dyDescent="0.2">
      <c r="A521" s="73" t="s">
        <v>375</v>
      </c>
      <c r="B521" s="77" t="s">
        <v>1541</v>
      </c>
      <c r="C521" s="74" t="s">
        <v>1674</v>
      </c>
      <c r="D521" s="74" t="s">
        <v>977</v>
      </c>
      <c r="E521" s="78" t="s">
        <v>129</v>
      </c>
      <c r="F521" s="76" t="s">
        <v>1711</v>
      </c>
      <c r="G521" s="75" t="s">
        <v>355</v>
      </c>
      <c r="H521" s="70"/>
      <c r="P521" s="70">
        <f t="shared" si="8"/>
        <v>0</v>
      </c>
      <c r="Q521" s="70" cm="1">
        <f t="array" ref="Q521">IF(P521=1,IF(SUMPRODUCT(($P$2:P521)*(--($G$2:G521=$G521)))=1,1,0),0)</f>
        <v>0</v>
      </c>
      <c r="R521" s="70" t="str">
        <f>IF(Q521=1,SUM($Q$2:Q521),"")</f>
        <v/>
      </c>
    </row>
    <row r="522" spans="1:18" ht="16" x14ac:dyDescent="0.2">
      <c r="A522" s="73" t="s">
        <v>375</v>
      </c>
      <c r="B522" s="77" t="s">
        <v>1541</v>
      </c>
      <c r="C522" s="74" t="s">
        <v>1674</v>
      </c>
      <c r="D522" s="74" t="s">
        <v>977</v>
      </c>
      <c r="E522" s="78" t="s">
        <v>113</v>
      </c>
      <c r="F522" s="76" t="s">
        <v>1684</v>
      </c>
      <c r="G522" s="75" t="s">
        <v>355</v>
      </c>
      <c r="H522" s="70"/>
      <c r="P522" s="70">
        <f t="shared" si="8"/>
        <v>0</v>
      </c>
      <c r="Q522" s="70" cm="1">
        <f t="array" ref="Q522">IF(P522=1,IF(SUMPRODUCT(($P$2:P522)*(--($G$2:G522=$G522)))=1,1,0),0)</f>
        <v>0</v>
      </c>
      <c r="R522" s="70" t="str">
        <f>IF(Q522=1,SUM($Q$2:Q522),"")</f>
        <v/>
      </c>
    </row>
    <row r="523" spans="1:18" ht="16" x14ac:dyDescent="0.2">
      <c r="A523" s="73" t="s">
        <v>375</v>
      </c>
      <c r="B523" s="77" t="s">
        <v>1541</v>
      </c>
      <c r="C523" s="74" t="s">
        <v>1674</v>
      </c>
      <c r="D523" s="74" t="s">
        <v>977</v>
      </c>
      <c r="E523" s="78" t="s">
        <v>129</v>
      </c>
      <c r="F523" s="76" t="s">
        <v>1684</v>
      </c>
      <c r="G523" s="75" t="s">
        <v>355</v>
      </c>
      <c r="H523" s="70"/>
      <c r="P523" s="70">
        <f t="shared" si="8"/>
        <v>0</v>
      </c>
      <c r="Q523" s="70" cm="1">
        <f t="array" ref="Q523">IF(P523=1,IF(SUMPRODUCT(($P$2:P523)*(--($G$2:G523=$G523)))=1,1,0),0)</f>
        <v>0</v>
      </c>
      <c r="R523" s="70" t="str">
        <f>IF(Q523=1,SUM($Q$2:Q523),"")</f>
        <v/>
      </c>
    </row>
    <row r="524" spans="1:18" ht="16" x14ac:dyDescent="0.2">
      <c r="A524" s="73" t="s">
        <v>375</v>
      </c>
      <c r="B524" s="77" t="s">
        <v>1541</v>
      </c>
      <c r="C524" s="74" t="s">
        <v>1674</v>
      </c>
      <c r="D524" s="74" t="s">
        <v>977</v>
      </c>
      <c r="E524" s="78" t="s">
        <v>113</v>
      </c>
      <c r="F524" s="76" t="s">
        <v>375</v>
      </c>
      <c r="G524" s="75" t="s">
        <v>355</v>
      </c>
      <c r="H524" s="70"/>
      <c r="P524" s="70">
        <f t="shared" si="8"/>
        <v>0</v>
      </c>
      <c r="Q524" s="70" cm="1">
        <f t="array" ref="Q524">IF(P524=1,IF(SUMPRODUCT(($P$2:P524)*(--($G$2:G524=$G524)))=1,1,0),0)</f>
        <v>0</v>
      </c>
      <c r="R524" s="70" t="str">
        <f>IF(Q524=1,SUM($Q$2:Q524),"")</f>
        <v/>
      </c>
    </row>
    <row r="525" spans="1:18" ht="16" x14ac:dyDescent="0.2">
      <c r="A525" s="73" t="s">
        <v>375</v>
      </c>
      <c r="B525" s="77" t="s">
        <v>1541</v>
      </c>
      <c r="C525" s="74" t="s">
        <v>1674</v>
      </c>
      <c r="D525" s="74" t="s">
        <v>977</v>
      </c>
      <c r="E525" s="78" t="s">
        <v>129</v>
      </c>
      <c r="F525" s="76" t="s">
        <v>375</v>
      </c>
      <c r="G525" s="75" t="s">
        <v>355</v>
      </c>
      <c r="H525" s="70"/>
      <c r="P525" s="70">
        <f t="shared" si="8"/>
        <v>0</v>
      </c>
      <c r="Q525" s="70" cm="1">
        <f t="array" ref="Q525">IF(P525=1,IF(SUMPRODUCT(($P$2:P525)*(--($G$2:G525=$G525)))=1,1,0),0)</f>
        <v>0</v>
      </c>
      <c r="R525" s="70" t="str">
        <f>IF(Q525=1,SUM($Q$2:Q525),"")</f>
        <v/>
      </c>
    </row>
    <row r="526" spans="1:18" ht="16" x14ac:dyDescent="0.2">
      <c r="A526" s="73" t="s">
        <v>375</v>
      </c>
      <c r="B526" s="77" t="s">
        <v>1541</v>
      </c>
      <c r="C526" s="74" t="s">
        <v>1674</v>
      </c>
      <c r="D526" s="74" t="s">
        <v>977</v>
      </c>
      <c r="E526" s="78" t="s">
        <v>113</v>
      </c>
      <c r="F526" s="76" t="s">
        <v>1709</v>
      </c>
      <c r="G526" s="75" t="s">
        <v>355</v>
      </c>
      <c r="H526" s="70"/>
      <c r="P526" s="70">
        <f t="shared" si="8"/>
        <v>0</v>
      </c>
      <c r="Q526" s="70" cm="1">
        <f t="array" ref="Q526">IF(P526=1,IF(SUMPRODUCT(($P$2:P526)*(--($G$2:G526=$G526)))=1,1,0),0)</f>
        <v>0</v>
      </c>
      <c r="R526" s="70" t="str">
        <f>IF(Q526=1,SUM($Q$2:Q526),"")</f>
        <v/>
      </c>
    </row>
    <row r="527" spans="1:18" ht="16" x14ac:dyDescent="0.2">
      <c r="A527" s="73" t="s">
        <v>375</v>
      </c>
      <c r="B527" s="77" t="s">
        <v>1541</v>
      </c>
      <c r="C527" s="74" t="s">
        <v>1674</v>
      </c>
      <c r="D527" s="74" t="s">
        <v>977</v>
      </c>
      <c r="E527" s="78" t="s">
        <v>129</v>
      </c>
      <c r="F527" s="76" t="s">
        <v>1709</v>
      </c>
      <c r="G527" s="75" t="s">
        <v>355</v>
      </c>
      <c r="H527" s="70"/>
      <c r="P527" s="70">
        <f t="shared" si="8"/>
        <v>0</v>
      </c>
      <c r="Q527" s="70" cm="1">
        <f t="array" ref="Q527">IF(P527=1,IF(SUMPRODUCT(($P$2:P527)*(--($G$2:G527=$G527)))=1,1,0),0)</f>
        <v>0</v>
      </c>
      <c r="R527" s="70" t="str">
        <f>IF(Q527=1,SUM($Q$2:Q527),"")</f>
        <v/>
      </c>
    </row>
    <row r="528" spans="1:18" ht="16" x14ac:dyDescent="0.2">
      <c r="A528" s="73" t="s">
        <v>375</v>
      </c>
      <c r="B528" s="77" t="s">
        <v>1541</v>
      </c>
      <c r="C528" s="74" t="s">
        <v>1697</v>
      </c>
      <c r="D528" s="74" t="s">
        <v>981</v>
      </c>
      <c r="E528" s="78" t="s">
        <v>120</v>
      </c>
      <c r="F528" s="76" t="s">
        <v>1681</v>
      </c>
      <c r="G528" s="75" t="s">
        <v>336</v>
      </c>
      <c r="H528" s="70"/>
      <c r="P528" s="70">
        <f t="shared" si="8"/>
        <v>0</v>
      </c>
      <c r="Q528" s="70" cm="1">
        <f t="array" ref="Q528">IF(P528=1,IF(SUMPRODUCT(($P$2:P528)*(--($G$2:G528=$G528)))=1,1,0),0)</f>
        <v>0</v>
      </c>
      <c r="R528" s="70" t="str">
        <f>IF(Q528=1,SUM($Q$2:Q528),"")</f>
        <v/>
      </c>
    </row>
    <row r="529" spans="1:18" ht="16" x14ac:dyDescent="0.2">
      <c r="A529" s="73" t="s">
        <v>375</v>
      </c>
      <c r="B529" s="77" t="s">
        <v>1541</v>
      </c>
      <c r="C529" s="74" t="s">
        <v>1697</v>
      </c>
      <c r="D529" s="74" t="s">
        <v>981</v>
      </c>
      <c r="E529" s="78" t="s">
        <v>120</v>
      </c>
      <c r="F529" s="76" t="s">
        <v>1712</v>
      </c>
      <c r="G529" s="75" t="s">
        <v>336</v>
      </c>
      <c r="H529" s="70"/>
      <c r="P529" s="70">
        <f t="shared" si="8"/>
        <v>0</v>
      </c>
      <c r="Q529" s="70" cm="1">
        <f t="array" ref="Q529">IF(P529=1,IF(SUMPRODUCT(($P$2:P529)*(--($G$2:G529=$G529)))=1,1,0),0)</f>
        <v>0</v>
      </c>
      <c r="R529" s="70" t="str">
        <f>IF(Q529=1,SUM($Q$2:Q529),"")</f>
        <v/>
      </c>
    </row>
    <row r="530" spans="1:18" ht="16" x14ac:dyDescent="0.2">
      <c r="A530" s="73" t="s">
        <v>375</v>
      </c>
      <c r="B530" s="77" t="s">
        <v>1541</v>
      </c>
      <c r="C530" s="74" t="s">
        <v>1697</v>
      </c>
      <c r="D530" s="74" t="s">
        <v>981</v>
      </c>
      <c r="E530" s="78" t="s">
        <v>120</v>
      </c>
      <c r="F530" s="76" t="s">
        <v>1684</v>
      </c>
      <c r="G530" s="75" t="s">
        <v>336</v>
      </c>
      <c r="H530" s="70"/>
      <c r="P530" s="70">
        <f t="shared" si="8"/>
        <v>0</v>
      </c>
      <c r="Q530" s="70" cm="1">
        <f t="array" ref="Q530">IF(P530=1,IF(SUMPRODUCT(($P$2:P530)*(--($G$2:G530=$G530)))=1,1,0),0)</f>
        <v>0</v>
      </c>
      <c r="R530" s="70" t="str">
        <f>IF(Q530=1,SUM($Q$2:Q530),"")</f>
        <v/>
      </c>
    </row>
    <row r="531" spans="1:18" ht="16" x14ac:dyDescent="0.2">
      <c r="A531" s="73" t="s">
        <v>375</v>
      </c>
      <c r="B531" s="77" t="s">
        <v>1541</v>
      </c>
      <c r="C531" s="74" t="s">
        <v>1697</v>
      </c>
      <c r="D531" s="74" t="s">
        <v>981</v>
      </c>
      <c r="E531" s="78" t="s">
        <v>120</v>
      </c>
      <c r="F531" s="76" t="s">
        <v>375</v>
      </c>
      <c r="G531" s="75" t="s">
        <v>336</v>
      </c>
      <c r="H531" s="70"/>
      <c r="P531" s="70">
        <f t="shared" si="8"/>
        <v>0</v>
      </c>
      <c r="Q531" s="70" cm="1">
        <f t="array" ref="Q531">IF(P531=1,IF(SUMPRODUCT(($P$2:P531)*(--($G$2:G531=$G531)))=1,1,0),0)</f>
        <v>0</v>
      </c>
      <c r="R531" s="70" t="str">
        <f>IF(Q531=1,SUM($Q$2:Q531),"")</f>
        <v/>
      </c>
    </row>
    <row r="532" spans="1:18" ht="16" x14ac:dyDescent="0.2">
      <c r="A532" s="73" t="s">
        <v>375</v>
      </c>
      <c r="B532" s="77" t="s">
        <v>1541</v>
      </c>
      <c r="C532" s="74" t="s">
        <v>1697</v>
      </c>
      <c r="D532" s="74" t="s">
        <v>981</v>
      </c>
      <c r="E532" s="78" t="s">
        <v>120</v>
      </c>
      <c r="F532" s="76" t="s">
        <v>1709</v>
      </c>
      <c r="G532" s="75" t="s">
        <v>336</v>
      </c>
      <c r="H532" s="70"/>
      <c r="P532" s="70">
        <f t="shared" si="8"/>
        <v>0</v>
      </c>
      <c r="Q532" s="70" cm="1">
        <f t="array" ref="Q532">IF(P532=1,IF(SUMPRODUCT(($P$2:P532)*(--($G$2:G532=$G532)))=1,1,0),0)</f>
        <v>0</v>
      </c>
      <c r="R532" s="70" t="str">
        <f>IF(Q532=1,SUM($Q$2:Q532),"")</f>
        <v/>
      </c>
    </row>
    <row r="533" spans="1:18" x14ac:dyDescent="0.2">
      <c r="A533" s="73" t="s">
        <v>375</v>
      </c>
      <c r="B533" s="77" t="s">
        <v>1541</v>
      </c>
      <c r="C533" s="74" t="s">
        <v>1697</v>
      </c>
      <c r="D533" s="74" t="s">
        <v>981</v>
      </c>
      <c r="E533" s="78" t="s">
        <v>113</v>
      </c>
      <c r="F533" s="76" t="s">
        <v>1713</v>
      </c>
      <c r="G533" s="76" t="s">
        <v>1133</v>
      </c>
      <c r="H533" s="70"/>
      <c r="P533" s="70">
        <f t="shared" si="8"/>
        <v>0</v>
      </c>
      <c r="Q533" s="70" cm="1">
        <f t="array" ref="Q533">IF(P533=1,IF(SUMPRODUCT(($P$2:P533)*(--($G$2:G533=$G533)))=1,1,0),0)</f>
        <v>0</v>
      </c>
      <c r="R533" s="70" t="str">
        <f>IF(Q533=1,SUM($Q$2:Q533),"")</f>
        <v/>
      </c>
    </row>
    <row r="534" spans="1:18" x14ac:dyDescent="0.2">
      <c r="A534" s="73" t="s">
        <v>375</v>
      </c>
      <c r="B534" s="77" t="s">
        <v>1541</v>
      </c>
      <c r="C534" s="74" t="s">
        <v>1697</v>
      </c>
      <c r="D534" s="74" t="s">
        <v>981</v>
      </c>
      <c r="E534" s="78" t="s">
        <v>113</v>
      </c>
      <c r="F534" s="76" t="s">
        <v>1714</v>
      </c>
      <c r="G534" s="76" t="s">
        <v>1133</v>
      </c>
      <c r="H534" s="70"/>
      <c r="P534" s="70">
        <f t="shared" si="8"/>
        <v>0</v>
      </c>
      <c r="Q534" s="70" cm="1">
        <f t="array" ref="Q534">IF(P534=1,IF(SUMPRODUCT(($P$2:P534)*(--($G$2:G534=$G534)))=1,1,0),0)</f>
        <v>0</v>
      </c>
      <c r="R534" s="70" t="str">
        <f>IF(Q534=1,SUM($Q$2:Q534),"")</f>
        <v/>
      </c>
    </row>
    <row r="535" spans="1:18" x14ac:dyDescent="0.2">
      <c r="A535" s="73" t="s">
        <v>375</v>
      </c>
      <c r="B535" s="77" t="s">
        <v>1541</v>
      </c>
      <c r="C535" s="74" t="s">
        <v>1697</v>
      </c>
      <c r="D535" s="74" t="s">
        <v>981</v>
      </c>
      <c r="E535" s="78" t="s">
        <v>113</v>
      </c>
      <c r="F535" s="76" t="s">
        <v>1715</v>
      </c>
      <c r="G535" s="76" t="s">
        <v>1133</v>
      </c>
      <c r="H535" s="70"/>
      <c r="P535" s="70">
        <f t="shared" si="8"/>
        <v>0</v>
      </c>
      <c r="Q535" s="70" cm="1">
        <f t="array" ref="Q535">IF(P535=1,IF(SUMPRODUCT(($P$2:P535)*(--($G$2:G535=$G535)))=1,1,0),0)</f>
        <v>0</v>
      </c>
      <c r="R535" s="70" t="str">
        <f>IF(Q535=1,SUM($Q$2:Q535),"")</f>
        <v/>
      </c>
    </row>
    <row r="536" spans="1:18" x14ac:dyDescent="0.2">
      <c r="A536" s="73" t="s">
        <v>375</v>
      </c>
      <c r="B536" s="77" t="s">
        <v>1541</v>
      </c>
      <c r="C536" s="74" t="s">
        <v>1697</v>
      </c>
      <c r="D536" s="74" t="s">
        <v>981</v>
      </c>
      <c r="E536" s="78" t="s">
        <v>113</v>
      </c>
      <c r="F536" s="76" t="s">
        <v>1716</v>
      </c>
      <c r="G536" s="76" t="s">
        <v>1133</v>
      </c>
      <c r="H536" s="70"/>
      <c r="P536" s="70">
        <f t="shared" si="8"/>
        <v>0</v>
      </c>
      <c r="Q536" s="70" cm="1">
        <f t="array" ref="Q536">IF(P536=1,IF(SUMPRODUCT(($P$2:P536)*(--($G$2:G536=$G536)))=1,1,0),0)</f>
        <v>0</v>
      </c>
      <c r="R536" s="70" t="str">
        <f>IF(Q536=1,SUM($Q$2:Q536),"")</f>
        <v/>
      </c>
    </row>
    <row r="537" spans="1:18" x14ac:dyDescent="0.2">
      <c r="A537" s="73" t="s">
        <v>375</v>
      </c>
      <c r="B537" s="77" t="s">
        <v>1541</v>
      </c>
      <c r="C537" s="74" t="s">
        <v>1697</v>
      </c>
      <c r="D537" s="74" t="s">
        <v>981</v>
      </c>
      <c r="E537" s="78" t="s">
        <v>113</v>
      </c>
      <c r="F537" s="76" t="s">
        <v>1689</v>
      </c>
      <c r="G537" s="76" t="s">
        <v>1133</v>
      </c>
      <c r="H537" s="70"/>
      <c r="P537" s="70">
        <f t="shared" si="8"/>
        <v>0</v>
      </c>
      <c r="Q537" s="70" cm="1">
        <f t="array" ref="Q537">IF(P537=1,IF(SUMPRODUCT(($P$2:P537)*(--($G$2:G537=$G537)))=1,1,0),0)</f>
        <v>0</v>
      </c>
      <c r="R537" s="70" t="str">
        <f>IF(Q537=1,SUM($Q$2:Q537),"")</f>
        <v/>
      </c>
    </row>
    <row r="538" spans="1:18" x14ac:dyDescent="0.2">
      <c r="A538" s="73" t="s">
        <v>375</v>
      </c>
      <c r="B538" s="77" t="s">
        <v>1541</v>
      </c>
      <c r="C538" s="74" t="s">
        <v>1697</v>
      </c>
      <c r="D538" s="74" t="s">
        <v>981</v>
      </c>
      <c r="E538" s="78" t="s">
        <v>113</v>
      </c>
      <c r="F538" s="76" t="s">
        <v>1687</v>
      </c>
      <c r="G538" s="76" t="s">
        <v>1133</v>
      </c>
      <c r="H538" s="70"/>
      <c r="P538" s="70">
        <f t="shared" si="8"/>
        <v>0</v>
      </c>
      <c r="Q538" s="70" cm="1">
        <f t="array" ref="Q538">IF(P538=1,IF(SUMPRODUCT(($P$2:P538)*(--($G$2:G538=$G538)))=1,1,0),0)</f>
        <v>0</v>
      </c>
      <c r="R538" s="70" t="str">
        <f>IF(Q538=1,SUM($Q$2:Q538),"")</f>
        <v/>
      </c>
    </row>
    <row r="539" spans="1:18" x14ac:dyDescent="0.2">
      <c r="A539" s="73" t="s">
        <v>375</v>
      </c>
      <c r="B539" s="77" t="s">
        <v>1541</v>
      </c>
      <c r="C539" s="74" t="s">
        <v>1697</v>
      </c>
      <c r="D539" s="74" t="s">
        <v>981</v>
      </c>
      <c r="E539" s="78" t="s">
        <v>1002</v>
      </c>
      <c r="F539" s="76" t="s">
        <v>1687</v>
      </c>
      <c r="G539" s="76" t="s">
        <v>1133</v>
      </c>
      <c r="H539" s="70"/>
      <c r="P539" s="70">
        <f t="shared" si="8"/>
        <v>0</v>
      </c>
      <c r="Q539" s="70" cm="1">
        <f t="array" ref="Q539">IF(P539=1,IF(SUMPRODUCT(($P$2:P539)*(--($G$2:G539=$G539)))=1,1,0),0)</f>
        <v>0</v>
      </c>
      <c r="R539" s="70" t="str">
        <f>IF(Q539=1,SUM($Q$2:Q539),"")</f>
        <v/>
      </c>
    </row>
    <row r="540" spans="1:18" x14ac:dyDescent="0.2">
      <c r="A540" s="73" t="s">
        <v>375</v>
      </c>
      <c r="B540" s="77" t="s">
        <v>1541</v>
      </c>
      <c r="C540" s="74" t="s">
        <v>1697</v>
      </c>
      <c r="D540" s="74" t="s">
        <v>981</v>
      </c>
      <c r="E540" s="78" t="s">
        <v>1002</v>
      </c>
      <c r="F540" s="76" t="s">
        <v>1713</v>
      </c>
      <c r="G540" s="76" t="s">
        <v>1133</v>
      </c>
      <c r="H540" s="70"/>
      <c r="P540" s="70">
        <f t="shared" si="8"/>
        <v>0</v>
      </c>
      <c r="Q540" s="70" cm="1">
        <f t="array" ref="Q540">IF(P540=1,IF(SUMPRODUCT(($P$2:P540)*(--($G$2:G540=$G540)))=1,1,0),0)</f>
        <v>0</v>
      </c>
      <c r="R540" s="70" t="str">
        <f>IF(Q540=1,SUM($Q$2:Q540),"")</f>
        <v/>
      </c>
    </row>
    <row r="541" spans="1:18" x14ac:dyDescent="0.2">
      <c r="A541" s="73" t="s">
        <v>375</v>
      </c>
      <c r="B541" s="77" t="s">
        <v>1541</v>
      </c>
      <c r="C541" s="74" t="s">
        <v>1697</v>
      </c>
      <c r="D541" s="74" t="s">
        <v>981</v>
      </c>
      <c r="E541" s="78" t="s">
        <v>1002</v>
      </c>
      <c r="F541" s="76" t="s">
        <v>1714</v>
      </c>
      <c r="G541" s="76" t="s">
        <v>1133</v>
      </c>
      <c r="H541" s="70"/>
      <c r="P541" s="70">
        <f t="shared" si="8"/>
        <v>0</v>
      </c>
      <c r="Q541" s="70" cm="1">
        <f t="array" ref="Q541">IF(P541=1,IF(SUMPRODUCT(($P$2:P541)*(--($G$2:G541=$G541)))=1,1,0),0)</f>
        <v>0</v>
      </c>
      <c r="R541" s="70" t="str">
        <f>IF(Q541=1,SUM($Q$2:Q541),"")</f>
        <v/>
      </c>
    </row>
    <row r="542" spans="1:18" x14ac:dyDescent="0.2">
      <c r="A542" s="73" t="s">
        <v>375</v>
      </c>
      <c r="B542" s="77" t="s">
        <v>1541</v>
      </c>
      <c r="C542" s="74" t="s">
        <v>1697</v>
      </c>
      <c r="D542" s="74" t="s">
        <v>981</v>
      </c>
      <c r="E542" s="78" t="s">
        <v>1002</v>
      </c>
      <c r="F542" s="76" t="s">
        <v>1715</v>
      </c>
      <c r="G542" s="76" t="s">
        <v>1133</v>
      </c>
      <c r="H542" s="70"/>
      <c r="P542" s="70">
        <f t="shared" si="8"/>
        <v>0</v>
      </c>
      <c r="Q542" s="70" cm="1">
        <f t="array" ref="Q542">IF(P542=1,IF(SUMPRODUCT(($P$2:P542)*(--($G$2:G542=$G542)))=1,1,0),0)</f>
        <v>0</v>
      </c>
      <c r="R542" s="70" t="str">
        <f>IF(Q542=1,SUM($Q$2:Q542),"")</f>
        <v/>
      </c>
    </row>
    <row r="543" spans="1:18" x14ac:dyDescent="0.2">
      <c r="A543" s="73" t="s">
        <v>375</v>
      </c>
      <c r="B543" s="77" t="s">
        <v>1541</v>
      </c>
      <c r="C543" s="74" t="s">
        <v>1697</v>
      </c>
      <c r="D543" s="74" t="s">
        <v>981</v>
      </c>
      <c r="E543" s="78" t="s">
        <v>1002</v>
      </c>
      <c r="F543" s="76" t="s">
        <v>1716</v>
      </c>
      <c r="G543" s="76" t="s">
        <v>1133</v>
      </c>
      <c r="H543" s="70"/>
      <c r="P543" s="70">
        <f t="shared" si="8"/>
        <v>0</v>
      </c>
      <c r="Q543" s="70" cm="1">
        <f t="array" ref="Q543">IF(P543=1,IF(SUMPRODUCT(($P$2:P543)*(--($G$2:G543=$G543)))=1,1,0),0)</f>
        <v>0</v>
      </c>
      <c r="R543" s="70" t="str">
        <f>IF(Q543=1,SUM($Q$2:Q543),"")</f>
        <v/>
      </c>
    </row>
    <row r="544" spans="1:18" x14ac:dyDescent="0.2">
      <c r="A544" s="73" t="s">
        <v>375</v>
      </c>
      <c r="B544" s="77" t="s">
        <v>1541</v>
      </c>
      <c r="C544" s="74" t="s">
        <v>1697</v>
      </c>
      <c r="D544" s="74" t="s">
        <v>981</v>
      </c>
      <c r="E544" s="78" t="s">
        <v>1002</v>
      </c>
      <c r="F544" s="76" t="s">
        <v>1689</v>
      </c>
      <c r="G544" s="76" t="s">
        <v>1133</v>
      </c>
      <c r="H544" s="70"/>
      <c r="P544" s="70">
        <f t="shared" si="8"/>
        <v>0</v>
      </c>
      <c r="Q544" s="70" cm="1">
        <f t="array" ref="Q544">IF(P544=1,IF(SUMPRODUCT(($P$2:P544)*(--($G$2:G544=$G544)))=1,1,0),0)</f>
        <v>0</v>
      </c>
      <c r="R544" s="70" t="str">
        <f>IF(Q544=1,SUM($Q$2:Q544),"")</f>
        <v/>
      </c>
    </row>
    <row r="545" spans="1:18" x14ac:dyDescent="0.2">
      <c r="A545" s="73" t="s">
        <v>375</v>
      </c>
      <c r="B545" s="77" t="s">
        <v>1541</v>
      </c>
      <c r="C545" s="74" t="s">
        <v>1674</v>
      </c>
      <c r="D545" s="74" t="s">
        <v>977</v>
      </c>
      <c r="E545" s="78" t="s">
        <v>113</v>
      </c>
      <c r="F545" s="76" t="s">
        <v>1717</v>
      </c>
      <c r="G545" s="76" t="s">
        <v>1130</v>
      </c>
      <c r="H545" s="70"/>
      <c r="P545" s="70">
        <f t="shared" si="8"/>
        <v>0</v>
      </c>
      <c r="Q545" s="70" cm="1">
        <f t="array" ref="Q545">IF(P545=1,IF(SUMPRODUCT(($P$2:P545)*(--($G$2:G545=$G545)))=1,1,0),0)</f>
        <v>0</v>
      </c>
      <c r="R545" s="70" t="str">
        <f>IF(Q545=1,SUM($Q$2:Q545),"")</f>
        <v/>
      </c>
    </row>
    <row r="546" spans="1:18" x14ac:dyDescent="0.2">
      <c r="A546" s="73" t="s">
        <v>375</v>
      </c>
      <c r="B546" s="77" t="s">
        <v>1541</v>
      </c>
      <c r="C546" s="74" t="s">
        <v>1674</v>
      </c>
      <c r="D546" s="74" t="s">
        <v>977</v>
      </c>
      <c r="E546" s="78" t="s">
        <v>113</v>
      </c>
      <c r="F546" s="76" t="s">
        <v>1718</v>
      </c>
      <c r="G546" s="76" t="s">
        <v>1130</v>
      </c>
      <c r="H546" s="70"/>
      <c r="P546" s="70">
        <f t="shared" si="8"/>
        <v>0</v>
      </c>
      <c r="Q546" s="70" cm="1">
        <f t="array" ref="Q546">IF(P546=1,IF(SUMPRODUCT(($P$2:P546)*(--($G$2:G546=$G546)))=1,1,0),0)</f>
        <v>0</v>
      </c>
      <c r="R546" s="70" t="str">
        <f>IF(Q546=1,SUM($Q$2:Q546),"")</f>
        <v/>
      </c>
    </row>
    <row r="547" spans="1:18" x14ac:dyDescent="0.2">
      <c r="A547" s="73" t="s">
        <v>375</v>
      </c>
      <c r="B547" s="77" t="s">
        <v>1541</v>
      </c>
      <c r="C547" s="74" t="s">
        <v>1674</v>
      </c>
      <c r="D547" s="74" t="s">
        <v>977</v>
      </c>
      <c r="E547" s="78" t="s">
        <v>113</v>
      </c>
      <c r="F547" s="76" t="s">
        <v>1689</v>
      </c>
      <c r="G547" s="76" t="s">
        <v>1130</v>
      </c>
      <c r="H547" s="70"/>
      <c r="P547" s="70">
        <f t="shared" si="8"/>
        <v>0</v>
      </c>
      <c r="Q547" s="70" cm="1">
        <f t="array" ref="Q547">IF(P547=1,IF(SUMPRODUCT(($P$2:P547)*(--($G$2:G547=$G547)))=1,1,0),0)</f>
        <v>0</v>
      </c>
      <c r="R547" s="70" t="str">
        <f>IF(Q547=1,SUM($Q$2:Q547),"")</f>
        <v/>
      </c>
    </row>
    <row r="548" spans="1:18" x14ac:dyDescent="0.2">
      <c r="A548" s="73" t="s">
        <v>375</v>
      </c>
      <c r="B548" s="77" t="s">
        <v>1541</v>
      </c>
      <c r="C548" s="74" t="s">
        <v>1674</v>
      </c>
      <c r="D548" s="74" t="s">
        <v>977</v>
      </c>
      <c r="E548" s="78" t="s">
        <v>113</v>
      </c>
      <c r="F548" s="76" t="s">
        <v>1716</v>
      </c>
      <c r="G548" s="76" t="s">
        <v>1130</v>
      </c>
      <c r="H548" s="70"/>
      <c r="P548" s="70">
        <f t="shared" si="8"/>
        <v>0</v>
      </c>
      <c r="Q548" s="70" cm="1">
        <f t="array" ref="Q548">IF(P548=1,IF(SUMPRODUCT(($P$2:P548)*(--($G$2:G548=$G548)))=1,1,0),0)</f>
        <v>0</v>
      </c>
      <c r="R548" s="70" t="str">
        <f>IF(Q548=1,SUM($Q$2:Q548),"")</f>
        <v/>
      </c>
    </row>
    <row r="549" spans="1:18" x14ac:dyDescent="0.2">
      <c r="A549" s="73" t="s">
        <v>375</v>
      </c>
      <c r="B549" s="77" t="s">
        <v>1541</v>
      </c>
      <c r="C549" s="74" t="s">
        <v>1674</v>
      </c>
      <c r="D549" s="74" t="s">
        <v>977</v>
      </c>
      <c r="E549" s="78" t="s">
        <v>113</v>
      </c>
      <c r="F549" s="76" t="s">
        <v>1719</v>
      </c>
      <c r="G549" s="76" t="s">
        <v>1130</v>
      </c>
      <c r="H549" s="70"/>
      <c r="P549" s="70">
        <f t="shared" si="8"/>
        <v>0</v>
      </c>
      <c r="Q549" s="70" cm="1">
        <f t="array" ref="Q549">IF(P549=1,IF(SUMPRODUCT(($P$2:P549)*(--($G$2:G549=$G549)))=1,1,0),0)</f>
        <v>0</v>
      </c>
      <c r="R549" s="70" t="str">
        <f>IF(Q549=1,SUM($Q$2:Q549),"")</f>
        <v/>
      </c>
    </row>
    <row r="550" spans="1:18" x14ac:dyDescent="0.2">
      <c r="A550" s="73" t="s">
        <v>375</v>
      </c>
      <c r="B550" s="77" t="s">
        <v>1541</v>
      </c>
      <c r="C550" s="74" t="s">
        <v>1674</v>
      </c>
      <c r="D550" s="74" t="s">
        <v>977</v>
      </c>
      <c r="E550" s="78" t="s">
        <v>113</v>
      </c>
      <c r="F550" s="76" t="s">
        <v>1687</v>
      </c>
      <c r="G550" s="76" t="s">
        <v>1130</v>
      </c>
      <c r="H550" s="70"/>
      <c r="P550" s="70">
        <f t="shared" si="8"/>
        <v>0</v>
      </c>
      <c r="Q550" s="70" cm="1">
        <f t="array" ref="Q550">IF(P550=1,IF(SUMPRODUCT(($P$2:P550)*(--($G$2:G550=$G550)))=1,1,0),0)</f>
        <v>0</v>
      </c>
      <c r="R550" s="70" t="str">
        <f>IF(Q550=1,SUM($Q$2:Q550),"")</f>
        <v/>
      </c>
    </row>
    <row r="551" spans="1:18" x14ac:dyDescent="0.2">
      <c r="A551" s="73" t="s">
        <v>375</v>
      </c>
      <c r="B551" s="77" t="s">
        <v>1541</v>
      </c>
      <c r="C551" s="74" t="s">
        <v>1674</v>
      </c>
      <c r="D551" s="74" t="s">
        <v>977</v>
      </c>
      <c r="E551" s="78" t="s">
        <v>113</v>
      </c>
      <c r="F551" s="76" t="s">
        <v>1715</v>
      </c>
      <c r="G551" s="76" t="s">
        <v>1130</v>
      </c>
      <c r="H551" s="70"/>
      <c r="P551" s="70">
        <f t="shared" si="8"/>
        <v>0</v>
      </c>
      <c r="Q551" s="70" cm="1">
        <f t="array" ref="Q551">IF(P551=1,IF(SUMPRODUCT(($P$2:P551)*(--($G$2:G551=$G551)))=1,1,0),0)</f>
        <v>0</v>
      </c>
      <c r="R551" s="70" t="str">
        <f>IF(Q551=1,SUM($Q$2:Q551),"")</f>
        <v/>
      </c>
    </row>
    <row r="552" spans="1:18" x14ac:dyDescent="0.2">
      <c r="A552" s="73" t="s">
        <v>375</v>
      </c>
      <c r="B552" s="77" t="s">
        <v>1541</v>
      </c>
      <c r="C552" s="74" t="s">
        <v>1674</v>
      </c>
      <c r="D552" s="74" t="s">
        <v>977</v>
      </c>
      <c r="E552" s="78" t="s">
        <v>113</v>
      </c>
      <c r="F552" s="76" t="s">
        <v>1720</v>
      </c>
      <c r="G552" s="76" t="s">
        <v>1130</v>
      </c>
      <c r="H552" s="70"/>
      <c r="P552" s="70">
        <f t="shared" si="8"/>
        <v>0</v>
      </c>
      <c r="Q552" s="70" cm="1">
        <f t="array" ref="Q552">IF(P552=1,IF(SUMPRODUCT(($P$2:P552)*(--($G$2:G552=$G552)))=1,1,0),0)</f>
        <v>0</v>
      </c>
      <c r="R552" s="70" t="str">
        <f>IF(Q552=1,SUM($Q$2:Q552),"")</f>
        <v/>
      </c>
    </row>
    <row r="553" spans="1:18" ht="16" x14ac:dyDescent="0.2">
      <c r="A553" s="73" t="s">
        <v>375</v>
      </c>
      <c r="B553" s="77" t="s">
        <v>1541</v>
      </c>
      <c r="C553" s="74" t="s">
        <v>1674</v>
      </c>
      <c r="D553" s="74" t="s">
        <v>977</v>
      </c>
      <c r="E553" s="78" t="s">
        <v>113</v>
      </c>
      <c r="F553" s="76" t="s">
        <v>1721</v>
      </c>
      <c r="G553" s="75" t="s">
        <v>1203</v>
      </c>
      <c r="H553" s="70"/>
      <c r="P553" s="70">
        <f t="shared" si="8"/>
        <v>0</v>
      </c>
      <c r="Q553" s="70" cm="1">
        <f t="array" ref="Q553">IF(P553=1,IF(SUMPRODUCT(($P$2:P553)*(--($G$2:G553=$G553)))=1,1,0),0)</f>
        <v>0</v>
      </c>
      <c r="R553" s="70" t="str">
        <f>IF(Q553=1,SUM($Q$2:Q553),"")</f>
        <v/>
      </c>
    </row>
    <row r="554" spans="1:18" ht="16" x14ac:dyDescent="0.2">
      <c r="A554" s="73" t="s">
        <v>375</v>
      </c>
      <c r="B554" s="77" t="s">
        <v>1541</v>
      </c>
      <c r="C554" s="74" t="s">
        <v>1674</v>
      </c>
      <c r="D554" s="74" t="s">
        <v>977</v>
      </c>
      <c r="E554" s="78" t="s">
        <v>1003</v>
      </c>
      <c r="F554" s="76" t="s">
        <v>1721</v>
      </c>
      <c r="G554" s="75" t="s">
        <v>1203</v>
      </c>
      <c r="H554" s="70"/>
      <c r="P554" s="70">
        <f t="shared" si="8"/>
        <v>0</v>
      </c>
      <c r="Q554" s="70" cm="1">
        <f t="array" ref="Q554">IF(P554=1,IF(SUMPRODUCT(($P$2:P554)*(--($G$2:G554=$G554)))=1,1,0),0)</f>
        <v>0</v>
      </c>
      <c r="R554" s="70" t="str">
        <f>IF(Q554=1,SUM($Q$2:Q554),"")</f>
        <v/>
      </c>
    </row>
    <row r="555" spans="1:18" ht="16" x14ac:dyDescent="0.2">
      <c r="A555" s="73" t="s">
        <v>375</v>
      </c>
      <c r="B555" s="77" t="s">
        <v>1541</v>
      </c>
      <c r="C555" s="74" t="s">
        <v>1674</v>
      </c>
      <c r="D555" s="74" t="s">
        <v>977</v>
      </c>
      <c r="E555" s="78" t="s">
        <v>113</v>
      </c>
      <c r="F555" s="76" t="s">
        <v>1722</v>
      </c>
      <c r="G555" s="75" t="s">
        <v>1203</v>
      </c>
      <c r="H555" s="70"/>
      <c r="P555" s="70">
        <f t="shared" si="8"/>
        <v>0</v>
      </c>
      <c r="Q555" s="70" cm="1">
        <f t="array" ref="Q555">IF(P555=1,IF(SUMPRODUCT(($P$2:P555)*(--($G$2:G555=$G555)))=1,1,0),0)</f>
        <v>0</v>
      </c>
      <c r="R555" s="70" t="str">
        <f>IF(Q555=1,SUM($Q$2:Q555),"")</f>
        <v/>
      </c>
    </row>
    <row r="556" spans="1:18" ht="16" x14ac:dyDescent="0.2">
      <c r="A556" s="73" t="s">
        <v>375</v>
      </c>
      <c r="B556" s="77" t="s">
        <v>1541</v>
      </c>
      <c r="C556" s="74" t="s">
        <v>1674</v>
      </c>
      <c r="D556" s="74" t="s">
        <v>977</v>
      </c>
      <c r="E556" s="78" t="s">
        <v>1003</v>
      </c>
      <c r="F556" s="76" t="s">
        <v>1722</v>
      </c>
      <c r="G556" s="75" t="s">
        <v>1203</v>
      </c>
      <c r="H556" s="70"/>
      <c r="P556" s="70">
        <f t="shared" si="8"/>
        <v>0</v>
      </c>
      <c r="Q556" s="70" cm="1">
        <f t="array" ref="Q556">IF(P556=1,IF(SUMPRODUCT(($P$2:P556)*(--($G$2:G556=$G556)))=1,1,0),0)</f>
        <v>0</v>
      </c>
      <c r="R556" s="70" t="str">
        <f>IF(Q556=1,SUM($Q$2:Q556),"")</f>
        <v/>
      </c>
    </row>
    <row r="557" spans="1:18" ht="16" x14ac:dyDescent="0.2">
      <c r="A557" s="73" t="s">
        <v>375</v>
      </c>
      <c r="B557" s="77" t="s">
        <v>1541</v>
      </c>
      <c r="C557" s="74" t="s">
        <v>1674</v>
      </c>
      <c r="D557" s="74" t="s">
        <v>977</v>
      </c>
      <c r="E557" s="78" t="s">
        <v>113</v>
      </c>
      <c r="F557" s="76" t="s">
        <v>1723</v>
      </c>
      <c r="G557" s="75" t="s">
        <v>1203</v>
      </c>
      <c r="H557" s="70"/>
      <c r="P557" s="70">
        <f t="shared" si="8"/>
        <v>0</v>
      </c>
      <c r="Q557" s="70" cm="1">
        <f t="array" ref="Q557">IF(P557=1,IF(SUMPRODUCT(($P$2:P557)*(--($G$2:G557=$G557)))=1,1,0),0)</f>
        <v>0</v>
      </c>
      <c r="R557" s="70" t="str">
        <f>IF(Q557=1,SUM($Q$2:Q557),"")</f>
        <v/>
      </c>
    </row>
    <row r="558" spans="1:18" ht="16" x14ac:dyDescent="0.2">
      <c r="A558" s="73" t="s">
        <v>375</v>
      </c>
      <c r="B558" s="77" t="s">
        <v>1541</v>
      </c>
      <c r="C558" s="74" t="s">
        <v>1674</v>
      </c>
      <c r="D558" s="74" t="s">
        <v>977</v>
      </c>
      <c r="E558" s="78" t="s">
        <v>1003</v>
      </c>
      <c r="F558" s="76" t="s">
        <v>1723</v>
      </c>
      <c r="G558" s="75" t="s">
        <v>1203</v>
      </c>
      <c r="H558" s="70"/>
      <c r="P558" s="70">
        <f t="shared" si="8"/>
        <v>0</v>
      </c>
      <c r="Q558" s="70" cm="1">
        <f t="array" ref="Q558">IF(P558=1,IF(SUMPRODUCT(($P$2:P558)*(--($G$2:G558=$G558)))=1,1,0),0)</f>
        <v>0</v>
      </c>
      <c r="R558" s="70" t="str">
        <f>IF(Q558=1,SUM($Q$2:Q558),"")</f>
        <v/>
      </c>
    </row>
    <row r="559" spans="1:18" ht="16" x14ac:dyDescent="0.2">
      <c r="A559" s="73" t="s">
        <v>375</v>
      </c>
      <c r="B559" s="77" t="s">
        <v>1541</v>
      </c>
      <c r="C559" s="74" t="s">
        <v>1674</v>
      </c>
      <c r="D559" s="74" t="s">
        <v>977</v>
      </c>
      <c r="E559" s="78" t="s">
        <v>1002</v>
      </c>
      <c r="F559" s="76" t="s">
        <v>1723</v>
      </c>
      <c r="G559" s="75" t="s">
        <v>1203</v>
      </c>
      <c r="H559" s="70"/>
      <c r="P559" s="70">
        <f t="shared" si="8"/>
        <v>0</v>
      </c>
      <c r="Q559" s="70" cm="1">
        <f t="array" ref="Q559">IF(P559=1,IF(SUMPRODUCT(($P$2:P559)*(--($G$2:G559=$G559)))=1,1,0),0)</f>
        <v>0</v>
      </c>
      <c r="R559" s="70" t="str">
        <f>IF(Q559=1,SUM($Q$2:Q559),"")</f>
        <v/>
      </c>
    </row>
    <row r="560" spans="1:18" ht="16" x14ac:dyDescent="0.2">
      <c r="A560" s="73" t="s">
        <v>378</v>
      </c>
      <c r="B560" s="77" t="s">
        <v>1541</v>
      </c>
      <c r="C560" s="74" t="s">
        <v>1674</v>
      </c>
      <c r="D560" s="74" t="s">
        <v>977</v>
      </c>
      <c r="E560" s="78" t="s">
        <v>120</v>
      </c>
      <c r="F560" s="76" t="s">
        <v>1724</v>
      </c>
      <c r="G560" s="75" t="s">
        <v>316</v>
      </c>
      <c r="H560" s="70"/>
      <c r="P560" s="70">
        <f t="shared" si="8"/>
        <v>0</v>
      </c>
      <c r="Q560" s="70" cm="1">
        <f t="array" ref="Q560">IF(P560=1,IF(SUMPRODUCT(($P$2:P560)*(--($G$2:G560=$G560)))=1,1,0),0)</f>
        <v>0</v>
      </c>
      <c r="R560" s="70" t="str">
        <f>IF(Q560=1,SUM($Q$2:Q560),"")</f>
        <v/>
      </c>
    </row>
    <row r="561" spans="1:18" ht="16" x14ac:dyDescent="0.2">
      <c r="A561" s="73" t="s">
        <v>378</v>
      </c>
      <c r="B561" s="77" t="s">
        <v>1541</v>
      </c>
      <c r="C561" s="74" t="s">
        <v>1674</v>
      </c>
      <c r="D561" s="74" t="s">
        <v>977</v>
      </c>
      <c r="E561" s="78" t="s">
        <v>120</v>
      </c>
      <c r="F561" s="76" t="s">
        <v>1725</v>
      </c>
      <c r="G561" s="75" t="s">
        <v>316</v>
      </c>
      <c r="H561" s="70"/>
      <c r="P561" s="70">
        <f t="shared" si="8"/>
        <v>0</v>
      </c>
      <c r="Q561" s="70" cm="1">
        <f t="array" ref="Q561">IF(P561=1,IF(SUMPRODUCT(($P$2:P561)*(--($G$2:G561=$G561)))=1,1,0),0)</f>
        <v>0</v>
      </c>
      <c r="R561" s="70" t="str">
        <f>IF(Q561=1,SUM($Q$2:Q561),"")</f>
        <v/>
      </c>
    </row>
    <row r="562" spans="1:18" ht="16" x14ac:dyDescent="0.2">
      <c r="A562" s="73" t="s">
        <v>378</v>
      </c>
      <c r="B562" s="77" t="s">
        <v>1541</v>
      </c>
      <c r="C562" s="74" t="s">
        <v>1674</v>
      </c>
      <c r="D562" s="74" t="s">
        <v>977</v>
      </c>
      <c r="E562" s="78" t="s">
        <v>120</v>
      </c>
      <c r="F562" s="76" t="s">
        <v>378</v>
      </c>
      <c r="G562" s="75" t="s">
        <v>316</v>
      </c>
      <c r="H562" s="70"/>
      <c r="P562" s="70">
        <f t="shared" si="8"/>
        <v>0</v>
      </c>
      <c r="Q562" s="70" cm="1">
        <f t="array" ref="Q562">IF(P562=1,IF(SUMPRODUCT(($P$2:P562)*(--($G$2:G562=$G562)))=1,1,0),0)</f>
        <v>0</v>
      </c>
      <c r="R562" s="70" t="str">
        <f>IF(Q562=1,SUM($Q$2:Q562),"")</f>
        <v/>
      </c>
    </row>
    <row r="563" spans="1:18" ht="16" x14ac:dyDescent="0.2">
      <c r="A563" s="73" t="s">
        <v>378</v>
      </c>
      <c r="B563" s="77" t="s">
        <v>1541</v>
      </c>
      <c r="C563" s="74" t="s">
        <v>1697</v>
      </c>
      <c r="D563" s="74" t="s">
        <v>981</v>
      </c>
      <c r="E563" s="78" t="s">
        <v>97</v>
      </c>
      <c r="F563" s="76" t="s">
        <v>1726</v>
      </c>
      <c r="G563" s="75" t="s">
        <v>327</v>
      </c>
      <c r="H563" s="70"/>
      <c r="P563" s="70">
        <f t="shared" si="8"/>
        <v>0</v>
      </c>
      <c r="Q563" s="70" cm="1">
        <f t="array" ref="Q563">IF(P563=1,IF(SUMPRODUCT(($P$2:P563)*(--($G$2:G563=$G563)))=1,1,0),0)</f>
        <v>0</v>
      </c>
      <c r="R563" s="70" t="str">
        <f>IF(Q563=1,SUM($Q$2:Q563),"")</f>
        <v/>
      </c>
    </row>
    <row r="564" spans="1:18" ht="16" x14ac:dyDescent="0.2">
      <c r="A564" s="73" t="s">
        <v>378</v>
      </c>
      <c r="B564" s="77" t="s">
        <v>1541</v>
      </c>
      <c r="C564" s="74" t="s">
        <v>1697</v>
      </c>
      <c r="D564" s="74" t="s">
        <v>981</v>
      </c>
      <c r="E564" s="78" t="s">
        <v>120</v>
      </c>
      <c r="F564" s="76" t="s">
        <v>1726</v>
      </c>
      <c r="G564" s="75" t="s">
        <v>327</v>
      </c>
      <c r="H564" s="70"/>
      <c r="P564" s="70">
        <f t="shared" si="8"/>
        <v>0</v>
      </c>
      <c r="Q564" s="70" cm="1">
        <f t="array" ref="Q564">IF(P564=1,IF(SUMPRODUCT(($P$2:P564)*(--($G$2:G564=$G564)))=1,1,0),0)</f>
        <v>0</v>
      </c>
      <c r="R564" s="70" t="str">
        <f>IF(Q564=1,SUM($Q$2:Q564),"")</f>
        <v/>
      </c>
    </row>
    <row r="565" spans="1:18" ht="16" x14ac:dyDescent="0.2">
      <c r="A565" s="73" t="s">
        <v>378</v>
      </c>
      <c r="B565" s="77" t="s">
        <v>1541</v>
      </c>
      <c r="C565" s="74" t="s">
        <v>1697</v>
      </c>
      <c r="D565" s="74" t="s">
        <v>981</v>
      </c>
      <c r="E565" s="78" t="s">
        <v>113</v>
      </c>
      <c r="F565" s="76" t="s">
        <v>1726</v>
      </c>
      <c r="G565" s="75" t="s">
        <v>327</v>
      </c>
      <c r="H565" s="70"/>
      <c r="P565" s="70">
        <f t="shared" si="8"/>
        <v>0</v>
      </c>
      <c r="Q565" s="70" cm="1">
        <f t="array" ref="Q565">IF(P565=1,IF(SUMPRODUCT(($P$2:P565)*(--($G$2:G565=$G565)))=1,1,0),0)</f>
        <v>0</v>
      </c>
      <c r="R565" s="70" t="str">
        <f>IF(Q565=1,SUM($Q$2:Q565),"")</f>
        <v/>
      </c>
    </row>
    <row r="566" spans="1:18" ht="16" x14ac:dyDescent="0.2">
      <c r="A566" s="73" t="s">
        <v>378</v>
      </c>
      <c r="B566" s="77" t="s">
        <v>1541</v>
      </c>
      <c r="C566" s="74" t="s">
        <v>1697</v>
      </c>
      <c r="D566" s="74" t="s">
        <v>981</v>
      </c>
      <c r="E566" s="78" t="s">
        <v>129</v>
      </c>
      <c r="F566" s="76" t="s">
        <v>1726</v>
      </c>
      <c r="G566" s="75" t="s">
        <v>327</v>
      </c>
      <c r="H566" s="70"/>
      <c r="P566" s="70">
        <f t="shared" si="8"/>
        <v>0</v>
      </c>
      <c r="Q566" s="70" cm="1">
        <f t="array" ref="Q566">IF(P566=1,IF(SUMPRODUCT(($P$2:P566)*(--($G$2:G566=$G566)))=1,1,0),0)</f>
        <v>0</v>
      </c>
      <c r="R566" s="70" t="str">
        <f>IF(Q566=1,SUM($Q$2:Q566),"")</f>
        <v/>
      </c>
    </row>
    <row r="567" spans="1:18" ht="16" x14ac:dyDescent="0.2">
      <c r="A567" s="73" t="s">
        <v>378</v>
      </c>
      <c r="B567" s="77" t="s">
        <v>1541</v>
      </c>
      <c r="C567" s="74" t="s">
        <v>1697</v>
      </c>
      <c r="D567" s="74" t="s">
        <v>981</v>
      </c>
      <c r="E567" s="78" t="s">
        <v>97</v>
      </c>
      <c r="F567" s="76" t="s">
        <v>1727</v>
      </c>
      <c r="G567" s="75" t="s">
        <v>327</v>
      </c>
      <c r="H567" s="70"/>
      <c r="P567" s="70">
        <f t="shared" si="8"/>
        <v>0</v>
      </c>
      <c r="Q567" s="70" cm="1">
        <f t="array" ref="Q567">IF(P567=1,IF(SUMPRODUCT(($P$2:P567)*(--($G$2:G567=$G567)))=1,1,0),0)</f>
        <v>0</v>
      </c>
      <c r="R567" s="70" t="str">
        <f>IF(Q567=1,SUM($Q$2:Q567),"")</f>
        <v/>
      </c>
    </row>
    <row r="568" spans="1:18" ht="16" x14ac:dyDescent="0.2">
      <c r="A568" s="73" t="s">
        <v>378</v>
      </c>
      <c r="B568" s="77" t="s">
        <v>1541</v>
      </c>
      <c r="C568" s="74" t="s">
        <v>1697</v>
      </c>
      <c r="D568" s="74" t="s">
        <v>981</v>
      </c>
      <c r="E568" s="78" t="s">
        <v>120</v>
      </c>
      <c r="F568" s="76" t="s">
        <v>1727</v>
      </c>
      <c r="G568" s="75" t="s">
        <v>327</v>
      </c>
      <c r="H568" s="70"/>
      <c r="P568" s="70">
        <f t="shared" si="8"/>
        <v>0</v>
      </c>
      <c r="Q568" s="70" cm="1">
        <f t="array" ref="Q568">IF(P568=1,IF(SUMPRODUCT(($P$2:P568)*(--($G$2:G568=$G568)))=1,1,0),0)</f>
        <v>0</v>
      </c>
      <c r="R568" s="70" t="str">
        <f>IF(Q568=1,SUM($Q$2:Q568),"")</f>
        <v/>
      </c>
    </row>
    <row r="569" spans="1:18" ht="16" x14ac:dyDescent="0.2">
      <c r="A569" s="73" t="s">
        <v>378</v>
      </c>
      <c r="B569" s="77" t="s">
        <v>1541</v>
      </c>
      <c r="C569" s="74" t="s">
        <v>1697</v>
      </c>
      <c r="D569" s="74" t="s">
        <v>981</v>
      </c>
      <c r="E569" s="78" t="s">
        <v>113</v>
      </c>
      <c r="F569" s="76" t="s">
        <v>1727</v>
      </c>
      <c r="G569" s="75" t="s">
        <v>327</v>
      </c>
      <c r="H569" s="70"/>
      <c r="P569" s="70">
        <f t="shared" si="8"/>
        <v>0</v>
      </c>
      <c r="Q569" s="70" cm="1">
        <f t="array" ref="Q569">IF(P569=1,IF(SUMPRODUCT(($P$2:P569)*(--($G$2:G569=$G569)))=1,1,0),0)</f>
        <v>0</v>
      </c>
      <c r="R569" s="70" t="str">
        <f>IF(Q569=1,SUM($Q$2:Q569),"")</f>
        <v/>
      </c>
    </row>
    <row r="570" spans="1:18" ht="16" x14ac:dyDescent="0.2">
      <c r="A570" s="73" t="s">
        <v>378</v>
      </c>
      <c r="B570" s="77" t="s">
        <v>1541</v>
      </c>
      <c r="C570" s="74" t="s">
        <v>1697</v>
      </c>
      <c r="D570" s="74" t="s">
        <v>981</v>
      </c>
      <c r="E570" s="78" t="s">
        <v>129</v>
      </c>
      <c r="F570" s="76" t="s">
        <v>1727</v>
      </c>
      <c r="G570" s="75" t="s">
        <v>327</v>
      </c>
      <c r="H570" s="70"/>
      <c r="P570" s="70">
        <f t="shared" si="8"/>
        <v>0</v>
      </c>
      <c r="Q570" s="70" cm="1">
        <f t="array" ref="Q570">IF(P570=1,IF(SUMPRODUCT(($P$2:P570)*(--($G$2:G570=$G570)))=1,1,0),0)</f>
        <v>0</v>
      </c>
      <c r="R570" s="70" t="str">
        <f>IF(Q570=1,SUM($Q$2:Q570),"")</f>
        <v/>
      </c>
    </row>
    <row r="571" spans="1:18" ht="16" x14ac:dyDescent="0.2">
      <c r="A571" s="73" t="s">
        <v>378</v>
      </c>
      <c r="B571" s="77" t="s">
        <v>1541</v>
      </c>
      <c r="C571" s="74" t="s">
        <v>1697</v>
      </c>
      <c r="D571" s="74" t="s">
        <v>981</v>
      </c>
      <c r="E571" s="78" t="s">
        <v>97</v>
      </c>
      <c r="F571" s="76" t="s">
        <v>1728</v>
      </c>
      <c r="G571" s="75" t="s">
        <v>327</v>
      </c>
      <c r="H571" s="70"/>
      <c r="P571" s="70">
        <f t="shared" si="8"/>
        <v>0</v>
      </c>
      <c r="Q571" s="70" cm="1">
        <f t="array" ref="Q571">IF(P571=1,IF(SUMPRODUCT(($P$2:P571)*(--($G$2:G571=$G571)))=1,1,0),0)</f>
        <v>0</v>
      </c>
      <c r="R571" s="70" t="str">
        <f>IF(Q571=1,SUM($Q$2:Q571),"")</f>
        <v/>
      </c>
    </row>
    <row r="572" spans="1:18" ht="16" x14ac:dyDescent="0.2">
      <c r="A572" s="73" t="s">
        <v>378</v>
      </c>
      <c r="B572" s="77" t="s">
        <v>1541</v>
      </c>
      <c r="C572" s="74" t="s">
        <v>1697</v>
      </c>
      <c r="D572" s="74" t="s">
        <v>981</v>
      </c>
      <c r="E572" s="78" t="s">
        <v>120</v>
      </c>
      <c r="F572" s="76" t="s">
        <v>1728</v>
      </c>
      <c r="G572" s="75" t="s">
        <v>327</v>
      </c>
      <c r="H572" s="70"/>
      <c r="P572" s="70">
        <f t="shared" si="8"/>
        <v>0</v>
      </c>
      <c r="Q572" s="70" cm="1">
        <f t="array" ref="Q572">IF(P572=1,IF(SUMPRODUCT(($P$2:P572)*(--($G$2:G572=$G572)))=1,1,0),0)</f>
        <v>0</v>
      </c>
      <c r="R572" s="70" t="str">
        <f>IF(Q572=1,SUM($Q$2:Q572),"")</f>
        <v/>
      </c>
    </row>
    <row r="573" spans="1:18" ht="16" x14ac:dyDescent="0.2">
      <c r="A573" s="73" t="s">
        <v>378</v>
      </c>
      <c r="B573" s="77" t="s">
        <v>1541</v>
      </c>
      <c r="C573" s="74" t="s">
        <v>1697</v>
      </c>
      <c r="D573" s="74" t="s">
        <v>981</v>
      </c>
      <c r="E573" s="78" t="s">
        <v>113</v>
      </c>
      <c r="F573" s="76" t="s">
        <v>1728</v>
      </c>
      <c r="G573" s="75" t="s">
        <v>327</v>
      </c>
      <c r="H573" s="70"/>
      <c r="P573" s="70">
        <f t="shared" si="8"/>
        <v>0</v>
      </c>
      <c r="Q573" s="70" cm="1">
        <f t="array" ref="Q573">IF(P573=1,IF(SUMPRODUCT(($P$2:P573)*(--($G$2:G573=$G573)))=1,1,0),0)</f>
        <v>0</v>
      </c>
      <c r="R573" s="70" t="str">
        <f>IF(Q573=1,SUM($Q$2:Q573),"")</f>
        <v/>
      </c>
    </row>
    <row r="574" spans="1:18" ht="16" x14ac:dyDescent="0.2">
      <c r="A574" s="73" t="s">
        <v>378</v>
      </c>
      <c r="B574" s="77" t="s">
        <v>1541</v>
      </c>
      <c r="C574" s="74" t="s">
        <v>1697</v>
      </c>
      <c r="D574" s="74" t="s">
        <v>981</v>
      </c>
      <c r="E574" s="78" t="s">
        <v>129</v>
      </c>
      <c r="F574" s="76" t="s">
        <v>1728</v>
      </c>
      <c r="G574" s="75" t="s">
        <v>327</v>
      </c>
      <c r="H574" s="70"/>
      <c r="P574" s="70">
        <f t="shared" si="8"/>
        <v>0</v>
      </c>
      <c r="Q574" s="70" cm="1">
        <f t="array" ref="Q574">IF(P574=1,IF(SUMPRODUCT(($P$2:P574)*(--($G$2:G574=$G574)))=1,1,0),0)</f>
        <v>0</v>
      </c>
      <c r="R574" s="70" t="str">
        <f>IF(Q574=1,SUM($Q$2:Q574),"")</f>
        <v/>
      </c>
    </row>
    <row r="575" spans="1:18" ht="16" x14ac:dyDescent="0.2">
      <c r="A575" s="73" t="s">
        <v>378</v>
      </c>
      <c r="B575" s="77" t="s">
        <v>1541</v>
      </c>
      <c r="C575" s="74" t="s">
        <v>1697</v>
      </c>
      <c r="D575" s="74" t="s">
        <v>981</v>
      </c>
      <c r="E575" s="78" t="s">
        <v>97</v>
      </c>
      <c r="F575" s="76" t="s">
        <v>378</v>
      </c>
      <c r="G575" s="75" t="s">
        <v>327</v>
      </c>
      <c r="H575" s="70"/>
      <c r="P575" s="70">
        <f t="shared" si="8"/>
        <v>0</v>
      </c>
      <c r="Q575" s="70" cm="1">
        <f t="array" ref="Q575">IF(P575=1,IF(SUMPRODUCT(($P$2:P575)*(--($G$2:G575=$G575)))=1,1,0),0)</f>
        <v>0</v>
      </c>
      <c r="R575" s="70" t="str">
        <f>IF(Q575=1,SUM($Q$2:Q575),"")</f>
        <v/>
      </c>
    </row>
    <row r="576" spans="1:18" ht="16" x14ac:dyDescent="0.2">
      <c r="A576" s="73" t="s">
        <v>378</v>
      </c>
      <c r="B576" s="77" t="s">
        <v>1541</v>
      </c>
      <c r="C576" s="74" t="s">
        <v>1697</v>
      </c>
      <c r="D576" s="74" t="s">
        <v>981</v>
      </c>
      <c r="E576" s="78" t="s">
        <v>120</v>
      </c>
      <c r="F576" s="76" t="s">
        <v>378</v>
      </c>
      <c r="G576" s="75" t="s">
        <v>327</v>
      </c>
      <c r="H576" s="70"/>
      <c r="P576" s="70">
        <f t="shared" si="8"/>
        <v>0</v>
      </c>
      <c r="Q576" s="70" cm="1">
        <f t="array" ref="Q576">IF(P576=1,IF(SUMPRODUCT(($P$2:P576)*(--($G$2:G576=$G576)))=1,1,0),0)</f>
        <v>0</v>
      </c>
      <c r="R576" s="70" t="str">
        <f>IF(Q576=1,SUM($Q$2:Q576),"")</f>
        <v/>
      </c>
    </row>
    <row r="577" spans="1:18" ht="16" x14ac:dyDescent="0.2">
      <c r="A577" s="73" t="s">
        <v>378</v>
      </c>
      <c r="B577" s="77" t="s">
        <v>1541</v>
      </c>
      <c r="C577" s="74" t="s">
        <v>1697</v>
      </c>
      <c r="D577" s="74" t="s">
        <v>981</v>
      </c>
      <c r="E577" s="78" t="s">
        <v>113</v>
      </c>
      <c r="F577" s="76" t="s">
        <v>378</v>
      </c>
      <c r="G577" s="75" t="s">
        <v>327</v>
      </c>
      <c r="H577" s="70"/>
      <c r="P577" s="70">
        <f t="shared" si="8"/>
        <v>0</v>
      </c>
      <c r="Q577" s="70" cm="1">
        <f t="array" ref="Q577">IF(P577=1,IF(SUMPRODUCT(($P$2:P577)*(--($G$2:G577=$G577)))=1,1,0),0)</f>
        <v>0</v>
      </c>
      <c r="R577" s="70" t="str">
        <f>IF(Q577=1,SUM($Q$2:Q577),"")</f>
        <v/>
      </c>
    </row>
    <row r="578" spans="1:18" ht="16" x14ac:dyDescent="0.2">
      <c r="A578" s="73" t="s">
        <v>378</v>
      </c>
      <c r="B578" s="77" t="s">
        <v>1541</v>
      </c>
      <c r="C578" s="74" t="s">
        <v>1697</v>
      </c>
      <c r="D578" s="74" t="s">
        <v>981</v>
      </c>
      <c r="E578" s="78" t="s">
        <v>129</v>
      </c>
      <c r="F578" s="76" t="s">
        <v>378</v>
      </c>
      <c r="G578" s="75" t="s">
        <v>327</v>
      </c>
      <c r="H578" s="70"/>
      <c r="P578" s="70">
        <f t="shared" si="8"/>
        <v>0</v>
      </c>
      <c r="Q578" s="70" cm="1">
        <f t="array" ref="Q578">IF(P578=1,IF(SUMPRODUCT(($P$2:P578)*(--($G$2:G578=$G578)))=1,1,0),0)</f>
        <v>0</v>
      </c>
      <c r="R578" s="70" t="str">
        <f>IF(Q578=1,SUM($Q$2:Q578),"")</f>
        <v/>
      </c>
    </row>
    <row r="579" spans="1:18" ht="16" x14ac:dyDescent="0.2">
      <c r="A579" s="73" t="s">
        <v>378</v>
      </c>
      <c r="B579" s="77" t="s">
        <v>1541</v>
      </c>
      <c r="C579" s="74" t="s">
        <v>1697</v>
      </c>
      <c r="D579" s="74" t="s">
        <v>981</v>
      </c>
      <c r="E579" s="78" t="s">
        <v>1002</v>
      </c>
      <c r="F579" s="76" t="s">
        <v>378</v>
      </c>
      <c r="G579" s="75" t="s">
        <v>327</v>
      </c>
      <c r="H579" s="70"/>
      <c r="P579" s="70">
        <f t="shared" ref="P579:P642" si="9">IF(AND(IF(TRIM($J$2&amp;"")="",TRUE,LEFT($D579,LEN($J$2))=$J$2),IF(TRIM($K$2&amp;"")="",TRUE,$E579=$K$2),IF($L$2="",TRUE,$F579=$L$2)),1,0)</f>
        <v>0</v>
      </c>
      <c r="Q579" s="70" cm="1">
        <f t="array" ref="Q579">IF(P579=1,IF(SUMPRODUCT(($P$2:P579)*(--($G$2:G579=$G579)))=1,1,0),0)</f>
        <v>0</v>
      </c>
      <c r="R579" s="70" t="str">
        <f>IF(Q579=1,SUM($Q$2:Q579),"")</f>
        <v/>
      </c>
    </row>
    <row r="580" spans="1:18" ht="16" x14ac:dyDescent="0.2">
      <c r="A580" s="73" t="s">
        <v>378</v>
      </c>
      <c r="B580" s="77" t="s">
        <v>1541</v>
      </c>
      <c r="C580" s="74" t="s">
        <v>1697</v>
      </c>
      <c r="D580" s="74" t="s">
        <v>981</v>
      </c>
      <c r="E580" s="78" t="s">
        <v>97</v>
      </c>
      <c r="F580" s="76" t="s">
        <v>1725</v>
      </c>
      <c r="G580" s="75" t="s">
        <v>327</v>
      </c>
      <c r="H580" s="70"/>
      <c r="P580" s="70">
        <f t="shared" si="9"/>
        <v>0</v>
      </c>
      <c r="Q580" s="70" cm="1">
        <f t="array" ref="Q580">IF(P580=1,IF(SUMPRODUCT(($P$2:P580)*(--($G$2:G580=$G580)))=1,1,0),0)</f>
        <v>0</v>
      </c>
      <c r="R580" s="70" t="str">
        <f>IF(Q580=1,SUM($Q$2:Q580),"")</f>
        <v/>
      </c>
    </row>
    <row r="581" spans="1:18" ht="16" x14ac:dyDescent="0.2">
      <c r="A581" s="73" t="s">
        <v>378</v>
      </c>
      <c r="B581" s="77" t="s">
        <v>1541</v>
      </c>
      <c r="C581" s="74" t="s">
        <v>1697</v>
      </c>
      <c r="D581" s="74" t="s">
        <v>981</v>
      </c>
      <c r="E581" s="78" t="s">
        <v>120</v>
      </c>
      <c r="F581" s="76" t="s">
        <v>1725</v>
      </c>
      <c r="G581" s="75" t="s">
        <v>327</v>
      </c>
      <c r="H581" s="70"/>
      <c r="P581" s="70">
        <f t="shared" si="9"/>
        <v>0</v>
      </c>
      <c r="Q581" s="70" cm="1">
        <f t="array" ref="Q581">IF(P581=1,IF(SUMPRODUCT(($P$2:P581)*(--($G$2:G581=$G581)))=1,1,0),0)</f>
        <v>0</v>
      </c>
      <c r="R581" s="70" t="str">
        <f>IF(Q581=1,SUM($Q$2:Q581),"")</f>
        <v/>
      </c>
    </row>
    <row r="582" spans="1:18" ht="16" x14ac:dyDescent="0.2">
      <c r="A582" s="73" t="s">
        <v>378</v>
      </c>
      <c r="B582" s="77" t="s">
        <v>1541</v>
      </c>
      <c r="C582" s="74" t="s">
        <v>1697</v>
      </c>
      <c r="D582" s="74" t="s">
        <v>981</v>
      </c>
      <c r="E582" s="78" t="s">
        <v>113</v>
      </c>
      <c r="F582" s="76" t="s">
        <v>1725</v>
      </c>
      <c r="G582" s="75" t="s">
        <v>327</v>
      </c>
      <c r="H582" s="70"/>
      <c r="P582" s="70">
        <f t="shared" si="9"/>
        <v>0</v>
      </c>
      <c r="Q582" s="70" cm="1">
        <f t="array" ref="Q582">IF(P582=1,IF(SUMPRODUCT(($P$2:P582)*(--($G$2:G582=$G582)))=1,1,0),0)</f>
        <v>0</v>
      </c>
      <c r="R582" s="70" t="str">
        <f>IF(Q582=1,SUM($Q$2:Q582),"")</f>
        <v/>
      </c>
    </row>
    <row r="583" spans="1:18" ht="16" x14ac:dyDescent="0.2">
      <c r="A583" s="73" t="s">
        <v>378</v>
      </c>
      <c r="B583" s="77" t="s">
        <v>1541</v>
      </c>
      <c r="C583" s="74" t="s">
        <v>1697</v>
      </c>
      <c r="D583" s="74" t="s">
        <v>981</v>
      </c>
      <c r="E583" s="78" t="s">
        <v>129</v>
      </c>
      <c r="F583" s="76" t="s">
        <v>1725</v>
      </c>
      <c r="G583" s="75" t="s">
        <v>327</v>
      </c>
      <c r="H583" s="70"/>
      <c r="P583" s="70">
        <f t="shared" si="9"/>
        <v>0</v>
      </c>
      <c r="Q583" s="70" cm="1">
        <f t="array" ref="Q583">IF(P583=1,IF(SUMPRODUCT(($P$2:P583)*(--($G$2:G583=$G583)))=1,1,0),0)</f>
        <v>0</v>
      </c>
      <c r="R583" s="70" t="str">
        <f>IF(Q583=1,SUM($Q$2:Q583),"")</f>
        <v/>
      </c>
    </row>
    <row r="584" spans="1:18" x14ac:dyDescent="0.2">
      <c r="A584" s="73" t="s">
        <v>285</v>
      </c>
      <c r="B584" s="77" t="s">
        <v>1541</v>
      </c>
      <c r="C584" s="74" t="s">
        <v>1729</v>
      </c>
      <c r="D584" s="74" t="s">
        <v>980</v>
      </c>
      <c r="E584" s="78" t="s">
        <v>106</v>
      </c>
      <c r="F584" s="76" t="s">
        <v>1596</v>
      </c>
      <c r="G584" s="76" t="s">
        <v>1212</v>
      </c>
      <c r="H584" s="70"/>
      <c r="P584" s="70">
        <f t="shared" si="9"/>
        <v>0</v>
      </c>
      <c r="Q584" s="70" cm="1">
        <f t="array" ref="Q584">IF(P584=1,IF(SUMPRODUCT(($P$2:P584)*(--($G$2:G584=$G584)))=1,1,0),0)</f>
        <v>0</v>
      </c>
      <c r="R584" s="70" t="str">
        <f>IF(Q584=1,SUM($Q$2:Q584),"")</f>
        <v/>
      </c>
    </row>
    <row r="585" spans="1:18" x14ac:dyDescent="0.2">
      <c r="A585" s="73" t="s">
        <v>285</v>
      </c>
      <c r="B585" s="77" t="s">
        <v>1541</v>
      </c>
      <c r="C585" s="74" t="s">
        <v>1729</v>
      </c>
      <c r="D585" s="74" t="s">
        <v>980</v>
      </c>
      <c r="E585" s="78" t="s">
        <v>106</v>
      </c>
      <c r="F585" s="76" t="s">
        <v>1597</v>
      </c>
      <c r="G585" s="76" t="s">
        <v>1212</v>
      </c>
      <c r="H585" s="70"/>
      <c r="P585" s="70">
        <f t="shared" si="9"/>
        <v>0</v>
      </c>
      <c r="Q585" s="70" cm="1">
        <f t="array" ref="Q585">IF(P585=1,IF(SUMPRODUCT(($P$2:P585)*(--($G$2:G585=$G585)))=1,1,0),0)</f>
        <v>0</v>
      </c>
      <c r="R585" s="70" t="str">
        <f>IF(Q585=1,SUM($Q$2:Q585),"")</f>
        <v/>
      </c>
    </row>
    <row r="586" spans="1:18" x14ac:dyDescent="0.2">
      <c r="A586" s="73" t="s">
        <v>285</v>
      </c>
      <c r="B586" s="77" t="s">
        <v>1541</v>
      </c>
      <c r="C586" s="74" t="s">
        <v>1729</v>
      </c>
      <c r="D586" s="74" t="s">
        <v>980</v>
      </c>
      <c r="E586" s="78" t="s">
        <v>106</v>
      </c>
      <c r="F586" s="76" t="s">
        <v>1671</v>
      </c>
      <c r="G586" s="76" t="s">
        <v>1212</v>
      </c>
      <c r="H586" s="70"/>
      <c r="P586" s="70">
        <f t="shared" si="9"/>
        <v>0</v>
      </c>
      <c r="Q586" s="70" cm="1">
        <f t="array" ref="Q586">IF(P586=1,IF(SUMPRODUCT(($P$2:P586)*(--($G$2:G586=$G586)))=1,1,0),0)</f>
        <v>0</v>
      </c>
      <c r="R586" s="70" t="str">
        <f>IF(Q586=1,SUM($Q$2:Q586),"")</f>
        <v/>
      </c>
    </row>
    <row r="587" spans="1:18" x14ac:dyDescent="0.2">
      <c r="A587" s="73" t="s">
        <v>285</v>
      </c>
      <c r="B587" s="77" t="s">
        <v>1541</v>
      </c>
      <c r="C587" s="74" t="s">
        <v>1729</v>
      </c>
      <c r="D587" s="74" t="s">
        <v>980</v>
      </c>
      <c r="E587" s="78" t="s">
        <v>106</v>
      </c>
      <c r="F587" s="76" t="s">
        <v>1672</v>
      </c>
      <c r="G587" s="76" t="s">
        <v>1212</v>
      </c>
      <c r="H587" s="70"/>
      <c r="P587" s="70">
        <f t="shared" si="9"/>
        <v>0</v>
      </c>
      <c r="Q587" s="70" cm="1">
        <f t="array" ref="Q587">IF(P587=1,IF(SUMPRODUCT(($P$2:P587)*(--($G$2:G587=$G587)))=1,1,0),0)</f>
        <v>0</v>
      </c>
      <c r="R587" s="70" t="str">
        <f>IF(Q587=1,SUM($Q$2:Q587),"")</f>
        <v/>
      </c>
    </row>
    <row r="588" spans="1:18" x14ac:dyDescent="0.2">
      <c r="A588" s="73" t="s">
        <v>285</v>
      </c>
      <c r="B588" s="77" t="s">
        <v>1541</v>
      </c>
      <c r="C588" s="74" t="s">
        <v>1729</v>
      </c>
      <c r="D588" s="74" t="s">
        <v>980</v>
      </c>
      <c r="E588" s="78" t="s">
        <v>106</v>
      </c>
      <c r="F588" s="76" t="s">
        <v>1730</v>
      </c>
      <c r="G588" s="76" t="s">
        <v>1211</v>
      </c>
      <c r="H588" s="70"/>
      <c r="P588" s="70">
        <f t="shared" si="9"/>
        <v>0</v>
      </c>
      <c r="Q588" s="70" cm="1">
        <f t="array" ref="Q588">IF(P588=1,IF(SUMPRODUCT(($P$2:P588)*(--($G$2:G588=$G588)))=1,1,0),0)</f>
        <v>0</v>
      </c>
      <c r="R588" s="70" t="str">
        <f>IF(Q588=1,SUM($Q$2:Q588),"")</f>
        <v/>
      </c>
    </row>
    <row r="589" spans="1:18" x14ac:dyDescent="0.2">
      <c r="A589" s="73" t="s">
        <v>285</v>
      </c>
      <c r="B589" s="77" t="s">
        <v>1541</v>
      </c>
      <c r="C589" s="74" t="s">
        <v>1729</v>
      </c>
      <c r="D589" s="74" t="s">
        <v>980</v>
      </c>
      <c r="E589" s="78" t="s">
        <v>106</v>
      </c>
      <c r="F589" s="76" t="s">
        <v>1731</v>
      </c>
      <c r="G589" s="76" t="s">
        <v>1211</v>
      </c>
      <c r="H589" s="70"/>
      <c r="P589" s="70">
        <f t="shared" si="9"/>
        <v>0</v>
      </c>
      <c r="Q589" s="70" cm="1">
        <f t="array" ref="Q589">IF(P589=1,IF(SUMPRODUCT(($P$2:P589)*(--($G$2:G589=$G589)))=1,1,0),0)</f>
        <v>0</v>
      </c>
      <c r="R589" s="70" t="str">
        <f>IF(Q589=1,SUM($Q$2:Q589),"")</f>
        <v/>
      </c>
    </row>
    <row r="590" spans="1:18" x14ac:dyDescent="0.2">
      <c r="A590" s="73" t="s">
        <v>285</v>
      </c>
      <c r="B590" s="77" t="s">
        <v>1541</v>
      </c>
      <c r="C590" s="74" t="s">
        <v>1729</v>
      </c>
      <c r="D590" s="74" t="s">
        <v>980</v>
      </c>
      <c r="E590" s="78" t="s">
        <v>106</v>
      </c>
      <c r="F590" s="76" t="s">
        <v>1732</v>
      </c>
      <c r="G590" s="76" t="s">
        <v>1211</v>
      </c>
      <c r="H590" s="70"/>
      <c r="P590" s="70">
        <f t="shared" si="9"/>
        <v>0</v>
      </c>
      <c r="Q590" s="70" cm="1">
        <f t="array" ref="Q590">IF(P590=1,IF(SUMPRODUCT(($P$2:P590)*(--($G$2:G590=$G590)))=1,1,0),0)</f>
        <v>0</v>
      </c>
      <c r="R590" s="70" t="str">
        <f>IF(Q590=1,SUM($Q$2:Q590),"")</f>
        <v/>
      </c>
    </row>
    <row r="591" spans="1:18" x14ac:dyDescent="0.2">
      <c r="A591" s="73" t="s">
        <v>285</v>
      </c>
      <c r="B591" s="77" t="s">
        <v>1541</v>
      </c>
      <c r="C591" s="74" t="s">
        <v>1729</v>
      </c>
      <c r="D591" s="74" t="s">
        <v>980</v>
      </c>
      <c r="E591" s="78" t="s">
        <v>106</v>
      </c>
      <c r="F591" s="76" t="s">
        <v>1733</v>
      </c>
      <c r="G591" s="76" t="s">
        <v>1211</v>
      </c>
      <c r="H591" s="70"/>
      <c r="P591" s="70">
        <f t="shared" si="9"/>
        <v>0</v>
      </c>
      <c r="Q591" s="70" cm="1">
        <f t="array" ref="Q591">IF(P591=1,IF(SUMPRODUCT(($P$2:P591)*(--($G$2:G591=$G591)))=1,1,0),0)</f>
        <v>0</v>
      </c>
      <c r="R591" s="70" t="str">
        <f>IF(Q591=1,SUM($Q$2:Q591),"")</f>
        <v/>
      </c>
    </row>
    <row r="592" spans="1:18" ht="16" x14ac:dyDescent="0.2">
      <c r="A592" s="73" t="s">
        <v>285</v>
      </c>
      <c r="B592" s="77" t="s">
        <v>1541</v>
      </c>
      <c r="C592" s="74" t="s">
        <v>1729</v>
      </c>
      <c r="D592" s="74" t="s">
        <v>980</v>
      </c>
      <c r="E592" s="78" t="s">
        <v>97</v>
      </c>
      <c r="F592" s="76" t="s">
        <v>285</v>
      </c>
      <c r="G592" s="75" t="s">
        <v>538</v>
      </c>
      <c r="H592" s="70"/>
      <c r="P592" s="70">
        <f t="shared" si="9"/>
        <v>0</v>
      </c>
      <c r="Q592" s="70" cm="1">
        <f t="array" ref="Q592">IF(P592=1,IF(SUMPRODUCT(($P$2:P592)*(--($G$2:G592=$G592)))=1,1,0),0)</f>
        <v>0</v>
      </c>
      <c r="R592" s="70" t="str">
        <f>IF(Q592=1,SUM($Q$2:Q592),"")</f>
        <v/>
      </c>
    </row>
    <row r="593" spans="1:18" ht="16" x14ac:dyDescent="0.2">
      <c r="A593" s="73" t="s">
        <v>285</v>
      </c>
      <c r="B593" s="77" t="s">
        <v>1541</v>
      </c>
      <c r="C593" s="74" t="s">
        <v>1729</v>
      </c>
      <c r="D593" s="74" t="s">
        <v>980</v>
      </c>
      <c r="E593" s="78" t="s">
        <v>97</v>
      </c>
      <c r="F593" s="76" t="s">
        <v>1593</v>
      </c>
      <c r="G593" s="75" t="s">
        <v>538</v>
      </c>
      <c r="H593" s="70"/>
      <c r="P593" s="70">
        <f t="shared" si="9"/>
        <v>0</v>
      </c>
      <c r="Q593" s="70" cm="1">
        <f t="array" ref="Q593">IF(P593=1,IF(SUMPRODUCT(($P$2:P593)*(--($G$2:G593=$G593)))=1,1,0),0)</f>
        <v>0</v>
      </c>
      <c r="R593" s="70" t="str">
        <f>IF(Q593=1,SUM($Q$2:Q593),"")</f>
        <v/>
      </c>
    </row>
    <row r="594" spans="1:18" ht="16" x14ac:dyDescent="0.2">
      <c r="A594" s="73" t="s">
        <v>285</v>
      </c>
      <c r="B594" s="77" t="s">
        <v>1541</v>
      </c>
      <c r="C594" s="74" t="s">
        <v>1729</v>
      </c>
      <c r="D594" s="74" t="s">
        <v>980</v>
      </c>
      <c r="E594" s="78" t="s">
        <v>97</v>
      </c>
      <c r="F594" s="76" t="s">
        <v>1594</v>
      </c>
      <c r="G594" s="75" t="s">
        <v>538</v>
      </c>
      <c r="H594" s="70"/>
      <c r="P594" s="70">
        <f t="shared" si="9"/>
        <v>0</v>
      </c>
      <c r="Q594" s="70" cm="1">
        <f t="array" ref="Q594">IF(P594=1,IF(SUMPRODUCT(($P$2:P594)*(--($G$2:G594=$G594)))=1,1,0),0)</f>
        <v>0</v>
      </c>
      <c r="R594" s="70" t="str">
        <f>IF(Q594=1,SUM($Q$2:Q594),"")</f>
        <v/>
      </c>
    </row>
    <row r="595" spans="1:18" ht="16" x14ac:dyDescent="0.2">
      <c r="A595" s="73" t="s">
        <v>285</v>
      </c>
      <c r="B595" s="77" t="s">
        <v>1541</v>
      </c>
      <c r="C595" s="74" t="s">
        <v>1729</v>
      </c>
      <c r="D595" s="74" t="s">
        <v>980</v>
      </c>
      <c r="E595" s="78" t="s">
        <v>97</v>
      </c>
      <c r="F595" s="76" t="s">
        <v>1595</v>
      </c>
      <c r="G595" s="75" t="s">
        <v>538</v>
      </c>
      <c r="H595" s="70"/>
      <c r="P595" s="70">
        <f t="shared" si="9"/>
        <v>0</v>
      </c>
      <c r="Q595" s="70" cm="1">
        <f t="array" ref="Q595">IF(P595=1,IF(SUMPRODUCT(($P$2:P595)*(--($G$2:G595=$G595)))=1,1,0),0)</f>
        <v>0</v>
      </c>
      <c r="R595" s="70" t="str">
        <f>IF(Q595=1,SUM($Q$2:Q595),"")</f>
        <v/>
      </c>
    </row>
    <row r="596" spans="1:18" ht="16" x14ac:dyDescent="0.2">
      <c r="A596" s="73" t="s">
        <v>285</v>
      </c>
      <c r="B596" s="77" t="s">
        <v>1541</v>
      </c>
      <c r="C596" s="74" t="s">
        <v>1729</v>
      </c>
      <c r="D596" s="74" t="s">
        <v>980</v>
      </c>
      <c r="E596" s="78" t="s">
        <v>106</v>
      </c>
      <c r="F596" s="76" t="s">
        <v>285</v>
      </c>
      <c r="G596" s="75" t="s">
        <v>536</v>
      </c>
      <c r="H596" s="70"/>
      <c r="P596" s="70">
        <f t="shared" si="9"/>
        <v>0</v>
      </c>
      <c r="Q596" s="70" cm="1">
        <f t="array" ref="Q596">IF(P596=1,IF(SUMPRODUCT(($P$2:P596)*(--($G$2:G596=$G596)))=1,1,0),0)</f>
        <v>0</v>
      </c>
      <c r="R596" s="70" t="str">
        <f>IF(Q596=1,SUM($Q$2:Q596),"")</f>
        <v/>
      </c>
    </row>
    <row r="597" spans="1:18" ht="16" x14ac:dyDescent="0.2">
      <c r="A597" s="73" t="s">
        <v>285</v>
      </c>
      <c r="B597" s="77" t="s">
        <v>1541</v>
      </c>
      <c r="C597" s="74" t="s">
        <v>1729</v>
      </c>
      <c r="D597" s="74" t="s">
        <v>980</v>
      </c>
      <c r="E597" s="78" t="s">
        <v>106</v>
      </c>
      <c r="F597" s="76" t="s">
        <v>1593</v>
      </c>
      <c r="G597" s="75" t="s">
        <v>536</v>
      </c>
      <c r="H597" s="70"/>
      <c r="P597" s="70">
        <f t="shared" si="9"/>
        <v>0</v>
      </c>
      <c r="Q597" s="70" cm="1">
        <f t="array" ref="Q597">IF(P597=1,IF(SUMPRODUCT(($P$2:P597)*(--($G$2:G597=$G597)))=1,1,0),0)</f>
        <v>0</v>
      </c>
      <c r="R597" s="70" t="str">
        <f>IF(Q597=1,SUM($Q$2:Q597),"")</f>
        <v/>
      </c>
    </row>
    <row r="598" spans="1:18" ht="16" x14ac:dyDescent="0.2">
      <c r="A598" s="73" t="s">
        <v>285</v>
      </c>
      <c r="B598" s="77" t="s">
        <v>1541</v>
      </c>
      <c r="C598" s="74" t="s">
        <v>1729</v>
      </c>
      <c r="D598" s="74" t="s">
        <v>980</v>
      </c>
      <c r="E598" s="78" t="s">
        <v>106</v>
      </c>
      <c r="F598" s="76" t="s">
        <v>1594</v>
      </c>
      <c r="G598" s="75" t="s">
        <v>536</v>
      </c>
      <c r="H598" s="70"/>
      <c r="P598" s="70">
        <f t="shared" si="9"/>
        <v>0</v>
      </c>
      <c r="Q598" s="70" cm="1">
        <f t="array" ref="Q598">IF(P598=1,IF(SUMPRODUCT(($P$2:P598)*(--($G$2:G598=$G598)))=1,1,0),0)</f>
        <v>0</v>
      </c>
      <c r="R598" s="70" t="str">
        <f>IF(Q598=1,SUM($Q$2:Q598),"")</f>
        <v/>
      </c>
    </row>
    <row r="599" spans="1:18" ht="16" x14ac:dyDescent="0.2">
      <c r="A599" s="73" t="s">
        <v>285</v>
      </c>
      <c r="B599" s="77" t="s">
        <v>1541</v>
      </c>
      <c r="C599" s="74" t="s">
        <v>1729</v>
      </c>
      <c r="D599" s="74" t="s">
        <v>980</v>
      </c>
      <c r="E599" s="78" t="s">
        <v>106</v>
      </c>
      <c r="F599" s="76" t="s">
        <v>1595</v>
      </c>
      <c r="G599" s="75" t="s">
        <v>536</v>
      </c>
      <c r="H599" s="70"/>
      <c r="P599" s="70">
        <f t="shared" si="9"/>
        <v>0</v>
      </c>
      <c r="Q599" s="70" cm="1">
        <f t="array" ref="Q599">IF(P599=1,IF(SUMPRODUCT(($P$2:P599)*(--($G$2:G599=$G599)))=1,1,0),0)</f>
        <v>0</v>
      </c>
      <c r="R599" s="70" t="str">
        <f>IF(Q599=1,SUM($Q$2:Q599),"")</f>
        <v/>
      </c>
    </row>
    <row r="600" spans="1:18" ht="16" x14ac:dyDescent="0.2">
      <c r="A600" s="73" t="s">
        <v>285</v>
      </c>
      <c r="B600" s="77" t="s">
        <v>1541</v>
      </c>
      <c r="C600" s="74" t="s">
        <v>1729</v>
      </c>
      <c r="D600" s="74" t="s">
        <v>980</v>
      </c>
      <c r="E600" s="78" t="s">
        <v>106</v>
      </c>
      <c r="F600" s="76" t="s">
        <v>1666</v>
      </c>
      <c r="G600" s="75" t="s">
        <v>536</v>
      </c>
      <c r="H600" s="70"/>
      <c r="P600" s="70">
        <f t="shared" si="9"/>
        <v>0</v>
      </c>
      <c r="Q600" s="70" cm="1">
        <f t="array" ref="Q600">IF(P600=1,IF(SUMPRODUCT(($P$2:P600)*(--($G$2:G600=$G600)))=1,1,0),0)</f>
        <v>0</v>
      </c>
      <c r="R600" s="70" t="str">
        <f>IF(Q600=1,SUM($Q$2:Q600),"")</f>
        <v/>
      </c>
    </row>
    <row r="601" spans="1:18" ht="16" x14ac:dyDescent="0.2">
      <c r="A601" s="73" t="s">
        <v>285</v>
      </c>
      <c r="B601" s="77" t="s">
        <v>1541</v>
      </c>
      <c r="C601" s="74" t="s">
        <v>1729</v>
      </c>
      <c r="D601" s="74" t="s">
        <v>980</v>
      </c>
      <c r="E601" s="78" t="s">
        <v>106</v>
      </c>
      <c r="F601" s="76" t="s">
        <v>1667</v>
      </c>
      <c r="G601" s="75" t="s">
        <v>536</v>
      </c>
      <c r="H601" s="70"/>
      <c r="P601" s="70">
        <f t="shared" si="9"/>
        <v>0</v>
      </c>
      <c r="Q601" s="70" cm="1">
        <f t="array" ref="Q601">IF(P601=1,IF(SUMPRODUCT(($P$2:P601)*(--($G$2:G601=$G601)))=1,1,0),0)</f>
        <v>0</v>
      </c>
      <c r="R601" s="70" t="str">
        <f>IF(Q601=1,SUM($Q$2:Q601),"")</f>
        <v/>
      </c>
    </row>
    <row r="602" spans="1:18" ht="16" x14ac:dyDescent="0.2">
      <c r="A602" s="73" t="s">
        <v>285</v>
      </c>
      <c r="B602" s="77" t="s">
        <v>1541</v>
      </c>
      <c r="C602" s="74" t="s">
        <v>1729</v>
      </c>
      <c r="D602" s="74" t="s">
        <v>980</v>
      </c>
      <c r="E602" s="78" t="s">
        <v>106</v>
      </c>
      <c r="F602" s="76" t="s">
        <v>1668</v>
      </c>
      <c r="G602" s="75" t="s">
        <v>536</v>
      </c>
      <c r="H602" s="70"/>
      <c r="P602" s="70">
        <f t="shared" si="9"/>
        <v>0</v>
      </c>
      <c r="Q602" s="70" cm="1">
        <f t="array" ref="Q602">IF(P602=1,IF(SUMPRODUCT(($P$2:P602)*(--($G$2:G602=$G602)))=1,1,0),0)</f>
        <v>0</v>
      </c>
      <c r="R602" s="70" t="str">
        <f>IF(Q602=1,SUM($Q$2:Q602),"")</f>
        <v/>
      </c>
    </row>
    <row r="603" spans="1:18" ht="16" x14ac:dyDescent="0.2">
      <c r="A603" s="73" t="s">
        <v>285</v>
      </c>
      <c r="B603" s="77" t="s">
        <v>1541</v>
      </c>
      <c r="C603" s="74" t="s">
        <v>1729</v>
      </c>
      <c r="D603" s="74" t="s">
        <v>980</v>
      </c>
      <c r="E603" s="78" t="s">
        <v>106</v>
      </c>
      <c r="F603" s="76" t="s">
        <v>1669</v>
      </c>
      <c r="G603" s="75" t="s">
        <v>536</v>
      </c>
      <c r="H603" s="70"/>
      <c r="P603" s="70">
        <f t="shared" si="9"/>
        <v>0</v>
      </c>
      <c r="Q603" s="70" cm="1">
        <f t="array" ref="Q603">IF(P603=1,IF(SUMPRODUCT(($P$2:P603)*(--($G$2:G603=$G603)))=1,1,0),0)</f>
        <v>0</v>
      </c>
      <c r="R603" s="70" t="str">
        <f>IF(Q603=1,SUM($Q$2:Q603),"")</f>
        <v/>
      </c>
    </row>
    <row r="604" spans="1:18" ht="16" x14ac:dyDescent="0.2">
      <c r="A604" s="73" t="s">
        <v>285</v>
      </c>
      <c r="B604" s="77" t="s">
        <v>1541</v>
      </c>
      <c r="C604" s="74" t="s">
        <v>1729</v>
      </c>
      <c r="D604" s="74" t="s">
        <v>980</v>
      </c>
      <c r="E604" s="78" t="s">
        <v>97</v>
      </c>
      <c r="F604" s="76" t="s">
        <v>289</v>
      </c>
      <c r="G604" s="75" t="s">
        <v>535</v>
      </c>
      <c r="H604" s="70"/>
      <c r="P604" s="70">
        <f t="shared" si="9"/>
        <v>0</v>
      </c>
      <c r="Q604" s="70" cm="1">
        <f t="array" ref="Q604">IF(P604=1,IF(SUMPRODUCT(($P$2:P604)*(--($G$2:G604=$G604)))=1,1,0),0)</f>
        <v>0</v>
      </c>
      <c r="R604" s="70" t="str">
        <f>IF(Q604=1,SUM($Q$2:Q604),"")</f>
        <v/>
      </c>
    </row>
    <row r="605" spans="1:18" ht="16" x14ac:dyDescent="0.2">
      <c r="A605" s="73" t="s">
        <v>285</v>
      </c>
      <c r="B605" s="77" t="s">
        <v>1541</v>
      </c>
      <c r="C605" s="74" t="s">
        <v>1729</v>
      </c>
      <c r="D605" s="74" t="s">
        <v>980</v>
      </c>
      <c r="E605" s="78" t="s">
        <v>97</v>
      </c>
      <c r="F605" s="76" t="s">
        <v>1734</v>
      </c>
      <c r="G605" s="75" t="s">
        <v>535</v>
      </c>
      <c r="H605" s="70"/>
      <c r="P605" s="70">
        <f t="shared" si="9"/>
        <v>0</v>
      </c>
      <c r="Q605" s="70" cm="1">
        <f t="array" ref="Q605">IF(P605=1,IF(SUMPRODUCT(($P$2:P605)*(--($G$2:G605=$G605)))=1,1,0),0)</f>
        <v>0</v>
      </c>
      <c r="R605" s="70" t="str">
        <f>IF(Q605=1,SUM($Q$2:Q605),"")</f>
        <v/>
      </c>
    </row>
    <row r="606" spans="1:18" ht="16" x14ac:dyDescent="0.2">
      <c r="A606" s="73" t="s">
        <v>285</v>
      </c>
      <c r="B606" s="77" t="s">
        <v>1541</v>
      </c>
      <c r="C606" s="74" t="s">
        <v>1729</v>
      </c>
      <c r="D606" s="74" t="s">
        <v>980</v>
      </c>
      <c r="E606" s="78" t="s">
        <v>97</v>
      </c>
      <c r="F606" s="76" t="s">
        <v>1735</v>
      </c>
      <c r="G606" s="75" t="s">
        <v>535</v>
      </c>
      <c r="H606" s="70"/>
      <c r="P606" s="70">
        <f t="shared" si="9"/>
        <v>0</v>
      </c>
      <c r="Q606" s="70" cm="1">
        <f t="array" ref="Q606">IF(P606=1,IF(SUMPRODUCT(($P$2:P606)*(--($G$2:G606=$G606)))=1,1,0),0)</f>
        <v>0</v>
      </c>
      <c r="R606" s="70" t="str">
        <f>IF(Q606=1,SUM($Q$2:Q606),"")</f>
        <v/>
      </c>
    </row>
    <row r="607" spans="1:18" ht="16" x14ac:dyDescent="0.2">
      <c r="A607" s="73" t="s">
        <v>285</v>
      </c>
      <c r="B607" s="77" t="s">
        <v>1541</v>
      </c>
      <c r="C607" s="74" t="s">
        <v>1729</v>
      </c>
      <c r="D607" s="74" t="s">
        <v>980</v>
      </c>
      <c r="E607" s="78" t="s">
        <v>97</v>
      </c>
      <c r="F607" s="76" t="s">
        <v>1736</v>
      </c>
      <c r="G607" s="75" t="s">
        <v>535</v>
      </c>
      <c r="H607" s="70"/>
      <c r="P607" s="70">
        <f t="shared" si="9"/>
        <v>0</v>
      </c>
      <c r="Q607" s="70" cm="1">
        <f t="array" ref="Q607">IF(P607=1,IF(SUMPRODUCT(($P$2:P607)*(--($G$2:G607=$G607)))=1,1,0),0)</f>
        <v>0</v>
      </c>
      <c r="R607" s="70" t="str">
        <f>IF(Q607=1,SUM($Q$2:Q607),"")</f>
        <v/>
      </c>
    </row>
    <row r="608" spans="1:18" ht="16" x14ac:dyDescent="0.2">
      <c r="A608" s="73" t="s">
        <v>285</v>
      </c>
      <c r="B608" s="77" t="s">
        <v>1541</v>
      </c>
      <c r="C608" s="74" t="s">
        <v>1729</v>
      </c>
      <c r="D608" s="74" t="s">
        <v>980</v>
      </c>
      <c r="E608" s="78" t="s">
        <v>106</v>
      </c>
      <c r="F608" s="76" t="s">
        <v>289</v>
      </c>
      <c r="G608" s="75" t="s">
        <v>534</v>
      </c>
      <c r="H608" s="70"/>
      <c r="P608" s="70">
        <f t="shared" si="9"/>
        <v>0</v>
      </c>
      <c r="Q608" s="70" cm="1">
        <f t="array" ref="Q608">IF(P608=1,IF(SUMPRODUCT(($P$2:P608)*(--($G$2:G608=$G608)))=1,1,0),0)</f>
        <v>0</v>
      </c>
      <c r="R608" s="70" t="str">
        <f>IF(Q608=1,SUM($Q$2:Q608),"")</f>
        <v/>
      </c>
    </row>
    <row r="609" spans="1:18" ht="16" x14ac:dyDescent="0.2">
      <c r="A609" s="73" t="s">
        <v>285</v>
      </c>
      <c r="B609" s="77" t="s">
        <v>1541</v>
      </c>
      <c r="C609" s="74" t="s">
        <v>1729</v>
      </c>
      <c r="D609" s="74" t="s">
        <v>980</v>
      </c>
      <c r="E609" s="78" t="s">
        <v>106</v>
      </c>
      <c r="F609" s="76" t="s">
        <v>1734</v>
      </c>
      <c r="G609" s="75" t="s">
        <v>534</v>
      </c>
      <c r="H609" s="70"/>
      <c r="P609" s="70">
        <f t="shared" si="9"/>
        <v>0</v>
      </c>
      <c r="Q609" s="70" cm="1">
        <f t="array" ref="Q609">IF(P609=1,IF(SUMPRODUCT(($P$2:P609)*(--($G$2:G609=$G609)))=1,1,0),0)</f>
        <v>0</v>
      </c>
      <c r="R609" s="70" t="str">
        <f>IF(Q609=1,SUM($Q$2:Q609),"")</f>
        <v/>
      </c>
    </row>
    <row r="610" spans="1:18" ht="16" x14ac:dyDescent="0.2">
      <c r="A610" s="73" t="s">
        <v>285</v>
      </c>
      <c r="B610" s="77" t="s">
        <v>1541</v>
      </c>
      <c r="C610" s="74" t="s">
        <v>1729</v>
      </c>
      <c r="D610" s="74" t="s">
        <v>980</v>
      </c>
      <c r="E610" s="78" t="s">
        <v>106</v>
      </c>
      <c r="F610" s="76" t="s">
        <v>1735</v>
      </c>
      <c r="G610" s="75" t="s">
        <v>534</v>
      </c>
      <c r="H610" s="70"/>
      <c r="P610" s="70">
        <f t="shared" si="9"/>
        <v>0</v>
      </c>
      <c r="Q610" s="70" cm="1">
        <f t="array" ref="Q610">IF(P610=1,IF(SUMPRODUCT(($P$2:P610)*(--($G$2:G610=$G610)))=1,1,0),0)</f>
        <v>0</v>
      </c>
      <c r="R610" s="70" t="str">
        <f>IF(Q610=1,SUM($Q$2:Q610),"")</f>
        <v/>
      </c>
    </row>
    <row r="611" spans="1:18" ht="16" x14ac:dyDescent="0.2">
      <c r="A611" s="73" t="s">
        <v>285</v>
      </c>
      <c r="B611" s="77" t="s">
        <v>1541</v>
      </c>
      <c r="C611" s="74" t="s">
        <v>1729</v>
      </c>
      <c r="D611" s="74" t="s">
        <v>980</v>
      </c>
      <c r="E611" s="78" t="s">
        <v>106</v>
      </c>
      <c r="F611" s="76" t="s">
        <v>1736</v>
      </c>
      <c r="G611" s="75" t="s">
        <v>534</v>
      </c>
      <c r="H611" s="70"/>
      <c r="P611" s="70">
        <f t="shared" si="9"/>
        <v>0</v>
      </c>
      <c r="Q611" s="70" cm="1">
        <f t="array" ref="Q611">IF(P611=1,IF(SUMPRODUCT(($P$2:P611)*(--($G$2:G611=$G611)))=1,1,0),0)</f>
        <v>0</v>
      </c>
      <c r="R611" s="70" t="str">
        <f>IF(Q611=1,SUM($Q$2:Q611),"")</f>
        <v/>
      </c>
    </row>
    <row r="612" spans="1:18" ht="16" x14ac:dyDescent="0.2">
      <c r="A612" s="73" t="s">
        <v>285</v>
      </c>
      <c r="B612" s="77" t="s">
        <v>1541</v>
      </c>
      <c r="C612" s="74" t="s">
        <v>1729</v>
      </c>
      <c r="D612" s="74" t="s">
        <v>980</v>
      </c>
      <c r="E612" s="78" t="s">
        <v>106</v>
      </c>
      <c r="F612" s="76" t="s">
        <v>1670</v>
      </c>
      <c r="G612" s="75" t="s">
        <v>534</v>
      </c>
      <c r="H612" s="70"/>
      <c r="P612" s="70">
        <f t="shared" si="9"/>
        <v>0</v>
      </c>
      <c r="Q612" s="70" cm="1">
        <f t="array" ref="Q612">IF(P612=1,IF(SUMPRODUCT(($P$2:P612)*(--($G$2:G612=$G612)))=1,1,0),0)</f>
        <v>0</v>
      </c>
      <c r="R612" s="70" t="str">
        <f>IF(Q612=1,SUM($Q$2:Q612),"")</f>
        <v/>
      </c>
    </row>
    <row r="613" spans="1:18" ht="16" x14ac:dyDescent="0.2">
      <c r="A613" s="73" t="s">
        <v>285</v>
      </c>
      <c r="B613" s="77" t="s">
        <v>1541</v>
      </c>
      <c r="C613" s="74" t="s">
        <v>1729</v>
      </c>
      <c r="D613" s="74" t="s">
        <v>980</v>
      </c>
      <c r="E613" s="78" t="s">
        <v>106</v>
      </c>
      <c r="F613" s="76" t="s">
        <v>1737</v>
      </c>
      <c r="G613" s="75" t="s">
        <v>534</v>
      </c>
      <c r="H613" s="70"/>
      <c r="P613" s="70">
        <f t="shared" si="9"/>
        <v>0</v>
      </c>
      <c r="Q613" s="70" cm="1">
        <f t="array" ref="Q613">IF(P613=1,IF(SUMPRODUCT(($P$2:P613)*(--($G$2:G613=$G613)))=1,1,0),0)</f>
        <v>0</v>
      </c>
      <c r="R613" s="70" t="str">
        <f>IF(Q613=1,SUM($Q$2:Q613),"")</f>
        <v/>
      </c>
    </row>
    <row r="614" spans="1:18" ht="16" x14ac:dyDescent="0.2">
      <c r="A614" s="73" t="s">
        <v>285</v>
      </c>
      <c r="B614" s="77" t="s">
        <v>1541</v>
      </c>
      <c r="C614" s="74" t="s">
        <v>1729</v>
      </c>
      <c r="D614" s="74" t="s">
        <v>980</v>
      </c>
      <c r="E614" s="78" t="s">
        <v>106</v>
      </c>
      <c r="F614" s="76" t="s">
        <v>1738</v>
      </c>
      <c r="G614" s="75" t="s">
        <v>534</v>
      </c>
      <c r="H614" s="70"/>
      <c r="P614" s="70">
        <f t="shared" si="9"/>
        <v>0</v>
      </c>
      <c r="Q614" s="70" cm="1">
        <f t="array" ref="Q614">IF(P614=1,IF(SUMPRODUCT(($P$2:P614)*(--($G$2:G614=$G614)))=1,1,0),0)</f>
        <v>0</v>
      </c>
      <c r="R614" s="70" t="str">
        <f>IF(Q614=1,SUM($Q$2:Q614),"")</f>
        <v/>
      </c>
    </row>
    <row r="615" spans="1:18" ht="16" x14ac:dyDescent="0.2">
      <c r="A615" s="73" t="s">
        <v>285</v>
      </c>
      <c r="B615" s="77" t="s">
        <v>1541</v>
      </c>
      <c r="C615" s="74" t="s">
        <v>1729</v>
      </c>
      <c r="D615" s="74" t="s">
        <v>980</v>
      </c>
      <c r="E615" s="78" t="s">
        <v>106</v>
      </c>
      <c r="F615" s="76" t="s">
        <v>1739</v>
      </c>
      <c r="G615" s="75" t="s">
        <v>534</v>
      </c>
      <c r="H615" s="70"/>
      <c r="P615" s="70">
        <f t="shared" si="9"/>
        <v>0</v>
      </c>
      <c r="Q615" s="70" cm="1">
        <f t="array" ref="Q615">IF(P615=1,IF(SUMPRODUCT(($P$2:P615)*(--($G$2:G615=$G615)))=1,1,0),0)</f>
        <v>0</v>
      </c>
      <c r="R615" s="70" t="str">
        <f>IF(Q615=1,SUM($Q$2:Q615),"")</f>
        <v/>
      </c>
    </row>
    <row r="616" spans="1:18" x14ac:dyDescent="0.2">
      <c r="A616" s="73" t="s">
        <v>1301</v>
      </c>
      <c r="B616" s="77" t="s">
        <v>1541</v>
      </c>
      <c r="C616" s="74" t="s">
        <v>1729</v>
      </c>
      <c r="D616" s="74" t="s">
        <v>980</v>
      </c>
      <c r="E616" s="78" t="s">
        <v>106</v>
      </c>
      <c r="F616" s="76" t="s">
        <v>1301</v>
      </c>
      <c r="G616" s="86" t="s">
        <v>1740</v>
      </c>
      <c r="H616" s="70"/>
      <c r="P616" s="70">
        <f t="shared" si="9"/>
        <v>0</v>
      </c>
      <c r="Q616" s="70" cm="1">
        <f t="array" ref="Q616">IF(P616=1,IF(SUMPRODUCT(($P$2:P616)*(--($G$2:G616=$G616)))=1,1,0),0)</f>
        <v>0</v>
      </c>
      <c r="R616" s="70" t="str">
        <f>IF(Q616=1,SUM($Q$2:Q616),"")</f>
        <v/>
      </c>
    </row>
    <row r="617" spans="1:18" x14ac:dyDescent="0.2">
      <c r="A617" s="73" t="s">
        <v>1301</v>
      </c>
      <c r="B617" s="77" t="s">
        <v>1541</v>
      </c>
      <c r="C617" s="74" t="s">
        <v>1729</v>
      </c>
      <c r="D617" s="74" t="s">
        <v>980</v>
      </c>
      <c r="E617" s="78" t="s">
        <v>106</v>
      </c>
      <c r="F617" s="76" t="s">
        <v>1301</v>
      </c>
      <c r="G617" s="86" t="s">
        <v>1740</v>
      </c>
      <c r="H617" s="70"/>
      <c r="P617" s="70">
        <f t="shared" si="9"/>
        <v>0</v>
      </c>
      <c r="Q617" s="70" cm="1">
        <f t="array" ref="Q617">IF(P617=1,IF(SUMPRODUCT(($P$2:P617)*(--($G$2:G617=$G617)))=1,1,0),0)</f>
        <v>0</v>
      </c>
      <c r="R617" s="70" t="str">
        <f>IF(Q617=1,SUM($Q$2:Q617),"")</f>
        <v/>
      </c>
    </row>
    <row r="618" spans="1:18" ht="16" x14ac:dyDescent="0.2">
      <c r="A618" s="73" t="s">
        <v>100</v>
      </c>
      <c r="B618" s="85" t="s">
        <v>100</v>
      </c>
      <c r="C618" s="74" t="s">
        <v>1741</v>
      </c>
      <c r="D618" s="74" t="s">
        <v>978</v>
      </c>
      <c r="E618" s="78" t="s">
        <v>100</v>
      </c>
      <c r="F618" s="76" t="s">
        <v>1742</v>
      </c>
      <c r="G618" s="75" t="s">
        <v>962</v>
      </c>
      <c r="H618" s="70"/>
      <c r="P618" s="70">
        <f t="shared" si="9"/>
        <v>0</v>
      </c>
      <c r="Q618" s="70" cm="1">
        <f t="array" ref="Q618">IF(P618=1,IF(SUMPRODUCT(($P$2:P618)*(--($G$2:G618=$G618)))=1,1,0),0)</f>
        <v>0</v>
      </c>
      <c r="R618" s="70" t="str">
        <f>IF(Q618=1,SUM($Q$2:Q618),"")</f>
        <v/>
      </c>
    </row>
    <row r="619" spans="1:18" x14ac:dyDescent="0.2">
      <c r="A619" s="73" t="s">
        <v>366</v>
      </c>
      <c r="B619" s="77" t="s">
        <v>1541</v>
      </c>
      <c r="C619" s="74" t="s">
        <v>1741</v>
      </c>
      <c r="D619" s="74" t="s">
        <v>978</v>
      </c>
      <c r="E619" s="78" t="s">
        <v>113</v>
      </c>
      <c r="F619" s="76" t="s">
        <v>366</v>
      </c>
      <c r="G619" s="86" t="s">
        <v>508</v>
      </c>
      <c r="H619" s="70"/>
      <c r="P619" s="70">
        <f t="shared" si="9"/>
        <v>0</v>
      </c>
      <c r="Q619" s="70" cm="1">
        <f t="array" ref="Q619">IF(P619=1,IF(SUMPRODUCT(($P$2:P619)*(--($G$2:G619=$G619)))=1,1,0),0)</f>
        <v>0</v>
      </c>
      <c r="R619" s="70" t="str">
        <f>IF(Q619=1,SUM($Q$2:Q619),"")</f>
        <v/>
      </c>
    </row>
    <row r="620" spans="1:18" x14ac:dyDescent="0.2">
      <c r="A620" s="73" t="s">
        <v>366</v>
      </c>
      <c r="B620" s="77" t="s">
        <v>1541</v>
      </c>
      <c r="C620" s="74" t="s">
        <v>1741</v>
      </c>
      <c r="D620" s="74" t="s">
        <v>978</v>
      </c>
      <c r="E620" s="78" t="s">
        <v>1002</v>
      </c>
      <c r="F620" s="76" t="s">
        <v>366</v>
      </c>
      <c r="G620" s="86" t="s">
        <v>508</v>
      </c>
      <c r="H620" s="70"/>
      <c r="P620" s="70">
        <f t="shared" si="9"/>
        <v>0</v>
      </c>
      <c r="Q620" s="70" cm="1">
        <f t="array" ref="Q620">IF(P620=1,IF(SUMPRODUCT(($P$2:P620)*(--($G$2:G620=$G620)))=1,1,0),0)</f>
        <v>0</v>
      </c>
      <c r="R620" s="70" t="str">
        <f>IF(Q620=1,SUM($Q$2:Q620),"")</f>
        <v/>
      </c>
    </row>
    <row r="621" spans="1:18" x14ac:dyDescent="0.2">
      <c r="A621" s="73" t="s">
        <v>366</v>
      </c>
      <c r="B621" s="77" t="s">
        <v>1541</v>
      </c>
      <c r="C621" s="74" t="s">
        <v>1741</v>
      </c>
      <c r="D621" s="74" t="s">
        <v>978</v>
      </c>
      <c r="E621" s="78" t="s">
        <v>113</v>
      </c>
      <c r="F621" s="76" t="s">
        <v>1743</v>
      </c>
      <c r="G621" s="86" t="s">
        <v>508</v>
      </c>
      <c r="H621" s="70"/>
      <c r="P621" s="70">
        <f t="shared" si="9"/>
        <v>0</v>
      </c>
      <c r="Q621" s="70" cm="1">
        <f t="array" ref="Q621">IF(P621=1,IF(SUMPRODUCT(($P$2:P621)*(--($G$2:G621=$G621)))=1,1,0),0)</f>
        <v>0</v>
      </c>
      <c r="R621" s="70" t="str">
        <f>IF(Q621=1,SUM($Q$2:Q621),"")</f>
        <v/>
      </c>
    </row>
    <row r="622" spans="1:18" x14ac:dyDescent="0.2">
      <c r="A622" s="73" t="s">
        <v>366</v>
      </c>
      <c r="B622" s="77" t="s">
        <v>1541</v>
      </c>
      <c r="C622" s="74" t="s">
        <v>1741</v>
      </c>
      <c r="D622" s="74" t="s">
        <v>978</v>
      </c>
      <c r="E622" s="78" t="s">
        <v>1002</v>
      </c>
      <c r="F622" s="76" t="s">
        <v>1743</v>
      </c>
      <c r="G622" s="86" t="s">
        <v>508</v>
      </c>
      <c r="H622" s="70"/>
      <c r="P622" s="70">
        <f t="shared" si="9"/>
        <v>0</v>
      </c>
      <c r="Q622" s="70" cm="1">
        <f t="array" ref="Q622">IF(P622=1,IF(SUMPRODUCT(($P$2:P622)*(--($G$2:G622=$G622)))=1,1,0),0)</f>
        <v>0</v>
      </c>
      <c r="R622" s="70" t="str">
        <f>IF(Q622=1,SUM($Q$2:Q622),"")</f>
        <v/>
      </c>
    </row>
    <row r="623" spans="1:18" ht="16" x14ac:dyDescent="0.2">
      <c r="A623" s="73" t="s">
        <v>366</v>
      </c>
      <c r="B623" s="77" t="s">
        <v>1541</v>
      </c>
      <c r="C623" s="74" t="s">
        <v>1741</v>
      </c>
      <c r="D623" s="74" t="s">
        <v>978</v>
      </c>
      <c r="E623" s="78" t="s">
        <v>113</v>
      </c>
      <c r="F623" s="76" t="s">
        <v>1744</v>
      </c>
      <c r="G623" s="75" t="s">
        <v>511</v>
      </c>
      <c r="H623" s="70"/>
      <c r="P623" s="70">
        <f t="shared" si="9"/>
        <v>0</v>
      </c>
      <c r="Q623" s="70" cm="1">
        <f t="array" ref="Q623">IF(P623=1,IF(SUMPRODUCT(($P$2:P623)*(--($G$2:G623=$G623)))=1,1,0),0)</f>
        <v>0</v>
      </c>
      <c r="R623" s="70" t="str">
        <f>IF(Q623=1,SUM($Q$2:Q623),"")</f>
        <v/>
      </c>
    </row>
    <row r="624" spans="1:18" ht="16" x14ac:dyDescent="0.2">
      <c r="A624" s="73" t="s">
        <v>366</v>
      </c>
      <c r="B624" s="77" t="s">
        <v>1541</v>
      </c>
      <c r="C624" s="74" t="s">
        <v>1741</v>
      </c>
      <c r="D624" s="74" t="s">
        <v>978</v>
      </c>
      <c r="E624" s="78" t="s">
        <v>1002</v>
      </c>
      <c r="F624" s="76" t="s">
        <v>1744</v>
      </c>
      <c r="G624" s="75" t="s">
        <v>511</v>
      </c>
      <c r="H624" s="70"/>
      <c r="P624" s="70">
        <f t="shared" si="9"/>
        <v>0</v>
      </c>
      <c r="Q624" s="70" cm="1">
        <f t="array" ref="Q624">IF(P624=1,IF(SUMPRODUCT(($P$2:P624)*(--($G$2:G624=$G624)))=1,1,0),0)</f>
        <v>0</v>
      </c>
      <c r="R624" s="70" t="str">
        <f>IF(Q624=1,SUM($Q$2:Q624),"")</f>
        <v/>
      </c>
    </row>
    <row r="625" spans="1:18" ht="16" x14ac:dyDescent="0.2">
      <c r="A625" s="73" t="s">
        <v>366</v>
      </c>
      <c r="B625" s="77" t="s">
        <v>1541</v>
      </c>
      <c r="C625" s="74" t="s">
        <v>1741</v>
      </c>
      <c r="D625" s="74" t="s">
        <v>978</v>
      </c>
      <c r="E625" s="78" t="s">
        <v>113</v>
      </c>
      <c r="F625" s="76" t="s">
        <v>1745</v>
      </c>
      <c r="G625" s="75" t="s">
        <v>511</v>
      </c>
      <c r="H625" s="70"/>
      <c r="P625" s="70">
        <f t="shared" si="9"/>
        <v>0</v>
      </c>
      <c r="Q625" s="70" cm="1">
        <f t="array" ref="Q625">IF(P625=1,IF(SUMPRODUCT(($P$2:P625)*(--($G$2:G625=$G625)))=1,1,0),0)</f>
        <v>0</v>
      </c>
      <c r="R625" s="70" t="str">
        <f>IF(Q625=1,SUM($Q$2:Q625),"")</f>
        <v/>
      </c>
    </row>
    <row r="626" spans="1:18" ht="16" x14ac:dyDescent="0.2">
      <c r="A626" s="73" t="s">
        <v>366</v>
      </c>
      <c r="B626" s="77" t="s">
        <v>1541</v>
      </c>
      <c r="C626" s="74" t="s">
        <v>1741</v>
      </c>
      <c r="D626" s="74" t="s">
        <v>978</v>
      </c>
      <c r="E626" s="78" t="s">
        <v>1002</v>
      </c>
      <c r="F626" s="76" t="s">
        <v>1745</v>
      </c>
      <c r="G626" s="75" t="s">
        <v>511</v>
      </c>
      <c r="H626" s="70"/>
      <c r="P626" s="70">
        <f t="shared" si="9"/>
        <v>0</v>
      </c>
      <c r="Q626" s="70" cm="1">
        <f t="array" ref="Q626">IF(P626=1,IF(SUMPRODUCT(($P$2:P626)*(--($G$2:G626=$G626)))=1,1,0),0)</f>
        <v>0</v>
      </c>
      <c r="R626" s="70" t="str">
        <f>IF(Q626=1,SUM($Q$2:Q626),"")</f>
        <v/>
      </c>
    </row>
    <row r="627" spans="1:18" ht="16" x14ac:dyDescent="0.2">
      <c r="A627" s="73" t="s">
        <v>366</v>
      </c>
      <c r="B627" s="77" t="s">
        <v>1541</v>
      </c>
      <c r="C627" s="74" t="s">
        <v>1741</v>
      </c>
      <c r="D627" s="74" t="s">
        <v>978</v>
      </c>
      <c r="E627" s="78" t="s">
        <v>113</v>
      </c>
      <c r="F627" s="76" t="s">
        <v>1746</v>
      </c>
      <c r="G627" s="75" t="s">
        <v>511</v>
      </c>
      <c r="H627" s="70"/>
      <c r="P627" s="70">
        <f t="shared" si="9"/>
        <v>0</v>
      </c>
      <c r="Q627" s="70" cm="1">
        <f t="array" ref="Q627">IF(P627=1,IF(SUMPRODUCT(($P$2:P627)*(--($G$2:G627=$G627)))=1,1,0),0)</f>
        <v>0</v>
      </c>
      <c r="R627" s="70" t="str">
        <f>IF(Q627=1,SUM($Q$2:Q627),"")</f>
        <v/>
      </c>
    </row>
    <row r="628" spans="1:18" ht="16" x14ac:dyDescent="0.2">
      <c r="A628" s="73" t="s">
        <v>366</v>
      </c>
      <c r="B628" s="77" t="s">
        <v>1541</v>
      </c>
      <c r="C628" s="74" t="s">
        <v>1741</v>
      </c>
      <c r="D628" s="74" t="s">
        <v>978</v>
      </c>
      <c r="E628" s="78" t="s">
        <v>1002</v>
      </c>
      <c r="F628" s="76" t="s">
        <v>1746</v>
      </c>
      <c r="G628" s="75" t="s">
        <v>511</v>
      </c>
      <c r="H628" s="70"/>
      <c r="P628" s="70">
        <f t="shared" si="9"/>
        <v>0</v>
      </c>
      <c r="Q628" s="70" cm="1">
        <f t="array" ref="Q628">IF(P628=1,IF(SUMPRODUCT(($P$2:P628)*(--($G$2:G628=$G628)))=1,1,0),0)</f>
        <v>0</v>
      </c>
      <c r="R628" s="70" t="str">
        <f>IF(Q628=1,SUM($Q$2:Q628),"")</f>
        <v/>
      </c>
    </row>
    <row r="629" spans="1:18" ht="16" x14ac:dyDescent="0.2">
      <c r="A629" s="73" t="s">
        <v>366</v>
      </c>
      <c r="B629" s="77" t="s">
        <v>1541</v>
      </c>
      <c r="C629" s="74" t="s">
        <v>1741</v>
      </c>
      <c r="D629" s="74" t="s">
        <v>978</v>
      </c>
      <c r="E629" s="78" t="s">
        <v>113</v>
      </c>
      <c r="F629" s="76" t="s">
        <v>1747</v>
      </c>
      <c r="G629" s="75" t="s">
        <v>511</v>
      </c>
      <c r="H629" s="70"/>
      <c r="P629" s="70">
        <f t="shared" si="9"/>
        <v>0</v>
      </c>
      <c r="Q629" s="70" cm="1">
        <f t="array" ref="Q629">IF(P629=1,IF(SUMPRODUCT(($P$2:P629)*(--($G$2:G629=$G629)))=1,1,0),0)</f>
        <v>0</v>
      </c>
      <c r="R629" s="70" t="str">
        <f>IF(Q629=1,SUM($Q$2:Q629),"")</f>
        <v/>
      </c>
    </row>
    <row r="630" spans="1:18" ht="16" x14ac:dyDescent="0.2">
      <c r="A630" s="73" t="s">
        <v>366</v>
      </c>
      <c r="B630" s="77" t="s">
        <v>1541</v>
      </c>
      <c r="C630" s="74" t="s">
        <v>1741</v>
      </c>
      <c r="D630" s="74" t="s">
        <v>978</v>
      </c>
      <c r="E630" s="78" t="s">
        <v>1002</v>
      </c>
      <c r="F630" s="76" t="s">
        <v>1747</v>
      </c>
      <c r="G630" s="75" t="s">
        <v>511</v>
      </c>
      <c r="H630" s="70"/>
      <c r="P630" s="70">
        <f t="shared" si="9"/>
        <v>0</v>
      </c>
      <c r="Q630" s="70" cm="1">
        <f t="array" ref="Q630">IF(P630=1,IF(SUMPRODUCT(($P$2:P630)*(--($G$2:G630=$G630)))=1,1,0),0)</f>
        <v>0</v>
      </c>
      <c r="R630" s="70" t="str">
        <f>IF(Q630=1,SUM($Q$2:Q630),"")</f>
        <v/>
      </c>
    </row>
    <row r="631" spans="1:18" ht="16" x14ac:dyDescent="0.2">
      <c r="A631" s="73" t="s">
        <v>366</v>
      </c>
      <c r="B631" s="77" t="s">
        <v>1541</v>
      </c>
      <c r="C631" s="74" t="s">
        <v>1741</v>
      </c>
      <c r="D631" s="74" t="s">
        <v>978</v>
      </c>
      <c r="E631" s="78" t="s">
        <v>113</v>
      </c>
      <c r="F631" s="76" t="s">
        <v>1748</v>
      </c>
      <c r="G631" s="75" t="s">
        <v>565</v>
      </c>
      <c r="H631" s="70"/>
      <c r="P631" s="70">
        <f t="shared" si="9"/>
        <v>0</v>
      </c>
      <c r="Q631" s="70" cm="1">
        <f t="array" ref="Q631">IF(P631=1,IF(SUMPRODUCT(($P$2:P631)*(--($G$2:G631=$G631)))=1,1,0),0)</f>
        <v>0</v>
      </c>
      <c r="R631" s="70" t="str">
        <f>IF(Q631=1,SUM($Q$2:Q631),"")</f>
        <v/>
      </c>
    </row>
    <row r="632" spans="1:18" ht="16" x14ac:dyDescent="0.2">
      <c r="A632" s="73" t="s">
        <v>366</v>
      </c>
      <c r="B632" s="77" t="s">
        <v>1541</v>
      </c>
      <c r="C632" s="74" t="s">
        <v>1741</v>
      </c>
      <c r="D632" s="74" t="s">
        <v>978</v>
      </c>
      <c r="E632" s="78" t="s">
        <v>1002</v>
      </c>
      <c r="F632" s="76" t="s">
        <v>1748</v>
      </c>
      <c r="G632" s="75" t="s">
        <v>565</v>
      </c>
      <c r="H632" s="70"/>
      <c r="P632" s="70">
        <f t="shared" si="9"/>
        <v>0</v>
      </c>
      <c r="Q632" s="70" cm="1">
        <f t="array" ref="Q632">IF(P632=1,IF(SUMPRODUCT(($P$2:P632)*(--($G$2:G632=$G632)))=1,1,0),0)</f>
        <v>0</v>
      </c>
      <c r="R632" s="70" t="str">
        <f>IF(Q632=1,SUM($Q$2:Q632),"")</f>
        <v/>
      </c>
    </row>
    <row r="633" spans="1:18" ht="16" x14ac:dyDescent="0.2">
      <c r="A633" s="73" t="s">
        <v>366</v>
      </c>
      <c r="B633" s="77" t="s">
        <v>1541</v>
      </c>
      <c r="C633" s="74" t="s">
        <v>1741</v>
      </c>
      <c r="D633" s="74" t="s">
        <v>978</v>
      </c>
      <c r="E633" s="78" t="s">
        <v>113</v>
      </c>
      <c r="F633" s="76" t="s">
        <v>1749</v>
      </c>
      <c r="G633" s="75" t="s">
        <v>567</v>
      </c>
      <c r="H633" s="70"/>
      <c r="P633" s="70">
        <f t="shared" si="9"/>
        <v>0</v>
      </c>
      <c r="Q633" s="70" cm="1">
        <f t="array" ref="Q633">IF(P633=1,IF(SUMPRODUCT(($P$2:P633)*(--($G$2:G633=$G633)))=1,1,0),0)</f>
        <v>0</v>
      </c>
      <c r="R633" s="70" t="str">
        <f>IF(Q633=1,SUM($Q$2:Q633),"")</f>
        <v/>
      </c>
    </row>
    <row r="634" spans="1:18" ht="16" x14ac:dyDescent="0.2">
      <c r="A634" s="73" t="s">
        <v>366</v>
      </c>
      <c r="B634" s="77" t="s">
        <v>1541</v>
      </c>
      <c r="C634" s="74" t="s">
        <v>1741</v>
      </c>
      <c r="D634" s="74" t="s">
        <v>978</v>
      </c>
      <c r="E634" s="78" t="s">
        <v>1002</v>
      </c>
      <c r="F634" s="76" t="s">
        <v>1749</v>
      </c>
      <c r="G634" s="75" t="s">
        <v>567</v>
      </c>
      <c r="H634" s="70"/>
      <c r="P634" s="70">
        <f t="shared" si="9"/>
        <v>0</v>
      </c>
      <c r="Q634" s="70" cm="1">
        <f t="array" ref="Q634">IF(P634=1,IF(SUMPRODUCT(($P$2:P634)*(--($G$2:G634=$G634)))=1,1,0),0)</f>
        <v>0</v>
      </c>
      <c r="R634" s="70" t="str">
        <f>IF(Q634=1,SUM($Q$2:Q634),"")</f>
        <v/>
      </c>
    </row>
    <row r="635" spans="1:18" ht="16" x14ac:dyDescent="0.2">
      <c r="A635" s="73" t="s">
        <v>366</v>
      </c>
      <c r="B635" s="77" t="s">
        <v>1541</v>
      </c>
      <c r="C635" s="74" t="s">
        <v>1741</v>
      </c>
      <c r="D635" s="74" t="s">
        <v>978</v>
      </c>
      <c r="E635" s="78" t="s">
        <v>113</v>
      </c>
      <c r="F635" s="76" t="s">
        <v>1750</v>
      </c>
      <c r="G635" s="75" t="s">
        <v>567</v>
      </c>
      <c r="H635" s="70"/>
      <c r="P635" s="70">
        <f t="shared" si="9"/>
        <v>0</v>
      </c>
      <c r="Q635" s="70" cm="1">
        <f t="array" ref="Q635">IF(P635=1,IF(SUMPRODUCT(($P$2:P635)*(--($G$2:G635=$G635)))=1,1,0),0)</f>
        <v>0</v>
      </c>
      <c r="R635" s="70" t="str">
        <f>IF(Q635=1,SUM($Q$2:Q635),"")</f>
        <v/>
      </c>
    </row>
    <row r="636" spans="1:18" ht="16" x14ac:dyDescent="0.2">
      <c r="A636" s="73" t="s">
        <v>366</v>
      </c>
      <c r="B636" s="77" t="s">
        <v>1541</v>
      </c>
      <c r="C636" s="74" t="s">
        <v>1741</v>
      </c>
      <c r="D636" s="74" t="s">
        <v>978</v>
      </c>
      <c r="E636" s="78" t="s">
        <v>1002</v>
      </c>
      <c r="F636" s="76" t="s">
        <v>1750</v>
      </c>
      <c r="G636" s="75" t="s">
        <v>567</v>
      </c>
      <c r="H636" s="70"/>
      <c r="P636" s="70">
        <f t="shared" si="9"/>
        <v>0</v>
      </c>
      <c r="Q636" s="70" cm="1">
        <f t="array" ref="Q636">IF(P636=1,IF(SUMPRODUCT(($P$2:P636)*(--($G$2:G636=$G636)))=1,1,0),0)</f>
        <v>0</v>
      </c>
      <c r="R636" s="70" t="str">
        <f>IF(Q636=1,SUM($Q$2:Q636),"")</f>
        <v/>
      </c>
    </row>
    <row r="637" spans="1:18" ht="16" x14ac:dyDescent="0.2">
      <c r="A637" s="73" t="s">
        <v>366</v>
      </c>
      <c r="B637" s="77" t="s">
        <v>1541</v>
      </c>
      <c r="C637" s="74" t="s">
        <v>1741</v>
      </c>
      <c r="D637" s="74" t="s">
        <v>978</v>
      </c>
      <c r="E637" s="78" t="s">
        <v>113</v>
      </c>
      <c r="F637" s="76" t="s">
        <v>1751</v>
      </c>
      <c r="G637" s="75" t="s">
        <v>360</v>
      </c>
      <c r="H637" s="70"/>
      <c r="P637" s="70">
        <f t="shared" si="9"/>
        <v>0</v>
      </c>
      <c r="Q637" s="70" cm="1">
        <f t="array" ref="Q637">IF(P637=1,IF(SUMPRODUCT(($P$2:P637)*(--($G$2:G637=$G637)))=1,1,0),0)</f>
        <v>0</v>
      </c>
      <c r="R637" s="70" t="str">
        <f>IF(Q637=1,SUM($Q$2:Q637),"")</f>
        <v/>
      </c>
    </row>
    <row r="638" spans="1:18" ht="16" x14ac:dyDescent="0.2">
      <c r="A638" s="73" t="s">
        <v>366</v>
      </c>
      <c r="B638" s="77" t="s">
        <v>1541</v>
      </c>
      <c r="C638" s="74" t="s">
        <v>1741</v>
      </c>
      <c r="D638" s="74" t="s">
        <v>978</v>
      </c>
      <c r="E638" s="78" t="s">
        <v>1002</v>
      </c>
      <c r="F638" s="76" t="s">
        <v>1751</v>
      </c>
      <c r="G638" s="75" t="s">
        <v>360</v>
      </c>
      <c r="H638" s="70"/>
      <c r="P638" s="70">
        <f t="shared" si="9"/>
        <v>0</v>
      </c>
      <c r="Q638" s="70" cm="1">
        <f t="array" ref="Q638">IF(P638=1,IF(SUMPRODUCT(($P$2:P638)*(--($G$2:G638=$G638)))=1,1,0),0)</f>
        <v>0</v>
      </c>
      <c r="R638" s="70" t="str">
        <f>IF(Q638=1,SUM($Q$2:Q638),"")</f>
        <v/>
      </c>
    </row>
    <row r="639" spans="1:18" ht="16" x14ac:dyDescent="0.2">
      <c r="A639" s="73" t="s">
        <v>366</v>
      </c>
      <c r="B639" s="77" t="s">
        <v>1541</v>
      </c>
      <c r="C639" s="74" t="s">
        <v>1741</v>
      </c>
      <c r="D639" s="74" t="s">
        <v>978</v>
      </c>
      <c r="E639" s="78" t="s">
        <v>113</v>
      </c>
      <c r="F639" s="76" t="s">
        <v>366</v>
      </c>
      <c r="G639" s="75" t="s">
        <v>360</v>
      </c>
      <c r="H639" s="70"/>
      <c r="P639" s="70">
        <f t="shared" si="9"/>
        <v>0</v>
      </c>
      <c r="Q639" s="70" cm="1">
        <f t="array" ref="Q639">IF(P639=1,IF(SUMPRODUCT(($P$2:P639)*(--($G$2:G639=$G639)))=1,1,0),0)</f>
        <v>0</v>
      </c>
      <c r="R639" s="70" t="str">
        <f>IF(Q639=1,SUM($Q$2:Q639),"")</f>
        <v/>
      </c>
    </row>
    <row r="640" spans="1:18" ht="16" x14ac:dyDescent="0.2">
      <c r="A640" s="73" t="s">
        <v>366</v>
      </c>
      <c r="B640" s="77" t="s">
        <v>1541</v>
      </c>
      <c r="C640" s="74" t="s">
        <v>1741</v>
      </c>
      <c r="D640" s="74" t="s">
        <v>978</v>
      </c>
      <c r="E640" s="78" t="s">
        <v>1002</v>
      </c>
      <c r="F640" s="76" t="s">
        <v>366</v>
      </c>
      <c r="G640" s="75" t="s">
        <v>360</v>
      </c>
      <c r="H640" s="70"/>
      <c r="P640" s="70">
        <f t="shared" si="9"/>
        <v>0</v>
      </c>
      <c r="Q640" s="70" cm="1">
        <f t="array" ref="Q640">IF(P640=1,IF(SUMPRODUCT(($P$2:P640)*(--($G$2:G640=$G640)))=1,1,0),0)</f>
        <v>0</v>
      </c>
      <c r="R640" s="70" t="str">
        <f>IF(Q640=1,SUM($Q$2:Q640),"")</f>
        <v/>
      </c>
    </row>
    <row r="641" spans="1:18" ht="16" x14ac:dyDescent="0.2">
      <c r="A641" s="73" t="s">
        <v>366</v>
      </c>
      <c r="B641" s="77" t="s">
        <v>1541</v>
      </c>
      <c r="C641" s="74" t="s">
        <v>1741</v>
      </c>
      <c r="D641" s="74" t="s">
        <v>978</v>
      </c>
      <c r="E641" s="78" t="s">
        <v>113</v>
      </c>
      <c r="F641" s="76" t="s">
        <v>1752</v>
      </c>
      <c r="G641" s="75" t="s">
        <v>364</v>
      </c>
      <c r="H641" s="70"/>
      <c r="P641" s="70">
        <f t="shared" si="9"/>
        <v>0</v>
      </c>
      <c r="Q641" s="70" cm="1">
        <f t="array" ref="Q641">IF(P641=1,IF(SUMPRODUCT(($P$2:P641)*(--($G$2:G641=$G641)))=1,1,0),0)</f>
        <v>0</v>
      </c>
      <c r="R641" s="70" t="str">
        <f>IF(Q641=1,SUM($Q$2:Q641),"")</f>
        <v/>
      </c>
    </row>
    <row r="642" spans="1:18" ht="16" x14ac:dyDescent="0.2">
      <c r="A642" s="73" t="s">
        <v>366</v>
      </c>
      <c r="B642" s="77" t="s">
        <v>1541</v>
      </c>
      <c r="C642" s="74" t="s">
        <v>1741</v>
      </c>
      <c r="D642" s="74" t="s">
        <v>978</v>
      </c>
      <c r="E642" s="78" t="s">
        <v>1002</v>
      </c>
      <c r="F642" s="76" t="s">
        <v>1752</v>
      </c>
      <c r="G642" s="75" t="s">
        <v>364</v>
      </c>
      <c r="H642" s="70"/>
      <c r="P642" s="70">
        <f t="shared" si="9"/>
        <v>0</v>
      </c>
      <c r="Q642" s="70" cm="1">
        <f t="array" ref="Q642">IF(P642=1,IF(SUMPRODUCT(($P$2:P642)*(--($G$2:G642=$G642)))=1,1,0),0)</f>
        <v>0</v>
      </c>
      <c r="R642" s="70" t="str">
        <f>IF(Q642=1,SUM($Q$2:Q642),"")</f>
        <v/>
      </c>
    </row>
    <row r="643" spans="1:18" ht="16" x14ac:dyDescent="0.2">
      <c r="A643" s="73" t="s">
        <v>366</v>
      </c>
      <c r="B643" s="77" t="s">
        <v>1541</v>
      </c>
      <c r="C643" s="74" t="s">
        <v>1741</v>
      </c>
      <c r="D643" s="74" t="s">
        <v>978</v>
      </c>
      <c r="E643" s="78" t="s">
        <v>113</v>
      </c>
      <c r="F643" s="76" t="s">
        <v>1744</v>
      </c>
      <c r="G643" s="75" t="s">
        <v>364</v>
      </c>
      <c r="H643" s="70"/>
      <c r="P643" s="70">
        <f t="shared" ref="P643:P706" si="10">IF(AND(IF(TRIM($J$2&amp;"")="",TRUE,LEFT($D643,LEN($J$2))=$J$2),IF(TRIM($K$2&amp;"")="",TRUE,$E643=$K$2),IF($L$2="",TRUE,$F643=$L$2)),1,0)</f>
        <v>0</v>
      </c>
      <c r="Q643" s="70" cm="1">
        <f t="array" ref="Q643">IF(P643=1,IF(SUMPRODUCT(($P$2:P643)*(--($G$2:G643=$G643)))=1,1,0),0)</f>
        <v>0</v>
      </c>
      <c r="R643" s="70" t="str">
        <f>IF(Q643=1,SUM($Q$2:Q643),"")</f>
        <v/>
      </c>
    </row>
    <row r="644" spans="1:18" ht="16" x14ac:dyDescent="0.2">
      <c r="A644" s="73" t="s">
        <v>366</v>
      </c>
      <c r="B644" s="77" t="s">
        <v>1541</v>
      </c>
      <c r="C644" s="74" t="s">
        <v>1741</v>
      </c>
      <c r="D644" s="74" t="s">
        <v>978</v>
      </c>
      <c r="E644" s="78" t="s">
        <v>1002</v>
      </c>
      <c r="F644" s="76" t="s">
        <v>1744</v>
      </c>
      <c r="G644" s="75" t="s">
        <v>364</v>
      </c>
      <c r="H644" s="70"/>
      <c r="P644" s="70">
        <f t="shared" si="10"/>
        <v>0</v>
      </c>
      <c r="Q644" s="70" cm="1">
        <f t="array" ref="Q644">IF(P644=1,IF(SUMPRODUCT(($P$2:P644)*(--($G$2:G644=$G644)))=1,1,0),0)</f>
        <v>0</v>
      </c>
      <c r="R644" s="70" t="str">
        <f>IF(Q644=1,SUM($Q$2:Q644),"")</f>
        <v/>
      </c>
    </row>
    <row r="645" spans="1:18" ht="16" x14ac:dyDescent="0.2">
      <c r="A645" s="73" t="s">
        <v>366</v>
      </c>
      <c r="B645" s="77" t="s">
        <v>1541</v>
      </c>
      <c r="C645" s="74" t="s">
        <v>1741</v>
      </c>
      <c r="D645" s="74" t="s">
        <v>978</v>
      </c>
      <c r="E645" s="78" t="s">
        <v>113</v>
      </c>
      <c r="F645" s="76" t="s">
        <v>1753</v>
      </c>
      <c r="G645" s="75" t="s">
        <v>364</v>
      </c>
      <c r="H645" s="70"/>
      <c r="P645" s="70">
        <f t="shared" si="10"/>
        <v>0</v>
      </c>
      <c r="Q645" s="70" cm="1">
        <f t="array" ref="Q645">IF(P645=1,IF(SUMPRODUCT(($P$2:P645)*(--($G$2:G645=$G645)))=1,1,0),0)</f>
        <v>0</v>
      </c>
      <c r="R645" s="70" t="str">
        <f>IF(Q645=1,SUM($Q$2:Q645),"")</f>
        <v/>
      </c>
    </row>
    <row r="646" spans="1:18" ht="16" x14ac:dyDescent="0.2">
      <c r="A646" s="73" t="s">
        <v>366</v>
      </c>
      <c r="B646" s="77" t="s">
        <v>1541</v>
      </c>
      <c r="C646" s="74" t="s">
        <v>1741</v>
      </c>
      <c r="D646" s="74" t="s">
        <v>978</v>
      </c>
      <c r="E646" s="78" t="s">
        <v>1002</v>
      </c>
      <c r="F646" s="76" t="s">
        <v>1753</v>
      </c>
      <c r="G646" s="75" t="s">
        <v>364</v>
      </c>
      <c r="H646" s="70"/>
      <c r="P646" s="70">
        <f t="shared" si="10"/>
        <v>0</v>
      </c>
      <c r="Q646" s="70" cm="1">
        <f t="array" ref="Q646">IF(P646=1,IF(SUMPRODUCT(($P$2:P646)*(--($G$2:G646=$G646)))=1,1,0),0)</f>
        <v>0</v>
      </c>
      <c r="R646" s="70" t="str">
        <f>IF(Q646=1,SUM($Q$2:Q646),"")</f>
        <v/>
      </c>
    </row>
    <row r="647" spans="1:18" ht="16" x14ac:dyDescent="0.2">
      <c r="A647" s="73" t="s">
        <v>366</v>
      </c>
      <c r="B647" s="77" t="s">
        <v>1541</v>
      </c>
      <c r="C647" s="74" t="s">
        <v>1741</v>
      </c>
      <c r="D647" s="74" t="s">
        <v>978</v>
      </c>
      <c r="E647" s="78" t="s">
        <v>113</v>
      </c>
      <c r="F647" s="76" t="s">
        <v>1746</v>
      </c>
      <c r="G647" s="75" t="s">
        <v>364</v>
      </c>
      <c r="H647" s="70"/>
      <c r="P647" s="70">
        <f t="shared" si="10"/>
        <v>0</v>
      </c>
      <c r="Q647" s="70" cm="1">
        <f t="array" ref="Q647">IF(P647=1,IF(SUMPRODUCT(($P$2:P647)*(--($G$2:G647=$G647)))=1,1,0),0)</f>
        <v>0</v>
      </c>
      <c r="R647" s="70" t="str">
        <f>IF(Q647=1,SUM($Q$2:Q647),"")</f>
        <v/>
      </c>
    </row>
    <row r="648" spans="1:18" ht="16" x14ac:dyDescent="0.2">
      <c r="A648" s="73" t="s">
        <v>366</v>
      </c>
      <c r="B648" s="77" t="s">
        <v>1541</v>
      </c>
      <c r="C648" s="74" t="s">
        <v>1741</v>
      </c>
      <c r="D648" s="74" t="s">
        <v>978</v>
      </c>
      <c r="E648" s="78" t="s">
        <v>1002</v>
      </c>
      <c r="F648" s="76" t="s">
        <v>1746</v>
      </c>
      <c r="G648" s="75" t="s">
        <v>364</v>
      </c>
      <c r="H648" s="70"/>
      <c r="P648" s="70">
        <f t="shared" si="10"/>
        <v>0</v>
      </c>
      <c r="Q648" s="70" cm="1">
        <f t="array" ref="Q648">IF(P648=1,IF(SUMPRODUCT(($P$2:P648)*(--($G$2:G648=$G648)))=1,1,0),0)</f>
        <v>0</v>
      </c>
      <c r="R648" s="70" t="str">
        <f>IF(Q648=1,SUM($Q$2:Q648),"")</f>
        <v/>
      </c>
    </row>
    <row r="649" spans="1:18" x14ac:dyDescent="0.2">
      <c r="A649" s="73" t="s">
        <v>366</v>
      </c>
      <c r="B649" s="77" t="s">
        <v>1541</v>
      </c>
      <c r="C649" s="74" t="s">
        <v>1741</v>
      </c>
      <c r="D649" s="74" t="s">
        <v>978</v>
      </c>
      <c r="E649" s="78" t="s">
        <v>113</v>
      </c>
      <c r="F649" s="76" t="s">
        <v>1754</v>
      </c>
      <c r="G649" s="76" t="s">
        <v>236</v>
      </c>
      <c r="H649" s="70"/>
      <c r="P649" s="70">
        <f t="shared" si="10"/>
        <v>0</v>
      </c>
      <c r="Q649" s="70" cm="1">
        <f t="array" ref="Q649">IF(P649=1,IF(SUMPRODUCT(($P$2:P649)*(--($G$2:G649=$G649)))=1,1,0),0)</f>
        <v>0</v>
      </c>
      <c r="R649" s="70" t="str">
        <f>IF(Q649=1,SUM($Q$2:Q649),"")</f>
        <v/>
      </c>
    </row>
    <row r="650" spans="1:18" x14ac:dyDescent="0.2">
      <c r="A650" s="73" t="s">
        <v>366</v>
      </c>
      <c r="B650" s="77" t="s">
        <v>1541</v>
      </c>
      <c r="C650" s="74" t="s">
        <v>1741</v>
      </c>
      <c r="D650" s="74" t="s">
        <v>978</v>
      </c>
      <c r="E650" s="78" t="s">
        <v>1002</v>
      </c>
      <c r="F650" s="76" t="s">
        <v>1754</v>
      </c>
      <c r="G650" s="76" t="s">
        <v>236</v>
      </c>
      <c r="H650" s="70"/>
      <c r="P650" s="70">
        <f t="shared" si="10"/>
        <v>0</v>
      </c>
      <c r="Q650" s="70" cm="1">
        <f t="array" ref="Q650">IF(P650=1,IF(SUMPRODUCT(($P$2:P650)*(--($G$2:G650=$G650)))=1,1,0),0)</f>
        <v>0</v>
      </c>
      <c r="R650" s="70" t="str">
        <f>IF(Q650=1,SUM($Q$2:Q650),"")</f>
        <v/>
      </c>
    </row>
    <row r="651" spans="1:18" x14ac:dyDescent="0.2">
      <c r="A651" s="73" t="s">
        <v>366</v>
      </c>
      <c r="B651" s="77" t="s">
        <v>1541</v>
      </c>
      <c r="C651" s="74" t="s">
        <v>1741</v>
      </c>
      <c r="D651" s="74" t="s">
        <v>978</v>
      </c>
      <c r="E651" s="78" t="s">
        <v>113</v>
      </c>
      <c r="F651" s="76" t="s">
        <v>1755</v>
      </c>
      <c r="G651" s="76" t="s">
        <v>1093</v>
      </c>
      <c r="H651" s="70"/>
      <c r="P651" s="70">
        <f t="shared" si="10"/>
        <v>0</v>
      </c>
      <c r="Q651" s="70" cm="1">
        <f t="array" ref="Q651">IF(P651=1,IF(SUMPRODUCT(($P$2:P651)*(--($G$2:G651=$G651)))=1,1,0),0)</f>
        <v>0</v>
      </c>
      <c r="R651" s="70" t="str">
        <f>IF(Q651=1,SUM($Q$2:Q651),"")</f>
        <v/>
      </c>
    </row>
    <row r="652" spans="1:18" x14ac:dyDescent="0.2">
      <c r="A652" s="73" t="s">
        <v>366</v>
      </c>
      <c r="B652" s="77" t="s">
        <v>1541</v>
      </c>
      <c r="C652" s="74" t="s">
        <v>1741</v>
      </c>
      <c r="D652" s="74" t="s">
        <v>978</v>
      </c>
      <c r="E652" s="78" t="s">
        <v>1002</v>
      </c>
      <c r="F652" s="76" t="s">
        <v>1755</v>
      </c>
      <c r="G652" s="76" t="s">
        <v>1093</v>
      </c>
      <c r="H652" s="70"/>
      <c r="P652" s="70">
        <f t="shared" si="10"/>
        <v>0</v>
      </c>
      <c r="Q652" s="70" cm="1">
        <f t="array" ref="Q652">IF(P652=1,IF(SUMPRODUCT(($P$2:P652)*(--($G$2:G652=$G652)))=1,1,0),0)</f>
        <v>0</v>
      </c>
      <c r="R652" s="70" t="str">
        <f>IF(Q652=1,SUM($Q$2:Q652),"")</f>
        <v/>
      </c>
    </row>
    <row r="653" spans="1:18" x14ac:dyDescent="0.2">
      <c r="A653" s="73" t="s">
        <v>366</v>
      </c>
      <c r="B653" s="77" t="s">
        <v>1541</v>
      </c>
      <c r="C653" s="74" t="s">
        <v>1741</v>
      </c>
      <c r="D653" s="74" t="s">
        <v>978</v>
      </c>
      <c r="E653" s="78" t="s">
        <v>113</v>
      </c>
      <c r="F653" s="76" t="s">
        <v>1756</v>
      </c>
      <c r="G653" s="76" t="s">
        <v>1093</v>
      </c>
      <c r="H653" s="70"/>
      <c r="P653" s="70">
        <f t="shared" si="10"/>
        <v>0</v>
      </c>
      <c r="Q653" s="70" cm="1">
        <f t="array" ref="Q653">IF(P653=1,IF(SUMPRODUCT(($P$2:P653)*(--($G$2:G653=$G653)))=1,1,0),0)</f>
        <v>0</v>
      </c>
      <c r="R653" s="70" t="str">
        <f>IF(Q653=1,SUM($Q$2:Q653),"")</f>
        <v/>
      </c>
    </row>
    <row r="654" spans="1:18" x14ac:dyDescent="0.2">
      <c r="A654" s="73" t="s">
        <v>366</v>
      </c>
      <c r="B654" s="77" t="s">
        <v>1541</v>
      </c>
      <c r="C654" s="74" t="s">
        <v>1741</v>
      </c>
      <c r="D654" s="74" t="s">
        <v>978</v>
      </c>
      <c r="E654" s="78" t="s">
        <v>1002</v>
      </c>
      <c r="F654" s="76" t="s">
        <v>1756</v>
      </c>
      <c r="G654" s="76" t="s">
        <v>1093</v>
      </c>
      <c r="H654" s="70"/>
      <c r="P654" s="70">
        <f t="shared" si="10"/>
        <v>0</v>
      </c>
      <c r="Q654" s="70" cm="1">
        <f t="array" ref="Q654">IF(P654=1,IF(SUMPRODUCT(($P$2:P654)*(--($G$2:G654=$G654)))=1,1,0),0)</f>
        <v>0</v>
      </c>
      <c r="R654" s="70" t="str">
        <f>IF(Q654=1,SUM($Q$2:Q654),"")</f>
        <v/>
      </c>
    </row>
    <row r="655" spans="1:18" x14ac:dyDescent="0.2">
      <c r="A655" s="73" t="s">
        <v>378</v>
      </c>
      <c r="B655" s="85" t="s">
        <v>1757</v>
      </c>
      <c r="C655" s="74" t="s">
        <v>1741</v>
      </c>
      <c r="D655" s="74" t="s">
        <v>978</v>
      </c>
      <c r="E655" s="78" t="s">
        <v>113</v>
      </c>
      <c r="F655" s="76" t="s">
        <v>378</v>
      </c>
      <c r="G655" s="86" t="s">
        <v>517</v>
      </c>
      <c r="H655" s="70"/>
      <c r="P655" s="70">
        <f t="shared" si="10"/>
        <v>0</v>
      </c>
      <c r="Q655" s="70" cm="1">
        <f t="array" ref="Q655">IF(P655=1,IF(SUMPRODUCT(($P$2:P655)*(--($G$2:G655=$G655)))=1,1,0),0)</f>
        <v>0</v>
      </c>
      <c r="R655" s="70" t="str">
        <f>IF(Q655=1,SUM($Q$2:Q655),"")</f>
        <v/>
      </c>
    </row>
    <row r="656" spans="1:18" x14ac:dyDescent="0.2">
      <c r="A656" s="73" t="s">
        <v>378</v>
      </c>
      <c r="B656" s="85" t="s">
        <v>1682</v>
      </c>
      <c r="C656" s="74" t="s">
        <v>1741</v>
      </c>
      <c r="D656" s="74" t="s">
        <v>978</v>
      </c>
      <c r="E656" s="78" t="s">
        <v>113</v>
      </c>
      <c r="F656" s="76" t="s">
        <v>378</v>
      </c>
      <c r="G656" s="86" t="s">
        <v>514</v>
      </c>
      <c r="H656" s="70"/>
      <c r="P656" s="70">
        <f t="shared" si="10"/>
        <v>0</v>
      </c>
      <c r="Q656" s="70" cm="1">
        <f t="array" ref="Q656">IF(P656=1,IF(SUMPRODUCT(($P$2:P656)*(--($G$2:G656=$G656)))=1,1,0),0)</f>
        <v>0</v>
      </c>
      <c r="R656" s="70" t="str">
        <f>IF(Q656=1,SUM($Q$2:Q656),"")</f>
        <v/>
      </c>
    </row>
    <row r="657" spans="1:18" ht="16" x14ac:dyDescent="0.2">
      <c r="A657" s="73" t="s">
        <v>378</v>
      </c>
      <c r="B657" s="85" t="s">
        <v>1758</v>
      </c>
      <c r="C657" s="74" t="s">
        <v>1741</v>
      </c>
      <c r="D657" s="74" t="s">
        <v>978</v>
      </c>
      <c r="E657" s="78" t="s">
        <v>129</v>
      </c>
      <c r="F657" s="76" t="s">
        <v>1726</v>
      </c>
      <c r="G657" s="75" t="s">
        <v>332</v>
      </c>
      <c r="H657" s="70"/>
      <c r="P657" s="70">
        <f t="shared" si="10"/>
        <v>0</v>
      </c>
      <c r="Q657" s="70" cm="1">
        <f t="array" ref="Q657">IF(P657=1,IF(SUMPRODUCT(($P$2:P657)*(--($G$2:G657=$G657)))=1,1,0),0)</f>
        <v>0</v>
      </c>
      <c r="R657" s="70" t="str">
        <f>IF(Q657=1,SUM($Q$2:Q657),"")</f>
        <v/>
      </c>
    </row>
    <row r="658" spans="1:18" ht="16" x14ac:dyDescent="0.2">
      <c r="A658" s="73" t="s">
        <v>378</v>
      </c>
      <c r="B658" s="85" t="s">
        <v>1758</v>
      </c>
      <c r="C658" s="74" t="s">
        <v>1741</v>
      </c>
      <c r="D658" s="74" t="s">
        <v>978</v>
      </c>
      <c r="E658" s="78" t="s">
        <v>129</v>
      </c>
      <c r="F658" s="76" t="s">
        <v>378</v>
      </c>
      <c r="G658" s="75" t="s">
        <v>332</v>
      </c>
      <c r="H658" s="70"/>
      <c r="P658" s="70">
        <f t="shared" si="10"/>
        <v>0</v>
      </c>
      <c r="Q658" s="70" cm="1">
        <f t="array" ref="Q658">IF(P658=1,IF(SUMPRODUCT(($P$2:P658)*(--($G$2:G658=$G658)))=1,1,0),0)</f>
        <v>0</v>
      </c>
      <c r="R658" s="70" t="str">
        <f>IF(Q658=1,SUM($Q$2:Q658),"")</f>
        <v/>
      </c>
    </row>
    <row r="659" spans="1:18" x14ac:dyDescent="0.2">
      <c r="A659" s="73" t="s">
        <v>378</v>
      </c>
      <c r="B659" s="77" t="s">
        <v>1541</v>
      </c>
      <c r="C659" s="74" t="s">
        <v>1741</v>
      </c>
      <c r="D659" s="74" t="s">
        <v>978</v>
      </c>
      <c r="E659" s="78" t="s">
        <v>113</v>
      </c>
      <c r="F659" s="76" t="s">
        <v>378</v>
      </c>
      <c r="G659" s="86" t="s">
        <v>520</v>
      </c>
      <c r="H659" s="70"/>
      <c r="P659" s="70">
        <f t="shared" si="10"/>
        <v>0</v>
      </c>
      <c r="Q659" s="70" cm="1">
        <f t="array" ref="Q659">IF(P659=1,IF(SUMPRODUCT(($P$2:P659)*(--($G$2:G659=$G659)))=1,1,0),0)</f>
        <v>0</v>
      </c>
      <c r="R659" s="70" t="str">
        <f>IF(Q659=1,SUM($Q$2:Q659),"")</f>
        <v/>
      </c>
    </row>
    <row r="660" spans="1:18" x14ac:dyDescent="0.2">
      <c r="A660" s="73" t="s">
        <v>378</v>
      </c>
      <c r="B660" s="77" t="s">
        <v>1541</v>
      </c>
      <c r="C660" s="74" t="s">
        <v>1741</v>
      </c>
      <c r="D660" s="74" t="s">
        <v>978</v>
      </c>
      <c r="E660" s="78" t="s">
        <v>1002</v>
      </c>
      <c r="F660" s="76" t="s">
        <v>378</v>
      </c>
      <c r="G660" s="86" t="s">
        <v>520</v>
      </c>
      <c r="H660" s="70"/>
      <c r="P660" s="70">
        <f t="shared" si="10"/>
        <v>0</v>
      </c>
      <c r="Q660" s="70" cm="1">
        <f t="array" ref="Q660">IF(P660=1,IF(SUMPRODUCT(($P$2:P660)*(--($G$2:G660=$G660)))=1,1,0),0)</f>
        <v>0</v>
      </c>
      <c r="R660" s="70" t="str">
        <f>IF(Q660=1,SUM($Q$2:Q660),"")</f>
        <v/>
      </c>
    </row>
    <row r="661" spans="1:18" x14ac:dyDescent="0.2">
      <c r="A661" s="73" t="s">
        <v>378</v>
      </c>
      <c r="B661" s="77" t="s">
        <v>1541</v>
      </c>
      <c r="C661" s="74" t="s">
        <v>1741</v>
      </c>
      <c r="D661" s="74" t="s">
        <v>978</v>
      </c>
      <c r="E661" s="78" t="s">
        <v>113</v>
      </c>
      <c r="F661" s="76" t="s">
        <v>1759</v>
      </c>
      <c r="G661" s="86" t="s">
        <v>520</v>
      </c>
      <c r="H661" s="70"/>
      <c r="P661" s="70">
        <f t="shared" si="10"/>
        <v>0</v>
      </c>
      <c r="Q661" s="70" cm="1">
        <f t="array" ref="Q661">IF(P661=1,IF(SUMPRODUCT(($P$2:P661)*(--($G$2:G661=$G661)))=1,1,0),0)</f>
        <v>0</v>
      </c>
      <c r="R661" s="70" t="str">
        <f>IF(Q661=1,SUM($Q$2:Q661),"")</f>
        <v/>
      </c>
    </row>
    <row r="662" spans="1:18" x14ac:dyDescent="0.2">
      <c r="A662" s="73" t="s">
        <v>378</v>
      </c>
      <c r="B662" s="77" t="s">
        <v>1541</v>
      </c>
      <c r="C662" s="74" t="s">
        <v>1741</v>
      </c>
      <c r="D662" s="74" t="s">
        <v>978</v>
      </c>
      <c r="E662" s="78" t="s">
        <v>1002</v>
      </c>
      <c r="F662" s="76" t="s">
        <v>1759</v>
      </c>
      <c r="G662" s="86" t="s">
        <v>520</v>
      </c>
      <c r="H662" s="70"/>
      <c r="P662" s="70">
        <f t="shared" si="10"/>
        <v>0</v>
      </c>
      <c r="Q662" s="70" cm="1">
        <f t="array" ref="Q662">IF(P662=1,IF(SUMPRODUCT(($P$2:P662)*(--($G$2:G662=$G662)))=1,1,0),0)</f>
        <v>0</v>
      </c>
      <c r="R662" s="70" t="str">
        <f>IF(Q662=1,SUM($Q$2:Q662),"")</f>
        <v/>
      </c>
    </row>
    <row r="663" spans="1:18" x14ac:dyDescent="0.2">
      <c r="A663" s="73" t="s">
        <v>378</v>
      </c>
      <c r="B663" s="77" t="s">
        <v>1541</v>
      </c>
      <c r="C663" s="74" t="s">
        <v>1741</v>
      </c>
      <c r="D663" s="74" t="s">
        <v>978</v>
      </c>
      <c r="E663" s="78" t="s">
        <v>97</v>
      </c>
      <c r="F663" s="76" t="s">
        <v>378</v>
      </c>
      <c r="G663" s="86" t="s">
        <v>1205</v>
      </c>
      <c r="H663" s="70"/>
      <c r="P663" s="70">
        <f t="shared" si="10"/>
        <v>0</v>
      </c>
      <c r="Q663" s="70" cm="1">
        <f t="array" ref="Q663">IF(P663=1,IF(SUMPRODUCT(($P$2:P663)*(--($G$2:G663=$G663)))=1,1,0),0)</f>
        <v>0</v>
      </c>
      <c r="R663" s="70" t="str">
        <f>IF(Q663=1,SUM($Q$2:Q663),"")</f>
        <v/>
      </c>
    </row>
    <row r="664" spans="1:18" x14ac:dyDescent="0.2">
      <c r="A664" s="73" t="s">
        <v>378</v>
      </c>
      <c r="B664" s="77" t="s">
        <v>1541</v>
      </c>
      <c r="C664" s="74" t="s">
        <v>1741</v>
      </c>
      <c r="D664" s="74" t="s">
        <v>978</v>
      </c>
      <c r="E664" s="78" t="s">
        <v>97</v>
      </c>
      <c r="F664" s="76" t="s">
        <v>1759</v>
      </c>
      <c r="G664" s="86" t="s">
        <v>1205</v>
      </c>
      <c r="H664" s="70"/>
      <c r="P664" s="70">
        <f t="shared" si="10"/>
        <v>0</v>
      </c>
      <c r="Q664" s="70" cm="1">
        <f t="array" ref="Q664">IF(P664=1,IF(SUMPRODUCT(($P$2:P664)*(--($G$2:G664=$G664)))=1,1,0),0)</f>
        <v>0</v>
      </c>
      <c r="R664" s="70" t="str">
        <f>IF(Q664=1,SUM($Q$2:Q664),"")</f>
        <v/>
      </c>
    </row>
    <row r="665" spans="1:18" x14ac:dyDescent="0.2">
      <c r="A665" s="73" t="s">
        <v>378</v>
      </c>
      <c r="B665" s="77" t="s">
        <v>1541</v>
      </c>
      <c r="C665" s="74" t="s">
        <v>1741</v>
      </c>
      <c r="D665" s="74" t="s">
        <v>978</v>
      </c>
      <c r="E665" s="78" t="s">
        <v>138</v>
      </c>
      <c r="F665" s="76" t="s">
        <v>378</v>
      </c>
      <c r="G665" s="86" t="s">
        <v>1205</v>
      </c>
      <c r="H665" s="70"/>
      <c r="P665" s="70">
        <f t="shared" si="10"/>
        <v>0</v>
      </c>
      <c r="Q665" s="70" cm="1">
        <f t="array" ref="Q665">IF(P665=1,IF(SUMPRODUCT(($P$2:P665)*(--($G$2:G665=$G665)))=1,1,0),0)</f>
        <v>0</v>
      </c>
      <c r="R665" s="70" t="str">
        <f>IF(Q665=1,SUM($Q$2:Q665),"")</f>
        <v/>
      </c>
    </row>
    <row r="666" spans="1:18" x14ac:dyDescent="0.2">
      <c r="A666" s="73" t="s">
        <v>378</v>
      </c>
      <c r="B666" s="77" t="s">
        <v>1541</v>
      </c>
      <c r="C666" s="74" t="s">
        <v>1741</v>
      </c>
      <c r="D666" s="74" t="s">
        <v>978</v>
      </c>
      <c r="E666" s="78" t="s">
        <v>138</v>
      </c>
      <c r="F666" s="76" t="s">
        <v>1759</v>
      </c>
      <c r="G666" s="86" t="s">
        <v>1205</v>
      </c>
      <c r="H666" s="70"/>
      <c r="P666" s="70">
        <f t="shared" si="10"/>
        <v>0</v>
      </c>
      <c r="Q666" s="70" cm="1">
        <f t="array" ref="Q666">IF(P666=1,IF(SUMPRODUCT(($P$2:P666)*(--($G$2:G666=$G666)))=1,1,0),0)</f>
        <v>0</v>
      </c>
      <c r="R666" s="70" t="str">
        <f>IF(Q666=1,SUM($Q$2:Q666),"")</f>
        <v/>
      </c>
    </row>
    <row r="667" spans="1:18" x14ac:dyDescent="0.2">
      <c r="A667" s="73" t="s">
        <v>378</v>
      </c>
      <c r="B667" s="77" t="s">
        <v>1541</v>
      </c>
      <c r="C667" s="74" t="s">
        <v>1741</v>
      </c>
      <c r="D667" s="74" t="s">
        <v>978</v>
      </c>
      <c r="E667" s="78" t="s">
        <v>120</v>
      </c>
      <c r="F667" s="76" t="s">
        <v>378</v>
      </c>
      <c r="G667" s="86" t="s">
        <v>1206</v>
      </c>
      <c r="H667" s="70"/>
      <c r="P667" s="70">
        <f t="shared" si="10"/>
        <v>0</v>
      </c>
      <c r="Q667" s="70" cm="1">
        <f t="array" ref="Q667">IF(P667=1,IF(SUMPRODUCT(($P$2:P667)*(--($G$2:G667=$G667)))=1,1,0),0)</f>
        <v>0</v>
      </c>
      <c r="R667" s="70" t="str">
        <f>IF(Q667=1,SUM($Q$2:Q667),"")</f>
        <v/>
      </c>
    </row>
    <row r="668" spans="1:18" x14ac:dyDescent="0.2">
      <c r="A668" s="73" t="s">
        <v>378</v>
      </c>
      <c r="B668" s="77" t="s">
        <v>1541</v>
      </c>
      <c r="C668" s="74" t="s">
        <v>1741</v>
      </c>
      <c r="D668" s="74" t="s">
        <v>978</v>
      </c>
      <c r="E668" s="78" t="s">
        <v>120</v>
      </c>
      <c r="F668" s="76" t="s">
        <v>1759</v>
      </c>
      <c r="G668" s="86" t="s">
        <v>1206</v>
      </c>
      <c r="H668" s="70"/>
      <c r="P668" s="70">
        <f t="shared" si="10"/>
        <v>0</v>
      </c>
      <c r="Q668" s="70" cm="1">
        <f t="array" ref="Q668">IF(P668=1,IF(SUMPRODUCT(($P$2:P668)*(--($G$2:G668=$G668)))=1,1,0),0)</f>
        <v>0</v>
      </c>
      <c r="R668" s="70" t="str">
        <f>IF(Q668=1,SUM($Q$2:Q668),"")</f>
        <v/>
      </c>
    </row>
    <row r="669" spans="1:18" ht="16" x14ac:dyDescent="0.2">
      <c r="A669" s="73" t="s">
        <v>378</v>
      </c>
      <c r="B669" s="77" t="s">
        <v>1541</v>
      </c>
      <c r="C669" s="74" t="s">
        <v>1741</v>
      </c>
      <c r="D669" s="74" t="s">
        <v>978</v>
      </c>
      <c r="E669" s="78" t="s">
        <v>113</v>
      </c>
      <c r="F669" s="76" t="s">
        <v>1760</v>
      </c>
      <c r="G669" s="75" t="s">
        <v>523</v>
      </c>
      <c r="H669" s="70"/>
      <c r="P669" s="70">
        <f t="shared" si="10"/>
        <v>0</v>
      </c>
      <c r="Q669" s="70" cm="1">
        <f t="array" ref="Q669">IF(P669=1,IF(SUMPRODUCT(($P$2:P669)*(--($G$2:G669=$G669)))=1,1,0),0)</f>
        <v>0</v>
      </c>
      <c r="R669" s="70" t="str">
        <f>IF(Q669=1,SUM($Q$2:Q669),"")</f>
        <v/>
      </c>
    </row>
    <row r="670" spans="1:18" ht="16" x14ac:dyDescent="0.2">
      <c r="A670" s="73" t="s">
        <v>378</v>
      </c>
      <c r="B670" s="77" t="s">
        <v>1541</v>
      </c>
      <c r="C670" s="74" t="s">
        <v>1741</v>
      </c>
      <c r="D670" s="74" t="s">
        <v>978</v>
      </c>
      <c r="E670" s="78" t="s">
        <v>1002</v>
      </c>
      <c r="F670" s="76" t="s">
        <v>1760</v>
      </c>
      <c r="G670" s="75" t="s">
        <v>523</v>
      </c>
      <c r="H670" s="70"/>
      <c r="P670" s="70">
        <f t="shared" si="10"/>
        <v>0</v>
      </c>
      <c r="Q670" s="70" cm="1">
        <f t="array" ref="Q670">IF(P670=1,IF(SUMPRODUCT(($P$2:P670)*(--($G$2:G670=$G670)))=1,1,0),0)</f>
        <v>0</v>
      </c>
      <c r="R670" s="70" t="str">
        <f>IF(Q670=1,SUM($Q$2:Q670),"")</f>
        <v/>
      </c>
    </row>
    <row r="671" spans="1:18" ht="16" x14ac:dyDescent="0.2">
      <c r="A671" s="73" t="s">
        <v>378</v>
      </c>
      <c r="B671" s="77" t="s">
        <v>1541</v>
      </c>
      <c r="C671" s="74" t="s">
        <v>1741</v>
      </c>
      <c r="D671" s="74" t="s">
        <v>978</v>
      </c>
      <c r="E671" s="78" t="s">
        <v>113</v>
      </c>
      <c r="F671" s="76" t="s">
        <v>1761</v>
      </c>
      <c r="G671" s="75" t="s">
        <v>523</v>
      </c>
      <c r="H671" s="70"/>
      <c r="P671" s="70">
        <f t="shared" si="10"/>
        <v>0</v>
      </c>
      <c r="Q671" s="70" cm="1">
        <f t="array" ref="Q671">IF(P671=1,IF(SUMPRODUCT(($P$2:P671)*(--($G$2:G671=$G671)))=1,1,0),0)</f>
        <v>0</v>
      </c>
      <c r="R671" s="70" t="str">
        <f>IF(Q671=1,SUM($Q$2:Q671),"")</f>
        <v/>
      </c>
    </row>
    <row r="672" spans="1:18" ht="16" x14ac:dyDescent="0.2">
      <c r="A672" s="73" t="s">
        <v>378</v>
      </c>
      <c r="B672" s="77" t="s">
        <v>1541</v>
      </c>
      <c r="C672" s="74" t="s">
        <v>1741</v>
      </c>
      <c r="D672" s="74" t="s">
        <v>978</v>
      </c>
      <c r="E672" s="78" t="s">
        <v>1002</v>
      </c>
      <c r="F672" s="76" t="s">
        <v>1761</v>
      </c>
      <c r="G672" s="75" t="s">
        <v>523</v>
      </c>
      <c r="H672" s="70"/>
      <c r="P672" s="70">
        <f t="shared" si="10"/>
        <v>0</v>
      </c>
      <c r="Q672" s="70" cm="1">
        <f t="array" ref="Q672">IF(P672=1,IF(SUMPRODUCT(($P$2:P672)*(--($G$2:G672=$G672)))=1,1,0),0)</f>
        <v>0</v>
      </c>
      <c r="R672" s="70" t="str">
        <f>IF(Q672=1,SUM($Q$2:Q672),"")</f>
        <v/>
      </c>
    </row>
    <row r="673" spans="1:18" ht="16" x14ac:dyDescent="0.2">
      <c r="A673" s="73" t="s">
        <v>378</v>
      </c>
      <c r="B673" s="77" t="s">
        <v>1541</v>
      </c>
      <c r="C673" s="74" t="s">
        <v>1741</v>
      </c>
      <c r="D673" s="74" t="s">
        <v>978</v>
      </c>
      <c r="E673" s="78" t="s">
        <v>113</v>
      </c>
      <c r="F673" s="76" t="s">
        <v>1762</v>
      </c>
      <c r="G673" s="75" t="s">
        <v>523</v>
      </c>
      <c r="H673" s="70"/>
      <c r="P673" s="70">
        <f t="shared" si="10"/>
        <v>0</v>
      </c>
      <c r="Q673" s="70" cm="1">
        <f t="array" ref="Q673">IF(P673=1,IF(SUMPRODUCT(($P$2:P673)*(--($G$2:G673=$G673)))=1,1,0),0)</f>
        <v>0</v>
      </c>
      <c r="R673" s="70" t="str">
        <f>IF(Q673=1,SUM($Q$2:Q673),"")</f>
        <v/>
      </c>
    </row>
    <row r="674" spans="1:18" ht="16" x14ac:dyDescent="0.2">
      <c r="A674" s="73" t="s">
        <v>378</v>
      </c>
      <c r="B674" s="77" t="s">
        <v>1541</v>
      </c>
      <c r="C674" s="74" t="s">
        <v>1741</v>
      </c>
      <c r="D674" s="74" t="s">
        <v>978</v>
      </c>
      <c r="E674" s="78" t="s">
        <v>1002</v>
      </c>
      <c r="F674" s="76" t="s">
        <v>1762</v>
      </c>
      <c r="G674" s="75" t="s">
        <v>523</v>
      </c>
      <c r="H674" s="70"/>
      <c r="P674" s="70">
        <f t="shared" si="10"/>
        <v>0</v>
      </c>
      <c r="Q674" s="70" cm="1">
        <f t="array" ref="Q674">IF(P674=1,IF(SUMPRODUCT(($P$2:P674)*(--($G$2:G674=$G674)))=1,1,0),0)</f>
        <v>0</v>
      </c>
      <c r="R674" s="70" t="str">
        <f>IF(Q674=1,SUM($Q$2:Q674),"")</f>
        <v/>
      </c>
    </row>
    <row r="675" spans="1:18" ht="16" x14ac:dyDescent="0.2">
      <c r="A675" s="73" t="s">
        <v>378</v>
      </c>
      <c r="B675" s="77" t="s">
        <v>1541</v>
      </c>
      <c r="C675" s="74" t="s">
        <v>1741</v>
      </c>
      <c r="D675" s="74" t="s">
        <v>978</v>
      </c>
      <c r="E675" s="78" t="s">
        <v>113</v>
      </c>
      <c r="F675" s="76" t="s">
        <v>1763</v>
      </c>
      <c r="G675" s="75" t="s">
        <v>523</v>
      </c>
      <c r="H675" s="70"/>
      <c r="P675" s="70">
        <f t="shared" si="10"/>
        <v>0</v>
      </c>
      <c r="Q675" s="70" cm="1">
        <f t="array" ref="Q675">IF(P675=1,IF(SUMPRODUCT(($P$2:P675)*(--($G$2:G675=$G675)))=1,1,0),0)</f>
        <v>0</v>
      </c>
      <c r="R675" s="70" t="str">
        <f>IF(Q675=1,SUM($Q$2:Q675),"")</f>
        <v/>
      </c>
    </row>
    <row r="676" spans="1:18" ht="16" x14ac:dyDescent="0.2">
      <c r="A676" s="73" t="s">
        <v>378</v>
      </c>
      <c r="B676" s="77" t="s">
        <v>1541</v>
      </c>
      <c r="C676" s="74" t="s">
        <v>1741</v>
      </c>
      <c r="D676" s="74" t="s">
        <v>978</v>
      </c>
      <c r="E676" s="78" t="s">
        <v>1002</v>
      </c>
      <c r="F676" s="76" t="s">
        <v>1763</v>
      </c>
      <c r="G676" s="75" t="s">
        <v>523</v>
      </c>
      <c r="H676" s="70"/>
      <c r="P676" s="70">
        <f t="shared" si="10"/>
        <v>0</v>
      </c>
      <c r="Q676" s="70" cm="1">
        <f t="array" ref="Q676">IF(P676=1,IF(SUMPRODUCT(($P$2:P676)*(--($G$2:G676=$G676)))=1,1,0),0)</f>
        <v>0</v>
      </c>
      <c r="R676" s="70" t="str">
        <f>IF(Q676=1,SUM($Q$2:Q676),"")</f>
        <v/>
      </c>
    </row>
    <row r="677" spans="1:18" x14ac:dyDescent="0.2">
      <c r="A677" s="73" t="s">
        <v>378</v>
      </c>
      <c r="B677" s="77" t="s">
        <v>1541</v>
      </c>
      <c r="C677" s="74" t="s">
        <v>1741</v>
      </c>
      <c r="D677" s="74" t="s">
        <v>978</v>
      </c>
      <c r="E677" s="78" t="s">
        <v>113</v>
      </c>
      <c r="F677" s="76" t="s">
        <v>1764</v>
      </c>
      <c r="G677" s="86" t="s">
        <v>1136</v>
      </c>
      <c r="H677" s="70"/>
      <c r="P677" s="70">
        <f t="shared" si="10"/>
        <v>0</v>
      </c>
      <c r="Q677" s="70" cm="1">
        <f t="array" ref="Q677">IF(P677=1,IF(SUMPRODUCT(($P$2:P677)*(--($G$2:G677=$G677)))=1,1,0),0)</f>
        <v>0</v>
      </c>
      <c r="R677" s="70" t="str">
        <f>IF(Q677=1,SUM($Q$2:Q677),"")</f>
        <v/>
      </c>
    </row>
    <row r="678" spans="1:18" x14ac:dyDescent="0.2">
      <c r="A678" s="73" t="s">
        <v>378</v>
      </c>
      <c r="B678" s="77" t="s">
        <v>1541</v>
      </c>
      <c r="C678" s="74" t="s">
        <v>1741</v>
      </c>
      <c r="D678" s="74" t="s">
        <v>978</v>
      </c>
      <c r="E678" s="78" t="s">
        <v>1002</v>
      </c>
      <c r="F678" s="76" t="s">
        <v>1764</v>
      </c>
      <c r="G678" s="86" t="s">
        <v>1136</v>
      </c>
      <c r="H678" s="70"/>
      <c r="P678" s="70">
        <f t="shared" si="10"/>
        <v>0</v>
      </c>
      <c r="Q678" s="70" cm="1">
        <f t="array" ref="Q678">IF(P678=1,IF(SUMPRODUCT(($P$2:P678)*(--($G$2:G678=$G678)))=1,1,0),0)</f>
        <v>0</v>
      </c>
      <c r="R678" s="70" t="str">
        <f>IF(Q678=1,SUM($Q$2:Q678),"")</f>
        <v/>
      </c>
    </row>
    <row r="679" spans="1:18" ht="16" x14ac:dyDescent="0.2">
      <c r="A679" s="73" t="s">
        <v>378</v>
      </c>
      <c r="B679" s="77" t="s">
        <v>1541</v>
      </c>
      <c r="C679" s="74" t="s">
        <v>1741</v>
      </c>
      <c r="D679" s="74" t="s">
        <v>978</v>
      </c>
      <c r="E679" s="78" t="s">
        <v>113</v>
      </c>
      <c r="F679" s="76" t="s">
        <v>1765</v>
      </c>
      <c r="G679" s="75" t="s">
        <v>569</v>
      </c>
      <c r="H679" s="70"/>
      <c r="P679" s="70">
        <f t="shared" si="10"/>
        <v>0</v>
      </c>
      <c r="Q679" s="70" cm="1">
        <f t="array" ref="Q679">IF(P679=1,IF(SUMPRODUCT(($P$2:P679)*(--($G$2:G679=$G679)))=1,1,0),0)</f>
        <v>0</v>
      </c>
      <c r="R679" s="70" t="str">
        <f>IF(Q679=1,SUM($Q$2:Q679),"")</f>
        <v/>
      </c>
    </row>
    <row r="680" spans="1:18" ht="16" x14ac:dyDescent="0.2">
      <c r="A680" s="73" t="s">
        <v>378</v>
      </c>
      <c r="B680" s="77" t="s">
        <v>1541</v>
      </c>
      <c r="C680" s="74" t="s">
        <v>1741</v>
      </c>
      <c r="D680" s="74" t="s">
        <v>978</v>
      </c>
      <c r="E680" s="78" t="s">
        <v>1002</v>
      </c>
      <c r="F680" s="76" t="s">
        <v>1765</v>
      </c>
      <c r="G680" s="75" t="s">
        <v>569</v>
      </c>
      <c r="H680" s="70"/>
      <c r="P680" s="70">
        <f t="shared" si="10"/>
        <v>0</v>
      </c>
      <c r="Q680" s="70" cm="1">
        <f t="array" ref="Q680">IF(P680=1,IF(SUMPRODUCT(($P$2:P680)*(--($G$2:G680=$G680)))=1,1,0),0)</f>
        <v>0</v>
      </c>
      <c r="R680" s="70" t="str">
        <f>IF(Q680=1,SUM($Q$2:Q680),"")</f>
        <v/>
      </c>
    </row>
    <row r="681" spans="1:18" ht="16" x14ac:dyDescent="0.2">
      <c r="A681" s="73" t="s">
        <v>378</v>
      </c>
      <c r="B681" s="77" t="s">
        <v>1541</v>
      </c>
      <c r="C681" s="74" t="s">
        <v>1741</v>
      </c>
      <c r="D681" s="74" t="s">
        <v>978</v>
      </c>
      <c r="E681" s="78" t="s">
        <v>113</v>
      </c>
      <c r="F681" s="76" t="s">
        <v>1766</v>
      </c>
      <c r="G681" s="75" t="s">
        <v>571</v>
      </c>
      <c r="H681" s="70"/>
      <c r="P681" s="70">
        <f t="shared" si="10"/>
        <v>0</v>
      </c>
      <c r="Q681" s="70" cm="1">
        <f t="array" ref="Q681">IF(P681=1,IF(SUMPRODUCT(($P$2:P681)*(--($G$2:G681=$G681)))=1,1,0),0)</f>
        <v>0</v>
      </c>
      <c r="R681" s="70" t="str">
        <f>IF(Q681=1,SUM($Q$2:Q681),"")</f>
        <v/>
      </c>
    </row>
    <row r="682" spans="1:18" ht="16" x14ac:dyDescent="0.2">
      <c r="A682" s="73" t="s">
        <v>378</v>
      </c>
      <c r="B682" s="77" t="s">
        <v>1541</v>
      </c>
      <c r="C682" s="74" t="s">
        <v>1741</v>
      </c>
      <c r="D682" s="74" t="s">
        <v>978</v>
      </c>
      <c r="E682" s="78" t="s">
        <v>1002</v>
      </c>
      <c r="F682" s="76" t="s">
        <v>1766</v>
      </c>
      <c r="G682" s="75" t="s">
        <v>571</v>
      </c>
      <c r="H682" s="70"/>
      <c r="P682" s="70">
        <f t="shared" si="10"/>
        <v>0</v>
      </c>
      <c r="Q682" s="70" cm="1">
        <f t="array" ref="Q682">IF(P682=1,IF(SUMPRODUCT(($P$2:P682)*(--($G$2:G682=$G682)))=1,1,0),0)</f>
        <v>0</v>
      </c>
      <c r="R682" s="70" t="str">
        <f>IF(Q682=1,SUM($Q$2:Q682),"")</f>
        <v/>
      </c>
    </row>
    <row r="683" spans="1:18" ht="16" x14ac:dyDescent="0.2">
      <c r="A683" s="73" t="s">
        <v>378</v>
      </c>
      <c r="B683" s="77" t="s">
        <v>1541</v>
      </c>
      <c r="C683" s="74" t="s">
        <v>1741</v>
      </c>
      <c r="D683" s="74" t="s">
        <v>978</v>
      </c>
      <c r="E683" s="78" t="s">
        <v>113</v>
      </c>
      <c r="F683" s="76" t="s">
        <v>1767</v>
      </c>
      <c r="G683" s="75" t="s">
        <v>571</v>
      </c>
      <c r="H683" s="70"/>
      <c r="P683" s="70">
        <f t="shared" si="10"/>
        <v>0</v>
      </c>
      <c r="Q683" s="70" cm="1">
        <f t="array" ref="Q683">IF(P683=1,IF(SUMPRODUCT(($P$2:P683)*(--($G$2:G683=$G683)))=1,1,0),0)</f>
        <v>0</v>
      </c>
      <c r="R683" s="70" t="str">
        <f>IF(Q683=1,SUM($Q$2:Q683),"")</f>
        <v/>
      </c>
    </row>
    <row r="684" spans="1:18" ht="16" x14ac:dyDescent="0.2">
      <c r="A684" s="73" t="s">
        <v>378</v>
      </c>
      <c r="B684" s="77" t="s">
        <v>1541</v>
      </c>
      <c r="C684" s="74" t="s">
        <v>1741</v>
      </c>
      <c r="D684" s="74" t="s">
        <v>978</v>
      </c>
      <c r="E684" s="78" t="s">
        <v>1002</v>
      </c>
      <c r="F684" s="76" t="s">
        <v>1767</v>
      </c>
      <c r="G684" s="75" t="s">
        <v>571</v>
      </c>
      <c r="H684" s="70"/>
      <c r="P684" s="70">
        <f t="shared" si="10"/>
        <v>0</v>
      </c>
      <c r="Q684" s="70" cm="1">
        <f t="array" ref="Q684">IF(P684=1,IF(SUMPRODUCT(($P$2:P684)*(--($G$2:G684=$G684)))=1,1,0),0)</f>
        <v>0</v>
      </c>
      <c r="R684" s="70" t="str">
        <f>IF(Q684=1,SUM($Q$2:Q684),"")</f>
        <v/>
      </c>
    </row>
    <row r="685" spans="1:18" ht="16" x14ac:dyDescent="0.2">
      <c r="A685" s="73" t="s">
        <v>378</v>
      </c>
      <c r="B685" s="77" t="s">
        <v>1541</v>
      </c>
      <c r="C685" s="74" t="s">
        <v>1741</v>
      </c>
      <c r="D685" s="74" t="s">
        <v>978</v>
      </c>
      <c r="E685" s="78" t="s">
        <v>113</v>
      </c>
      <c r="F685" s="76" t="s">
        <v>1768</v>
      </c>
      <c r="G685" s="75" t="s">
        <v>370</v>
      </c>
      <c r="H685" s="70"/>
      <c r="P685" s="70">
        <f t="shared" si="10"/>
        <v>0</v>
      </c>
      <c r="Q685" s="70" cm="1">
        <f t="array" ref="Q685">IF(P685=1,IF(SUMPRODUCT(($P$2:P685)*(--($G$2:G685=$G685)))=1,1,0),0)</f>
        <v>0</v>
      </c>
      <c r="R685" s="70" t="str">
        <f>IF(Q685=1,SUM($Q$2:Q685),"")</f>
        <v/>
      </c>
    </row>
    <row r="686" spans="1:18" ht="16" x14ac:dyDescent="0.2">
      <c r="A686" s="73" t="s">
        <v>378</v>
      </c>
      <c r="B686" s="77" t="s">
        <v>1541</v>
      </c>
      <c r="C686" s="74" t="s">
        <v>1741</v>
      </c>
      <c r="D686" s="74" t="s">
        <v>978</v>
      </c>
      <c r="E686" s="78" t="s">
        <v>1002</v>
      </c>
      <c r="F686" s="76" t="s">
        <v>1768</v>
      </c>
      <c r="G686" s="75" t="s">
        <v>370</v>
      </c>
      <c r="H686" s="70"/>
      <c r="P686" s="70">
        <f t="shared" si="10"/>
        <v>0</v>
      </c>
      <c r="Q686" s="70" cm="1">
        <f t="array" ref="Q686">IF(P686=1,IF(SUMPRODUCT(($P$2:P686)*(--($G$2:G686=$G686)))=1,1,0),0)</f>
        <v>0</v>
      </c>
      <c r="R686" s="70" t="str">
        <f>IF(Q686=1,SUM($Q$2:Q686),"")</f>
        <v/>
      </c>
    </row>
    <row r="687" spans="1:18" ht="16" x14ac:dyDescent="0.2">
      <c r="A687" s="73" t="s">
        <v>378</v>
      </c>
      <c r="B687" s="77" t="s">
        <v>1541</v>
      </c>
      <c r="C687" s="74" t="s">
        <v>1741</v>
      </c>
      <c r="D687" s="74" t="s">
        <v>978</v>
      </c>
      <c r="E687" s="78" t="s">
        <v>113</v>
      </c>
      <c r="F687" s="76" t="s">
        <v>1769</v>
      </c>
      <c r="G687" s="75" t="s">
        <v>373</v>
      </c>
      <c r="H687" s="70"/>
      <c r="P687" s="70">
        <f t="shared" si="10"/>
        <v>0</v>
      </c>
      <c r="Q687" s="70" cm="1">
        <f t="array" ref="Q687">IF(P687=1,IF(SUMPRODUCT(($P$2:P687)*(--($G$2:G687=$G687)))=1,1,0),0)</f>
        <v>0</v>
      </c>
      <c r="R687" s="70" t="str">
        <f>IF(Q687=1,SUM($Q$2:Q687),"")</f>
        <v/>
      </c>
    </row>
    <row r="688" spans="1:18" ht="16" x14ac:dyDescent="0.2">
      <c r="A688" s="73" t="s">
        <v>378</v>
      </c>
      <c r="B688" s="77" t="s">
        <v>1541</v>
      </c>
      <c r="C688" s="74" t="s">
        <v>1741</v>
      </c>
      <c r="D688" s="74" t="s">
        <v>978</v>
      </c>
      <c r="E688" s="78" t="s">
        <v>1002</v>
      </c>
      <c r="F688" s="76" t="s">
        <v>1769</v>
      </c>
      <c r="G688" s="75" t="s">
        <v>373</v>
      </c>
      <c r="H688" s="70"/>
      <c r="P688" s="70">
        <f t="shared" si="10"/>
        <v>0</v>
      </c>
      <c r="Q688" s="70" cm="1">
        <f t="array" ref="Q688">IF(P688=1,IF(SUMPRODUCT(($P$2:P688)*(--($G$2:G688=$G688)))=1,1,0),0)</f>
        <v>0</v>
      </c>
      <c r="R688" s="70" t="str">
        <f>IF(Q688=1,SUM($Q$2:Q688),"")</f>
        <v/>
      </c>
    </row>
    <row r="689" spans="1:18" ht="16" x14ac:dyDescent="0.2">
      <c r="A689" s="73" t="s">
        <v>378</v>
      </c>
      <c r="B689" s="77" t="s">
        <v>1541</v>
      </c>
      <c r="C689" s="74" t="s">
        <v>1741</v>
      </c>
      <c r="D689" s="74" t="s">
        <v>978</v>
      </c>
      <c r="E689" s="78" t="s">
        <v>113</v>
      </c>
      <c r="F689" s="76" t="s">
        <v>1770</v>
      </c>
      <c r="G689" s="75" t="s">
        <v>373</v>
      </c>
      <c r="H689" s="70"/>
      <c r="P689" s="70">
        <f t="shared" si="10"/>
        <v>0</v>
      </c>
      <c r="Q689" s="70" cm="1">
        <f t="array" ref="Q689">IF(P689=1,IF(SUMPRODUCT(($P$2:P689)*(--($G$2:G689=$G689)))=1,1,0),0)</f>
        <v>0</v>
      </c>
      <c r="R689" s="70" t="str">
        <f>IF(Q689=1,SUM($Q$2:Q689),"")</f>
        <v/>
      </c>
    </row>
    <row r="690" spans="1:18" ht="16" x14ac:dyDescent="0.2">
      <c r="A690" s="73" t="s">
        <v>378</v>
      </c>
      <c r="B690" s="77" t="s">
        <v>1541</v>
      </c>
      <c r="C690" s="74" t="s">
        <v>1741</v>
      </c>
      <c r="D690" s="74" t="s">
        <v>978</v>
      </c>
      <c r="E690" s="78" t="s">
        <v>1002</v>
      </c>
      <c r="F690" s="76" t="s">
        <v>1770</v>
      </c>
      <c r="G690" s="75" t="s">
        <v>373</v>
      </c>
      <c r="H690" s="70"/>
      <c r="P690" s="70">
        <f t="shared" si="10"/>
        <v>0</v>
      </c>
      <c r="Q690" s="70" cm="1">
        <f t="array" ref="Q690">IF(P690=1,IF(SUMPRODUCT(($P$2:P690)*(--($G$2:G690=$G690)))=1,1,0),0)</f>
        <v>0</v>
      </c>
      <c r="R690" s="70" t="str">
        <f>IF(Q690=1,SUM($Q$2:Q690),"")</f>
        <v/>
      </c>
    </row>
    <row r="691" spans="1:18" ht="16" x14ac:dyDescent="0.2">
      <c r="A691" s="73" t="s">
        <v>378</v>
      </c>
      <c r="B691" s="77" t="s">
        <v>1541</v>
      </c>
      <c r="C691" s="74" t="s">
        <v>1741</v>
      </c>
      <c r="D691" s="74" t="s">
        <v>978</v>
      </c>
      <c r="E691" s="78" t="s">
        <v>113</v>
      </c>
      <c r="F691" s="76" t="s">
        <v>1771</v>
      </c>
      <c r="G691" s="75" t="s">
        <v>241</v>
      </c>
      <c r="H691" s="70"/>
      <c r="P691" s="70">
        <f t="shared" si="10"/>
        <v>0</v>
      </c>
      <c r="Q691" s="70" cm="1">
        <f t="array" ref="Q691">IF(P691=1,IF(SUMPRODUCT(($P$2:P691)*(--($G$2:G691=$G691)))=1,1,0),0)</f>
        <v>0</v>
      </c>
      <c r="R691" s="70" t="str">
        <f>IF(Q691=1,SUM($Q$2:Q691),"")</f>
        <v/>
      </c>
    </row>
    <row r="692" spans="1:18" ht="16" x14ac:dyDescent="0.2">
      <c r="A692" s="73" t="s">
        <v>378</v>
      </c>
      <c r="B692" s="77" t="s">
        <v>1541</v>
      </c>
      <c r="C692" s="74" t="s">
        <v>1741</v>
      </c>
      <c r="D692" s="74" t="s">
        <v>978</v>
      </c>
      <c r="E692" s="78" t="s">
        <v>1002</v>
      </c>
      <c r="F692" s="76" t="s">
        <v>1771</v>
      </c>
      <c r="G692" s="75" t="s">
        <v>241</v>
      </c>
      <c r="H692" s="70"/>
      <c r="P692" s="70">
        <f t="shared" si="10"/>
        <v>0</v>
      </c>
      <c r="Q692" s="70" cm="1">
        <f t="array" ref="Q692">IF(P692=1,IF(SUMPRODUCT(($P$2:P692)*(--($G$2:G692=$G692)))=1,1,0),0)</f>
        <v>0</v>
      </c>
      <c r="R692" s="70" t="str">
        <f>IF(Q692=1,SUM($Q$2:Q692),"")</f>
        <v/>
      </c>
    </row>
    <row r="693" spans="1:18" ht="16" x14ac:dyDescent="0.2">
      <c r="A693" s="73" t="s">
        <v>407</v>
      </c>
      <c r="B693" s="77" t="s">
        <v>1541</v>
      </c>
      <c r="C693" s="74" t="s">
        <v>1772</v>
      </c>
      <c r="D693" s="74" t="s">
        <v>989</v>
      </c>
      <c r="E693" s="78" t="s">
        <v>106</v>
      </c>
      <c r="F693" s="76" t="s">
        <v>1773</v>
      </c>
      <c r="G693" s="88" t="s">
        <v>532</v>
      </c>
      <c r="H693" s="70"/>
      <c r="P693" s="70">
        <f t="shared" si="10"/>
        <v>0</v>
      </c>
      <c r="Q693" s="70" cm="1">
        <f t="array" ref="Q693">IF(P693=1,IF(SUMPRODUCT(($P$2:P693)*(--($G$2:G693=$G693)))=1,1,0),0)</f>
        <v>0</v>
      </c>
      <c r="R693" s="70" t="str">
        <f>IF(Q693=1,SUM($Q$2:Q693),"")</f>
        <v/>
      </c>
    </row>
    <row r="694" spans="1:18" ht="16" x14ac:dyDescent="0.2">
      <c r="A694" s="73" t="s">
        <v>407</v>
      </c>
      <c r="B694" s="77" t="s">
        <v>1541</v>
      </c>
      <c r="C694" s="74" t="s">
        <v>1772</v>
      </c>
      <c r="D694" s="74" t="s">
        <v>989</v>
      </c>
      <c r="E694" s="78" t="s">
        <v>106</v>
      </c>
      <c r="F694" s="76" t="s">
        <v>1773</v>
      </c>
      <c r="G694" s="88" t="s">
        <v>532</v>
      </c>
      <c r="H694" s="70"/>
      <c r="P694" s="70">
        <f t="shared" si="10"/>
        <v>0</v>
      </c>
      <c r="Q694" s="70" cm="1">
        <f t="array" ref="Q694">IF(P694=1,IF(SUMPRODUCT(($P$2:P694)*(--($G$2:G694=$G694)))=1,1,0),0)</f>
        <v>0</v>
      </c>
      <c r="R694" s="70" t="str">
        <f>IF(Q694=1,SUM($Q$2:Q694),"")</f>
        <v/>
      </c>
    </row>
    <row r="695" spans="1:18" ht="16" x14ac:dyDescent="0.2">
      <c r="A695" s="73" t="s">
        <v>407</v>
      </c>
      <c r="B695" s="77" t="s">
        <v>1541</v>
      </c>
      <c r="C695" s="74" t="s">
        <v>1772</v>
      </c>
      <c r="D695" s="74" t="s">
        <v>989</v>
      </c>
      <c r="E695" s="78" t="s">
        <v>106</v>
      </c>
      <c r="F695" s="76" t="s">
        <v>1774</v>
      </c>
      <c r="G695" s="88" t="s">
        <v>532</v>
      </c>
      <c r="H695" s="70"/>
      <c r="P695" s="70">
        <f t="shared" si="10"/>
        <v>0</v>
      </c>
      <c r="Q695" s="70" cm="1">
        <f t="array" ref="Q695">IF(P695=1,IF(SUMPRODUCT(($P$2:P695)*(--($G$2:G695=$G695)))=1,1,0),0)</f>
        <v>0</v>
      </c>
      <c r="R695" s="70" t="str">
        <f>IF(Q695=1,SUM($Q$2:Q695),"")</f>
        <v/>
      </c>
    </row>
    <row r="696" spans="1:18" ht="16" x14ac:dyDescent="0.2">
      <c r="A696" s="73" t="s">
        <v>407</v>
      </c>
      <c r="B696" s="77" t="s">
        <v>1541</v>
      </c>
      <c r="C696" s="74" t="s">
        <v>1772</v>
      </c>
      <c r="D696" s="74" t="s">
        <v>989</v>
      </c>
      <c r="E696" s="78" t="s">
        <v>106</v>
      </c>
      <c r="F696" s="76" t="s">
        <v>1774</v>
      </c>
      <c r="G696" s="88" t="s">
        <v>532</v>
      </c>
      <c r="H696" s="70"/>
      <c r="P696" s="70">
        <f t="shared" si="10"/>
        <v>0</v>
      </c>
      <c r="Q696" s="70" cm="1">
        <f t="array" ref="Q696">IF(P696=1,IF(SUMPRODUCT(($P$2:P696)*(--($G$2:G696=$G696)))=1,1,0),0)</f>
        <v>0</v>
      </c>
      <c r="R696" s="70" t="str">
        <f>IF(Q696=1,SUM($Q$2:Q696),"")</f>
        <v/>
      </c>
    </row>
    <row r="697" spans="1:18" ht="16" x14ac:dyDescent="0.2">
      <c r="A697" s="73" t="s">
        <v>407</v>
      </c>
      <c r="B697" s="77" t="s">
        <v>1541</v>
      </c>
      <c r="C697" s="74" t="s">
        <v>1772</v>
      </c>
      <c r="D697" s="74" t="s">
        <v>989</v>
      </c>
      <c r="E697" s="78" t="s">
        <v>106</v>
      </c>
      <c r="F697" s="76" t="s">
        <v>1775</v>
      </c>
      <c r="G697" s="88" t="s">
        <v>532</v>
      </c>
      <c r="H697" s="70"/>
      <c r="P697" s="70">
        <f t="shared" si="10"/>
        <v>0</v>
      </c>
      <c r="Q697" s="70" cm="1">
        <f t="array" ref="Q697">IF(P697=1,IF(SUMPRODUCT(($P$2:P697)*(--($G$2:G697=$G697)))=1,1,0),0)</f>
        <v>0</v>
      </c>
      <c r="R697" s="70" t="str">
        <f>IF(Q697=1,SUM($Q$2:Q697),"")</f>
        <v/>
      </c>
    </row>
    <row r="698" spans="1:18" ht="16" x14ac:dyDescent="0.2">
      <c r="A698" s="73" t="s">
        <v>407</v>
      </c>
      <c r="B698" s="77" t="s">
        <v>1541</v>
      </c>
      <c r="C698" s="74" t="s">
        <v>1772</v>
      </c>
      <c r="D698" s="74" t="s">
        <v>989</v>
      </c>
      <c r="E698" s="78" t="s">
        <v>106</v>
      </c>
      <c r="F698" s="76" t="s">
        <v>1775</v>
      </c>
      <c r="G698" s="88" t="s">
        <v>532</v>
      </c>
      <c r="H698" s="70"/>
      <c r="P698" s="70">
        <f t="shared" si="10"/>
        <v>0</v>
      </c>
      <c r="Q698" s="70" cm="1">
        <f t="array" ref="Q698">IF(P698=1,IF(SUMPRODUCT(($P$2:P698)*(--($G$2:G698=$G698)))=1,1,0),0)</f>
        <v>0</v>
      </c>
      <c r="R698" s="70" t="str">
        <f>IF(Q698=1,SUM($Q$2:Q698),"")</f>
        <v/>
      </c>
    </row>
    <row r="699" spans="1:18" ht="16" x14ac:dyDescent="0.2">
      <c r="A699" s="73" t="s">
        <v>407</v>
      </c>
      <c r="B699" s="77" t="s">
        <v>1541</v>
      </c>
      <c r="C699" s="74" t="s">
        <v>1772</v>
      </c>
      <c r="D699" s="74" t="s">
        <v>989</v>
      </c>
      <c r="E699" s="78" t="s">
        <v>106</v>
      </c>
      <c r="F699" s="76" t="s">
        <v>1776</v>
      </c>
      <c r="G699" s="88" t="s">
        <v>532</v>
      </c>
      <c r="H699" s="70"/>
      <c r="P699" s="70">
        <f t="shared" si="10"/>
        <v>0</v>
      </c>
      <c r="Q699" s="70" cm="1">
        <f t="array" ref="Q699">IF(P699=1,IF(SUMPRODUCT(($P$2:P699)*(--($G$2:G699=$G699)))=1,1,0),0)</f>
        <v>0</v>
      </c>
      <c r="R699" s="70" t="str">
        <f>IF(Q699=1,SUM($Q$2:Q699),"")</f>
        <v/>
      </c>
    </row>
    <row r="700" spans="1:18" ht="16" x14ac:dyDescent="0.2">
      <c r="A700" s="73" t="s">
        <v>407</v>
      </c>
      <c r="B700" s="77" t="s">
        <v>1541</v>
      </c>
      <c r="C700" s="74" t="s">
        <v>1772</v>
      </c>
      <c r="D700" s="74" t="s">
        <v>989</v>
      </c>
      <c r="E700" s="78" t="s">
        <v>106</v>
      </c>
      <c r="F700" s="76" t="s">
        <v>1776</v>
      </c>
      <c r="G700" s="88" t="s">
        <v>532</v>
      </c>
      <c r="H700" s="70"/>
      <c r="P700" s="70">
        <f t="shared" si="10"/>
        <v>0</v>
      </c>
      <c r="Q700" s="70" cm="1">
        <f t="array" ref="Q700">IF(P700=1,IF(SUMPRODUCT(($P$2:P700)*(--($G$2:G700=$G700)))=1,1,0),0)</f>
        <v>0</v>
      </c>
      <c r="R700" s="70" t="str">
        <f>IF(Q700=1,SUM($Q$2:Q700),"")</f>
        <v/>
      </c>
    </row>
    <row r="701" spans="1:18" ht="16" x14ac:dyDescent="0.2">
      <c r="A701" s="73" t="s">
        <v>407</v>
      </c>
      <c r="B701" s="77" t="s">
        <v>1541</v>
      </c>
      <c r="C701" s="74" t="s">
        <v>1772</v>
      </c>
      <c r="D701" s="74" t="s">
        <v>989</v>
      </c>
      <c r="E701" s="78" t="s">
        <v>106</v>
      </c>
      <c r="F701" s="76" t="s">
        <v>1777</v>
      </c>
      <c r="G701" s="88" t="s">
        <v>532</v>
      </c>
      <c r="H701" s="70"/>
      <c r="P701" s="70">
        <f t="shared" si="10"/>
        <v>0</v>
      </c>
      <c r="Q701" s="70" cm="1">
        <f t="array" ref="Q701">IF(P701=1,IF(SUMPRODUCT(($P$2:P701)*(--($G$2:G701=$G701)))=1,1,0),0)</f>
        <v>0</v>
      </c>
      <c r="R701" s="70" t="str">
        <f>IF(Q701=1,SUM($Q$2:Q701),"")</f>
        <v/>
      </c>
    </row>
    <row r="702" spans="1:18" ht="16" x14ac:dyDescent="0.2">
      <c r="A702" s="73" t="s">
        <v>407</v>
      </c>
      <c r="B702" s="77" t="s">
        <v>1541</v>
      </c>
      <c r="C702" s="74" t="s">
        <v>1772</v>
      </c>
      <c r="D702" s="74" t="s">
        <v>989</v>
      </c>
      <c r="E702" s="78" t="s">
        <v>106</v>
      </c>
      <c r="F702" s="76" t="s">
        <v>1777</v>
      </c>
      <c r="G702" s="88" t="s">
        <v>532</v>
      </c>
      <c r="H702" s="70"/>
      <c r="P702" s="70">
        <f t="shared" si="10"/>
        <v>0</v>
      </c>
      <c r="Q702" s="70" cm="1">
        <f t="array" ref="Q702">IF(P702=1,IF(SUMPRODUCT(($P$2:P702)*(--($G$2:G702=$G702)))=1,1,0),0)</f>
        <v>0</v>
      </c>
      <c r="R702" s="70" t="str">
        <f>IF(Q702=1,SUM($Q$2:Q702),"")</f>
        <v/>
      </c>
    </row>
    <row r="703" spans="1:18" ht="16" x14ac:dyDescent="0.2">
      <c r="A703" s="73" t="s">
        <v>407</v>
      </c>
      <c r="B703" s="77" t="s">
        <v>1541</v>
      </c>
      <c r="C703" s="74" t="s">
        <v>1772</v>
      </c>
      <c r="D703" s="74" t="s">
        <v>989</v>
      </c>
      <c r="E703" s="78" t="s">
        <v>106</v>
      </c>
      <c r="F703" s="76" t="s">
        <v>1778</v>
      </c>
      <c r="G703" s="88" t="s">
        <v>532</v>
      </c>
      <c r="H703" s="70"/>
      <c r="P703" s="70">
        <f t="shared" si="10"/>
        <v>0</v>
      </c>
      <c r="Q703" s="70" cm="1">
        <f t="array" ref="Q703">IF(P703=1,IF(SUMPRODUCT(($P$2:P703)*(--($G$2:G703=$G703)))=1,1,0),0)</f>
        <v>0</v>
      </c>
      <c r="R703" s="70" t="str">
        <f>IF(Q703=1,SUM($Q$2:Q703),"")</f>
        <v/>
      </c>
    </row>
    <row r="704" spans="1:18" ht="16" x14ac:dyDescent="0.2">
      <c r="A704" s="73" t="s">
        <v>407</v>
      </c>
      <c r="B704" s="77" t="s">
        <v>1541</v>
      </c>
      <c r="C704" s="74" t="s">
        <v>1772</v>
      </c>
      <c r="D704" s="74" t="s">
        <v>989</v>
      </c>
      <c r="E704" s="78" t="s">
        <v>106</v>
      </c>
      <c r="F704" s="76" t="s">
        <v>1778</v>
      </c>
      <c r="G704" s="88" t="s">
        <v>532</v>
      </c>
      <c r="H704" s="70"/>
      <c r="P704" s="70">
        <f t="shared" si="10"/>
        <v>0</v>
      </c>
      <c r="Q704" s="70" cm="1">
        <f t="array" ref="Q704">IF(P704=1,IF(SUMPRODUCT(($P$2:P704)*(--($G$2:G704=$G704)))=1,1,0),0)</f>
        <v>0</v>
      </c>
      <c r="R704" s="70" t="str">
        <f>IF(Q704=1,SUM($Q$2:Q704),"")</f>
        <v/>
      </c>
    </row>
    <row r="705" spans="1:18" ht="16" x14ac:dyDescent="0.2">
      <c r="A705" s="73" t="s">
        <v>407</v>
      </c>
      <c r="B705" s="77" t="s">
        <v>1541</v>
      </c>
      <c r="C705" s="74" t="s">
        <v>1772</v>
      </c>
      <c r="D705" s="74" t="s">
        <v>989</v>
      </c>
      <c r="E705" s="78" t="s">
        <v>106</v>
      </c>
      <c r="F705" s="76" t="s">
        <v>1779</v>
      </c>
      <c r="G705" s="88" t="s">
        <v>532</v>
      </c>
      <c r="H705" s="70"/>
      <c r="P705" s="70">
        <f t="shared" si="10"/>
        <v>0</v>
      </c>
      <c r="Q705" s="70" cm="1">
        <f t="array" ref="Q705">IF(P705=1,IF(SUMPRODUCT(($P$2:P705)*(--($G$2:G705=$G705)))=1,1,0),0)</f>
        <v>0</v>
      </c>
      <c r="R705" s="70" t="str">
        <f>IF(Q705=1,SUM($Q$2:Q705),"")</f>
        <v/>
      </c>
    </row>
    <row r="706" spans="1:18" ht="16" x14ac:dyDescent="0.2">
      <c r="A706" s="73" t="s">
        <v>407</v>
      </c>
      <c r="B706" s="77" t="s">
        <v>1541</v>
      </c>
      <c r="C706" s="74" t="s">
        <v>1772</v>
      </c>
      <c r="D706" s="74" t="s">
        <v>989</v>
      </c>
      <c r="E706" s="78" t="s">
        <v>1002</v>
      </c>
      <c r="F706" s="76" t="s">
        <v>407</v>
      </c>
      <c r="G706" s="75" t="s">
        <v>1228</v>
      </c>
      <c r="H706" s="70"/>
      <c r="P706" s="70">
        <f t="shared" si="10"/>
        <v>0</v>
      </c>
      <c r="Q706" s="70" cm="1">
        <f t="array" ref="Q706">IF(P706=1,IF(SUMPRODUCT(($P$2:P706)*(--($G$2:G706=$G706)))=1,1,0),0)</f>
        <v>0</v>
      </c>
      <c r="R706" s="70" t="str">
        <f>IF(Q706=1,SUM($Q$2:Q706),"")</f>
        <v/>
      </c>
    </row>
    <row r="707" spans="1:18" ht="16" x14ac:dyDescent="0.2">
      <c r="A707" s="73" t="s">
        <v>407</v>
      </c>
      <c r="B707" s="77" t="s">
        <v>1541</v>
      </c>
      <c r="C707" s="74" t="s">
        <v>1772</v>
      </c>
      <c r="D707" s="74" t="s">
        <v>989</v>
      </c>
      <c r="E707" s="78" t="s">
        <v>1002</v>
      </c>
      <c r="F707" s="76" t="s">
        <v>1780</v>
      </c>
      <c r="G707" s="75" t="s">
        <v>1228</v>
      </c>
      <c r="H707" s="70"/>
      <c r="P707" s="70">
        <f t="shared" ref="P707:P770" si="11">IF(AND(IF(TRIM($J$2&amp;"")="",TRUE,LEFT($D707,LEN($J$2))=$J$2),IF(TRIM($K$2&amp;"")="",TRUE,$E707=$K$2),IF($L$2="",TRUE,$F707=$L$2)),1,0)</f>
        <v>0</v>
      </c>
      <c r="Q707" s="70" cm="1">
        <f t="array" ref="Q707">IF(P707=1,IF(SUMPRODUCT(($P$2:P707)*(--($G$2:G707=$G707)))=1,1,0),0)</f>
        <v>0</v>
      </c>
      <c r="R707" s="70" t="str">
        <f>IF(Q707=1,SUM($Q$2:Q707),"")</f>
        <v/>
      </c>
    </row>
    <row r="708" spans="1:18" ht="16" x14ac:dyDescent="0.2">
      <c r="A708" s="73" t="s">
        <v>407</v>
      </c>
      <c r="B708" s="77" t="s">
        <v>1541</v>
      </c>
      <c r="C708" s="74" t="s">
        <v>1772</v>
      </c>
      <c r="D708" s="74" t="s">
        <v>989</v>
      </c>
      <c r="E708" s="78" t="s">
        <v>1002</v>
      </c>
      <c r="F708" s="76" t="s">
        <v>1781</v>
      </c>
      <c r="G708" s="75" t="s">
        <v>1228</v>
      </c>
      <c r="H708" s="70"/>
      <c r="P708" s="70">
        <f t="shared" si="11"/>
        <v>0</v>
      </c>
      <c r="Q708" s="70" cm="1">
        <f t="array" ref="Q708">IF(P708=1,IF(SUMPRODUCT(($P$2:P708)*(--($G$2:G708=$G708)))=1,1,0),0)</f>
        <v>0</v>
      </c>
      <c r="R708" s="70" t="str">
        <f>IF(Q708=1,SUM($Q$2:Q708),"")</f>
        <v/>
      </c>
    </row>
    <row r="709" spans="1:18" ht="16" x14ac:dyDescent="0.2">
      <c r="A709" s="73" t="s">
        <v>407</v>
      </c>
      <c r="B709" s="77" t="s">
        <v>1541</v>
      </c>
      <c r="C709" s="74" t="s">
        <v>1772</v>
      </c>
      <c r="D709" s="74" t="s">
        <v>989</v>
      </c>
      <c r="E709" s="78" t="s">
        <v>1002</v>
      </c>
      <c r="F709" s="76" t="s">
        <v>1782</v>
      </c>
      <c r="G709" s="75" t="s">
        <v>1228</v>
      </c>
      <c r="H709" s="70"/>
      <c r="P709" s="70">
        <f t="shared" si="11"/>
        <v>0</v>
      </c>
      <c r="Q709" s="70" cm="1">
        <f t="array" ref="Q709">IF(P709=1,IF(SUMPRODUCT(($P$2:P709)*(--($G$2:G709=$G709)))=1,1,0),0)</f>
        <v>0</v>
      </c>
      <c r="R709" s="70" t="str">
        <f>IF(Q709=1,SUM($Q$2:Q709),"")</f>
        <v/>
      </c>
    </row>
    <row r="710" spans="1:18" ht="16" x14ac:dyDescent="0.2">
      <c r="A710" s="73" t="s">
        <v>407</v>
      </c>
      <c r="B710" s="77" t="s">
        <v>1541</v>
      </c>
      <c r="C710" s="74" t="s">
        <v>1772</v>
      </c>
      <c r="D710" s="74" t="s">
        <v>989</v>
      </c>
      <c r="E710" s="78" t="s">
        <v>1002</v>
      </c>
      <c r="F710" s="76" t="s">
        <v>1783</v>
      </c>
      <c r="G710" s="75" t="s">
        <v>1228</v>
      </c>
      <c r="H710" s="70"/>
      <c r="P710" s="70">
        <f t="shared" si="11"/>
        <v>0</v>
      </c>
      <c r="Q710" s="70" cm="1">
        <f t="array" ref="Q710">IF(P710=1,IF(SUMPRODUCT(($P$2:P710)*(--($G$2:G710=$G710)))=1,1,0),0)</f>
        <v>0</v>
      </c>
      <c r="R710" s="70" t="str">
        <f>IF(Q710=1,SUM($Q$2:Q710),"")</f>
        <v/>
      </c>
    </row>
    <row r="711" spans="1:18" ht="16" x14ac:dyDescent="0.2">
      <c r="A711" s="73" t="s">
        <v>407</v>
      </c>
      <c r="B711" s="77" t="s">
        <v>1541</v>
      </c>
      <c r="C711" s="74" t="s">
        <v>1772</v>
      </c>
      <c r="D711" s="74" t="s">
        <v>989</v>
      </c>
      <c r="E711" s="78" t="s">
        <v>1002</v>
      </c>
      <c r="F711" s="76" t="s">
        <v>1784</v>
      </c>
      <c r="G711" s="75" t="s">
        <v>1228</v>
      </c>
      <c r="H711" s="70"/>
      <c r="P711" s="70">
        <f t="shared" si="11"/>
        <v>0</v>
      </c>
      <c r="Q711" s="70" cm="1">
        <f t="array" ref="Q711">IF(P711=1,IF(SUMPRODUCT(($P$2:P711)*(--($G$2:G711=$G711)))=1,1,0),0)</f>
        <v>0</v>
      </c>
      <c r="R711" s="70" t="str">
        <f>IF(Q711=1,SUM($Q$2:Q711),"")</f>
        <v/>
      </c>
    </row>
    <row r="712" spans="1:18" ht="16" x14ac:dyDescent="0.2">
      <c r="A712" s="73" t="s">
        <v>407</v>
      </c>
      <c r="B712" s="77" t="s">
        <v>1541</v>
      </c>
      <c r="C712" s="74" t="s">
        <v>1772</v>
      </c>
      <c r="D712" s="74" t="s">
        <v>989</v>
      </c>
      <c r="E712" s="78" t="s">
        <v>97</v>
      </c>
      <c r="F712" s="76" t="s">
        <v>407</v>
      </c>
      <c r="G712" s="75" t="s">
        <v>1229</v>
      </c>
      <c r="H712" s="70"/>
      <c r="P712" s="70">
        <f t="shared" si="11"/>
        <v>0</v>
      </c>
      <c r="Q712" s="70" cm="1">
        <f t="array" ref="Q712">IF(P712=1,IF(SUMPRODUCT(($P$2:P712)*(--($G$2:G712=$G712)))=1,1,0),0)</f>
        <v>0</v>
      </c>
      <c r="R712" s="70" t="str">
        <f>IF(Q712=1,SUM($Q$2:Q712),"")</f>
        <v/>
      </c>
    </row>
    <row r="713" spans="1:18" ht="16" x14ac:dyDescent="0.2">
      <c r="A713" s="73" t="s">
        <v>407</v>
      </c>
      <c r="B713" s="77" t="s">
        <v>1541</v>
      </c>
      <c r="C713" s="74" t="s">
        <v>1772</v>
      </c>
      <c r="D713" s="74" t="s">
        <v>989</v>
      </c>
      <c r="E713" s="78" t="s">
        <v>97</v>
      </c>
      <c r="F713" s="76" t="s">
        <v>1780</v>
      </c>
      <c r="G713" s="75" t="s">
        <v>1229</v>
      </c>
      <c r="H713" s="70"/>
      <c r="P713" s="70">
        <f t="shared" si="11"/>
        <v>0</v>
      </c>
      <c r="Q713" s="70" cm="1">
        <f t="array" ref="Q713">IF(P713=1,IF(SUMPRODUCT(($P$2:P713)*(--($G$2:G713=$G713)))=1,1,0),0)</f>
        <v>0</v>
      </c>
      <c r="R713" s="70" t="str">
        <f>IF(Q713=1,SUM($Q$2:Q713),"")</f>
        <v/>
      </c>
    </row>
    <row r="714" spans="1:18" ht="16" x14ac:dyDescent="0.2">
      <c r="A714" s="73" t="s">
        <v>407</v>
      </c>
      <c r="B714" s="77" t="s">
        <v>1541</v>
      </c>
      <c r="C714" s="74" t="s">
        <v>1772</v>
      </c>
      <c r="D714" s="74" t="s">
        <v>989</v>
      </c>
      <c r="E714" s="78" t="s">
        <v>97</v>
      </c>
      <c r="F714" s="76" t="s">
        <v>1781</v>
      </c>
      <c r="G714" s="75" t="s">
        <v>1229</v>
      </c>
      <c r="H714" s="70"/>
      <c r="P714" s="70">
        <f t="shared" si="11"/>
        <v>0</v>
      </c>
      <c r="Q714" s="70" cm="1">
        <f t="array" ref="Q714">IF(P714=1,IF(SUMPRODUCT(($P$2:P714)*(--($G$2:G714=$G714)))=1,1,0),0)</f>
        <v>0</v>
      </c>
      <c r="R714" s="70" t="str">
        <f>IF(Q714=1,SUM($Q$2:Q714),"")</f>
        <v/>
      </c>
    </row>
    <row r="715" spans="1:18" ht="16" x14ac:dyDescent="0.2">
      <c r="A715" s="73" t="s">
        <v>407</v>
      </c>
      <c r="B715" s="77" t="s">
        <v>1541</v>
      </c>
      <c r="C715" s="74" t="s">
        <v>1772</v>
      </c>
      <c r="D715" s="74" t="s">
        <v>989</v>
      </c>
      <c r="E715" s="78" t="s">
        <v>97</v>
      </c>
      <c r="F715" s="76" t="s">
        <v>1782</v>
      </c>
      <c r="G715" s="75" t="s">
        <v>1229</v>
      </c>
      <c r="H715" s="70"/>
      <c r="P715" s="70">
        <f t="shared" si="11"/>
        <v>0</v>
      </c>
      <c r="Q715" s="70" cm="1">
        <f t="array" ref="Q715">IF(P715=1,IF(SUMPRODUCT(($P$2:P715)*(--($G$2:G715=$G715)))=1,1,0),0)</f>
        <v>0</v>
      </c>
      <c r="R715" s="70" t="str">
        <f>IF(Q715=1,SUM($Q$2:Q715),"")</f>
        <v/>
      </c>
    </row>
    <row r="716" spans="1:18" ht="16" x14ac:dyDescent="0.2">
      <c r="A716" s="73" t="s">
        <v>407</v>
      </c>
      <c r="B716" s="77" t="s">
        <v>1541</v>
      </c>
      <c r="C716" s="74" t="s">
        <v>1772</v>
      </c>
      <c r="D716" s="74" t="s">
        <v>989</v>
      </c>
      <c r="E716" s="78" t="s">
        <v>97</v>
      </c>
      <c r="F716" s="76" t="s">
        <v>1783</v>
      </c>
      <c r="G716" s="75" t="s">
        <v>1229</v>
      </c>
      <c r="H716" s="70"/>
      <c r="P716" s="70">
        <f t="shared" si="11"/>
        <v>0</v>
      </c>
      <c r="Q716" s="70" cm="1">
        <f t="array" ref="Q716">IF(P716=1,IF(SUMPRODUCT(($P$2:P716)*(--($G$2:G716=$G716)))=1,1,0),0)</f>
        <v>0</v>
      </c>
      <c r="R716" s="70" t="str">
        <f>IF(Q716=1,SUM($Q$2:Q716),"")</f>
        <v/>
      </c>
    </row>
    <row r="717" spans="1:18" ht="16" x14ac:dyDescent="0.2">
      <c r="A717" s="73" t="s">
        <v>407</v>
      </c>
      <c r="B717" s="77" t="s">
        <v>1541</v>
      </c>
      <c r="C717" s="74" t="s">
        <v>1772</v>
      </c>
      <c r="D717" s="74" t="s">
        <v>989</v>
      </c>
      <c r="E717" s="78" t="s">
        <v>97</v>
      </c>
      <c r="F717" s="76" t="s">
        <v>1784</v>
      </c>
      <c r="G717" s="75" t="s">
        <v>1229</v>
      </c>
      <c r="H717" s="70"/>
      <c r="P717" s="70">
        <f t="shared" si="11"/>
        <v>0</v>
      </c>
      <c r="Q717" s="70" cm="1">
        <f t="array" ref="Q717">IF(P717=1,IF(SUMPRODUCT(($P$2:P717)*(--($G$2:G717=$G717)))=1,1,0),0)</f>
        <v>0</v>
      </c>
      <c r="R717" s="70" t="str">
        <f>IF(Q717=1,SUM($Q$2:Q717),"")</f>
        <v/>
      </c>
    </row>
    <row r="718" spans="1:18" ht="16" x14ac:dyDescent="0.2">
      <c r="A718" s="73" t="s">
        <v>407</v>
      </c>
      <c r="B718" s="77" t="s">
        <v>1541</v>
      </c>
      <c r="C718" s="74" t="s">
        <v>1772</v>
      </c>
      <c r="D718" s="74" t="s">
        <v>989</v>
      </c>
      <c r="E718" s="78" t="s">
        <v>138</v>
      </c>
      <c r="F718" s="76" t="s">
        <v>407</v>
      </c>
      <c r="G718" s="75" t="s">
        <v>1229</v>
      </c>
      <c r="H718" s="70"/>
      <c r="P718" s="70">
        <f t="shared" si="11"/>
        <v>0</v>
      </c>
      <c r="Q718" s="70" cm="1">
        <f t="array" ref="Q718">IF(P718=1,IF(SUMPRODUCT(($P$2:P718)*(--($G$2:G718=$G718)))=1,1,0),0)</f>
        <v>0</v>
      </c>
      <c r="R718" s="70" t="str">
        <f>IF(Q718=1,SUM($Q$2:Q718),"")</f>
        <v/>
      </c>
    </row>
    <row r="719" spans="1:18" ht="16" x14ac:dyDescent="0.2">
      <c r="A719" s="73" t="s">
        <v>407</v>
      </c>
      <c r="B719" s="77" t="s">
        <v>1541</v>
      </c>
      <c r="C719" s="74" t="s">
        <v>1772</v>
      </c>
      <c r="D719" s="74" t="s">
        <v>989</v>
      </c>
      <c r="E719" s="78" t="s">
        <v>138</v>
      </c>
      <c r="F719" s="76" t="s">
        <v>1780</v>
      </c>
      <c r="G719" s="75" t="s">
        <v>1229</v>
      </c>
      <c r="H719" s="70"/>
      <c r="P719" s="70">
        <f t="shared" si="11"/>
        <v>0</v>
      </c>
      <c r="Q719" s="70" cm="1">
        <f t="array" ref="Q719">IF(P719=1,IF(SUMPRODUCT(($P$2:P719)*(--($G$2:G719=$G719)))=1,1,0),0)</f>
        <v>0</v>
      </c>
      <c r="R719" s="70" t="str">
        <f>IF(Q719=1,SUM($Q$2:Q719),"")</f>
        <v/>
      </c>
    </row>
    <row r="720" spans="1:18" ht="16" x14ac:dyDescent="0.2">
      <c r="A720" s="73" t="s">
        <v>407</v>
      </c>
      <c r="B720" s="77" t="s">
        <v>1541</v>
      </c>
      <c r="C720" s="74" t="s">
        <v>1772</v>
      </c>
      <c r="D720" s="74" t="s">
        <v>989</v>
      </c>
      <c r="E720" s="78" t="s">
        <v>138</v>
      </c>
      <c r="F720" s="76" t="s">
        <v>1781</v>
      </c>
      <c r="G720" s="75" t="s">
        <v>1229</v>
      </c>
      <c r="H720" s="70"/>
      <c r="P720" s="70">
        <f t="shared" si="11"/>
        <v>0</v>
      </c>
      <c r="Q720" s="70" cm="1">
        <f t="array" ref="Q720">IF(P720=1,IF(SUMPRODUCT(($P$2:P720)*(--($G$2:G720=$G720)))=1,1,0),0)</f>
        <v>0</v>
      </c>
      <c r="R720" s="70" t="str">
        <f>IF(Q720=1,SUM($Q$2:Q720),"")</f>
        <v/>
      </c>
    </row>
    <row r="721" spans="1:18" ht="16" x14ac:dyDescent="0.2">
      <c r="A721" s="73" t="s">
        <v>407</v>
      </c>
      <c r="B721" s="77" t="s">
        <v>1541</v>
      </c>
      <c r="C721" s="74" t="s">
        <v>1772</v>
      </c>
      <c r="D721" s="74" t="s">
        <v>989</v>
      </c>
      <c r="E721" s="78" t="s">
        <v>138</v>
      </c>
      <c r="F721" s="76" t="s">
        <v>1782</v>
      </c>
      <c r="G721" s="75" t="s">
        <v>1229</v>
      </c>
      <c r="H721" s="70"/>
      <c r="P721" s="70">
        <f t="shared" si="11"/>
        <v>0</v>
      </c>
      <c r="Q721" s="70" cm="1">
        <f t="array" ref="Q721">IF(P721=1,IF(SUMPRODUCT(($P$2:P721)*(--($G$2:G721=$G721)))=1,1,0),0)</f>
        <v>0</v>
      </c>
      <c r="R721" s="70" t="str">
        <f>IF(Q721=1,SUM($Q$2:Q721),"")</f>
        <v/>
      </c>
    </row>
    <row r="722" spans="1:18" ht="16" x14ac:dyDescent="0.2">
      <c r="A722" s="73" t="s">
        <v>407</v>
      </c>
      <c r="B722" s="77" t="s">
        <v>1541</v>
      </c>
      <c r="C722" s="74" t="s">
        <v>1772</v>
      </c>
      <c r="D722" s="74" t="s">
        <v>989</v>
      </c>
      <c r="E722" s="78" t="s">
        <v>138</v>
      </c>
      <c r="F722" s="76" t="s">
        <v>1783</v>
      </c>
      <c r="G722" s="75" t="s">
        <v>1229</v>
      </c>
      <c r="H722" s="70"/>
      <c r="P722" s="70">
        <f t="shared" si="11"/>
        <v>0</v>
      </c>
      <c r="Q722" s="70" cm="1">
        <f t="array" ref="Q722">IF(P722=1,IF(SUMPRODUCT(($P$2:P722)*(--($G$2:G722=$G722)))=1,1,0),0)</f>
        <v>0</v>
      </c>
      <c r="R722" s="70" t="str">
        <f>IF(Q722=1,SUM($Q$2:Q722),"")</f>
        <v/>
      </c>
    </row>
    <row r="723" spans="1:18" ht="16" x14ac:dyDescent="0.2">
      <c r="A723" s="73" t="s">
        <v>407</v>
      </c>
      <c r="B723" s="77" t="s">
        <v>1541</v>
      </c>
      <c r="C723" s="74" t="s">
        <v>1772</v>
      </c>
      <c r="D723" s="74" t="s">
        <v>989</v>
      </c>
      <c r="E723" s="78" t="s">
        <v>138</v>
      </c>
      <c r="F723" s="76" t="s">
        <v>1784</v>
      </c>
      <c r="G723" s="75" t="s">
        <v>1229</v>
      </c>
      <c r="H723" s="70"/>
      <c r="P723" s="70">
        <f t="shared" si="11"/>
        <v>0</v>
      </c>
      <c r="Q723" s="70" cm="1">
        <f t="array" ref="Q723">IF(P723=1,IF(SUMPRODUCT(($P$2:P723)*(--($G$2:G723=$G723)))=1,1,0),0)</f>
        <v>0</v>
      </c>
      <c r="R723" s="70" t="str">
        <f>IF(Q723=1,SUM($Q$2:Q723),"")</f>
        <v/>
      </c>
    </row>
    <row r="724" spans="1:18" x14ac:dyDescent="0.2">
      <c r="A724" s="73" t="s">
        <v>407</v>
      </c>
      <c r="B724" s="77" t="s">
        <v>1541</v>
      </c>
      <c r="C724" s="74" t="s">
        <v>1772</v>
      </c>
      <c r="D724" s="74" t="s">
        <v>989</v>
      </c>
      <c r="E724" s="78" t="s">
        <v>97</v>
      </c>
      <c r="F724" s="76" t="s">
        <v>1785</v>
      </c>
      <c r="G724" s="76" t="s">
        <v>1230</v>
      </c>
      <c r="H724" s="70"/>
      <c r="P724" s="70">
        <f t="shared" si="11"/>
        <v>0</v>
      </c>
      <c r="Q724" s="70" cm="1">
        <f t="array" ref="Q724">IF(P724=1,IF(SUMPRODUCT(($P$2:P724)*(--($G$2:G724=$G724)))=1,1,0),0)</f>
        <v>0</v>
      </c>
      <c r="R724" s="70" t="str">
        <f>IF(Q724=1,SUM($Q$2:Q724),"")</f>
        <v/>
      </c>
    </row>
    <row r="725" spans="1:18" x14ac:dyDescent="0.2">
      <c r="A725" s="73" t="s">
        <v>407</v>
      </c>
      <c r="B725" s="77" t="s">
        <v>1541</v>
      </c>
      <c r="C725" s="74" t="s">
        <v>1772</v>
      </c>
      <c r="D725" s="74" t="s">
        <v>989</v>
      </c>
      <c r="E725" s="78" t="s">
        <v>97</v>
      </c>
      <c r="F725" s="76" t="s">
        <v>1786</v>
      </c>
      <c r="G725" s="76" t="s">
        <v>1230</v>
      </c>
      <c r="H725" s="70"/>
      <c r="P725" s="70">
        <f t="shared" si="11"/>
        <v>0</v>
      </c>
      <c r="Q725" s="70" cm="1">
        <f t="array" ref="Q725">IF(P725=1,IF(SUMPRODUCT(($P$2:P725)*(--($G$2:G725=$G725)))=1,1,0),0)</f>
        <v>0</v>
      </c>
      <c r="R725" s="70" t="str">
        <f>IF(Q725=1,SUM($Q$2:Q725),"")</f>
        <v/>
      </c>
    </row>
    <row r="726" spans="1:18" x14ac:dyDescent="0.2">
      <c r="A726" s="73" t="s">
        <v>407</v>
      </c>
      <c r="B726" s="77" t="s">
        <v>1541</v>
      </c>
      <c r="C726" s="74" t="s">
        <v>1772</v>
      </c>
      <c r="D726" s="74" t="s">
        <v>989</v>
      </c>
      <c r="E726" s="78" t="s">
        <v>97</v>
      </c>
      <c r="F726" s="76" t="s">
        <v>1787</v>
      </c>
      <c r="G726" s="76" t="s">
        <v>1230</v>
      </c>
      <c r="H726" s="70"/>
      <c r="P726" s="70">
        <f t="shared" si="11"/>
        <v>0</v>
      </c>
      <c r="Q726" s="70" cm="1">
        <f t="array" ref="Q726">IF(P726=1,IF(SUMPRODUCT(($P$2:P726)*(--($G$2:G726=$G726)))=1,1,0),0)</f>
        <v>0</v>
      </c>
      <c r="R726" s="70" t="str">
        <f>IF(Q726=1,SUM($Q$2:Q726),"")</f>
        <v/>
      </c>
    </row>
    <row r="727" spans="1:18" x14ac:dyDescent="0.2">
      <c r="A727" s="73" t="s">
        <v>407</v>
      </c>
      <c r="B727" s="77" t="s">
        <v>1541</v>
      </c>
      <c r="C727" s="74" t="s">
        <v>1772</v>
      </c>
      <c r="D727" s="74" t="s">
        <v>989</v>
      </c>
      <c r="E727" s="78" t="s">
        <v>97</v>
      </c>
      <c r="F727" s="76" t="s">
        <v>1788</v>
      </c>
      <c r="G727" s="76" t="s">
        <v>1230</v>
      </c>
      <c r="H727" s="70"/>
      <c r="P727" s="70">
        <f t="shared" si="11"/>
        <v>0</v>
      </c>
      <c r="Q727" s="70" cm="1">
        <f t="array" ref="Q727">IF(P727=1,IF(SUMPRODUCT(($P$2:P727)*(--($G$2:G727=$G727)))=1,1,0),0)</f>
        <v>0</v>
      </c>
      <c r="R727" s="70" t="str">
        <f>IF(Q727=1,SUM($Q$2:Q727),"")</f>
        <v/>
      </c>
    </row>
    <row r="728" spans="1:18" x14ac:dyDescent="0.2">
      <c r="A728" s="73" t="s">
        <v>407</v>
      </c>
      <c r="B728" s="77" t="s">
        <v>1541</v>
      </c>
      <c r="C728" s="74" t="s">
        <v>1772</v>
      </c>
      <c r="D728" s="74" t="s">
        <v>989</v>
      </c>
      <c r="E728" s="78" t="s">
        <v>97</v>
      </c>
      <c r="F728" s="76" t="s">
        <v>1789</v>
      </c>
      <c r="G728" s="76" t="s">
        <v>1230</v>
      </c>
      <c r="H728" s="70"/>
      <c r="P728" s="70">
        <f t="shared" si="11"/>
        <v>0</v>
      </c>
      <c r="Q728" s="70" cm="1">
        <f t="array" ref="Q728">IF(P728=1,IF(SUMPRODUCT(($P$2:P728)*(--($G$2:G728=$G728)))=1,1,0),0)</f>
        <v>0</v>
      </c>
      <c r="R728" s="70" t="str">
        <f>IF(Q728=1,SUM($Q$2:Q728),"")</f>
        <v/>
      </c>
    </row>
    <row r="729" spans="1:18" x14ac:dyDescent="0.2">
      <c r="A729" s="73" t="s">
        <v>407</v>
      </c>
      <c r="B729" s="77" t="s">
        <v>1541</v>
      </c>
      <c r="C729" s="74" t="s">
        <v>1772</v>
      </c>
      <c r="D729" s="74" t="s">
        <v>989</v>
      </c>
      <c r="E729" s="78" t="s">
        <v>97</v>
      </c>
      <c r="F729" s="76" t="s">
        <v>1790</v>
      </c>
      <c r="G729" s="76" t="s">
        <v>1230</v>
      </c>
      <c r="H729" s="70"/>
      <c r="P729" s="70">
        <f t="shared" si="11"/>
        <v>0</v>
      </c>
      <c r="Q729" s="70" cm="1">
        <f t="array" ref="Q729">IF(P729=1,IF(SUMPRODUCT(($P$2:P729)*(--($G$2:G729=$G729)))=1,1,0),0)</f>
        <v>0</v>
      </c>
      <c r="R729" s="70" t="str">
        <f>IF(Q729=1,SUM($Q$2:Q729),"")</f>
        <v/>
      </c>
    </row>
    <row r="730" spans="1:18" x14ac:dyDescent="0.2">
      <c r="A730" s="73" t="s">
        <v>407</v>
      </c>
      <c r="B730" s="77" t="s">
        <v>1541</v>
      </c>
      <c r="C730" s="74" t="s">
        <v>1772</v>
      </c>
      <c r="D730" s="74" t="s">
        <v>989</v>
      </c>
      <c r="E730" s="78" t="s">
        <v>97</v>
      </c>
      <c r="F730" s="76" t="s">
        <v>1791</v>
      </c>
      <c r="G730" s="76" t="s">
        <v>1230</v>
      </c>
      <c r="H730" s="70"/>
      <c r="P730" s="70">
        <f t="shared" si="11"/>
        <v>0</v>
      </c>
      <c r="Q730" s="70" cm="1">
        <f t="array" ref="Q730">IF(P730=1,IF(SUMPRODUCT(($P$2:P730)*(--($G$2:G730=$G730)))=1,1,0),0)</f>
        <v>0</v>
      </c>
      <c r="R730" s="70" t="str">
        <f>IF(Q730=1,SUM($Q$2:Q730),"")</f>
        <v/>
      </c>
    </row>
    <row r="731" spans="1:18" x14ac:dyDescent="0.2">
      <c r="A731" s="73" t="s">
        <v>407</v>
      </c>
      <c r="B731" s="77" t="s">
        <v>1541</v>
      </c>
      <c r="C731" s="74" t="s">
        <v>1772</v>
      </c>
      <c r="D731" s="74" t="s">
        <v>989</v>
      </c>
      <c r="E731" s="78" t="s">
        <v>97</v>
      </c>
      <c r="F731" s="76" t="s">
        <v>411</v>
      </c>
      <c r="G731" s="76" t="s">
        <v>1231</v>
      </c>
      <c r="H731" s="70"/>
      <c r="P731" s="70">
        <f t="shared" si="11"/>
        <v>0</v>
      </c>
      <c r="Q731" s="70" cm="1">
        <f t="array" ref="Q731">IF(P731=1,IF(SUMPRODUCT(($P$2:P731)*(--($G$2:G731=$G731)))=1,1,0),0)</f>
        <v>0</v>
      </c>
      <c r="R731" s="70" t="str">
        <f>IF(Q731=1,SUM($Q$2:Q731),"")</f>
        <v/>
      </c>
    </row>
    <row r="732" spans="1:18" x14ac:dyDescent="0.2">
      <c r="A732" s="73" t="s">
        <v>407</v>
      </c>
      <c r="B732" s="77" t="s">
        <v>1541</v>
      </c>
      <c r="C732" s="74" t="s">
        <v>1772</v>
      </c>
      <c r="D732" s="74" t="s">
        <v>989</v>
      </c>
      <c r="E732" s="78" t="s">
        <v>97</v>
      </c>
      <c r="F732" s="76" t="s">
        <v>1792</v>
      </c>
      <c r="G732" s="76" t="s">
        <v>1231</v>
      </c>
      <c r="H732" s="70"/>
      <c r="P732" s="70">
        <f t="shared" si="11"/>
        <v>0</v>
      </c>
      <c r="Q732" s="70" cm="1">
        <f t="array" ref="Q732">IF(P732=1,IF(SUMPRODUCT(($P$2:P732)*(--($G$2:G732=$G732)))=1,1,0),0)</f>
        <v>0</v>
      </c>
      <c r="R732" s="70" t="str">
        <f>IF(Q732=1,SUM($Q$2:Q732),"")</f>
        <v/>
      </c>
    </row>
    <row r="733" spans="1:18" x14ac:dyDescent="0.2">
      <c r="A733" s="73" t="s">
        <v>407</v>
      </c>
      <c r="B733" s="77" t="s">
        <v>1541</v>
      </c>
      <c r="C733" s="74" t="s">
        <v>1772</v>
      </c>
      <c r="D733" s="74" t="s">
        <v>989</v>
      </c>
      <c r="E733" s="78" t="s">
        <v>97</v>
      </c>
      <c r="F733" s="76" t="s">
        <v>1793</v>
      </c>
      <c r="G733" s="76" t="s">
        <v>1231</v>
      </c>
      <c r="H733" s="70"/>
      <c r="P733" s="70">
        <f t="shared" si="11"/>
        <v>0</v>
      </c>
      <c r="Q733" s="70" cm="1">
        <f t="array" ref="Q733">IF(P733=1,IF(SUMPRODUCT(($P$2:P733)*(--($G$2:G733=$G733)))=1,1,0),0)</f>
        <v>0</v>
      </c>
      <c r="R733" s="70" t="str">
        <f>IF(Q733=1,SUM($Q$2:Q733),"")</f>
        <v/>
      </c>
    </row>
    <row r="734" spans="1:18" x14ac:dyDescent="0.2">
      <c r="A734" s="73" t="s">
        <v>407</v>
      </c>
      <c r="B734" s="77" t="s">
        <v>1541</v>
      </c>
      <c r="C734" s="74" t="s">
        <v>1772</v>
      </c>
      <c r="D734" s="74" t="s">
        <v>989</v>
      </c>
      <c r="E734" s="78" t="s">
        <v>97</v>
      </c>
      <c r="F734" s="76" t="s">
        <v>1794</v>
      </c>
      <c r="G734" s="76" t="s">
        <v>1231</v>
      </c>
      <c r="H734" s="70"/>
      <c r="P734" s="70">
        <f t="shared" si="11"/>
        <v>0</v>
      </c>
      <c r="Q734" s="70" cm="1">
        <f t="array" ref="Q734">IF(P734=1,IF(SUMPRODUCT(($P$2:P734)*(--($G$2:G734=$G734)))=1,1,0),0)</f>
        <v>0</v>
      </c>
      <c r="R734" s="70" t="str">
        <f>IF(Q734=1,SUM($Q$2:Q734),"")</f>
        <v/>
      </c>
    </row>
    <row r="735" spans="1:18" x14ac:dyDescent="0.2">
      <c r="A735" s="73" t="s">
        <v>407</v>
      </c>
      <c r="B735" s="77" t="s">
        <v>1541</v>
      </c>
      <c r="C735" s="74" t="s">
        <v>1772</v>
      </c>
      <c r="D735" s="74" t="s">
        <v>989</v>
      </c>
      <c r="E735" s="78" t="s">
        <v>97</v>
      </c>
      <c r="F735" s="76" t="s">
        <v>1795</v>
      </c>
      <c r="G735" s="76" t="s">
        <v>1231</v>
      </c>
      <c r="H735" s="70"/>
      <c r="P735" s="70">
        <f t="shared" si="11"/>
        <v>0</v>
      </c>
      <c r="Q735" s="70" cm="1">
        <f t="array" ref="Q735">IF(P735=1,IF(SUMPRODUCT(($P$2:P735)*(--($G$2:G735=$G735)))=1,1,0),0)</f>
        <v>0</v>
      </c>
      <c r="R735" s="70" t="str">
        <f>IF(Q735=1,SUM($Q$2:Q735),"")</f>
        <v/>
      </c>
    </row>
    <row r="736" spans="1:18" x14ac:dyDescent="0.2">
      <c r="A736" s="73" t="s">
        <v>407</v>
      </c>
      <c r="B736" s="77" t="s">
        <v>1541</v>
      </c>
      <c r="C736" s="74" t="s">
        <v>1772</v>
      </c>
      <c r="D736" s="74" t="s">
        <v>989</v>
      </c>
      <c r="E736" s="78" t="s">
        <v>97</v>
      </c>
      <c r="F736" s="76" t="s">
        <v>1796</v>
      </c>
      <c r="G736" s="76" t="s">
        <v>1231</v>
      </c>
      <c r="H736" s="70"/>
      <c r="P736" s="70">
        <f t="shared" si="11"/>
        <v>0</v>
      </c>
      <c r="Q736" s="70" cm="1">
        <f t="array" ref="Q736">IF(P736=1,IF(SUMPRODUCT(($P$2:P736)*(--($G$2:G736=$G736)))=1,1,0),0)</f>
        <v>0</v>
      </c>
      <c r="R736" s="70" t="str">
        <f>IF(Q736=1,SUM($Q$2:Q736),"")</f>
        <v/>
      </c>
    </row>
    <row r="737" spans="1:18" x14ac:dyDescent="0.2">
      <c r="A737" s="73" t="s">
        <v>407</v>
      </c>
      <c r="B737" s="77" t="s">
        <v>1541</v>
      </c>
      <c r="C737" s="74" t="s">
        <v>1772</v>
      </c>
      <c r="D737" s="74" t="s">
        <v>989</v>
      </c>
      <c r="E737" s="78" t="s">
        <v>97</v>
      </c>
      <c r="F737" s="76" t="s">
        <v>1797</v>
      </c>
      <c r="G737" s="76" t="s">
        <v>1231</v>
      </c>
      <c r="H737" s="70"/>
      <c r="P737" s="70">
        <f t="shared" si="11"/>
        <v>0</v>
      </c>
      <c r="Q737" s="70" cm="1">
        <f t="array" ref="Q737">IF(P737=1,IF(SUMPRODUCT(($P$2:P737)*(--($G$2:G737=$G737)))=1,1,0),0)</f>
        <v>0</v>
      </c>
      <c r="R737" s="70" t="str">
        <f>IF(Q737=1,SUM($Q$2:Q737),"")</f>
        <v/>
      </c>
    </row>
    <row r="738" spans="1:18" x14ac:dyDescent="0.2">
      <c r="A738" s="73" t="s">
        <v>407</v>
      </c>
      <c r="B738" s="77" t="s">
        <v>1541</v>
      </c>
      <c r="C738" s="74" t="s">
        <v>1772</v>
      </c>
      <c r="D738" s="74" t="s">
        <v>989</v>
      </c>
      <c r="E738" s="78" t="s">
        <v>97</v>
      </c>
      <c r="F738" s="76" t="s">
        <v>1798</v>
      </c>
      <c r="G738" s="76" t="s">
        <v>1231</v>
      </c>
      <c r="H738" s="70"/>
      <c r="P738" s="70">
        <f t="shared" si="11"/>
        <v>0</v>
      </c>
      <c r="Q738" s="70" cm="1">
        <f t="array" ref="Q738">IF(P738=1,IF(SUMPRODUCT(($P$2:P738)*(--($G$2:G738=$G738)))=1,1,0),0)</f>
        <v>0</v>
      </c>
      <c r="R738" s="70" t="str">
        <f>IF(Q738=1,SUM($Q$2:Q738),"")</f>
        <v/>
      </c>
    </row>
    <row r="739" spans="1:18" x14ac:dyDescent="0.2">
      <c r="A739" s="73" t="s">
        <v>407</v>
      </c>
      <c r="B739" s="77" t="s">
        <v>1541</v>
      </c>
      <c r="C739" s="74" t="s">
        <v>1772</v>
      </c>
      <c r="D739" s="74" t="s">
        <v>989</v>
      </c>
      <c r="E739" s="78" t="s">
        <v>97</v>
      </c>
      <c r="F739" s="76" t="s">
        <v>1799</v>
      </c>
      <c r="G739" s="76" t="s">
        <v>1232</v>
      </c>
      <c r="H739" s="70"/>
      <c r="P739" s="70">
        <f t="shared" si="11"/>
        <v>0</v>
      </c>
      <c r="Q739" s="70" cm="1">
        <f t="array" ref="Q739">IF(P739=1,IF(SUMPRODUCT(($P$2:P739)*(--($G$2:G739=$G739)))=1,1,0),0)</f>
        <v>0</v>
      </c>
      <c r="R739" s="70" t="str">
        <f>IF(Q739=1,SUM($Q$2:Q739),"")</f>
        <v/>
      </c>
    </row>
    <row r="740" spans="1:18" x14ac:dyDescent="0.2">
      <c r="A740" s="73" t="s">
        <v>407</v>
      </c>
      <c r="B740" s="77" t="s">
        <v>1541</v>
      </c>
      <c r="C740" s="74" t="s">
        <v>1772</v>
      </c>
      <c r="D740" s="74" t="s">
        <v>989</v>
      </c>
      <c r="E740" s="78" t="s">
        <v>97</v>
      </c>
      <c r="F740" s="76" t="s">
        <v>1800</v>
      </c>
      <c r="G740" s="76" t="s">
        <v>1232</v>
      </c>
      <c r="H740" s="70"/>
      <c r="P740" s="70">
        <f t="shared" si="11"/>
        <v>0</v>
      </c>
      <c r="Q740" s="70" cm="1">
        <f t="array" ref="Q740">IF(P740=1,IF(SUMPRODUCT(($P$2:P740)*(--($G$2:G740=$G740)))=1,1,0),0)</f>
        <v>0</v>
      </c>
      <c r="R740" s="70" t="str">
        <f>IF(Q740=1,SUM($Q$2:Q740),"")</f>
        <v/>
      </c>
    </row>
    <row r="741" spans="1:18" x14ac:dyDescent="0.2">
      <c r="A741" s="73" t="s">
        <v>407</v>
      </c>
      <c r="B741" s="77" t="s">
        <v>1541</v>
      </c>
      <c r="C741" s="74" t="s">
        <v>1772</v>
      </c>
      <c r="D741" s="74" t="s">
        <v>989</v>
      </c>
      <c r="E741" s="78" t="s">
        <v>97</v>
      </c>
      <c r="F741" s="76" t="s">
        <v>1801</v>
      </c>
      <c r="G741" s="76" t="s">
        <v>1232</v>
      </c>
      <c r="H741" s="70"/>
      <c r="P741" s="70">
        <f t="shared" si="11"/>
        <v>0</v>
      </c>
      <c r="Q741" s="70" cm="1">
        <f t="array" ref="Q741">IF(P741=1,IF(SUMPRODUCT(($P$2:P741)*(--($G$2:G741=$G741)))=1,1,0),0)</f>
        <v>0</v>
      </c>
      <c r="R741" s="70" t="str">
        <f>IF(Q741=1,SUM($Q$2:Q741),"")</f>
        <v/>
      </c>
    </row>
    <row r="742" spans="1:18" x14ac:dyDescent="0.2">
      <c r="A742" s="73" t="s">
        <v>407</v>
      </c>
      <c r="B742" s="77" t="s">
        <v>1541</v>
      </c>
      <c r="C742" s="74" t="s">
        <v>1772</v>
      </c>
      <c r="D742" s="74" t="s">
        <v>989</v>
      </c>
      <c r="E742" s="78" t="s">
        <v>97</v>
      </c>
      <c r="F742" s="76" t="s">
        <v>1802</v>
      </c>
      <c r="G742" s="76" t="s">
        <v>1232</v>
      </c>
      <c r="H742" s="70"/>
      <c r="P742" s="70">
        <f t="shared" si="11"/>
        <v>0</v>
      </c>
      <c r="Q742" s="70" cm="1">
        <f t="array" ref="Q742">IF(P742=1,IF(SUMPRODUCT(($P$2:P742)*(--($G$2:G742=$G742)))=1,1,0),0)</f>
        <v>0</v>
      </c>
      <c r="R742" s="70" t="str">
        <f>IF(Q742=1,SUM($Q$2:Q742),"")</f>
        <v/>
      </c>
    </row>
    <row r="743" spans="1:18" x14ac:dyDescent="0.2">
      <c r="A743" s="73" t="s">
        <v>407</v>
      </c>
      <c r="B743" s="77" t="s">
        <v>1541</v>
      </c>
      <c r="C743" s="74" t="s">
        <v>1772</v>
      </c>
      <c r="D743" s="74" t="s">
        <v>989</v>
      </c>
      <c r="E743" s="78" t="s">
        <v>97</v>
      </c>
      <c r="F743" s="76" t="s">
        <v>1803</v>
      </c>
      <c r="G743" s="76" t="s">
        <v>1232</v>
      </c>
      <c r="H743" s="70"/>
      <c r="P743" s="70">
        <f t="shared" si="11"/>
        <v>0</v>
      </c>
      <c r="Q743" s="70" cm="1">
        <f t="array" ref="Q743">IF(P743=1,IF(SUMPRODUCT(($P$2:P743)*(--($G$2:G743=$G743)))=1,1,0),0)</f>
        <v>0</v>
      </c>
      <c r="R743" s="70" t="str">
        <f>IF(Q743=1,SUM($Q$2:Q743),"")</f>
        <v/>
      </c>
    </row>
    <row r="744" spans="1:18" x14ac:dyDescent="0.2">
      <c r="A744" s="73" t="s">
        <v>407</v>
      </c>
      <c r="B744" s="77" t="s">
        <v>1541</v>
      </c>
      <c r="C744" s="74" t="s">
        <v>1772</v>
      </c>
      <c r="D744" s="74" t="s">
        <v>989</v>
      </c>
      <c r="E744" s="78" t="s">
        <v>97</v>
      </c>
      <c r="F744" s="76" t="s">
        <v>1804</v>
      </c>
      <c r="G744" s="76" t="s">
        <v>1232</v>
      </c>
      <c r="H744" s="70"/>
      <c r="P744" s="70">
        <f t="shared" si="11"/>
        <v>0</v>
      </c>
      <c r="Q744" s="70" cm="1">
        <f t="array" ref="Q744">IF(P744=1,IF(SUMPRODUCT(($P$2:P744)*(--($G$2:G744=$G744)))=1,1,0),0)</f>
        <v>0</v>
      </c>
      <c r="R744" s="70" t="str">
        <f>IF(Q744=1,SUM($Q$2:Q744),"")</f>
        <v/>
      </c>
    </row>
    <row r="745" spans="1:18" x14ac:dyDescent="0.2">
      <c r="A745" s="73" t="s">
        <v>407</v>
      </c>
      <c r="B745" s="77" t="s">
        <v>1541</v>
      </c>
      <c r="C745" s="74" t="s">
        <v>1772</v>
      </c>
      <c r="D745" s="74" t="s">
        <v>989</v>
      </c>
      <c r="E745" s="78" t="s">
        <v>97</v>
      </c>
      <c r="F745" s="76" t="s">
        <v>1805</v>
      </c>
      <c r="G745" s="76" t="s">
        <v>1232</v>
      </c>
      <c r="H745" s="70"/>
      <c r="P745" s="70">
        <f t="shared" si="11"/>
        <v>0</v>
      </c>
      <c r="Q745" s="70" cm="1">
        <f t="array" ref="Q745">IF(P745=1,IF(SUMPRODUCT(($P$2:P745)*(--($G$2:G745=$G745)))=1,1,0),0)</f>
        <v>0</v>
      </c>
      <c r="R745" s="70" t="str">
        <f>IF(Q745=1,SUM($Q$2:Q745),"")</f>
        <v/>
      </c>
    </row>
    <row r="746" spans="1:18" ht="16" x14ac:dyDescent="0.2">
      <c r="A746" s="73" t="s">
        <v>407</v>
      </c>
      <c r="B746" s="77" t="s">
        <v>1541</v>
      </c>
      <c r="C746" s="74" t="s">
        <v>1772</v>
      </c>
      <c r="D746" s="74" t="s">
        <v>989</v>
      </c>
      <c r="E746" s="78" t="s">
        <v>120</v>
      </c>
      <c r="F746" s="76" t="s">
        <v>1806</v>
      </c>
      <c r="G746" s="75" t="s">
        <v>351</v>
      </c>
      <c r="H746" s="70"/>
      <c r="P746" s="70">
        <f t="shared" si="11"/>
        <v>0</v>
      </c>
      <c r="Q746" s="70" cm="1">
        <f t="array" ref="Q746">IF(P746=1,IF(SUMPRODUCT(($P$2:P746)*(--($G$2:G746=$G746)))=1,1,0),0)</f>
        <v>0</v>
      </c>
      <c r="R746" s="70" t="str">
        <f>IF(Q746=1,SUM($Q$2:Q746),"")</f>
        <v/>
      </c>
    </row>
    <row r="747" spans="1:18" ht="16" x14ac:dyDescent="0.2">
      <c r="A747" s="73" t="s">
        <v>407</v>
      </c>
      <c r="B747" s="77" t="s">
        <v>1541</v>
      </c>
      <c r="C747" s="74" t="s">
        <v>1772</v>
      </c>
      <c r="D747" s="74" t="s">
        <v>989</v>
      </c>
      <c r="E747" s="78" t="s">
        <v>120</v>
      </c>
      <c r="F747" s="76" t="s">
        <v>407</v>
      </c>
      <c r="G747" s="75" t="s">
        <v>351</v>
      </c>
      <c r="H747" s="70"/>
      <c r="P747" s="70">
        <f t="shared" si="11"/>
        <v>0</v>
      </c>
      <c r="Q747" s="70" cm="1">
        <f t="array" ref="Q747">IF(P747=1,IF(SUMPRODUCT(($P$2:P747)*(--($G$2:G747=$G747)))=1,1,0),0)</f>
        <v>0</v>
      </c>
      <c r="R747" s="70" t="str">
        <f>IF(Q747=1,SUM($Q$2:Q747),"")</f>
        <v/>
      </c>
    </row>
    <row r="748" spans="1:18" ht="16" x14ac:dyDescent="0.2">
      <c r="A748" s="73" t="s">
        <v>407</v>
      </c>
      <c r="B748" s="77" t="s">
        <v>1541</v>
      </c>
      <c r="C748" s="74" t="s">
        <v>1772</v>
      </c>
      <c r="D748" s="74" t="s">
        <v>989</v>
      </c>
      <c r="E748" s="78" t="s">
        <v>120</v>
      </c>
      <c r="F748" s="76" t="s">
        <v>1780</v>
      </c>
      <c r="G748" s="75" t="s">
        <v>351</v>
      </c>
      <c r="H748" s="70"/>
      <c r="P748" s="70">
        <f t="shared" si="11"/>
        <v>0</v>
      </c>
      <c r="Q748" s="70" cm="1">
        <f t="array" ref="Q748">IF(P748=1,IF(SUMPRODUCT(($P$2:P748)*(--($G$2:G748=$G748)))=1,1,0),0)</f>
        <v>0</v>
      </c>
      <c r="R748" s="70" t="str">
        <f>IF(Q748=1,SUM($Q$2:Q748),"")</f>
        <v/>
      </c>
    </row>
    <row r="749" spans="1:18" ht="16" x14ac:dyDescent="0.2">
      <c r="A749" s="73" t="s">
        <v>407</v>
      </c>
      <c r="B749" s="77" t="s">
        <v>1541</v>
      </c>
      <c r="C749" s="74" t="s">
        <v>1772</v>
      </c>
      <c r="D749" s="74" t="s">
        <v>989</v>
      </c>
      <c r="E749" s="78" t="s">
        <v>120</v>
      </c>
      <c r="F749" s="76" t="s">
        <v>1807</v>
      </c>
      <c r="G749" s="88" t="s">
        <v>342</v>
      </c>
      <c r="H749" s="70"/>
      <c r="P749" s="70">
        <f t="shared" si="11"/>
        <v>0</v>
      </c>
      <c r="Q749" s="70" cm="1">
        <f t="array" ref="Q749">IF(P749=1,IF(SUMPRODUCT(($P$2:P749)*(--($G$2:G749=$G749)))=1,1,0),0)</f>
        <v>0</v>
      </c>
      <c r="R749" s="70" t="str">
        <f>IF(Q749=1,SUM($Q$2:Q749),"")</f>
        <v/>
      </c>
    </row>
    <row r="750" spans="1:18" ht="16" x14ac:dyDescent="0.2">
      <c r="A750" s="73" t="s">
        <v>407</v>
      </c>
      <c r="B750" s="77" t="s">
        <v>1541</v>
      </c>
      <c r="C750" s="74" t="s">
        <v>1772</v>
      </c>
      <c r="D750" s="74" t="s">
        <v>989</v>
      </c>
      <c r="E750" s="78" t="s">
        <v>120</v>
      </c>
      <c r="F750" s="76" t="s">
        <v>1808</v>
      </c>
      <c r="G750" s="88" t="s">
        <v>342</v>
      </c>
      <c r="H750" s="70"/>
      <c r="P750" s="70">
        <f t="shared" si="11"/>
        <v>0</v>
      </c>
      <c r="Q750" s="70" cm="1">
        <f t="array" ref="Q750">IF(P750=1,IF(SUMPRODUCT(($P$2:P750)*(--($G$2:G750=$G750)))=1,1,0),0)</f>
        <v>0</v>
      </c>
      <c r="R750" s="70" t="str">
        <f>IF(Q750=1,SUM($Q$2:Q750),"")</f>
        <v/>
      </c>
    </row>
    <row r="751" spans="1:18" x14ac:dyDescent="0.2">
      <c r="A751" s="73" t="s">
        <v>407</v>
      </c>
      <c r="B751" s="77" t="s">
        <v>1541</v>
      </c>
      <c r="C751" s="74" t="s">
        <v>1772</v>
      </c>
      <c r="D751" s="74" t="s">
        <v>989</v>
      </c>
      <c r="E751" s="78" t="s">
        <v>97</v>
      </c>
      <c r="F751" s="76" t="s">
        <v>1809</v>
      </c>
      <c r="G751" s="76" t="s">
        <v>1221</v>
      </c>
      <c r="H751" s="70"/>
      <c r="P751" s="70">
        <f t="shared" si="11"/>
        <v>0</v>
      </c>
      <c r="Q751" s="70" cm="1">
        <f t="array" ref="Q751">IF(P751=1,IF(SUMPRODUCT(($P$2:P751)*(--($G$2:G751=$G751)))=1,1,0),0)</f>
        <v>0</v>
      </c>
      <c r="R751" s="70" t="str">
        <f>IF(Q751=1,SUM($Q$2:Q751),"")</f>
        <v/>
      </c>
    </row>
    <row r="752" spans="1:18" ht="16" x14ac:dyDescent="0.2">
      <c r="A752" s="73" t="s">
        <v>407</v>
      </c>
      <c r="B752" s="77" t="s">
        <v>1541</v>
      </c>
      <c r="C752" s="74" t="s">
        <v>1772</v>
      </c>
      <c r="D752" s="74" t="s">
        <v>989</v>
      </c>
      <c r="E752" s="78" t="s">
        <v>113</v>
      </c>
      <c r="F752" s="76" t="s">
        <v>1808</v>
      </c>
      <c r="G752" s="88" t="s">
        <v>540</v>
      </c>
      <c r="H752" s="70"/>
      <c r="P752" s="70">
        <f t="shared" si="11"/>
        <v>0</v>
      </c>
      <c r="Q752" s="70" cm="1">
        <f t="array" ref="Q752">IF(P752=1,IF(SUMPRODUCT(($P$2:P752)*(--($G$2:G752=$G752)))=1,1,0),0)</f>
        <v>0</v>
      </c>
      <c r="R752" s="70" t="str">
        <f>IF(Q752=1,SUM($Q$2:Q752),"")</f>
        <v/>
      </c>
    </row>
    <row r="753" spans="1:18" ht="16" x14ac:dyDescent="0.2">
      <c r="A753" s="73" t="s">
        <v>1308</v>
      </c>
      <c r="B753" s="77" t="s">
        <v>1541</v>
      </c>
      <c r="C753" s="74" t="s">
        <v>1810</v>
      </c>
      <c r="D753" s="74" t="s">
        <v>990</v>
      </c>
      <c r="E753" s="78" t="s">
        <v>97</v>
      </c>
      <c r="F753" s="76" t="s">
        <v>1308</v>
      </c>
      <c r="G753" s="75" t="s">
        <v>1238</v>
      </c>
      <c r="H753" s="70"/>
      <c r="P753" s="70">
        <f t="shared" si="11"/>
        <v>0</v>
      </c>
      <c r="Q753" s="70" cm="1">
        <f t="array" ref="Q753">IF(P753=1,IF(SUMPRODUCT(($P$2:P753)*(--($G$2:G753=$G753)))=1,1,0),0)</f>
        <v>0</v>
      </c>
      <c r="R753" s="70" t="str">
        <f>IF(Q753=1,SUM($Q$2:Q753),"")</f>
        <v/>
      </c>
    </row>
    <row r="754" spans="1:18" x14ac:dyDescent="0.2">
      <c r="A754" s="73" t="s">
        <v>285</v>
      </c>
      <c r="B754" s="77" t="s">
        <v>1541</v>
      </c>
      <c r="C754" s="74" t="s">
        <v>1810</v>
      </c>
      <c r="D754" s="74" t="s">
        <v>990</v>
      </c>
      <c r="E754" s="78" t="s">
        <v>97</v>
      </c>
      <c r="F754" s="76" t="s">
        <v>1811</v>
      </c>
      <c r="G754" s="70" t="s">
        <v>1239</v>
      </c>
      <c r="H754" s="70"/>
      <c r="P754" s="70">
        <f t="shared" si="11"/>
        <v>0</v>
      </c>
      <c r="Q754" s="70" cm="1">
        <f t="array" ref="Q754">IF(P754=1,IF(SUMPRODUCT(($P$2:P754)*(--($G$2:G754=$G754)))=1,1,0),0)</f>
        <v>0</v>
      </c>
      <c r="R754" s="70" t="str">
        <f>IF(Q754=1,SUM($Q$2:Q754),"")</f>
        <v/>
      </c>
    </row>
    <row r="755" spans="1:18" x14ac:dyDescent="0.2">
      <c r="A755" s="73" t="s">
        <v>285</v>
      </c>
      <c r="B755" s="77" t="s">
        <v>1541</v>
      </c>
      <c r="C755" s="74" t="s">
        <v>1810</v>
      </c>
      <c r="D755" s="74" t="s">
        <v>990</v>
      </c>
      <c r="E755" s="78" t="s">
        <v>97</v>
      </c>
      <c r="F755" s="76" t="s">
        <v>1812</v>
      </c>
      <c r="G755" s="70" t="s">
        <v>1239</v>
      </c>
      <c r="H755" s="70"/>
      <c r="P755" s="70">
        <f t="shared" si="11"/>
        <v>0</v>
      </c>
      <c r="Q755" s="70" cm="1">
        <f t="array" ref="Q755">IF(P755=1,IF(SUMPRODUCT(($P$2:P755)*(--($G$2:G755=$G755)))=1,1,0),0)</f>
        <v>0</v>
      </c>
      <c r="R755" s="70" t="str">
        <f>IF(Q755=1,SUM($Q$2:Q755),"")</f>
        <v/>
      </c>
    </row>
    <row r="756" spans="1:18" x14ac:dyDescent="0.2">
      <c r="A756" s="73" t="s">
        <v>285</v>
      </c>
      <c r="B756" s="77" t="s">
        <v>1541</v>
      </c>
      <c r="C756" s="74" t="s">
        <v>1810</v>
      </c>
      <c r="D756" s="74" t="s">
        <v>990</v>
      </c>
      <c r="E756" s="78" t="s">
        <v>138</v>
      </c>
      <c r="F756" s="76" t="s">
        <v>1811</v>
      </c>
      <c r="G756" s="70" t="s">
        <v>1239</v>
      </c>
      <c r="H756" s="70"/>
      <c r="P756" s="70">
        <f t="shared" si="11"/>
        <v>0</v>
      </c>
      <c r="Q756" s="70" cm="1">
        <f t="array" ref="Q756">IF(P756=1,IF(SUMPRODUCT(($P$2:P756)*(--($G$2:G756=$G756)))=1,1,0),0)</f>
        <v>0</v>
      </c>
      <c r="R756" s="70" t="str">
        <f>IF(Q756=1,SUM($Q$2:Q756),"")</f>
        <v/>
      </c>
    </row>
    <row r="757" spans="1:18" x14ac:dyDescent="0.2">
      <c r="A757" s="73" t="s">
        <v>285</v>
      </c>
      <c r="B757" s="77" t="s">
        <v>1541</v>
      </c>
      <c r="C757" s="74" t="s">
        <v>1810</v>
      </c>
      <c r="D757" s="74" t="s">
        <v>990</v>
      </c>
      <c r="E757" s="78" t="s">
        <v>138</v>
      </c>
      <c r="F757" s="76" t="s">
        <v>1812</v>
      </c>
      <c r="G757" s="70" t="s">
        <v>1239</v>
      </c>
      <c r="H757" s="70"/>
      <c r="P757" s="70">
        <f t="shared" si="11"/>
        <v>0</v>
      </c>
      <c r="Q757" s="70" cm="1">
        <f t="array" ref="Q757">IF(P757=1,IF(SUMPRODUCT(($P$2:P757)*(--($G$2:G757=$G757)))=1,1,0),0)</f>
        <v>0</v>
      </c>
      <c r="R757" s="70" t="str">
        <f>IF(Q757=1,SUM($Q$2:Q757),"")</f>
        <v/>
      </c>
    </row>
    <row r="758" spans="1:18" x14ac:dyDescent="0.2">
      <c r="A758" s="73" t="s">
        <v>285</v>
      </c>
      <c r="B758" s="77" t="s">
        <v>1541</v>
      </c>
      <c r="C758" s="74" t="s">
        <v>1810</v>
      </c>
      <c r="D758" s="74" t="s">
        <v>990</v>
      </c>
      <c r="E758" s="78" t="s">
        <v>97</v>
      </c>
      <c r="F758" s="76" t="s">
        <v>1813</v>
      </c>
      <c r="G758" s="70" t="s">
        <v>1239</v>
      </c>
      <c r="H758" s="70"/>
      <c r="P758" s="70">
        <f t="shared" si="11"/>
        <v>0</v>
      </c>
      <c r="Q758" s="70" cm="1">
        <f t="array" ref="Q758">IF(P758=1,IF(SUMPRODUCT(($P$2:P758)*(--($G$2:G758=$G758)))=1,1,0),0)</f>
        <v>0</v>
      </c>
      <c r="R758" s="70" t="str">
        <f>IF(Q758=1,SUM($Q$2:Q758),"")</f>
        <v/>
      </c>
    </row>
    <row r="759" spans="1:18" x14ac:dyDescent="0.2">
      <c r="A759" s="73" t="s">
        <v>285</v>
      </c>
      <c r="B759" s="77" t="s">
        <v>1541</v>
      </c>
      <c r="C759" s="74" t="s">
        <v>1810</v>
      </c>
      <c r="D759" s="74" t="s">
        <v>990</v>
      </c>
      <c r="E759" s="78" t="s">
        <v>97</v>
      </c>
      <c r="F759" s="76" t="s">
        <v>1814</v>
      </c>
      <c r="G759" s="70" t="s">
        <v>1239</v>
      </c>
      <c r="H759" s="70"/>
      <c r="P759" s="70">
        <f t="shared" si="11"/>
        <v>0</v>
      </c>
      <c r="Q759" s="70" cm="1">
        <f t="array" ref="Q759">IF(P759=1,IF(SUMPRODUCT(($P$2:P759)*(--($G$2:G759=$G759)))=1,1,0),0)</f>
        <v>0</v>
      </c>
      <c r="R759" s="70" t="str">
        <f>IF(Q759=1,SUM($Q$2:Q759),"")</f>
        <v/>
      </c>
    </row>
    <row r="760" spans="1:18" x14ac:dyDescent="0.2">
      <c r="A760" s="73" t="s">
        <v>285</v>
      </c>
      <c r="B760" s="77" t="s">
        <v>1541</v>
      </c>
      <c r="C760" s="74" t="s">
        <v>1810</v>
      </c>
      <c r="D760" s="74" t="s">
        <v>990</v>
      </c>
      <c r="E760" s="78" t="s">
        <v>138</v>
      </c>
      <c r="F760" s="76" t="s">
        <v>1813</v>
      </c>
      <c r="G760" s="70" t="s">
        <v>1239</v>
      </c>
      <c r="H760" s="70"/>
      <c r="P760" s="70">
        <f t="shared" si="11"/>
        <v>0</v>
      </c>
      <c r="Q760" s="70" cm="1">
        <f t="array" ref="Q760">IF(P760=1,IF(SUMPRODUCT(($P$2:P760)*(--($G$2:G760=$G760)))=1,1,0),0)</f>
        <v>0</v>
      </c>
      <c r="R760" s="70" t="str">
        <f>IF(Q760=1,SUM($Q$2:Q760),"")</f>
        <v/>
      </c>
    </row>
    <row r="761" spans="1:18" x14ac:dyDescent="0.2">
      <c r="A761" s="73" t="s">
        <v>285</v>
      </c>
      <c r="B761" s="77" t="s">
        <v>1541</v>
      </c>
      <c r="C761" s="74" t="s">
        <v>1810</v>
      </c>
      <c r="D761" s="74" t="s">
        <v>990</v>
      </c>
      <c r="E761" s="78" t="s">
        <v>138</v>
      </c>
      <c r="F761" s="76" t="s">
        <v>1814</v>
      </c>
      <c r="G761" s="70" t="s">
        <v>1239</v>
      </c>
      <c r="H761" s="70"/>
      <c r="P761" s="70">
        <f t="shared" si="11"/>
        <v>0</v>
      </c>
      <c r="Q761" s="70" cm="1">
        <f t="array" ref="Q761">IF(P761=1,IF(SUMPRODUCT(($P$2:P761)*(--($G$2:G761=$G761)))=1,1,0),0)</f>
        <v>0</v>
      </c>
      <c r="R761" s="70" t="str">
        <f>IF(Q761=1,SUM($Q$2:Q761),"")</f>
        <v/>
      </c>
    </row>
    <row r="762" spans="1:18" x14ac:dyDescent="0.2">
      <c r="A762" s="73" t="s">
        <v>285</v>
      </c>
      <c r="B762" s="77" t="s">
        <v>1541</v>
      </c>
      <c r="C762" s="74" t="s">
        <v>1810</v>
      </c>
      <c r="D762" s="74" t="s">
        <v>990</v>
      </c>
      <c r="E762" s="78" t="s">
        <v>97</v>
      </c>
      <c r="F762" s="76" t="s">
        <v>1815</v>
      </c>
      <c r="G762" s="70" t="s">
        <v>1235</v>
      </c>
      <c r="H762" s="70"/>
      <c r="P762" s="70">
        <f t="shared" si="11"/>
        <v>0</v>
      </c>
      <c r="Q762" s="70" cm="1">
        <f t="array" ref="Q762">IF(P762=1,IF(SUMPRODUCT(($P$2:P762)*(--($G$2:G762=$G762)))=1,1,0),0)</f>
        <v>0</v>
      </c>
      <c r="R762" s="70" t="str">
        <f>IF(Q762=1,SUM($Q$2:Q762),"")</f>
        <v/>
      </c>
    </row>
    <row r="763" spans="1:18" x14ac:dyDescent="0.2">
      <c r="A763" s="73" t="s">
        <v>285</v>
      </c>
      <c r="B763" s="77" t="s">
        <v>1541</v>
      </c>
      <c r="C763" s="74" t="s">
        <v>1810</v>
      </c>
      <c r="D763" s="74" t="s">
        <v>990</v>
      </c>
      <c r="E763" s="78" t="s">
        <v>97</v>
      </c>
      <c r="F763" s="76" t="s">
        <v>1816</v>
      </c>
      <c r="G763" s="70" t="s">
        <v>1235</v>
      </c>
      <c r="H763" s="70"/>
      <c r="P763" s="70">
        <f t="shared" si="11"/>
        <v>0</v>
      </c>
      <c r="Q763" s="70" cm="1">
        <f t="array" ref="Q763">IF(P763=1,IF(SUMPRODUCT(($P$2:P763)*(--($G$2:G763=$G763)))=1,1,0),0)</f>
        <v>0</v>
      </c>
      <c r="R763" s="70" t="str">
        <f>IF(Q763=1,SUM($Q$2:Q763),"")</f>
        <v/>
      </c>
    </row>
    <row r="764" spans="1:18" x14ac:dyDescent="0.2">
      <c r="A764" s="73" t="s">
        <v>285</v>
      </c>
      <c r="B764" s="77" t="s">
        <v>1541</v>
      </c>
      <c r="C764" s="74" t="s">
        <v>1810</v>
      </c>
      <c r="D764" s="74" t="s">
        <v>990</v>
      </c>
      <c r="E764" s="78" t="s">
        <v>138</v>
      </c>
      <c r="F764" s="76" t="s">
        <v>1815</v>
      </c>
      <c r="G764" s="70" t="s">
        <v>1235</v>
      </c>
      <c r="H764" s="70"/>
      <c r="P764" s="70">
        <f t="shared" si="11"/>
        <v>0</v>
      </c>
      <c r="Q764" s="70" cm="1">
        <f t="array" ref="Q764">IF(P764=1,IF(SUMPRODUCT(($P$2:P764)*(--($G$2:G764=$G764)))=1,1,0),0)</f>
        <v>0</v>
      </c>
      <c r="R764" s="70" t="str">
        <f>IF(Q764=1,SUM($Q$2:Q764),"")</f>
        <v/>
      </c>
    </row>
    <row r="765" spans="1:18" x14ac:dyDescent="0.2">
      <c r="A765" s="73" t="s">
        <v>285</v>
      </c>
      <c r="B765" s="77" t="s">
        <v>1541</v>
      </c>
      <c r="C765" s="74" t="s">
        <v>1810</v>
      </c>
      <c r="D765" s="74" t="s">
        <v>990</v>
      </c>
      <c r="E765" s="78" t="s">
        <v>138</v>
      </c>
      <c r="F765" s="76" t="s">
        <v>1816</v>
      </c>
      <c r="G765" s="70" t="s">
        <v>1235</v>
      </c>
      <c r="H765" s="70"/>
      <c r="P765" s="70">
        <f t="shared" si="11"/>
        <v>0</v>
      </c>
      <c r="Q765" s="70" cm="1">
        <f t="array" ref="Q765">IF(P765=1,IF(SUMPRODUCT(($P$2:P765)*(--($G$2:G765=$G765)))=1,1,0),0)</f>
        <v>0</v>
      </c>
      <c r="R765" s="70" t="str">
        <f>IF(Q765=1,SUM($Q$2:Q765),"")</f>
        <v/>
      </c>
    </row>
    <row r="766" spans="1:18" x14ac:dyDescent="0.2">
      <c r="A766" s="73" t="s">
        <v>285</v>
      </c>
      <c r="B766" s="77" t="s">
        <v>1541</v>
      </c>
      <c r="C766" s="74" t="s">
        <v>1810</v>
      </c>
      <c r="D766" s="74" t="s">
        <v>990</v>
      </c>
      <c r="E766" s="78" t="s">
        <v>97</v>
      </c>
      <c r="F766" s="76" t="s">
        <v>1817</v>
      </c>
      <c r="G766" s="70" t="s">
        <v>1235</v>
      </c>
      <c r="H766" s="70"/>
      <c r="P766" s="70">
        <f t="shared" si="11"/>
        <v>0</v>
      </c>
      <c r="Q766" s="70" cm="1">
        <f t="array" ref="Q766">IF(P766=1,IF(SUMPRODUCT(($P$2:P766)*(--($G$2:G766=$G766)))=1,1,0),0)</f>
        <v>0</v>
      </c>
      <c r="R766" s="70" t="str">
        <f>IF(Q766=1,SUM($Q$2:Q766),"")</f>
        <v/>
      </c>
    </row>
    <row r="767" spans="1:18" x14ac:dyDescent="0.2">
      <c r="A767" s="73" t="s">
        <v>285</v>
      </c>
      <c r="B767" s="77" t="s">
        <v>1541</v>
      </c>
      <c r="C767" s="74" t="s">
        <v>1810</v>
      </c>
      <c r="D767" s="74" t="s">
        <v>990</v>
      </c>
      <c r="E767" s="78" t="s">
        <v>97</v>
      </c>
      <c r="F767" s="76" t="s">
        <v>1818</v>
      </c>
      <c r="G767" s="70" t="s">
        <v>1235</v>
      </c>
      <c r="H767" s="70"/>
      <c r="P767" s="70">
        <f t="shared" si="11"/>
        <v>0</v>
      </c>
      <c r="Q767" s="70" cm="1">
        <f t="array" ref="Q767">IF(P767=1,IF(SUMPRODUCT(($P$2:P767)*(--($G$2:G767=$G767)))=1,1,0),0)</f>
        <v>0</v>
      </c>
      <c r="R767" s="70" t="str">
        <f>IF(Q767=1,SUM($Q$2:Q767),"")</f>
        <v/>
      </c>
    </row>
    <row r="768" spans="1:18" x14ac:dyDescent="0.2">
      <c r="A768" s="73" t="s">
        <v>285</v>
      </c>
      <c r="B768" s="77" t="s">
        <v>1541</v>
      </c>
      <c r="C768" s="74" t="s">
        <v>1810</v>
      </c>
      <c r="D768" s="74" t="s">
        <v>990</v>
      </c>
      <c r="E768" s="78" t="s">
        <v>138</v>
      </c>
      <c r="F768" s="76" t="s">
        <v>1817</v>
      </c>
      <c r="G768" s="70" t="s">
        <v>1235</v>
      </c>
      <c r="H768" s="70"/>
      <c r="P768" s="70">
        <f t="shared" si="11"/>
        <v>0</v>
      </c>
      <c r="Q768" s="70" cm="1">
        <f t="array" ref="Q768">IF(P768=1,IF(SUMPRODUCT(($P$2:P768)*(--($G$2:G768=$G768)))=1,1,0),0)</f>
        <v>0</v>
      </c>
      <c r="R768" s="70" t="str">
        <f>IF(Q768=1,SUM($Q$2:Q768),"")</f>
        <v/>
      </c>
    </row>
    <row r="769" spans="1:18" x14ac:dyDescent="0.2">
      <c r="A769" s="73" t="s">
        <v>285</v>
      </c>
      <c r="B769" s="77" t="s">
        <v>1541</v>
      </c>
      <c r="C769" s="74" t="s">
        <v>1810</v>
      </c>
      <c r="D769" s="74" t="s">
        <v>990</v>
      </c>
      <c r="E769" s="78" t="s">
        <v>138</v>
      </c>
      <c r="F769" s="76" t="s">
        <v>1818</v>
      </c>
      <c r="G769" s="70" t="s">
        <v>1235</v>
      </c>
      <c r="H769" s="70"/>
      <c r="P769" s="70">
        <f t="shared" si="11"/>
        <v>0</v>
      </c>
      <c r="Q769" s="70" cm="1">
        <f t="array" ref="Q769">IF(P769=1,IF(SUMPRODUCT(($P$2:P769)*(--($G$2:G769=$G769)))=1,1,0),0)</f>
        <v>0</v>
      </c>
      <c r="R769" s="70" t="str">
        <f>IF(Q769=1,SUM($Q$2:Q769),"")</f>
        <v/>
      </c>
    </row>
    <row r="770" spans="1:18" x14ac:dyDescent="0.2">
      <c r="A770" s="73" t="s">
        <v>285</v>
      </c>
      <c r="B770" s="77" t="s">
        <v>1541</v>
      </c>
      <c r="C770" s="74" t="s">
        <v>1810</v>
      </c>
      <c r="D770" s="74" t="s">
        <v>990</v>
      </c>
      <c r="E770" s="78" t="s">
        <v>120</v>
      </c>
      <c r="F770" s="76" t="s">
        <v>1812</v>
      </c>
      <c r="G770" s="70" t="s">
        <v>1240</v>
      </c>
      <c r="H770" s="70"/>
      <c r="P770" s="70">
        <f t="shared" si="11"/>
        <v>0</v>
      </c>
      <c r="Q770" s="70" cm="1">
        <f t="array" ref="Q770">IF(P770=1,IF(SUMPRODUCT(($P$2:P770)*(--($G$2:G770=$G770)))=1,1,0),0)</f>
        <v>0</v>
      </c>
      <c r="R770" s="70" t="str">
        <f>IF(Q770=1,SUM($Q$2:Q770),"")</f>
        <v/>
      </c>
    </row>
    <row r="771" spans="1:18" x14ac:dyDescent="0.2">
      <c r="A771" s="73" t="s">
        <v>285</v>
      </c>
      <c r="B771" s="77" t="s">
        <v>1541</v>
      </c>
      <c r="C771" s="74" t="s">
        <v>1810</v>
      </c>
      <c r="D771" s="74" t="s">
        <v>990</v>
      </c>
      <c r="E771" s="78" t="s">
        <v>120</v>
      </c>
      <c r="F771" s="76" t="s">
        <v>1811</v>
      </c>
      <c r="G771" s="70" t="s">
        <v>1240</v>
      </c>
      <c r="H771" s="70"/>
      <c r="P771" s="70">
        <f t="shared" ref="P771:P834" si="12">IF(AND(IF(TRIM($J$2&amp;"")="",TRUE,LEFT($D771,LEN($J$2))=$J$2),IF(TRIM($K$2&amp;"")="",TRUE,$E771=$K$2),IF($L$2="",TRUE,$F771=$L$2)),1,0)</f>
        <v>0</v>
      </c>
      <c r="Q771" s="70" cm="1">
        <f t="array" ref="Q771">IF(P771=1,IF(SUMPRODUCT(($P$2:P771)*(--($G$2:G771=$G771)))=1,1,0),0)</f>
        <v>0</v>
      </c>
      <c r="R771" s="70" t="str">
        <f>IF(Q771=1,SUM($Q$2:Q771),"")</f>
        <v/>
      </c>
    </row>
    <row r="772" spans="1:18" x14ac:dyDescent="0.2">
      <c r="A772" s="73" t="s">
        <v>285</v>
      </c>
      <c r="B772" s="77" t="s">
        <v>1541</v>
      </c>
      <c r="C772" s="74" t="s">
        <v>1810</v>
      </c>
      <c r="D772" s="74" t="s">
        <v>990</v>
      </c>
      <c r="E772" s="78" t="s">
        <v>120</v>
      </c>
      <c r="F772" s="76" t="s">
        <v>1814</v>
      </c>
      <c r="G772" s="70" t="s">
        <v>1240</v>
      </c>
      <c r="H772" s="70"/>
      <c r="P772" s="70">
        <f t="shared" si="12"/>
        <v>0</v>
      </c>
      <c r="Q772" s="70" cm="1">
        <f t="array" ref="Q772">IF(P772=1,IF(SUMPRODUCT(($P$2:P772)*(--($G$2:G772=$G772)))=1,1,0),0)</f>
        <v>0</v>
      </c>
      <c r="R772" s="70" t="str">
        <f>IF(Q772=1,SUM($Q$2:Q772),"")</f>
        <v/>
      </c>
    </row>
    <row r="773" spans="1:18" x14ac:dyDescent="0.2">
      <c r="A773" s="73" t="s">
        <v>285</v>
      </c>
      <c r="B773" s="77" t="s">
        <v>1541</v>
      </c>
      <c r="C773" s="74" t="s">
        <v>1810</v>
      </c>
      <c r="D773" s="74" t="s">
        <v>990</v>
      </c>
      <c r="E773" s="78" t="s">
        <v>120</v>
      </c>
      <c r="F773" s="76" t="s">
        <v>1813</v>
      </c>
      <c r="G773" s="70" t="s">
        <v>1240</v>
      </c>
      <c r="H773" s="70"/>
      <c r="P773" s="70">
        <f t="shared" si="12"/>
        <v>0</v>
      </c>
      <c r="Q773" s="70" cm="1">
        <f t="array" ref="Q773">IF(P773=1,IF(SUMPRODUCT(($P$2:P773)*(--($G$2:G773=$G773)))=1,1,0),0)</f>
        <v>0</v>
      </c>
      <c r="R773" s="70" t="str">
        <f>IF(Q773=1,SUM($Q$2:Q773),"")</f>
        <v/>
      </c>
    </row>
    <row r="774" spans="1:18" ht="16" x14ac:dyDescent="0.2">
      <c r="A774" s="73" t="s">
        <v>1539</v>
      </c>
      <c r="B774" s="85" t="s">
        <v>1544</v>
      </c>
      <c r="C774" s="74" t="s">
        <v>1810</v>
      </c>
      <c r="D774" s="74" t="s">
        <v>990</v>
      </c>
      <c r="E774" s="78" t="s">
        <v>97</v>
      </c>
      <c r="F774" s="76" t="s">
        <v>231</v>
      </c>
      <c r="G774" s="88" t="s">
        <v>589</v>
      </c>
      <c r="H774" s="70"/>
      <c r="P774" s="70">
        <f t="shared" si="12"/>
        <v>0</v>
      </c>
      <c r="Q774" s="70" cm="1">
        <f t="array" ref="Q774">IF(P774=1,IF(SUMPRODUCT(($P$2:P774)*(--($G$2:G774=$G774)))=1,1,0),0)</f>
        <v>0</v>
      </c>
      <c r="R774" s="70" t="str">
        <f>IF(Q774=1,SUM($Q$2:Q774),"")</f>
        <v/>
      </c>
    </row>
    <row r="775" spans="1:18" x14ac:dyDescent="0.2">
      <c r="A775" s="73" t="s">
        <v>285</v>
      </c>
      <c r="B775" s="77" t="s">
        <v>1541</v>
      </c>
      <c r="C775" s="74" t="s">
        <v>1810</v>
      </c>
      <c r="D775" s="74" t="s">
        <v>990</v>
      </c>
      <c r="E775" s="78" t="s">
        <v>97</v>
      </c>
      <c r="F775" s="76" t="s">
        <v>1596</v>
      </c>
      <c r="G775" s="76" t="s">
        <v>1233</v>
      </c>
      <c r="H775" s="70"/>
      <c r="P775" s="70">
        <f t="shared" si="12"/>
        <v>0</v>
      </c>
      <c r="Q775" s="70" cm="1">
        <f t="array" ref="Q775">IF(P775=1,IF(SUMPRODUCT(($P$2:P775)*(--($G$2:G775=$G775)))=1,1,0),0)</f>
        <v>0</v>
      </c>
      <c r="R775" s="70" t="str">
        <f>IF(Q775=1,SUM($Q$2:Q775),"")</f>
        <v/>
      </c>
    </row>
    <row r="776" spans="1:18" x14ac:dyDescent="0.2">
      <c r="A776" s="73" t="s">
        <v>285</v>
      </c>
      <c r="B776" s="77" t="s">
        <v>1541</v>
      </c>
      <c r="C776" s="74" t="s">
        <v>1810</v>
      </c>
      <c r="D776" s="74" t="s">
        <v>990</v>
      </c>
      <c r="E776" s="78" t="s">
        <v>138</v>
      </c>
      <c r="F776" s="76" t="s">
        <v>1596</v>
      </c>
      <c r="G776" s="76" t="s">
        <v>1233</v>
      </c>
      <c r="H776" s="70"/>
      <c r="P776" s="70">
        <f t="shared" si="12"/>
        <v>0</v>
      </c>
      <c r="Q776" s="70" cm="1">
        <f t="array" ref="Q776">IF(P776=1,IF(SUMPRODUCT(($P$2:P776)*(--($G$2:G776=$G776)))=1,1,0),0)</f>
        <v>0</v>
      </c>
      <c r="R776" s="70" t="str">
        <f>IF(Q776=1,SUM($Q$2:Q776),"")</f>
        <v/>
      </c>
    </row>
    <row r="777" spans="1:18" x14ac:dyDescent="0.2">
      <c r="A777" s="73" t="s">
        <v>285</v>
      </c>
      <c r="B777" s="77" t="s">
        <v>1541</v>
      </c>
      <c r="C777" s="74" t="s">
        <v>1810</v>
      </c>
      <c r="D777" s="74" t="s">
        <v>990</v>
      </c>
      <c r="E777" s="78" t="s">
        <v>97</v>
      </c>
      <c r="F777" s="76" t="s">
        <v>1597</v>
      </c>
      <c r="G777" s="76" t="s">
        <v>1233</v>
      </c>
      <c r="H777" s="70"/>
      <c r="P777" s="70">
        <f t="shared" si="12"/>
        <v>0</v>
      </c>
      <c r="Q777" s="70" cm="1">
        <f t="array" ref="Q777">IF(P777=1,IF(SUMPRODUCT(($P$2:P777)*(--($G$2:G777=$G777)))=1,1,0),0)</f>
        <v>0</v>
      </c>
      <c r="R777" s="70" t="str">
        <f>IF(Q777=1,SUM($Q$2:Q777),"")</f>
        <v/>
      </c>
    </row>
    <row r="778" spans="1:18" x14ac:dyDescent="0.2">
      <c r="A778" s="73" t="s">
        <v>285</v>
      </c>
      <c r="B778" s="77" t="s">
        <v>1541</v>
      </c>
      <c r="C778" s="74" t="s">
        <v>1810</v>
      </c>
      <c r="D778" s="74" t="s">
        <v>990</v>
      </c>
      <c r="E778" s="78" t="s">
        <v>138</v>
      </c>
      <c r="F778" s="76" t="s">
        <v>1597</v>
      </c>
      <c r="G778" s="76" t="s">
        <v>1233</v>
      </c>
      <c r="H778" s="70"/>
      <c r="P778" s="70">
        <f t="shared" si="12"/>
        <v>0</v>
      </c>
      <c r="Q778" s="70" cm="1">
        <f t="array" ref="Q778">IF(P778=1,IF(SUMPRODUCT(($P$2:P778)*(--($G$2:G778=$G778)))=1,1,0),0)</f>
        <v>0</v>
      </c>
      <c r="R778" s="70" t="str">
        <f>IF(Q778=1,SUM($Q$2:Q778),"")</f>
        <v/>
      </c>
    </row>
    <row r="779" spans="1:18" x14ac:dyDescent="0.2">
      <c r="A779" s="73" t="s">
        <v>285</v>
      </c>
      <c r="B779" s="77" t="s">
        <v>1541</v>
      </c>
      <c r="C779" s="74" t="s">
        <v>1810</v>
      </c>
      <c r="D779" s="74" t="s">
        <v>990</v>
      </c>
      <c r="E779" s="78" t="s">
        <v>120</v>
      </c>
      <c r="F779" s="76" t="s">
        <v>1596</v>
      </c>
      <c r="G779" s="76" t="s">
        <v>1234</v>
      </c>
      <c r="H779" s="70"/>
      <c r="P779" s="70">
        <f t="shared" si="12"/>
        <v>0</v>
      </c>
      <c r="Q779" s="70" cm="1">
        <f t="array" ref="Q779">IF(P779=1,IF(SUMPRODUCT(($P$2:P779)*(--($G$2:G779=$G779)))=1,1,0),0)</f>
        <v>0</v>
      </c>
      <c r="R779" s="70" t="str">
        <f>IF(Q779=1,SUM($Q$2:Q779),"")</f>
        <v/>
      </c>
    </row>
    <row r="780" spans="1:18" x14ac:dyDescent="0.2">
      <c r="A780" s="73" t="s">
        <v>285</v>
      </c>
      <c r="B780" s="77" t="s">
        <v>1541</v>
      </c>
      <c r="C780" s="74" t="s">
        <v>1810</v>
      </c>
      <c r="D780" s="74" t="s">
        <v>990</v>
      </c>
      <c r="E780" s="78" t="s">
        <v>120</v>
      </c>
      <c r="F780" s="76" t="s">
        <v>1597</v>
      </c>
      <c r="G780" s="76" t="s">
        <v>1234</v>
      </c>
      <c r="H780" s="70"/>
      <c r="P780" s="70">
        <f t="shared" si="12"/>
        <v>0</v>
      </c>
      <c r="Q780" s="70" cm="1">
        <f t="array" ref="Q780">IF(P780=1,IF(SUMPRODUCT(($P$2:P780)*(--($G$2:G780=$G780)))=1,1,0),0)</f>
        <v>0</v>
      </c>
      <c r="R780" s="70" t="str">
        <f>IF(Q780=1,SUM($Q$2:Q780),"")</f>
        <v/>
      </c>
    </row>
    <row r="781" spans="1:18" ht="16" x14ac:dyDescent="0.2">
      <c r="A781" s="73" t="s">
        <v>285</v>
      </c>
      <c r="B781" s="77" t="s">
        <v>1541</v>
      </c>
      <c r="C781" s="74" t="s">
        <v>1810</v>
      </c>
      <c r="D781" s="74" t="s">
        <v>990</v>
      </c>
      <c r="E781" s="78" t="s">
        <v>97</v>
      </c>
      <c r="F781" s="76" t="s">
        <v>1819</v>
      </c>
      <c r="G781" s="88" t="s">
        <v>1237</v>
      </c>
      <c r="H781" s="70"/>
      <c r="P781" s="70">
        <f t="shared" si="12"/>
        <v>0</v>
      </c>
      <c r="Q781" s="70" cm="1">
        <f t="array" ref="Q781">IF(P781=1,IF(SUMPRODUCT(($P$2:P781)*(--($G$2:G781=$G781)))=1,1,0),0)</f>
        <v>0</v>
      </c>
      <c r="R781" s="70" t="str">
        <f>IF(Q781=1,SUM($Q$2:Q781),"")</f>
        <v/>
      </c>
    </row>
    <row r="782" spans="1:18" ht="16" x14ac:dyDescent="0.2">
      <c r="A782" s="73" t="s">
        <v>285</v>
      </c>
      <c r="B782" s="77" t="s">
        <v>1541</v>
      </c>
      <c r="C782" s="74" t="s">
        <v>1810</v>
      </c>
      <c r="D782" s="74" t="s">
        <v>990</v>
      </c>
      <c r="E782" s="78" t="s">
        <v>97</v>
      </c>
      <c r="F782" s="76" t="s">
        <v>1820</v>
      </c>
      <c r="G782" s="88" t="s">
        <v>1237</v>
      </c>
      <c r="H782" s="70"/>
      <c r="P782" s="70">
        <f t="shared" si="12"/>
        <v>0</v>
      </c>
      <c r="Q782" s="70" cm="1">
        <f t="array" ref="Q782">IF(P782=1,IF(SUMPRODUCT(($P$2:P782)*(--($G$2:G782=$G782)))=1,1,0),0)</f>
        <v>0</v>
      </c>
      <c r="R782" s="70" t="str">
        <f>IF(Q782=1,SUM($Q$2:Q782),"")</f>
        <v/>
      </c>
    </row>
    <row r="783" spans="1:18" ht="16" x14ac:dyDescent="0.2">
      <c r="A783" s="73" t="s">
        <v>285</v>
      </c>
      <c r="B783" s="77" t="s">
        <v>1541</v>
      </c>
      <c r="C783" s="74" t="s">
        <v>1810</v>
      </c>
      <c r="D783" s="74" t="s">
        <v>990</v>
      </c>
      <c r="E783" s="78" t="s">
        <v>97</v>
      </c>
      <c r="F783" s="76" t="s">
        <v>1821</v>
      </c>
      <c r="G783" s="88" t="s">
        <v>1294</v>
      </c>
      <c r="H783" s="70"/>
      <c r="P783" s="70">
        <f t="shared" si="12"/>
        <v>0</v>
      </c>
      <c r="Q783" s="70" cm="1">
        <f t="array" ref="Q783">IF(P783=1,IF(SUMPRODUCT(($P$2:P783)*(--($G$2:G783=$G783)))=1,1,0),0)</f>
        <v>0</v>
      </c>
      <c r="R783" s="70" t="str">
        <f>IF(Q783=1,SUM($Q$2:Q783),"")</f>
        <v/>
      </c>
    </row>
    <row r="784" spans="1:18" ht="16" x14ac:dyDescent="0.2">
      <c r="A784" s="73" t="s">
        <v>285</v>
      </c>
      <c r="B784" s="77" t="s">
        <v>1541</v>
      </c>
      <c r="C784" s="74" t="s">
        <v>1810</v>
      </c>
      <c r="D784" s="74" t="s">
        <v>990</v>
      </c>
      <c r="E784" s="78" t="s">
        <v>97</v>
      </c>
      <c r="F784" s="76" t="s">
        <v>1822</v>
      </c>
      <c r="G784" s="88" t="s">
        <v>1294</v>
      </c>
      <c r="H784" s="70"/>
      <c r="P784" s="70">
        <f t="shared" si="12"/>
        <v>0</v>
      </c>
      <c r="Q784" s="70" cm="1">
        <f t="array" ref="Q784">IF(P784=1,IF(SUMPRODUCT(($P$2:P784)*(--($G$2:G784=$G784)))=1,1,0),0)</f>
        <v>0</v>
      </c>
      <c r="R784" s="70" t="str">
        <f>IF(Q784=1,SUM($Q$2:Q784),"")</f>
        <v/>
      </c>
    </row>
    <row r="785" spans="1:18" ht="16" x14ac:dyDescent="0.2">
      <c r="A785" s="73" t="s">
        <v>285</v>
      </c>
      <c r="B785" s="77" t="s">
        <v>1541</v>
      </c>
      <c r="C785" s="74" t="s">
        <v>1810</v>
      </c>
      <c r="D785" s="74" t="s">
        <v>990</v>
      </c>
      <c r="E785" s="78" t="s">
        <v>97</v>
      </c>
      <c r="F785" s="76" t="s">
        <v>285</v>
      </c>
      <c r="G785" s="88" t="s">
        <v>1236</v>
      </c>
      <c r="H785" s="70"/>
      <c r="P785" s="70">
        <f t="shared" si="12"/>
        <v>0</v>
      </c>
      <c r="Q785" s="70" cm="1">
        <f t="array" ref="Q785">IF(P785=1,IF(SUMPRODUCT(($P$2:P785)*(--($G$2:G785=$G785)))=1,1,0),0)</f>
        <v>0</v>
      </c>
      <c r="R785" s="70" t="str">
        <f>IF(Q785=1,SUM($Q$2:Q785),"")</f>
        <v/>
      </c>
    </row>
    <row r="786" spans="1:18" ht="16" x14ac:dyDescent="0.2">
      <c r="A786" s="73" t="s">
        <v>285</v>
      </c>
      <c r="B786" s="77" t="s">
        <v>1541</v>
      </c>
      <c r="C786" s="74" t="s">
        <v>1810</v>
      </c>
      <c r="D786" s="74" t="s">
        <v>990</v>
      </c>
      <c r="E786" s="78" t="s">
        <v>138</v>
      </c>
      <c r="F786" s="76" t="s">
        <v>285</v>
      </c>
      <c r="G786" s="88" t="s">
        <v>1236</v>
      </c>
      <c r="H786" s="70"/>
      <c r="P786" s="70">
        <f t="shared" si="12"/>
        <v>0</v>
      </c>
      <c r="Q786" s="70" cm="1">
        <f t="array" ref="Q786">IF(P786=1,IF(SUMPRODUCT(($P$2:P786)*(--($G$2:G786=$G786)))=1,1,0),0)</f>
        <v>0</v>
      </c>
      <c r="R786" s="70" t="str">
        <f>IF(Q786=1,SUM($Q$2:Q786),"")</f>
        <v/>
      </c>
    </row>
    <row r="787" spans="1:18" ht="16" x14ac:dyDescent="0.2">
      <c r="A787" s="73" t="s">
        <v>285</v>
      </c>
      <c r="B787" s="77" t="s">
        <v>1541</v>
      </c>
      <c r="C787" s="74" t="s">
        <v>1810</v>
      </c>
      <c r="D787" s="74" t="s">
        <v>990</v>
      </c>
      <c r="E787" s="78" t="s">
        <v>97</v>
      </c>
      <c r="F787" s="76" t="s">
        <v>289</v>
      </c>
      <c r="G787" s="88" t="s">
        <v>1236</v>
      </c>
      <c r="H787" s="70"/>
      <c r="P787" s="70">
        <f t="shared" si="12"/>
        <v>0</v>
      </c>
      <c r="Q787" s="70" cm="1">
        <f t="array" ref="Q787">IF(P787=1,IF(SUMPRODUCT(($P$2:P787)*(--($G$2:G787=$G787)))=1,1,0),0)</f>
        <v>0</v>
      </c>
      <c r="R787" s="70" t="str">
        <f>IF(Q787=1,SUM($Q$2:Q787),"")</f>
        <v/>
      </c>
    </row>
    <row r="788" spans="1:18" ht="16" x14ac:dyDescent="0.2">
      <c r="A788" s="73" t="s">
        <v>285</v>
      </c>
      <c r="B788" s="77" t="s">
        <v>1541</v>
      </c>
      <c r="C788" s="74" t="s">
        <v>1810</v>
      </c>
      <c r="D788" s="74" t="s">
        <v>990</v>
      </c>
      <c r="E788" s="78" t="s">
        <v>138</v>
      </c>
      <c r="F788" s="76" t="s">
        <v>289</v>
      </c>
      <c r="G788" s="88" t="s">
        <v>1236</v>
      </c>
      <c r="H788" s="70"/>
      <c r="P788" s="70">
        <f t="shared" si="12"/>
        <v>0</v>
      </c>
      <c r="Q788" s="70" cm="1">
        <f t="array" ref="Q788">IF(P788=1,IF(SUMPRODUCT(($P$2:P788)*(--($G$2:G788=$G788)))=1,1,0),0)</f>
        <v>0</v>
      </c>
      <c r="R788" s="70" t="str">
        <f>IF(Q788=1,SUM($Q$2:Q788),"")</f>
        <v/>
      </c>
    </row>
    <row r="789" spans="1:18" ht="16" x14ac:dyDescent="0.2">
      <c r="A789" s="73" t="s">
        <v>285</v>
      </c>
      <c r="B789" s="77" t="s">
        <v>1541</v>
      </c>
      <c r="C789" s="74" t="s">
        <v>1810</v>
      </c>
      <c r="D789" s="74" t="s">
        <v>990</v>
      </c>
      <c r="E789" s="78" t="s">
        <v>97</v>
      </c>
      <c r="F789" s="76" t="s">
        <v>1593</v>
      </c>
      <c r="G789" s="88" t="s">
        <v>1236</v>
      </c>
      <c r="H789" s="70"/>
      <c r="P789" s="70">
        <f t="shared" si="12"/>
        <v>0</v>
      </c>
      <c r="Q789" s="70" cm="1">
        <f t="array" ref="Q789">IF(P789=1,IF(SUMPRODUCT(($P$2:P789)*(--($G$2:G789=$G789)))=1,1,0),0)</f>
        <v>0</v>
      </c>
      <c r="R789" s="70" t="str">
        <f>IF(Q789=1,SUM($Q$2:Q789),"")</f>
        <v/>
      </c>
    </row>
    <row r="790" spans="1:18" ht="16" x14ac:dyDescent="0.2">
      <c r="A790" s="73" t="s">
        <v>285</v>
      </c>
      <c r="B790" s="77" t="s">
        <v>1541</v>
      </c>
      <c r="C790" s="74" t="s">
        <v>1810</v>
      </c>
      <c r="D790" s="74" t="s">
        <v>990</v>
      </c>
      <c r="E790" s="78" t="s">
        <v>138</v>
      </c>
      <c r="F790" s="76" t="s">
        <v>1593</v>
      </c>
      <c r="G790" s="88" t="s">
        <v>1236</v>
      </c>
      <c r="H790" s="70"/>
      <c r="P790" s="70">
        <f t="shared" si="12"/>
        <v>0</v>
      </c>
      <c r="Q790" s="70" cm="1">
        <f t="array" ref="Q790">IF(P790=1,IF(SUMPRODUCT(($P$2:P790)*(--($G$2:G790=$G790)))=1,1,0),0)</f>
        <v>0</v>
      </c>
      <c r="R790" s="70" t="str">
        <f>IF(Q790=1,SUM($Q$2:Q790),"")</f>
        <v/>
      </c>
    </row>
    <row r="791" spans="1:18" ht="16" x14ac:dyDescent="0.2">
      <c r="A791" s="73" t="s">
        <v>285</v>
      </c>
      <c r="B791" s="77" t="s">
        <v>1541</v>
      </c>
      <c r="C791" s="74" t="s">
        <v>1810</v>
      </c>
      <c r="D791" s="74" t="s">
        <v>990</v>
      </c>
      <c r="E791" s="78" t="s">
        <v>97</v>
      </c>
      <c r="F791" s="76" t="s">
        <v>1594</v>
      </c>
      <c r="G791" s="88" t="s">
        <v>1236</v>
      </c>
      <c r="H791" s="70"/>
      <c r="P791" s="70">
        <f t="shared" si="12"/>
        <v>0</v>
      </c>
      <c r="Q791" s="70" cm="1">
        <f t="array" ref="Q791">IF(P791=1,IF(SUMPRODUCT(($P$2:P791)*(--($G$2:G791=$G791)))=1,1,0),0)</f>
        <v>0</v>
      </c>
      <c r="R791" s="70" t="str">
        <f>IF(Q791=1,SUM($Q$2:Q791),"")</f>
        <v/>
      </c>
    </row>
    <row r="792" spans="1:18" ht="16" x14ac:dyDescent="0.2">
      <c r="A792" s="73" t="s">
        <v>285</v>
      </c>
      <c r="B792" s="77" t="s">
        <v>1541</v>
      </c>
      <c r="C792" s="74" t="s">
        <v>1810</v>
      </c>
      <c r="D792" s="74" t="s">
        <v>990</v>
      </c>
      <c r="E792" s="78" t="s">
        <v>138</v>
      </c>
      <c r="F792" s="76" t="s">
        <v>1594</v>
      </c>
      <c r="G792" s="88" t="s">
        <v>1236</v>
      </c>
      <c r="H792" s="70"/>
      <c r="P792" s="70">
        <f t="shared" si="12"/>
        <v>0</v>
      </c>
      <c r="Q792" s="70" cm="1">
        <f t="array" ref="Q792">IF(P792=1,IF(SUMPRODUCT(($P$2:P792)*(--($G$2:G792=$G792)))=1,1,0),0)</f>
        <v>0</v>
      </c>
      <c r="R792" s="70" t="str">
        <f>IF(Q792=1,SUM($Q$2:Q792),"")</f>
        <v/>
      </c>
    </row>
    <row r="793" spans="1:18" ht="16" x14ac:dyDescent="0.2">
      <c r="A793" s="73" t="s">
        <v>285</v>
      </c>
      <c r="B793" s="77" t="s">
        <v>1541</v>
      </c>
      <c r="C793" s="74" t="s">
        <v>1810</v>
      </c>
      <c r="D793" s="74" t="s">
        <v>990</v>
      </c>
      <c r="E793" s="78" t="s">
        <v>97</v>
      </c>
      <c r="F793" s="76" t="s">
        <v>1823</v>
      </c>
      <c r="G793" s="88" t="s">
        <v>1236</v>
      </c>
      <c r="H793" s="70"/>
      <c r="P793" s="70">
        <f t="shared" si="12"/>
        <v>0</v>
      </c>
      <c r="Q793" s="70" cm="1">
        <f t="array" ref="Q793">IF(P793=1,IF(SUMPRODUCT(($P$2:P793)*(--($G$2:G793=$G793)))=1,1,0),0)</f>
        <v>0</v>
      </c>
      <c r="R793" s="70" t="str">
        <f>IF(Q793=1,SUM($Q$2:Q793),"")</f>
        <v/>
      </c>
    </row>
    <row r="794" spans="1:18" ht="16" x14ac:dyDescent="0.2">
      <c r="A794" s="73" t="s">
        <v>285</v>
      </c>
      <c r="B794" s="77" t="s">
        <v>1541</v>
      </c>
      <c r="C794" s="74" t="s">
        <v>1810</v>
      </c>
      <c r="D794" s="74" t="s">
        <v>990</v>
      </c>
      <c r="E794" s="78" t="s">
        <v>138</v>
      </c>
      <c r="F794" s="76" t="s">
        <v>1823</v>
      </c>
      <c r="G794" s="88" t="s">
        <v>1236</v>
      </c>
      <c r="H794" s="70"/>
      <c r="P794" s="70">
        <f t="shared" si="12"/>
        <v>0</v>
      </c>
      <c r="Q794" s="70" cm="1">
        <f t="array" ref="Q794">IF(P794=1,IF(SUMPRODUCT(($P$2:P794)*(--($G$2:G794=$G794)))=1,1,0),0)</f>
        <v>0</v>
      </c>
      <c r="R794" s="70" t="str">
        <f>IF(Q794=1,SUM($Q$2:Q794),"")</f>
        <v/>
      </c>
    </row>
    <row r="795" spans="1:18" ht="16" x14ac:dyDescent="0.2">
      <c r="A795" s="73" t="s">
        <v>285</v>
      </c>
      <c r="B795" s="77" t="s">
        <v>1541</v>
      </c>
      <c r="C795" s="74" t="s">
        <v>1810</v>
      </c>
      <c r="D795" s="74" t="s">
        <v>990</v>
      </c>
      <c r="E795" s="78" t="s">
        <v>97</v>
      </c>
      <c r="F795" s="76" t="s">
        <v>1595</v>
      </c>
      <c r="G795" s="88" t="s">
        <v>1236</v>
      </c>
      <c r="H795" s="70"/>
      <c r="P795" s="70">
        <f t="shared" si="12"/>
        <v>0</v>
      </c>
      <c r="Q795" s="70" cm="1">
        <f t="array" ref="Q795">IF(P795=1,IF(SUMPRODUCT(($P$2:P795)*(--($G$2:G795=$G795)))=1,1,0),0)</f>
        <v>0</v>
      </c>
      <c r="R795" s="70" t="str">
        <f>IF(Q795=1,SUM($Q$2:Q795),"")</f>
        <v/>
      </c>
    </row>
    <row r="796" spans="1:18" ht="16" x14ac:dyDescent="0.2">
      <c r="A796" s="73" t="s">
        <v>285</v>
      </c>
      <c r="B796" s="77" t="s">
        <v>1541</v>
      </c>
      <c r="C796" s="74" t="s">
        <v>1810</v>
      </c>
      <c r="D796" s="74" t="s">
        <v>990</v>
      </c>
      <c r="E796" s="78" t="s">
        <v>138</v>
      </c>
      <c r="F796" s="76" t="s">
        <v>1595</v>
      </c>
      <c r="G796" s="88" t="s">
        <v>1236</v>
      </c>
      <c r="H796" s="70"/>
      <c r="P796" s="70">
        <f t="shared" si="12"/>
        <v>0</v>
      </c>
      <c r="Q796" s="70" cm="1">
        <f t="array" ref="Q796">IF(P796=1,IF(SUMPRODUCT(($P$2:P796)*(--($G$2:G796=$G796)))=1,1,0),0)</f>
        <v>0</v>
      </c>
      <c r="R796" s="70" t="str">
        <f>IF(Q796=1,SUM($Q$2:Q796),"")</f>
        <v/>
      </c>
    </row>
    <row r="797" spans="1:18" ht="16" x14ac:dyDescent="0.2">
      <c r="A797" s="73" t="s">
        <v>285</v>
      </c>
      <c r="B797" s="85" t="s">
        <v>1824</v>
      </c>
      <c r="C797" s="74" t="s">
        <v>1810</v>
      </c>
      <c r="D797" s="74" t="s">
        <v>990</v>
      </c>
      <c r="E797" s="78" t="s">
        <v>97</v>
      </c>
      <c r="F797" s="76" t="s">
        <v>285</v>
      </c>
      <c r="G797" s="88" t="s">
        <v>1268</v>
      </c>
      <c r="H797" s="70"/>
      <c r="P797" s="70">
        <f t="shared" si="12"/>
        <v>0</v>
      </c>
      <c r="Q797" s="70" cm="1">
        <f t="array" ref="Q797">IF(P797=1,IF(SUMPRODUCT(($P$2:P797)*(--($G$2:G797=$G797)))=1,1,0),0)</f>
        <v>0</v>
      </c>
      <c r="R797" s="70" t="str">
        <f>IF(Q797=1,SUM($Q$2:Q797),"")</f>
        <v/>
      </c>
    </row>
    <row r="798" spans="1:18" ht="16" x14ac:dyDescent="0.2">
      <c r="A798" s="73" t="s">
        <v>285</v>
      </c>
      <c r="B798" s="85" t="s">
        <v>1824</v>
      </c>
      <c r="C798" s="74" t="s">
        <v>1810</v>
      </c>
      <c r="D798" s="74" t="s">
        <v>990</v>
      </c>
      <c r="E798" s="78" t="s">
        <v>138</v>
      </c>
      <c r="F798" s="76" t="s">
        <v>285</v>
      </c>
      <c r="G798" s="88" t="s">
        <v>1268</v>
      </c>
      <c r="H798" s="70"/>
      <c r="P798" s="70">
        <f t="shared" si="12"/>
        <v>0</v>
      </c>
      <c r="Q798" s="70" cm="1">
        <f t="array" ref="Q798">IF(P798=1,IF(SUMPRODUCT(($P$2:P798)*(--($G$2:G798=$G798)))=1,1,0),0)</f>
        <v>0</v>
      </c>
      <c r="R798" s="70" t="str">
        <f>IF(Q798=1,SUM($Q$2:Q798),"")</f>
        <v/>
      </c>
    </row>
    <row r="799" spans="1:18" ht="16" x14ac:dyDescent="0.2">
      <c r="A799" s="73" t="s">
        <v>285</v>
      </c>
      <c r="B799" s="85" t="s">
        <v>1824</v>
      </c>
      <c r="C799" s="74" t="s">
        <v>1810</v>
      </c>
      <c r="D799" s="74" t="s">
        <v>990</v>
      </c>
      <c r="E799" s="78" t="s">
        <v>97</v>
      </c>
      <c r="F799" s="76" t="s">
        <v>289</v>
      </c>
      <c r="G799" s="88" t="s">
        <v>1268</v>
      </c>
      <c r="H799" s="70"/>
      <c r="P799" s="70">
        <f t="shared" si="12"/>
        <v>0</v>
      </c>
      <c r="Q799" s="70" cm="1">
        <f t="array" ref="Q799">IF(P799=1,IF(SUMPRODUCT(($P$2:P799)*(--($G$2:G799=$G799)))=1,1,0),0)</f>
        <v>0</v>
      </c>
      <c r="R799" s="70" t="str">
        <f>IF(Q799=1,SUM($Q$2:Q799),"")</f>
        <v/>
      </c>
    </row>
    <row r="800" spans="1:18" ht="16" x14ac:dyDescent="0.2">
      <c r="A800" s="73" t="s">
        <v>285</v>
      </c>
      <c r="B800" s="85" t="s">
        <v>1824</v>
      </c>
      <c r="C800" s="74" t="s">
        <v>1810</v>
      </c>
      <c r="D800" s="74" t="s">
        <v>990</v>
      </c>
      <c r="E800" s="78" t="s">
        <v>138</v>
      </c>
      <c r="F800" s="76" t="s">
        <v>289</v>
      </c>
      <c r="G800" s="88" t="s">
        <v>1268</v>
      </c>
      <c r="H800" s="70"/>
      <c r="P800" s="70">
        <f t="shared" si="12"/>
        <v>0</v>
      </c>
      <c r="Q800" s="70" cm="1">
        <f t="array" ref="Q800">IF(P800=1,IF(SUMPRODUCT(($P$2:P800)*(--($G$2:G800=$G800)))=1,1,0),0)</f>
        <v>0</v>
      </c>
      <c r="R800" s="70" t="str">
        <f>IF(Q800=1,SUM($Q$2:Q800),"")</f>
        <v/>
      </c>
    </row>
    <row r="801" spans="1:18" ht="16" x14ac:dyDescent="0.2">
      <c r="A801" s="73" t="s">
        <v>285</v>
      </c>
      <c r="B801" s="85" t="s">
        <v>1824</v>
      </c>
      <c r="C801" s="74" t="s">
        <v>1810</v>
      </c>
      <c r="D801" s="74" t="s">
        <v>990</v>
      </c>
      <c r="E801" s="78" t="s">
        <v>97</v>
      </c>
      <c r="F801" s="76" t="s">
        <v>1593</v>
      </c>
      <c r="G801" s="88" t="s">
        <v>1268</v>
      </c>
      <c r="H801" s="70"/>
      <c r="P801" s="70">
        <f t="shared" si="12"/>
        <v>0</v>
      </c>
      <c r="Q801" s="70" cm="1">
        <f t="array" ref="Q801">IF(P801=1,IF(SUMPRODUCT(($P$2:P801)*(--($G$2:G801=$G801)))=1,1,0),0)</f>
        <v>0</v>
      </c>
      <c r="R801" s="70" t="str">
        <f>IF(Q801=1,SUM($Q$2:Q801),"")</f>
        <v/>
      </c>
    </row>
    <row r="802" spans="1:18" ht="16" x14ac:dyDescent="0.2">
      <c r="A802" s="73" t="s">
        <v>285</v>
      </c>
      <c r="B802" s="85" t="s">
        <v>1824</v>
      </c>
      <c r="C802" s="74" t="s">
        <v>1810</v>
      </c>
      <c r="D802" s="74" t="s">
        <v>990</v>
      </c>
      <c r="E802" s="78" t="s">
        <v>138</v>
      </c>
      <c r="F802" s="76" t="s">
        <v>1593</v>
      </c>
      <c r="G802" s="88" t="s">
        <v>1268</v>
      </c>
      <c r="H802" s="70"/>
      <c r="P802" s="70">
        <f t="shared" si="12"/>
        <v>0</v>
      </c>
      <c r="Q802" s="70" cm="1">
        <f t="array" ref="Q802">IF(P802=1,IF(SUMPRODUCT(($P$2:P802)*(--($G$2:G802=$G802)))=1,1,0),0)</f>
        <v>0</v>
      </c>
      <c r="R802" s="70" t="str">
        <f>IF(Q802=1,SUM($Q$2:Q802),"")</f>
        <v/>
      </c>
    </row>
    <row r="803" spans="1:18" ht="16" x14ac:dyDescent="0.2">
      <c r="A803" s="73" t="s">
        <v>285</v>
      </c>
      <c r="B803" s="85" t="s">
        <v>1824</v>
      </c>
      <c r="C803" s="74" t="s">
        <v>1810</v>
      </c>
      <c r="D803" s="74" t="s">
        <v>990</v>
      </c>
      <c r="E803" s="78" t="s">
        <v>97</v>
      </c>
      <c r="F803" s="76" t="s">
        <v>1594</v>
      </c>
      <c r="G803" s="88" t="s">
        <v>1268</v>
      </c>
      <c r="H803" s="70"/>
      <c r="P803" s="70">
        <f t="shared" si="12"/>
        <v>0</v>
      </c>
      <c r="Q803" s="70" cm="1">
        <f t="array" ref="Q803">IF(P803=1,IF(SUMPRODUCT(($P$2:P803)*(--($G$2:G803=$G803)))=1,1,0),0)</f>
        <v>0</v>
      </c>
      <c r="R803" s="70" t="str">
        <f>IF(Q803=1,SUM($Q$2:Q803),"")</f>
        <v/>
      </c>
    </row>
    <row r="804" spans="1:18" ht="16" x14ac:dyDescent="0.2">
      <c r="A804" s="73" t="s">
        <v>285</v>
      </c>
      <c r="B804" s="85" t="s">
        <v>1824</v>
      </c>
      <c r="C804" s="74" t="s">
        <v>1810</v>
      </c>
      <c r="D804" s="74" t="s">
        <v>990</v>
      </c>
      <c r="E804" s="78" t="s">
        <v>138</v>
      </c>
      <c r="F804" s="76" t="s">
        <v>1594</v>
      </c>
      <c r="G804" s="88" t="s">
        <v>1268</v>
      </c>
      <c r="H804" s="70"/>
      <c r="P804" s="70">
        <f t="shared" si="12"/>
        <v>0</v>
      </c>
      <c r="Q804" s="70" cm="1">
        <f t="array" ref="Q804">IF(P804=1,IF(SUMPRODUCT(($P$2:P804)*(--($G$2:G804=$G804)))=1,1,0),0)</f>
        <v>0</v>
      </c>
      <c r="R804" s="70" t="str">
        <f>IF(Q804=1,SUM($Q$2:Q804),"")</f>
        <v/>
      </c>
    </row>
    <row r="805" spans="1:18" ht="16" x14ac:dyDescent="0.2">
      <c r="A805" s="73" t="s">
        <v>285</v>
      </c>
      <c r="B805" s="85" t="s">
        <v>1824</v>
      </c>
      <c r="C805" s="74" t="s">
        <v>1810</v>
      </c>
      <c r="D805" s="74" t="s">
        <v>990</v>
      </c>
      <c r="E805" s="78" t="s">
        <v>97</v>
      </c>
      <c r="F805" s="76" t="s">
        <v>1823</v>
      </c>
      <c r="G805" s="88" t="s">
        <v>1268</v>
      </c>
      <c r="H805" s="70"/>
      <c r="P805" s="70">
        <f t="shared" si="12"/>
        <v>0</v>
      </c>
      <c r="Q805" s="70" cm="1">
        <f t="array" ref="Q805">IF(P805=1,IF(SUMPRODUCT(($P$2:P805)*(--($G$2:G805=$G805)))=1,1,0),0)</f>
        <v>0</v>
      </c>
      <c r="R805" s="70" t="str">
        <f>IF(Q805=1,SUM($Q$2:Q805),"")</f>
        <v/>
      </c>
    </row>
    <row r="806" spans="1:18" ht="16" x14ac:dyDescent="0.2">
      <c r="A806" s="73" t="s">
        <v>285</v>
      </c>
      <c r="B806" s="85" t="s">
        <v>1824</v>
      </c>
      <c r="C806" s="74" t="s">
        <v>1810</v>
      </c>
      <c r="D806" s="74" t="s">
        <v>990</v>
      </c>
      <c r="E806" s="78" t="s">
        <v>138</v>
      </c>
      <c r="F806" s="76" t="s">
        <v>1823</v>
      </c>
      <c r="G806" s="88" t="s">
        <v>1268</v>
      </c>
      <c r="H806" s="70"/>
      <c r="P806" s="70">
        <f t="shared" si="12"/>
        <v>0</v>
      </c>
      <c r="Q806" s="70" cm="1">
        <f t="array" ref="Q806">IF(P806=1,IF(SUMPRODUCT(($P$2:P806)*(--($G$2:G806=$G806)))=1,1,0),0)</f>
        <v>0</v>
      </c>
      <c r="R806" s="70" t="str">
        <f>IF(Q806=1,SUM($Q$2:Q806),"")</f>
        <v/>
      </c>
    </row>
    <row r="807" spans="1:18" ht="16" x14ac:dyDescent="0.2">
      <c r="A807" s="73" t="s">
        <v>285</v>
      </c>
      <c r="B807" s="85" t="s">
        <v>1824</v>
      </c>
      <c r="C807" s="74" t="s">
        <v>1810</v>
      </c>
      <c r="D807" s="74" t="s">
        <v>990</v>
      </c>
      <c r="E807" s="78" t="s">
        <v>97</v>
      </c>
      <c r="F807" s="76" t="s">
        <v>1595</v>
      </c>
      <c r="G807" s="88" t="s">
        <v>1268</v>
      </c>
      <c r="H807" s="70"/>
      <c r="P807" s="70">
        <f t="shared" si="12"/>
        <v>0</v>
      </c>
      <c r="Q807" s="70" cm="1">
        <f t="array" ref="Q807">IF(P807=1,IF(SUMPRODUCT(($P$2:P807)*(--($G$2:G807=$G807)))=1,1,0),0)</f>
        <v>0</v>
      </c>
      <c r="R807" s="70" t="str">
        <f>IF(Q807=1,SUM($Q$2:Q807),"")</f>
        <v/>
      </c>
    </row>
    <row r="808" spans="1:18" ht="16" x14ac:dyDescent="0.2">
      <c r="A808" s="73" t="s">
        <v>285</v>
      </c>
      <c r="B808" s="85" t="s">
        <v>1824</v>
      </c>
      <c r="C808" s="74" t="s">
        <v>1810</v>
      </c>
      <c r="D808" s="74" t="s">
        <v>990</v>
      </c>
      <c r="E808" s="78" t="s">
        <v>138</v>
      </c>
      <c r="F808" s="76" t="s">
        <v>1595</v>
      </c>
      <c r="G808" s="88" t="s">
        <v>1268</v>
      </c>
      <c r="H808" s="70"/>
      <c r="P808" s="70">
        <f t="shared" si="12"/>
        <v>0</v>
      </c>
      <c r="Q808" s="70" cm="1">
        <f t="array" ref="Q808">IF(P808=1,IF(SUMPRODUCT(($P$2:P808)*(--($G$2:G808=$G808)))=1,1,0),0)</f>
        <v>0</v>
      </c>
      <c r="R808" s="70" t="str">
        <f>IF(Q808=1,SUM($Q$2:Q808),"")</f>
        <v/>
      </c>
    </row>
    <row r="809" spans="1:18" ht="16" x14ac:dyDescent="0.2">
      <c r="A809" s="73" t="s">
        <v>407</v>
      </c>
      <c r="B809" s="77" t="s">
        <v>1541</v>
      </c>
      <c r="C809" s="74" t="s">
        <v>1810</v>
      </c>
      <c r="D809" s="74" t="s">
        <v>990</v>
      </c>
      <c r="E809" s="78" t="s">
        <v>97</v>
      </c>
      <c r="F809" s="76" t="s">
        <v>1825</v>
      </c>
      <c r="G809" s="88" t="s">
        <v>1287</v>
      </c>
      <c r="H809" s="70"/>
      <c r="P809" s="70">
        <f t="shared" si="12"/>
        <v>0</v>
      </c>
      <c r="Q809" s="70" cm="1">
        <f t="array" ref="Q809">IF(P809=1,IF(SUMPRODUCT(($P$2:P809)*(--($G$2:G809=$G809)))=1,1,0),0)</f>
        <v>0</v>
      </c>
      <c r="R809" s="70" t="str">
        <f>IF(Q809=1,SUM($Q$2:Q809),"")</f>
        <v/>
      </c>
    </row>
    <row r="810" spans="1:18" ht="16" x14ac:dyDescent="0.2">
      <c r="A810" s="73" t="s">
        <v>407</v>
      </c>
      <c r="B810" s="77" t="s">
        <v>1541</v>
      </c>
      <c r="C810" s="74" t="s">
        <v>1810</v>
      </c>
      <c r="D810" s="74" t="s">
        <v>990</v>
      </c>
      <c r="E810" s="78" t="s">
        <v>97</v>
      </c>
      <c r="F810" s="76" t="s">
        <v>1826</v>
      </c>
      <c r="G810" s="88" t="s">
        <v>1287</v>
      </c>
      <c r="H810" s="70"/>
      <c r="P810" s="70">
        <f t="shared" si="12"/>
        <v>0</v>
      </c>
      <c r="Q810" s="70" cm="1">
        <f t="array" ref="Q810">IF(P810=1,IF(SUMPRODUCT(($P$2:P810)*(--($G$2:G810=$G810)))=1,1,0),0)</f>
        <v>0</v>
      </c>
      <c r="R810" s="70" t="str">
        <f>IF(Q810=1,SUM($Q$2:Q810),"")</f>
        <v/>
      </c>
    </row>
    <row r="811" spans="1:18" ht="16" x14ac:dyDescent="0.2">
      <c r="A811" s="73" t="s">
        <v>407</v>
      </c>
      <c r="B811" s="77" t="s">
        <v>1541</v>
      </c>
      <c r="C811" s="74" t="s">
        <v>1810</v>
      </c>
      <c r="D811" s="74" t="s">
        <v>990</v>
      </c>
      <c r="E811" s="78" t="s">
        <v>97</v>
      </c>
      <c r="F811" s="76" t="s">
        <v>1827</v>
      </c>
      <c r="G811" s="88" t="s">
        <v>1287</v>
      </c>
      <c r="H811" s="70"/>
      <c r="P811" s="70">
        <f t="shared" si="12"/>
        <v>0</v>
      </c>
      <c r="Q811" s="70" cm="1">
        <f t="array" ref="Q811">IF(P811=1,IF(SUMPRODUCT(($P$2:P811)*(--($G$2:G811=$G811)))=1,1,0),0)</f>
        <v>0</v>
      </c>
      <c r="R811" s="70" t="str">
        <f>IF(Q811=1,SUM($Q$2:Q811),"")</f>
        <v/>
      </c>
    </row>
    <row r="812" spans="1:18" ht="16" x14ac:dyDescent="0.2">
      <c r="A812" s="73" t="s">
        <v>407</v>
      </c>
      <c r="B812" s="77" t="s">
        <v>1541</v>
      </c>
      <c r="C812" s="74" t="s">
        <v>1810</v>
      </c>
      <c r="D812" s="74" t="s">
        <v>990</v>
      </c>
      <c r="E812" s="78" t="s">
        <v>97</v>
      </c>
      <c r="F812" s="76" t="s">
        <v>1828</v>
      </c>
      <c r="G812" s="88" t="s">
        <v>1287</v>
      </c>
      <c r="H812" s="70"/>
      <c r="P812" s="70">
        <f t="shared" si="12"/>
        <v>0</v>
      </c>
      <c r="Q812" s="70" cm="1">
        <f t="array" ref="Q812">IF(P812=1,IF(SUMPRODUCT(($P$2:P812)*(--($G$2:G812=$G812)))=1,1,0),0)</f>
        <v>0</v>
      </c>
      <c r="R812" s="70" t="str">
        <f>IF(Q812=1,SUM($Q$2:Q812),"")</f>
        <v/>
      </c>
    </row>
    <row r="813" spans="1:18" x14ac:dyDescent="0.2">
      <c r="A813" s="73" t="s">
        <v>407</v>
      </c>
      <c r="B813" s="77" t="s">
        <v>1541</v>
      </c>
      <c r="C813" s="74" t="s">
        <v>1810</v>
      </c>
      <c r="D813" s="74" t="s">
        <v>990</v>
      </c>
      <c r="E813" s="78" t="s">
        <v>97</v>
      </c>
      <c r="F813" s="76" t="s">
        <v>1829</v>
      </c>
      <c r="G813" s="76" t="s">
        <v>1288</v>
      </c>
      <c r="H813" s="70"/>
      <c r="P813" s="70">
        <f t="shared" si="12"/>
        <v>0</v>
      </c>
      <c r="Q813" s="70" cm="1">
        <f t="array" ref="Q813">IF(P813=1,IF(SUMPRODUCT(($P$2:P813)*(--($G$2:G813=$G813)))=1,1,0),0)</f>
        <v>0</v>
      </c>
      <c r="R813" s="70" t="str">
        <f>IF(Q813=1,SUM($Q$2:Q813),"")</f>
        <v/>
      </c>
    </row>
    <row r="814" spans="1:18" x14ac:dyDescent="0.2">
      <c r="A814" s="73" t="s">
        <v>407</v>
      </c>
      <c r="B814" s="77" t="s">
        <v>1541</v>
      </c>
      <c r="C814" s="74" t="s">
        <v>1810</v>
      </c>
      <c r="D814" s="74" t="s">
        <v>990</v>
      </c>
      <c r="E814" s="78" t="s">
        <v>97</v>
      </c>
      <c r="F814" s="76" t="s">
        <v>1830</v>
      </c>
      <c r="G814" s="76" t="s">
        <v>1288</v>
      </c>
      <c r="H814" s="70"/>
      <c r="P814" s="70">
        <f t="shared" si="12"/>
        <v>0</v>
      </c>
      <c r="Q814" s="70" cm="1">
        <f t="array" ref="Q814">IF(P814=1,IF(SUMPRODUCT(($P$2:P814)*(--($G$2:G814=$G814)))=1,1,0),0)</f>
        <v>0</v>
      </c>
      <c r="R814" s="70" t="str">
        <f>IF(Q814=1,SUM($Q$2:Q814),"")</f>
        <v/>
      </c>
    </row>
    <row r="815" spans="1:18" x14ac:dyDescent="0.2">
      <c r="A815" s="73" t="s">
        <v>407</v>
      </c>
      <c r="B815" s="77" t="s">
        <v>1541</v>
      </c>
      <c r="C815" s="74" t="s">
        <v>1810</v>
      </c>
      <c r="D815" s="74" t="s">
        <v>990</v>
      </c>
      <c r="E815" s="78" t="s">
        <v>97</v>
      </c>
      <c r="F815" s="76" t="s">
        <v>1831</v>
      </c>
      <c r="G815" s="76" t="s">
        <v>1288</v>
      </c>
      <c r="H815" s="70"/>
      <c r="P815" s="70">
        <f t="shared" si="12"/>
        <v>0</v>
      </c>
      <c r="Q815" s="70" cm="1">
        <f t="array" ref="Q815">IF(P815=1,IF(SUMPRODUCT(($P$2:P815)*(--($G$2:G815=$G815)))=1,1,0),0)</f>
        <v>0</v>
      </c>
      <c r="R815" s="70" t="str">
        <f>IF(Q815=1,SUM($Q$2:Q815),"")</f>
        <v/>
      </c>
    </row>
    <row r="816" spans="1:18" x14ac:dyDescent="0.2">
      <c r="A816" s="73" t="s">
        <v>407</v>
      </c>
      <c r="B816" s="77" t="s">
        <v>1541</v>
      </c>
      <c r="C816" s="74" t="s">
        <v>1810</v>
      </c>
      <c r="D816" s="74" t="s">
        <v>990</v>
      </c>
      <c r="E816" s="78" t="s">
        <v>97</v>
      </c>
      <c r="F816" s="76" t="s">
        <v>1832</v>
      </c>
      <c r="G816" s="76" t="s">
        <v>1288</v>
      </c>
      <c r="H816" s="70"/>
      <c r="P816" s="70">
        <f t="shared" si="12"/>
        <v>0</v>
      </c>
      <c r="Q816" s="70" cm="1">
        <f t="array" ref="Q816">IF(P816=1,IF(SUMPRODUCT(($P$2:P816)*(--($G$2:G816=$G816)))=1,1,0),0)</f>
        <v>0</v>
      </c>
      <c r="R816" s="70" t="str">
        <f>IF(Q816=1,SUM($Q$2:Q816),"")</f>
        <v/>
      </c>
    </row>
    <row r="817" spans="1:18" ht="16" x14ac:dyDescent="0.2">
      <c r="A817" s="73" t="s">
        <v>407</v>
      </c>
      <c r="B817" s="77" t="s">
        <v>1541</v>
      </c>
      <c r="C817" s="74" t="s">
        <v>1810</v>
      </c>
      <c r="D817" s="74" t="s">
        <v>990</v>
      </c>
      <c r="E817" s="78" t="s">
        <v>97</v>
      </c>
      <c r="F817" s="76" t="s">
        <v>1833</v>
      </c>
      <c r="G817" s="88" t="s">
        <v>1295</v>
      </c>
      <c r="H817" s="70"/>
      <c r="P817" s="70">
        <f t="shared" si="12"/>
        <v>0</v>
      </c>
      <c r="Q817" s="70" cm="1">
        <f t="array" ref="Q817">IF(P817=1,IF(SUMPRODUCT(($P$2:P817)*(--($G$2:G817=$G817)))=1,1,0),0)</f>
        <v>0</v>
      </c>
      <c r="R817" s="70" t="str">
        <f>IF(Q817=1,SUM($Q$2:Q817),"")</f>
        <v/>
      </c>
    </row>
    <row r="818" spans="1:18" ht="16" x14ac:dyDescent="0.2">
      <c r="A818" s="73" t="s">
        <v>407</v>
      </c>
      <c r="B818" s="77" t="s">
        <v>1541</v>
      </c>
      <c r="C818" s="74" t="s">
        <v>1810</v>
      </c>
      <c r="D818" s="74" t="s">
        <v>990</v>
      </c>
      <c r="E818" s="78" t="s">
        <v>97</v>
      </c>
      <c r="F818" s="76" t="s">
        <v>1834</v>
      </c>
      <c r="G818" s="88" t="s">
        <v>1295</v>
      </c>
      <c r="H818" s="70"/>
      <c r="P818" s="70">
        <f t="shared" si="12"/>
        <v>0</v>
      </c>
      <c r="Q818" s="70" cm="1">
        <f t="array" ref="Q818">IF(P818=1,IF(SUMPRODUCT(($P$2:P818)*(--($G$2:G818=$G818)))=1,1,0),0)</f>
        <v>0</v>
      </c>
      <c r="R818" s="70" t="str">
        <f>IF(Q818=1,SUM($Q$2:Q818),"")</f>
        <v/>
      </c>
    </row>
    <row r="819" spans="1:18" ht="16" x14ac:dyDescent="0.2">
      <c r="A819" s="73" t="s">
        <v>407</v>
      </c>
      <c r="B819" s="77" t="s">
        <v>1541</v>
      </c>
      <c r="C819" s="74" t="s">
        <v>1810</v>
      </c>
      <c r="D819" s="74" t="s">
        <v>990</v>
      </c>
      <c r="E819" s="78" t="s">
        <v>97</v>
      </c>
      <c r="F819" s="76" t="s">
        <v>1835</v>
      </c>
      <c r="G819" s="88" t="s">
        <v>1295</v>
      </c>
      <c r="H819" s="70"/>
      <c r="P819" s="70">
        <f t="shared" si="12"/>
        <v>0</v>
      </c>
      <c r="Q819" s="70" cm="1">
        <f t="array" ref="Q819">IF(P819=1,IF(SUMPRODUCT(($P$2:P819)*(--($G$2:G819=$G819)))=1,1,0),0)</f>
        <v>0</v>
      </c>
      <c r="R819" s="70" t="str">
        <f>IF(Q819=1,SUM($Q$2:Q819),"")</f>
        <v/>
      </c>
    </row>
    <row r="820" spans="1:18" ht="16" x14ac:dyDescent="0.2">
      <c r="A820" s="73" t="s">
        <v>407</v>
      </c>
      <c r="B820" s="77" t="s">
        <v>1541</v>
      </c>
      <c r="C820" s="74" t="s">
        <v>1810</v>
      </c>
      <c r="D820" s="74" t="s">
        <v>990</v>
      </c>
      <c r="E820" s="78" t="s">
        <v>97</v>
      </c>
      <c r="F820" s="76" t="s">
        <v>1836</v>
      </c>
      <c r="G820" s="88" t="s">
        <v>1295</v>
      </c>
      <c r="H820" s="70"/>
      <c r="P820" s="70">
        <f t="shared" si="12"/>
        <v>0</v>
      </c>
      <c r="Q820" s="70" cm="1">
        <f t="array" ref="Q820">IF(P820=1,IF(SUMPRODUCT(($P$2:P820)*(--($G$2:G820=$G820)))=1,1,0),0)</f>
        <v>0</v>
      </c>
      <c r="R820" s="70" t="str">
        <f>IF(Q820=1,SUM($Q$2:Q820),"")</f>
        <v/>
      </c>
    </row>
    <row r="821" spans="1:18" x14ac:dyDescent="0.2">
      <c r="A821" s="73" t="s">
        <v>407</v>
      </c>
      <c r="B821" s="77" t="s">
        <v>1541</v>
      </c>
      <c r="C821" s="74" t="s">
        <v>1810</v>
      </c>
      <c r="D821" s="74" t="s">
        <v>990</v>
      </c>
      <c r="E821" s="78" t="s">
        <v>97</v>
      </c>
      <c r="F821" s="76" t="s">
        <v>1837</v>
      </c>
      <c r="G821" s="76" t="s">
        <v>1296</v>
      </c>
      <c r="H821" s="70"/>
      <c r="P821" s="70">
        <f t="shared" si="12"/>
        <v>0</v>
      </c>
      <c r="Q821" s="70" cm="1">
        <f t="array" ref="Q821">IF(P821=1,IF(SUMPRODUCT(($P$2:P821)*(--($G$2:G821=$G821)))=1,1,0),0)</f>
        <v>0</v>
      </c>
      <c r="R821" s="70" t="str">
        <f>IF(Q821=1,SUM($Q$2:Q821),"")</f>
        <v/>
      </c>
    </row>
    <row r="822" spans="1:18" x14ac:dyDescent="0.2">
      <c r="A822" s="73" t="s">
        <v>407</v>
      </c>
      <c r="B822" s="77" t="s">
        <v>1541</v>
      </c>
      <c r="C822" s="74" t="s">
        <v>1810</v>
      </c>
      <c r="D822" s="74" t="s">
        <v>990</v>
      </c>
      <c r="E822" s="78" t="s">
        <v>97</v>
      </c>
      <c r="F822" s="76" t="s">
        <v>1838</v>
      </c>
      <c r="G822" s="76" t="s">
        <v>1296</v>
      </c>
      <c r="H822" s="70"/>
      <c r="P822" s="70">
        <f t="shared" si="12"/>
        <v>0</v>
      </c>
      <c r="Q822" s="70" cm="1">
        <f t="array" ref="Q822">IF(P822=1,IF(SUMPRODUCT(($P$2:P822)*(--($G$2:G822=$G822)))=1,1,0),0)</f>
        <v>0</v>
      </c>
      <c r="R822" s="70" t="str">
        <f>IF(Q822=1,SUM($Q$2:Q822),"")</f>
        <v/>
      </c>
    </row>
    <row r="823" spans="1:18" x14ac:dyDescent="0.2">
      <c r="A823" s="73" t="s">
        <v>407</v>
      </c>
      <c r="B823" s="77" t="s">
        <v>1541</v>
      </c>
      <c r="C823" s="74" t="s">
        <v>1810</v>
      </c>
      <c r="D823" s="74" t="s">
        <v>990</v>
      </c>
      <c r="E823" s="78" t="s">
        <v>97</v>
      </c>
      <c r="F823" s="76" t="s">
        <v>1839</v>
      </c>
      <c r="G823" s="76" t="s">
        <v>1296</v>
      </c>
      <c r="H823" s="70"/>
      <c r="P823" s="70">
        <f t="shared" si="12"/>
        <v>0</v>
      </c>
      <c r="Q823" s="70" cm="1">
        <f t="array" ref="Q823">IF(P823=1,IF(SUMPRODUCT(($P$2:P823)*(--($G$2:G823=$G823)))=1,1,0),0)</f>
        <v>0</v>
      </c>
      <c r="R823" s="70" t="str">
        <f>IF(Q823=1,SUM($Q$2:Q823),"")</f>
        <v/>
      </c>
    </row>
    <row r="824" spans="1:18" x14ac:dyDescent="0.2">
      <c r="A824" s="73" t="s">
        <v>407</v>
      </c>
      <c r="B824" s="77" t="s">
        <v>1541</v>
      </c>
      <c r="C824" s="74" t="s">
        <v>1810</v>
      </c>
      <c r="D824" s="74" t="s">
        <v>990</v>
      </c>
      <c r="E824" s="78" t="s">
        <v>97</v>
      </c>
      <c r="F824" s="76" t="s">
        <v>1840</v>
      </c>
      <c r="G824" s="76" t="s">
        <v>1296</v>
      </c>
      <c r="H824" s="70"/>
      <c r="P824" s="70">
        <f t="shared" si="12"/>
        <v>0</v>
      </c>
      <c r="Q824" s="70" cm="1">
        <f t="array" ref="Q824">IF(P824=1,IF(SUMPRODUCT(($P$2:P824)*(--($G$2:G824=$G824)))=1,1,0),0)</f>
        <v>0</v>
      </c>
      <c r="R824" s="70" t="str">
        <f>IF(Q824=1,SUM($Q$2:Q824),"")</f>
        <v/>
      </c>
    </row>
    <row r="825" spans="1:18" ht="16" x14ac:dyDescent="0.2">
      <c r="A825" s="73" t="s">
        <v>407</v>
      </c>
      <c r="B825" s="85" t="s">
        <v>1824</v>
      </c>
      <c r="C825" s="74" t="s">
        <v>1810</v>
      </c>
      <c r="D825" s="74" t="s">
        <v>990</v>
      </c>
      <c r="E825" s="78" t="s">
        <v>97</v>
      </c>
      <c r="F825" s="76" t="s">
        <v>407</v>
      </c>
      <c r="G825" s="88" t="s">
        <v>1269</v>
      </c>
      <c r="H825" s="70"/>
      <c r="P825" s="70">
        <f t="shared" si="12"/>
        <v>0</v>
      </c>
      <c r="Q825" s="70" cm="1">
        <f t="array" ref="Q825">IF(P825=1,IF(SUMPRODUCT(($P$2:P825)*(--($G$2:G825=$G825)))=1,1,0),0)</f>
        <v>0</v>
      </c>
      <c r="R825" s="70" t="str">
        <f>IF(Q825=1,SUM($Q$2:Q825),"")</f>
        <v/>
      </c>
    </row>
    <row r="826" spans="1:18" ht="16" x14ac:dyDescent="0.2">
      <c r="A826" s="73" t="s">
        <v>407</v>
      </c>
      <c r="B826" s="85" t="s">
        <v>1824</v>
      </c>
      <c r="C826" s="74" t="s">
        <v>1810</v>
      </c>
      <c r="D826" s="74" t="s">
        <v>990</v>
      </c>
      <c r="E826" s="78" t="s">
        <v>138</v>
      </c>
      <c r="F826" s="76" t="s">
        <v>407</v>
      </c>
      <c r="G826" s="88" t="s">
        <v>1269</v>
      </c>
      <c r="H826" s="70"/>
      <c r="P826" s="70">
        <f t="shared" si="12"/>
        <v>0</v>
      </c>
      <c r="Q826" s="70" cm="1">
        <f t="array" ref="Q826">IF(P826=1,IF(SUMPRODUCT(($P$2:P826)*(--($G$2:G826=$G826)))=1,1,0),0)</f>
        <v>0</v>
      </c>
      <c r="R826" s="70" t="str">
        <f>IF(Q826=1,SUM($Q$2:Q826),"")</f>
        <v/>
      </c>
    </row>
    <row r="827" spans="1:18" ht="16" x14ac:dyDescent="0.2">
      <c r="A827" s="73" t="s">
        <v>407</v>
      </c>
      <c r="B827" s="85" t="s">
        <v>1824</v>
      </c>
      <c r="C827" s="74" t="s">
        <v>1810</v>
      </c>
      <c r="D827" s="74" t="s">
        <v>990</v>
      </c>
      <c r="E827" s="78" t="s">
        <v>97</v>
      </c>
      <c r="F827" s="76" t="s">
        <v>1780</v>
      </c>
      <c r="G827" s="88" t="s">
        <v>1269</v>
      </c>
      <c r="H827" s="70"/>
      <c r="P827" s="70">
        <f t="shared" si="12"/>
        <v>0</v>
      </c>
      <c r="Q827" s="70" cm="1">
        <f t="array" ref="Q827">IF(P827=1,IF(SUMPRODUCT(($P$2:P827)*(--($G$2:G827=$G827)))=1,1,0),0)</f>
        <v>0</v>
      </c>
      <c r="R827" s="70" t="str">
        <f>IF(Q827=1,SUM($Q$2:Q827),"")</f>
        <v/>
      </c>
    </row>
    <row r="828" spans="1:18" ht="16" x14ac:dyDescent="0.2">
      <c r="A828" s="73" t="s">
        <v>407</v>
      </c>
      <c r="B828" s="85" t="s">
        <v>1824</v>
      </c>
      <c r="C828" s="74" t="s">
        <v>1810</v>
      </c>
      <c r="D828" s="74" t="s">
        <v>990</v>
      </c>
      <c r="E828" s="78" t="s">
        <v>138</v>
      </c>
      <c r="F828" s="76" t="s">
        <v>1780</v>
      </c>
      <c r="G828" s="88" t="s">
        <v>1269</v>
      </c>
      <c r="H828" s="70"/>
      <c r="P828" s="70">
        <f t="shared" si="12"/>
        <v>0</v>
      </c>
      <c r="Q828" s="70" cm="1">
        <f t="array" ref="Q828">IF(P828=1,IF(SUMPRODUCT(($P$2:P828)*(--($G$2:G828=$G828)))=1,1,0),0)</f>
        <v>0</v>
      </c>
      <c r="R828" s="70" t="str">
        <f>IF(Q828=1,SUM($Q$2:Q828),"")</f>
        <v/>
      </c>
    </row>
    <row r="829" spans="1:18" ht="16" x14ac:dyDescent="0.2">
      <c r="A829" s="73" t="s">
        <v>407</v>
      </c>
      <c r="B829" s="85" t="s">
        <v>1824</v>
      </c>
      <c r="C829" s="74" t="s">
        <v>1810</v>
      </c>
      <c r="D829" s="74" t="s">
        <v>990</v>
      </c>
      <c r="E829" s="78" t="s">
        <v>97</v>
      </c>
      <c r="F829" s="76" t="s">
        <v>1781</v>
      </c>
      <c r="G829" s="88" t="s">
        <v>1269</v>
      </c>
      <c r="H829" s="70"/>
      <c r="P829" s="70">
        <f t="shared" si="12"/>
        <v>0</v>
      </c>
      <c r="Q829" s="70" cm="1">
        <f t="array" ref="Q829">IF(P829=1,IF(SUMPRODUCT(($P$2:P829)*(--($G$2:G829=$G829)))=1,1,0),0)</f>
        <v>0</v>
      </c>
      <c r="R829" s="70" t="str">
        <f>IF(Q829=1,SUM($Q$2:Q829),"")</f>
        <v/>
      </c>
    </row>
    <row r="830" spans="1:18" ht="16" x14ac:dyDescent="0.2">
      <c r="A830" s="73" t="s">
        <v>407</v>
      </c>
      <c r="B830" s="85" t="s">
        <v>1824</v>
      </c>
      <c r="C830" s="74" t="s">
        <v>1810</v>
      </c>
      <c r="D830" s="74" t="s">
        <v>990</v>
      </c>
      <c r="E830" s="78" t="s">
        <v>138</v>
      </c>
      <c r="F830" s="76" t="s">
        <v>1781</v>
      </c>
      <c r="G830" s="88" t="s">
        <v>1269</v>
      </c>
      <c r="H830" s="70"/>
      <c r="P830" s="70">
        <f t="shared" si="12"/>
        <v>0</v>
      </c>
      <c r="Q830" s="70" cm="1">
        <f t="array" ref="Q830">IF(P830=1,IF(SUMPRODUCT(($P$2:P830)*(--($G$2:G830=$G830)))=1,1,0),0)</f>
        <v>0</v>
      </c>
      <c r="R830" s="70" t="str">
        <f>IF(Q830=1,SUM($Q$2:Q830),"")</f>
        <v/>
      </c>
    </row>
    <row r="831" spans="1:18" ht="16" x14ac:dyDescent="0.2">
      <c r="A831" s="73" t="s">
        <v>407</v>
      </c>
      <c r="B831" s="85" t="s">
        <v>1824</v>
      </c>
      <c r="C831" s="74" t="s">
        <v>1810</v>
      </c>
      <c r="D831" s="74" t="s">
        <v>990</v>
      </c>
      <c r="E831" s="78" t="s">
        <v>97</v>
      </c>
      <c r="F831" s="76" t="s">
        <v>1841</v>
      </c>
      <c r="G831" s="88" t="s">
        <v>1269</v>
      </c>
      <c r="H831" s="70"/>
      <c r="P831" s="70">
        <f t="shared" si="12"/>
        <v>0</v>
      </c>
      <c r="Q831" s="70" cm="1">
        <f t="array" ref="Q831">IF(P831=1,IF(SUMPRODUCT(($P$2:P831)*(--($G$2:G831=$G831)))=1,1,0),0)</f>
        <v>0</v>
      </c>
      <c r="R831" s="70" t="str">
        <f>IF(Q831=1,SUM($Q$2:Q831),"")</f>
        <v/>
      </c>
    </row>
    <row r="832" spans="1:18" ht="16" x14ac:dyDescent="0.2">
      <c r="A832" s="73" t="s">
        <v>407</v>
      </c>
      <c r="B832" s="85" t="s">
        <v>1824</v>
      </c>
      <c r="C832" s="74" t="s">
        <v>1810</v>
      </c>
      <c r="D832" s="74" t="s">
        <v>990</v>
      </c>
      <c r="E832" s="78" t="s">
        <v>138</v>
      </c>
      <c r="F832" s="76" t="s">
        <v>1841</v>
      </c>
      <c r="G832" s="88" t="s">
        <v>1269</v>
      </c>
      <c r="H832" s="70"/>
      <c r="P832" s="70">
        <f t="shared" si="12"/>
        <v>0</v>
      </c>
      <c r="Q832" s="70" cm="1">
        <f t="array" ref="Q832">IF(P832=1,IF(SUMPRODUCT(($P$2:P832)*(--($G$2:G832=$G832)))=1,1,0),0)</f>
        <v>0</v>
      </c>
      <c r="R832" s="70" t="str">
        <f>IF(Q832=1,SUM($Q$2:Q832),"")</f>
        <v/>
      </c>
    </row>
    <row r="833" spans="1:18" ht="16" x14ac:dyDescent="0.2">
      <c r="A833" s="73" t="s">
        <v>407</v>
      </c>
      <c r="B833" s="85" t="s">
        <v>1824</v>
      </c>
      <c r="C833" s="74" t="s">
        <v>1810</v>
      </c>
      <c r="D833" s="74" t="s">
        <v>990</v>
      </c>
      <c r="E833" s="78" t="s">
        <v>97</v>
      </c>
      <c r="F833" s="76" t="s">
        <v>1842</v>
      </c>
      <c r="G833" s="88" t="s">
        <v>1269</v>
      </c>
      <c r="H833" s="70"/>
      <c r="P833" s="70">
        <f t="shared" si="12"/>
        <v>0</v>
      </c>
      <c r="Q833" s="70" cm="1">
        <f t="array" ref="Q833">IF(P833=1,IF(SUMPRODUCT(($P$2:P833)*(--($G$2:G833=$G833)))=1,1,0),0)</f>
        <v>0</v>
      </c>
      <c r="R833" s="70" t="str">
        <f>IF(Q833=1,SUM($Q$2:Q833),"")</f>
        <v/>
      </c>
    </row>
    <row r="834" spans="1:18" ht="16" x14ac:dyDescent="0.2">
      <c r="A834" s="73" t="s">
        <v>407</v>
      </c>
      <c r="B834" s="85" t="s">
        <v>1824</v>
      </c>
      <c r="C834" s="74" t="s">
        <v>1810</v>
      </c>
      <c r="D834" s="74" t="s">
        <v>990</v>
      </c>
      <c r="E834" s="78" t="s">
        <v>138</v>
      </c>
      <c r="F834" s="76" t="s">
        <v>1842</v>
      </c>
      <c r="G834" s="88" t="s">
        <v>1269</v>
      </c>
      <c r="H834" s="70"/>
      <c r="P834" s="70">
        <f t="shared" si="12"/>
        <v>0</v>
      </c>
      <c r="Q834" s="70" cm="1">
        <f t="array" ref="Q834">IF(P834=1,IF(SUMPRODUCT(($P$2:P834)*(--($G$2:G834=$G834)))=1,1,0),0)</f>
        <v>0</v>
      </c>
      <c r="R834" s="70" t="str">
        <f>IF(Q834=1,SUM($Q$2:Q834),"")</f>
        <v/>
      </c>
    </row>
    <row r="835" spans="1:18" ht="16" x14ac:dyDescent="0.2">
      <c r="A835" s="73" t="s">
        <v>407</v>
      </c>
      <c r="B835" s="85" t="s">
        <v>1824</v>
      </c>
      <c r="C835" s="74" t="s">
        <v>1810</v>
      </c>
      <c r="D835" s="74" t="s">
        <v>990</v>
      </c>
      <c r="E835" s="78" t="s">
        <v>97</v>
      </c>
      <c r="F835" s="76" t="s">
        <v>1782</v>
      </c>
      <c r="G835" s="88" t="s">
        <v>1269</v>
      </c>
      <c r="H835" s="70"/>
      <c r="P835" s="70">
        <f t="shared" ref="P835:P898" si="13">IF(AND(IF(TRIM($J$2&amp;"")="",TRUE,LEFT($D835,LEN($J$2))=$J$2),IF(TRIM($K$2&amp;"")="",TRUE,$E835=$K$2),IF($L$2="",TRUE,$F835=$L$2)),1,0)</f>
        <v>0</v>
      </c>
      <c r="Q835" s="70" cm="1">
        <f t="array" ref="Q835">IF(P835=1,IF(SUMPRODUCT(($P$2:P835)*(--($G$2:G835=$G835)))=1,1,0),0)</f>
        <v>0</v>
      </c>
      <c r="R835" s="70" t="str">
        <f>IF(Q835=1,SUM($Q$2:Q835),"")</f>
        <v/>
      </c>
    </row>
    <row r="836" spans="1:18" ht="16" x14ac:dyDescent="0.2">
      <c r="A836" s="73" t="s">
        <v>407</v>
      </c>
      <c r="B836" s="85" t="s">
        <v>1824</v>
      </c>
      <c r="C836" s="74" t="s">
        <v>1810</v>
      </c>
      <c r="D836" s="74" t="s">
        <v>990</v>
      </c>
      <c r="E836" s="78" t="s">
        <v>138</v>
      </c>
      <c r="F836" s="76" t="s">
        <v>1782</v>
      </c>
      <c r="G836" s="88" t="s">
        <v>1269</v>
      </c>
      <c r="H836" s="70"/>
      <c r="P836" s="70">
        <f t="shared" si="13"/>
        <v>0</v>
      </c>
      <c r="Q836" s="70" cm="1">
        <f t="array" ref="Q836">IF(P836=1,IF(SUMPRODUCT(($P$2:P836)*(--($G$2:G836=$G836)))=1,1,0),0)</f>
        <v>0</v>
      </c>
      <c r="R836" s="70" t="str">
        <f>IF(Q836=1,SUM($Q$2:Q836),"")</f>
        <v/>
      </c>
    </row>
    <row r="837" spans="1:18" ht="16" x14ac:dyDescent="0.2">
      <c r="A837" s="73" t="s">
        <v>407</v>
      </c>
      <c r="B837" s="85" t="s">
        <v>1824</v>
      </c>
      <c r="C837" s="74" t="s">
        <v>1810</v>
      </c>
      <c r="D837" s="74" t="s">
        <v>990</v>
      </c>
      <c r="E837" s="78" t="s">
        <v>97</v>
      </c>
      <c r="F837" s="76" t="s">
        <v>1783</v>
      </c>
      <c r="G837" s="88" t="s">
        <v>1269</v>
      </c>
      <c r="H837" s="70"/>
      <c r="P837" s="70">
        <f t="shared" si="13"/>
        <v>0</v>
      </c>
      <c r="Q837" s="70" cm="1">
        <f t="array" ref="Q837">IF(P837=1,IF(SUMPRODUCT(($P$2:P837)*(--($G$2:G837=$G837)))=1,1,0),0)</f>
        <v>0</v>
      </c>
      <c r="R837" s="70" t="str">
        <f>IF(Q837=1,SUM($Q$2:Q837),"")</f>
        <v/>
      </c>
    </row>
    <row r="838" spans="1:18" ht="16" x14ac:dyDescent="0.2">
      <c r="A838" s="73" t="s">
        <v>407</v>
      </c>
      <c r="B838" s="85" t="s">
        <v>1824</v>
      </c>
      <c r="C838" s="74" t="s">
        <v>1810</v>
      </c>
      <c r="D838" s="74" t="s">
        <v>990</v>
      </c>
      <c r="E838" s="78" t="s">
        <v>138</v>
      </c>
      <c r="F838" s="76" t="s">
        <v>1783</v>
      </c>
      <c r="G838" s="88" t="s">
        <v>1269</v>
      </c>
      <c r="H838" s="70"/>
      <c r="P838" s="70">
        <f t="shared" si="13"/>
        <v>0</v>
      </c>
      <c r="Q838" s="70" cm="1">
        <f t="array" ref="Q838">IF(P838=1,IF(SUMPRODUCT(($P$2:P838)*(--($G$2:G838=$G838)))=1,1,0),0)</f>
        <v>0</v>
      </c>
      <c r="R838" s="70" t="str">
        <f>IF(Q838=1,SUM($Q$2:Q838),"")</f>
        <v/>
      </c>
    </row>
    <row r="839" spans="1:18" ht="16" x14ac:dyDescent="0.2">
      <c r="A839" s="73" t="s">
        <v>407</v>
      </c>
      <c r="B839" s="85" t="s">
        <v>1824</v>
      </c>
      <c r="C839" s="74" t="s">
        <v>1810</v>
      </c>
      <c r="D839" s="74" t="s">
        <v>990</v>
      </c>
      <c r="E839" s="78" t="s">
        <v>97</v>
      </c>
      <c r="F839" s="76" t="s">
        <v>1843</v>
      </c>
      <c r="G839" s="88" t="s">
        <v>1269</v>
      </c>
      <c r="H839" s="70"/>
      <c r="P839" s="70">
        <f t="shared" si="13"/>
        <v>0</v>
      </c>
      <c r="Q839" s="70" cm="1">
        <f t="array" ref="Q839">IF(P839=1,IF(SUMPRODUCT(($P$2:P839)*(--($G$2:G839=$G839)))=1,1,0),0)</f>
        <v>0</v>
      </c>
      <c r="R839" s="70" t="str">
        <f>IF(Q839=1,SUM($Q$2:Q839),"")</f>
        <v/>
      </c>
    </row>
    <row r="840" spans="1:18" ht="16" x14ac:dyDescent="0.2">
      <c r="A840" s="73" t="s">
        <v>407</v>
      </c>
      <c r="B840" s="85" t="s">
        <v>1824</v>
      </c>
      <c r="C840" s="74" t="s">
        <v>1810</v>
      </c>
      <c r="D840" s="74" t="s">
        <v>990</v>
      </c>
      <c r="E840" s="78" t="s">
        <v>138</v>
      </c>
      <c r="F840" s="76" t="s">
        <v>1843</v>
      </c>
      <c r="G840" s="88" t="s">
        <v>1269</v>
      </c>
      <c r="H840" s="70"/>
      <c r="P840" s="70">
        <f t="shared" si="13"/>
        <v>0</v>
      </c>
      <c r="Q840" s="70" cm="1">
        <f t="array" ref="Q840">IF(P840=1,IF(SUMPRODUCT(($P$2:P840)*(--($G$2:G840=$G840)))=1,1,0),0)</f>
        <v>0</v>
      </c>
      <c r="R840" s="70" t="str">
        <f>IF(Q840=1,SUM($Q$2:Q840),"")</f>
        <v/>
      </c>
    </row>
    <row r="841" spans="1:18" ht="16" x14ac:dyDescent="0.2">
      <c r="A841" s="73" t="s">
        <v>407</v>
      </c>
      <c r="B841" s="85" t="s">
        <v>1824</v>
      </c>
      <c r="C841" s="74" t="s">
        <v>1810</v>
      </c>
      <c r="D841" s="74" t="s">
        <v>990</v>
      </c>
      <c r="E841" s="78" t="s">
        <v>97</v>
      </c>
      <c r="F841" s="76" t="s">
        <v>1784</v>
      </c>
      <c r="G841" s="88" t="s">
        <v>1269</v>
      </c>
      <c r="H841" s="70"/>
      <c r="P841" s="70">
        <f t="shared" si="13"/>
        <v>0</v>
      </c>
      <c r="Q841" s="70" cm="1">
        <f t="array" ref="Q841">IF(P841=1,IF(SUMPRODUCT(($P$2:P841)*(--($G$2:G841=$G841)))=1,1,0),0)</f>
        <v>0</v>
      </c>
      <c r="R841" s="70" t="str">
        <f>IF(Q841=1,SUM($Q$2:Q841),"")</f>
        <v/>
      </c>
    </row>
    <row r="842" spans="1:18" ht="16" x14ac:dyDescent="0.2">
      <c r="A842" s="73" t="s">
        <v>407</v>
      </c>
      <c r="B842" s="85" t="s">
        <v>1824</v>
      </c>
      <c r="C842" s="74" t="s">
        <v>1810</v>
      </c>
      <c r="D842" s="74" t="s">
        <v>990</v>
      </c>
      <c r="E842" s="78" t="s">
        <v>138</v>
      </c>
      <c r="F842" s="76" t="s">
        <v>1784</v>
      </c>
      <c r="G842" s="88" t="s">
        <v>1269</v>
      </c>
      <c r="H842" s="70"/>
      <c r="P842" s="70">
        <f t="shared" si="13"/>
        <v>0</v>
      </c>
      <c r="Q842" s="70" cm="1">
        <f t="array" ref="Q842">IF(P842=1,IF(SUMPRODUCT(($P$2:P842)*(--($G$2:G842=$G842)))=1,1,0),0)</f>
        <v>0</v>
      </c>
      <c r="R842" s="70" t="str">
        <f>IF(Q842=1,SUM($Q$2:Q842),"")</f>
        <v/>
      </c>
    </row>
    <row r="843" spans="1:18" ht="16" x14ac:dyDescent="0.2">
      <c r="A843" s="73" t="s">
        <v>407</v>
      </c>
      <c r="B843" s="85" t="s">
        <v>1824</v>
      </c>
      <c r="C843" s="74" t="s">
        <v>1810</v>
      </c>
      <c r="D843" s="74" t="s">
        <v>990</v>
      </c>
      <c r="E843" s="78" t="s">
        <v>97</v>
      </c>
      <c r="F843" s="76" t="s">
        <v>416</v>
      </c>
      <c r="G843" s="88" t="s">
        <v>1269</v>
      </c>
      <c r="H843" s="70"/>
      <c r="P843" s="70">
        <f t="shared" si="13"/>
        <v>0</v>
      </c>
      <c r="Q843" s="70" cm="1">
        <f t="array" ref="Q843">IF(P843=1,IF(SUMPRODUCT(($P$2:P843)*(--($G$2:G843=$G843)))=1,1,0),0)</f>
        <v>0</v>
      </c>
      <c r="R843" s="70" t="str">
        <f>IF(Q843=1,SUM($Q$2:Q843),"")</f>
        <v/>
      </c>
    </row>
    <row r="844" spans="1:18" ht="16" x14ac:dyDescent="0.2">
      <c r="A844" s="73" t="s">
        <v>407</v>
      </c>
      <c r="B844" s="85" t="s">
        <v>1824</v>
      </c>
      <c r="C844" s="74" t="s">
        <v>1810</v>
      </c>
      <c r="D844" s="74" t="s">
        <v>990</v>
      </c>
      <c r="E844" s="78" t="s">
        <v>138</v>
      </c>
      <c r="F844" s="76" t="s">
        <v>416</v>
      </c>
      <c r="G844" s="88" t="s">
        <v>1269</v>
      </c>
      <c r="H844" s="70"/>
      <c r="P844" s="70">
        <f t="shared" si="13"/>
        <v>0</v>
      </c>
      <c r="Q844" s="70" cm="1">
        <f t="array" ref="Q844">IF(P844=1,IF(SUMPRODUCT(($P$2:P844)*(--($G$2:G844=$G844)))=1,1,0),0)</f>
        <v>0</v>
      </c>
      <c r="R844" s="70" t="str">
        <f>IF(Q844=1,SUM($Q$2:Q844),"")</f>
        <v/>
      </c>
    </row>
    <row r="845" spans="1:18" ht="16" x14ac:dyDescent="0.2">
      <c r="A845" s="73" t="s">
        <v>407</v>
      </c>
      <c r="B845" s="85" t="s">
        <v>1824</v>
      </c>
      <c r="C845" s="74" t="s">
        <v>1810</v>
      </c>
      <c r="D845" s="74" t="s">
        <v>990</v>
      </c>
      <c r="E845" s="78" t="s">
        <v>97</v>
      </c>
      <c r="F845" s="76" t="s">
        <v>1844</v>
      </c>
      <c r="G845" s="88" t="s">
        <v>1269</v>
      </c>
      <c r="H845" s="70"/>
      <c r="P845" s="70">
        <f t="shared" si="13"/>
        <v>0</v>
      </c>
      <c r="Q845" s="70" cm="1">
        <f t="array" ref="Q845">IF(P845=1,IF(SUMPRODUCT(($P$2:P845)*(--($G$2:G845=$G845)))=1,1,0),0)</f>
        <v>0</v>
      </c>
      <c r="R845" s="70" t="str">
        <f>IF(Q845=1,SUM($Q$2:Q845),"")</f>
        <v/>
      </c>
    </row>
    <row r="846" spans="1:18" ht="16" x14ac:dyDescent="0.2">
      <c r="A846" s="73" t="s">
        <v>407</v>
      </c>
      <c r="B846" s="85" t="s">
        <v>1824</v>
      </c>
      <c r="C846" s="74" t="s">
        <v>1810</v>
      </c>
      <c r="D846" s="74" t="s">
        <v>990</v>
      </c>
      <c r="E846" s="78" t="s">
        <v>138</v>
      </c>
      <c r="F846" s="76" t="s">
        <v>1844</v>
      </c>
      <c r="G846" s="88" t="s">
        <v>1269</v>
      </c>
      <c r="H846" s="70"/>
      <c r="P846" s="70">
        <f t="shared" si="13"/>
        <v>0</v>
      </c>
      <c r="Q846" s="70" cm="1">
        <f t="array" ref="Q846">IF(P846=1,IF(SUMPRODUCT(($P$2:P846)*(--($G$2:G846=$G846)))=1,1,0),0)</f>
        <v>0</v>
      </c>
      <c r="R846" s="70" t="str">
        <f>IF(Q846=1,SUM($Q$2:Q846),"")</f>
        <v/>
      </c>
    </row>
    <row r="847" spans="1:18" ht="16" x14ac:dyDescent="0.2">
      <c r="A847" s="73" t="s">
        <v>407</v>
      </c>
      <c r="B847" s="85" t="s">
        <v>1824</v>
      </c>
      <c r="C847" s="74" t="s">
        <v>1810</v>
      </c>
      <c r="D847" s="74" t="s">
        <v>990</v>
      </c>
      <c r="E847" s="78" t="s">
        <v>97</v>
      </c>
      <c r="F847" s="76" t="s">
        <v>421</v>
      </c>
      <c r="G847" s="88" t="s">
        <v>1269</v>
      </c>
      <c r="H847" s="70"/>
      <c r="P847" s="70">
        <f t="shared" si="13"/>
        <v>0</v>
      </c>
      <c r="Q847" s="70" cm="1">
        <f t="array" ref="Q847">IF(P847=1,IF(SUMPRODUCT(($P$2:P847)*(--($G$2:G847=$G847)))=1,1,0),0)</f>
        <v>0</v>
      </c>
      <c r="R847" s="70" t="str">
        <f>IF(Q847=1,SUM($Q$2:Q847),"")</f>
        <v/>
      </c>
    </row>
    <row r="848" spans="1:18" ht="16" x14ac:dyDescent="0.2">
      <c r="A848" s="73" t="s">
        <v>407</v>
      </c>
      <c r="B848" s="85" t="s">
        <v>1824</v>
      </c>
      <c r="C848" s="74" t="s">
        <v>1810</v>
      </c>
      <c r="D848" s="74" t="s">
        <v>990</v>
      </c>
      <c r="E848" s="78" t="s">
        <v>138</v>
      </c>
      <c r="F848" s="76" t="s">
        <v>421</v>
      </c>
      <c r="G848" s="88" t="s">
        <v>1269</v>
      </c>
      <c r="H848" s="70"/>
      <c r="P848" s="70">
        <f t="shared" si="13"/>
        <v>0</v>
      </c>
      <c r="Q848" s="70" cm="1">
        <f t="array" ref="Q848">IF(P848=1,IF(SUMPRODUCT(($P$2:P848)*(--($G$2:G848=$G848)))=1,1,0),0)</f>
        <v>0</v>
      </c>
      <c r="R848" s="70" t="str">
        <f>IF(Q848=1,SUM($Q$2:Q848),"")</f>
        <v/>
      </c>
    </row>
    <row r="849" spans="1:18" ht="16" x14ac:dyDescent="0.2">
      <c r="A849" s="73" t="s">
        <v>407</v>
      </c>
      <c r="B849" s="85" t="s">
        <v>1824</v>
      </c>
      <c r="C849" s="74" t="s">
        <v>1810</v>
      </c>
      <c r="D849" s="74" t="s">
        <v>990</v>
      </c>
      <c r="E849" s="78" t="s">
        <v>97</v>
      </c>
      <c r="F849" s="76" t="s">
        <v>1845</v>
      </c>
      <c r="G849" s="88" t="s">
        <v>1269</v>
      </c>
      <c r="H849" s="70"/>
      <c r="P849" s="70">
        <f t="shared" si="13"/>
        <v>0</v>
      </c>
      <c r="Q849" s="70" cm="1">
        <f t="array" ref="Q849">IF(P849=1,IF(SUMPRODUCT(($P$2:P849)*(--($G$2:G849=$G849)))=1,1,0),0)</f>
        <v>0</v>
      </c>
      <c r="R849" s="70" t="str">
        <f>IF(Q849=1,SUM($Q$2:Q849),"")</f>
        <v/>
      </c>
    </row>
    <row r="850" spans="1:18" ht="16" x14ac:dyDescent="0.2">
      <c r="A850" s="73" t="s">
        <v>407</v>
      </c>
      <c r="B850" s="85" t="s">
        <v>1824</v>
      </c>
      <c r="C850" s="74" t="s">
        <v>1810</v>
      </c>
      <c r="D850" s="74" t="s">
        <v>990</v>
      </c>
      <c r="E850" s="78" t="s">
        <v>138</v>
      </c>
      <c r="F850" s="76" t="s">
        <v>1845</v>
      </c>
      <c r="G850" s="88" t="s">
        <v>1269</v>
      </c>
      <c r="H850" s="70"/>
      <c r="P850" s="70">
        <f t="shared" si="13"/>
        <v>0</v>
      </c>
      <c r="Q850" s="70" cm="1">
        <f t="array" ref="Q850">IF(P850=1,IF(SUMPRODUCT(($P$2:P850)*(--($G$2:G850=$G850)))=1,1,0),0)</f>
        <v>0</v>
      </c>
      <c r="R850" s="70" t="str">
        <f>IF(Q850=1,SUM($Q$2:Q850),"")</f>
        <v/>
      </c>
    </row>
    <row r="851" spans="1:18" x14ac:dyDescent="0.2">
      <c r="A851" s="73" t="s">
        <v>407</v>
      </c>
      <c r="B851" s="77" t="s">
        <v>1541</v>
      </c>
      <c r="C851" s="74" t="s">
        <v>1810</v>
      </c>
      <c r="D851" s="74" t="s">
        <v>990</v>
      </c>
      <c r="E851" s="78" t="s">
        <v>97</v>
      </c>
      <c r="F851" s="76" t="s">
        <v>407</v>
      </c>
      <c r="G851" s="76" t="s">
        <v>1243</v>
      </c>
      <c r="H851" s="70"/>
      <c r="P851" s="70">
        <f t="shared" si="13"/>
        <v>0</v>
      </c>
      <c r="Q851" s="70" cm="1">
        <f t="array" ref="Q851">IF(P851=1,IF(SUMPRODUCT(($P$2:P851)*(--($G$2:G851=$G851)))=1,1,0),0)</f>
        <v>0</v>
      </c>
      <c r="R851" s="70" t="str">
        <f>IF(Q851=1,SUM($Q$2:Q851),"")</f>
        <v/>
      </c>
    </row>
    <row r="852" spans="1:18" x14ac:dyDescent="0.2">
      <c r="A852" s="73" t="s">
        <v>407</v>
      </c>
      <c r="B852" s="77" t="s">
        <v>1541</v>
      </c>
      <c r="C852" s="74" t="s">
        <v>1810</v>
      </c>
      <c r="D852" s="74" t="s">
        <v>990</v>
      </c>
      <c r="E852" s="78" t="s">
        <v>138</v>
      </c>
      <c r="F852" s="76" t="s">
        <v>407</v>
      </c>
      <c r="G852" s="76" t="s">
        <v>1243</v>
      </c>
      <c r="H852" s="70"/>
      <c r="P852" s="70">
        <f t="shared" si="13"/>
        <v>0</v>
      </c>
      <c r="Q852" s="70" cm="1">
        <f t="array" ref="Q852">IF(P852=1,IF(SUMPRODUCT(($P$2:P852)*(--($G$2:G852=$G852)))=1,1,0),0)</f>
        <v>0</v>
      </c>
      <c r="R852" s="70" t="str">
        <f>IF(Q852=1,SUM($Q$2:Q852),"")</f>
        <v/>
      </c>
    </row>
    <row r="853" spans="1:18" x14ac:dyDescent="0.2">
      <c r="A853" s="73" t="s">
        <v>407</v>
      </c>
      <c r="B853" s="77" t="s">
        <v>1541</v>
      </c>
      <c r="C853" s="74" t="s">
        <v>1810</v>
      </c>
      <c r="D853" s="74" t="s">
        <v>990</v>
      </c>
      <c r="E853" s="78" t="s">
        <v>97</v>
      </c>
      <c r="F853" s="76" t="s">
        <v>1780</v>
      </c>
      <c r="G853" s="76" t="s">
        <v>1243</v>
      </c>
      <c r="H853" s="70"/>
      <c r="P853" s="70">
        <f t="shared" si="13"/>
        <v>0</v>
      </c>
      <c r="Q853" s="70" cm="1">
        <f t="array" ref="Q853">IF(P853=1,IF(SUMPRODUCT(($P$2:P853)*(--($G$2:G853=$G853)))=1,1,0),0)</f>
        <v>0</v>
      </c>
      <c r="R853" s="70" t="str">
        <f>IF(Q853=1,SUM($Q$2:Q853),"")</f>
        <v/>
      </c>
    </row>
    <row r="854" spans="1:18" x14ac:dyDescent="0.2">
      <c r="A854" s="73" t="s">
        <v>407</v>
      </c>
      <c r="B854" s="77" t="s">
        <v>1541</v>
      </c>
      <c r="C854" s="74" t="s">
        <v>1810</v>
      </c>
      <c r="D854" s="74" t="s">
        <v>990</v>
      </c>
      <c r="E854" s="78" t="s">
        <v>138</v>
      </c>
      <c r="F854" s="76" t="s">
        <v>1780</v>
      </c>
      <c r="G854" s="76" t="s">
        <v>1243</v>
      </c>
      <c r="H854" s="70"/>
      <c r="P854" s="70">
        <f t="shared" si="13"/>
        <v>0</v>
      </c>
      <c r="Q854" s="70" cm="1">
        <f t="array" ref="Q854">IF(P854=1,IF(SUMPRODUCT(($P$2:P854)*(--($G$2:G854=$G854)))=1,1,0),0)</f>
        <v>0</v>
      </c>
      <c r="R854" s="70" t="str">
        <f>IF(Q854=1,SUM($Q$2:Q854),"")</f>
        <v/>
      </c>
    </row>
    <row r="855" spans="1:18" x14ac:dyDescent="0.2">
      <c r="A855" s="73" t="s">
        <v>407</v>
      </c>
      <c r="B855" s="77" t="s">
        <v>1541</v>
      </c>
      <c r="C855" s="74" t="s">
        <v>1810</v>
      </c>
      <c r="D855" s="74" t="s">
        <v>990</v>
      </c>
      <c r="E855" s="78" t="s">
        <v>97</v>
      </c>
      <c r="F855" s="76" t="s">
        <v>1781</v>
      </c>
      <c r="G855" s="76" t="s">
        <v>1243</v>
      </c>
      <c r="H855" s="70"/>
      <c r="P855" s="70">
        <f t="shared" si="13"/>
        <v>0</v>
      </c>
      <c r="Q855" s="70" cm="1">
        <f t="array" ref="Q855">IF(P855=1,IF(SUMPRODUCT(($P$2:P855)*(--($G$2:G855=$G855)))=1,1,0),0)</f>
        <v>0</v>
      </c>
      <c r="R855" s="70" t="str">
        <f>IF(Q855=1,SUM($Q$2:Q855),"")</f>
        <v/>
      </c>
    </row>
    <row r="856" spans="1:18" x14ac:dyDescent="0.2">
      <c r="A856" s="73" t="s">
        <v>407</v>
      </c>
      <c r="B856" s="77" t="s">
        <v>1541</v>
      </c>
      <c r="C856" s="74" t="s">
        <v>1810</v>
      </c>
      <c r="D856" s="74" t="s">
        <v>990</v>
      </c>
      <c r="E856" s="78" t="s">
        <v>138</v>
      </c>
      <c r="F856" s="76" t="s">
        <v>1781</v>
      </c>
      <c r="G856" s="76" t="s">
        <v>1243</v>
      </c>
      <c r="H856" s="70"/>
      <c r="P856" s="70">
        <f t="shared" si="13"/>
        <v>0</v>
      </c>
      <c r="Q856" s="70" cm="1">
        <f t="array" ref="Q856">IF(P856=1,IF(SUMPRODUCT(($P$2:P856)*(--($G$2:G856=$G856)))=1,1,0),0)</f>
        <v>0</v>
      </c>
      <c r="R856" s="70" t="str">
        <f>IF(Q856=1,SUM($Q$2:Q856),"")</f>
        <v/>
      </c>
    </row>
    <row r="857" spans="1:18" x14ac:dyDescent="0.2">
      <c r="A857" s="73" t="s">
        <v>407</v>
      </c>
      <c r="B857" s="77" t="s">
        <v>1541</v>
      </c>
      <c r="C857" s="74" t="s">
        <v>1810</v>
      </c>
      <c r="D857" s="74" t="s">
        <v>990</v>
      </c>
      <c r="E857" s="78" t="s">
        <v>97</v>
      </c>
      <c r="F857" s="76" t="s">
        <v>1841</v>
      </c>
      <c r="G857" s="76" t="s">
        <v>1243</v>
      </c>
      <c r="H857" s="70"/>
      <c r="P857" s="70">
        <f t="shared" si="13"/>
        <v>0</v>
      </c>
      <c r="Q857" s="70" cm="1">
        <f t="array" ref="Q857">IF(P857=1,IF(SUMPRODUCT(($P$2:P857)*(--($G$2:G857=$G857)))=1,1,0),0)</f>
        <v>0</v>
      </c>
      <c r="R857" s="70" t="str">
        <f>IF(Q857=1,SUM($Q$2:Q857),"")</f>
        <v/>
      </c>
    </row>
    <row r="858" spans="1:18" x14ac:dyDescent="0.2">
      <c r="A858" s="73" t="s">
        <v>407</v>
      </c>
      <c r="B858" s="77" t="s">
        <v>1541</v>
      </c>
      <c r="C858" s="74" t="s">
        <v>1810</v>
      </c>
      <c r="D858" s="74" t="s">
        <v>990</v>
      </c>
      <c r="E858" s="78" t="s">
        <v>138</v>
      </c>
      <c r="F858" s="76" t="s">
        <v>1841</v>
      </c>
      <c r="G858" s="76" t="s">
        <v>1243</v>
      </c>
      <c r="H858" s="70"/>
      <c r="P858" s="70">
        <f t="shared" si="13"/>
        <v>0</v>
      </c>
      <c r="Q858" s="70" cm="1">
        <f t="array" ref="Q858">IF(P858=1,IF(SUMPRODUCT(($P$2:P858)*(--($G$2:G858=$G858)))=1,1,0),0)</f>
        <v>0</v>
      </c>
      <c r="R858" s="70" t="str">
        <f>IF(Q858=1,SUM($Q$2:Q858),"")</f>
        <v/>
      </c>
    </row>
    <row r="859" spans="1:18" x14ac:dyDescent="0.2">
      <c r="A859" s="73" t="s">
        <v>407</v>
      </c>
      <c r="B859" s="77" t="s">
        <v>1541</v>
      </c>
      <c r="C859" s="74" t="s">
        <v>1810</v>
      </c>
      <c r="D859" s="74" t="s">
        <v>990</v>
      </c>
      <c r="E859" s="78" t="s">
        <v>97</v>
      </c>
      <c r="F859" s="76" t="s">
        <v>1842</v>
      </c>
      <c r="G859" s="76" t="s">
        <v>1243</v>
      </c>
      <c r="H859" s="70"/>
      <c r="P859" s="70">
        <f t="shared" si="13"/>
        <v>0</v>
      </c>
      <c r="Q859" s="70" cm="1">
        <f t="array" ref="Q859">IF(P859=1,IF(SUMPRODUCT(($P$2:P859)*(--($G$2:G859=$G859)))=1,1,0),0)</f>
        <v>0</v>
      </c>
      <c r="R859" s="70" t="str">
        <f>IF(Q859=1,SUM($Q$2:Q859),"")</f>
        <v/>
      </c>
    </row>
    <row r="860" spans="1:18" x14ac:dyDescent="0.2">
      <c r="A860" s="73" t="s">
        <v>407</v>
      </c>
      <c r="B860" s="77" t="s">
        <v>1541</v>
      </c>
      <c r="C860" s="74" t="s">
        <v>1810</v>
      </c>
      <c r="D860" s="74" t="s">
        <v>990</v>
      </c>
      <c r="E860" s="78" t="s">
        <v>138</v>
      </c>
      <c r="F860" s="76" t="s">
        <v>1842</v>
      </c>
      <c r="G860" s="76" t="s">
        <v>1243</v>
      </c>
      <c r="H860" s="70"/>
      <c r="P860" s="70">
        <f t="shared" si="13"/>
        <v>0</v>
      </c>
      <c r="Q860" s="70" cm="1">
        <f t="array" ref="Q860">IF(P860=1,IF(SUMPRODUCT(($P$2:P860)*(--($G$2:G860=$G860)))=1,1,0),0)</f>
        <v>0</v>
      </c>
      <c r="R860" s="70" t="str">
        <f>IF(Q860=1,SUM($Q$2:Q860),"")</f>
        <v/>
      </c>
    </row>
    <row r="861" spans="1:18" x14ac:dyDescent="0.2">
      <c r="A861" s="73" t="s">
        <v>407</v>
      </c>
      <c r="B861" s="77" t="s">
        <v>1541</v>
      </c>
      <c r="C861" s="74" t="s">
        <v>1810</v>
      </c>
      <c r="D861" s="74" t="s">
        <v>990</v>
      </c>
      <c r="E861" s="78" t="s">
        <v>97</v>
      </c>
      <c r="F861" s="76" t="s">
        <v>1783</v>
      </c>
      <c r="G861" s="76" t="s">
        <v>1243</v>
      </c>
      <c r="H861" s="70"/>
      <c r="P861" s="70">
        <f t="shared" si="13"/>
        <v>0</v>
      </c>
      <c r="Q861" s="70" cm="1">
        <f t="array" ref="Q861">IF(P861=1,IF(SUMPRODUCT(($P$2:P861)*(--($G$2:G861=$G861)))=1,1,0),0)</f>
        <v>0</v>
      </c>
      <c r="R861" s="70" t="str">
        <f>IF(Q861=1,SUM($Q$2:Q861),"")</f>
        <v/>
      </c>
    </row>
    <row r="862" spans="1:18" x14ac:dyDescent="0.2">
      <c r="A862" s="73" t="s">
        <v>407</v>
      </c>
      <c r="B862" s="77" t="s">
        <v>1541</v>
      </c>
      <c r="C862" s="74" t="s">
        <v>1810</v>
      </c>
      <c r="D862" s="74" t="s">
        <v>990</v>
      </c>
      <c r="E862" s="78" t="s">
        <v>138</v>
      </c>
      <c r="F862" s="76" t="s">
        <v>1783</v>
      </c>
      <c r="G862" s="76" t="s">
        <v>1243</v>
      </c>
      <c r="H862" s="70"/>
      <c r="P862" s="70">
        <f t="shared" si="13"/>
        <v>0</v>
      </c>
      <c r="Q862" s="70" cm="1">
        <f t="array" ref="Q862">IF(P862=1,IF(SUMPRODUCT(($P$2:P862)*(--($G$2:G862=$G862)))=1,1,0),0)</f>
        <v>0</v>
      </c>
      <c r="R862" s="70" t="str">
        <f>IF(Q862=1,SUM($Q$2:Q862),"")</f>
        <v/>
      </c>
    </row>
    <row r="863" spans="1:18" x14ac:dyDescent="0.2">
      <c r="A863" s="73" t="s">
        <v>407</v>
      </c>
      <c r="B863" s="77" t="s">
        <v>1541</v>
      </c>
      <c r="C863" s="74" t="s">
        <v>1810</v>
      </c>
      <c r="D863" s="74" t="s">
        <v>990</v>
      </c>
      <c r="E863" s="78" t="s">
        <v>97</v>
      </c>
      <c r="F863" s="76" t="s">
        <v>1843</v>
      </c>
      <c r="G863" s="76" t="s">
        <v>1243</v>
      </c>
      <c r="H863" s="70"/>
      <c r="P863" s="70">
        <f t="shared" si="13"/>
        <v>0</v>
      </c>
      <c r="Q863" s="70" cm="1">
        <f t="array" ref="Q863">IF(P863=1,IF(SUMPRODUCT(($P$2:P863)*(--($G$2:G863=$G863)))=1,1,0),0)</f>
        <v>0</v>
      </c>
      <c r="R863" s="70" t="str">
        <f>IF(Q863=1,SUM($Q$2:Q863),"")</f>
        <v/>
      </c>
    </row>
    <row r="864" spans="1:18" x14ac:dyDescent="0.2">
      <c r="A864" s="73" t="s">
        <v>407</v>
      </c>
      <c r="B864" s="77" t="s">
        <v>1541</v>
      </c>
      <c r="C864" s="74" t="s">
        <v>1810</v>
      </c>
      <c r="D864" s="74" t="s">
        <v>990</v>
      </c>
      <c r="E864" s="78" t="s">
        <v>138</v>
      </c>
      <c r="F864" s="76" t="s">
        <v>1843</v>
      </c>
      <c r="G864" s="76" t="s">
        <v>1243</v>
      </c>
      <c r="H864" s="70"/>
      <c r="P864" s="70">
        <f t="shared" si="13"/>
        <v>0</v>
      </c>
      <c r="Q864" s="70" cm="1">
        <f t="array" ref="Q864">IF(P864=1,IF(SUMPRODUCT(($P$2:P864)*(--($G$2:G864=$G864)))=1,1,0),0)</f>
        <v>0</v>
      </c>
      <c r="R864" s="70" t="str">
        <f>IF(Q864=1,SUM($Q$2:Q864),"")</f>
        <v/>
      </c>
    </row>
    <row r="865" spans="1:18" x14ac:dyDescent="0.2">
      <c r="A865" s="73" t="s">
        <v>407</v>
      </c>
      <c r="B865" s="77" t="s">
        <v>1541</v>
      </c>
      <c r="C865" s="74" t="s">
        <v>1810</v>
      </c>
      <c r="D865" s="74" t="s">
        <v>990</v>
      </c>
      <c r="E865" s="78" t="s">
        <v>97</v>
      </c>
      <c r="F865" s="76" t="s">
        <v>1784</v>
      </c>
      <c r="G865" s="76" t="s">
        <v>1243</v>
      </c>
      <c r="H865" s="70"/>
      <c r="P865" s="70">
        <f t="shared" si="13"/>
        <v>0</v>
      </c>
      <c r="Q865" s="70" cm="1">
        <f t="array" ref="Q865">IF(P865=1,IF(SUMPRODUCT(($P$2:P865)*(--($G$2:G865=$G865)))=1,1,0),0)</f>
        <v>0</v>
      </c>
      <c r="R865" s="70" t="str">
        <f>IF(Q865=1,SUM($Q$2:Q865),"")</f>
        <v/>
      </c>
    </row>
    <row r="866" spans="1:18" x14ac:dyDescent="0.2">
      <c r="A866" s="73" t="s">
        <v>407</v>
      </c>
      <c r="B866" s="77" t="s">
        <v>1541</v>
      </c>
      <c r="C866" s="74" t="s">
        <v>1810</v>
      </c>
      <c r="D866" s="74" t="s">
        <v>990</v>
      </c>
      <c r="E866" s="78" t="s">
        <v>138</v>
      </c>
      <c r="F866" s="76" t="s">
        <v>1784</v>
      </c>
      <c r="G866" s="76" t="s">
        <v>1243</v>
      </c>
      <c r="H866" s="70"/>
      <c r="P866" s="70">
        <f t="shared" si="13"/>
        <v>0</v>
      </c>
      <c r="Q866" s="70" cm="1">
        <f t="array" ref="Q866">IF(P866=1,IF(SUMPRODUCT(($P$2:P866)*(--($G$2:G866=$G866)))=1,1,0),0)</f>
        <v>0</v>
      </c>
      <c r="R866" s="70" t="str">
        <f>IF(Q866=1,SUM($Q$2:Q866),"")</f>
        <v/>
      </c>
    </row>
    <row r="867" spans="1:18" x14ac:dyDescent="0.2">
      <c r="A867" s="73" t="s">
        <v>407</v>
      </c>
      <c r="B867" s="77" t="s">
        <v>1541</v>
      </c>
      <c r="C867" s="74" t="s">
        <v>1810</v>
      </c>
      <c r="D867" s="74" t="s">
        <v>990</v>
      </c>
      <c r="E867" s="78" t="s">
        <v>97</v>
      </c>
      <c r="F867" s="76" t="s">
        <v>416</v>
      </c>
      <c r="G867" s="76" t="s">
        <v>1243</v>
      </c>
      <c r="H867" s="70"/>
      <c r="P867" s="70">
        <f t="shared" si="13"/>
        <v>0</v>
      </c>
      <c r="Q867" s="70" cm="1">
        <f t="array" ref="Q867">IF(P867=1,IF(SUMPRODUCT(($P$2:P867)*(--($G$2:G867=$G867)))=1,1,0),0)</f>
        <v>0</v>
      </c>
      <c r="R867" s="70" t="str">
        <f>IF(Q867=1,SUM($Q$2:Q867),"")</f>
        <v/>
      </c>
    </row>
    <row r="868" spans="1:18" x14ac:dyDescent="0.2">
      <c r="A868" s="73" t="s">
        <v>407</v>
      </c>
      <c r="B868" s="77" t="s">
        <v>1541</v>
      </c>
      <c r="C868" s="74" t="s">
        <v>1810</v>
      </c>
      <c r="D868" s="74" t="s">
        <v>990</v>
      </c>
      <c r="E868" s="78" t="s">
        <v>138</v>
      </c>
      <c r="F868" s="76" t="s">
        <v>416</v>
      </c>
      <c r="G868" s="76" t="s">
        <v>1243</v>
      </c>
      <c r="H868" s="70"/>
      <c r="P868" s="70">
        <f t="shared" si="13"/>
        <v>0</v>
      </c>
      <c r="Q868" s="70" cm="1">
        <f t="array" ref="Q868">IF(P868=1,IF(SUMPRODUCT(($P$2:P868)*(--($G$2:G868=$G868)))=1,1,0),0)</f>
        <v>0</v>
      </c>
      <c r="R868" s="70" t="str">
        <f>IF(Q868=1,SUM($Q$2:Q868),"")</f>
        <v/>
      </c>
    </row>
    <row r="869" spans="1:18" x14ac:dyDescent="0.2">
      <c r="A869" s="73" t="s">
        <v>407</v>
      </c>
      <c r="B869" s="77" t="s">
        <v>1541</v>
      </c>
      <c r="C869" s="74" t="s">
        <v>1810</v>
      </c>
      <c r="D869" s="74" t="s">
        <v>990</v>
      </c>
      <c r="E869" s="78" t="s">
        <v>97</v>
      </c>
      <c r="F869" s="76" t="s">
        <v>1844</v>
      </c>
      <c r="G869" s="76" t="s">
        <v>1243</v>
      </c>
      <c r="H869" s="70"/>
      <c r="P869" s="70">
        <f t="shared" si="13"/>
        <v>0</v>
      </c>
      <c r="Q869" s="70" cm="1">
        <f t="array" ref="Q869">IF(P869=1,IF(SUMPRODUCT(($P$2:P869)*(--($G$2:G869=$G869)))=1,1,0),0)</f>
        <v>0</v>
      </c>
      <c r="R869" s="70" t="str">
        <f>IF(Q869=1,SUM($Q$2:Q869),"")</f>
        <v/>
      </c>
    </row>
    <row r="870" spans="1:18" x14ac:dyDescent="0.2">
      <c r="A870" s="73" t="s">
        <v>407</v>
      </c>
      <c r="B870" s="77" t="s">
        <v>1541</v>
      </c>
      <c r="C870" s="74" t="s">
        <v>1810</v>
      </c>
      <c r="D870" s="74" t="s">
        <v>990</v>
      </c>
      <c r="E870" s="78" t="s">
        <v>138</v>
      </c>
      <c r="F870" s="76" t="s">
        <v>1844</v>
      </c>
      <c r="G870" s="76" t="s">
        <v>1243</v>
      </c>
      <c r="H870" s="70"/>
      <c r="P870" s="70">
        <f t="shared" si="13"/>
        <v>0</v>
      </c>
      <c r="Q870" s="70" cm="1">
        <f t="array" ref="Q870">IF(P870=1,IF(SUMPRODUCT(($P$2:P870)*(--($G$2:G870=$G870)))=1,1,0),0)</f>
        <v>0</v>
      </c>
      <c r="R870" s="70" t="str">
        <f>IF(Q870=1,SUM($Q$2:Q870),"")</f>
        <v/>
      </c>
    </row>
    <row r="871" spans="1:18" x14ac:dyDescent="0.2">
      <c r="A871" s="73" t="s">
        <v>407</v>
      </c>
      <c r="B871" s="77" t="s">
        <v>1541</v>
      </c>
      <c r="C871" s="74" t="s">
        <v>1810</v>
      </c>
      <c r="D871" s="74" t="s">
        <v>990</v>
      </c>
      <c r="E871" s="78" t="s">
        <v>97</v>
      </c>
      <c r="F871" s="76" t="s">
        <v>421</v>
      </c>
      <c r="G871" s="76" t="s">
        <v>1243</v>
      </c>
      <c r="H871" s="70"/>
      <c r="P871" s="70">
        <f t="shared" si="13"/>
        <v>0</v>
      </c>
      <c r="Q871" s="70" cm="1">
        <f t="array" ref="Q871">IF(P871=1,IF(SUMPRODUCT(($P$2:P871)*(--($G$2:G871=$G871)))=1,1,0),0)</f>
        <v>0</v>
      </c>
      <c r="R871" s="70" t="str">
        <f>IF(Q871=1,SUM($Q$2:Q871),"")</f>
        <v/>
      </c>
    </row>
    <row r="872" spans="1:18" x14ac:dyDescent="0.2">
      <c r="A872" s="73" t="s">
        <v>407</v>
      </c>
      <c r="B872" s="77" t="s">
        <v>1541</v>
      </c>
      <c r="C872" s="74" t="s">
        <v>1810</v>
      </c>
      <c r="D872" s="74" t="s">
        <v>990</v>
      </c>
      <c r="E872" s="78" t="s">
        <v>138</v>
      </c>
      <c r="F872" s="76" t="s">
        <v>421</v>
      </c>
      <c r="G872" s="76" t="s">
        <v>1243</v>
      </c>
      <c r="H872" s="70"/>
      <c r="P872" s="70">
        <f t="shared" si="13"/>
        <v>0</v>
      </c>
      <c r="Q872" s="70" cm="1">
        <f t="array" ref="Q872">IF(P872=1,IF(SUMPRODUCT(($P$2:P872)*(--($G$2:G872=$G872)))=1,1,0),0)</f>
        <v>0</v>
      </c>
      <c r="R872" s="70" t="str">
        <f>IF(Q872=1,SUM($Q$2:Q872),"")</f>
        <v/>
      </c>
    </row>
    <row r="873" spans="1:18" x14ac:dyDescent="0.2">
      <c r="A873" s="73" t="s">
        <v>407</v>
      </c>
      <c r="B873" s="77" t="s">
        <v>1541</v>
      </c>
      <c r="C873" s="74" t="s">
        <v>1810</v>
      </c>
      <c r="D873" s="74" t="s">
        <v>990</v>
      </c>
      <c r="E873" s="78" t="s">
        <v>97</v>
      </c>
      <c r="F873" s="76" t="s">
        <v>1845</v>
      </c>
      <c r="G873" s="76" t="s">
        <v>1243</v>
      </c>
      <c r="H873" s="70"/>
      <c r="P873" s="70">
        <f t="shared" si="13"/>
        <v>0</v>
      </c>
      <c r="Q873" s="70" cm="1">
        <f t="array" ref="Q873">IF(P873=1,IF(SUMPRODUCT(($P$2:P873)*(--($G$2:G873=$G873)))=1,1,0),0)</f>
        <v>0</v>
      </c>
      <c r="R873" s="70" t="str">
        <f>IF(Q873=1,SUM($Q$2:Q873),"")</f>
        <v/>
      </c>
    </row>
    <row r="874" spans="1:18" x14ac:dyDescent="0.2">
      <c r="A874" s="73" t="s">
        <v>407</v>
      </c>
      <c r="B874" s="77" t="s">
        <v>1541</v>
      </c>
      <c r="C874" s="74" t="s">
        <v>1810</v>
      </c>
      <c r="D874" s="74" t="s">
        <v>990</v>
      </c>
      <c r="E874" s="78" t="s">
        <v>138</v>
      </c>
      <c r="F874" s="76" t="s">
        <v>1845</v>
      </c>
      <c r="G874" s="76" t="s">
        <v>1243</v>
      </c>
      <c r="H874" s="70"/>
      <c r="P874" s="70">
        <f t="shared" si="13"/>
        <v>0</v>
      </c>
      <c r="Q874" s="70" cm="1">
        <f t="array" ref="Q874">IF(P874=1,IF(SUMPRODUCT(($P$2:P874)*(--($G$2:G874=$G874)))=1,1,0),0)</f>
        <v>0</v>
      </c>
      <c r="R874" s="70" t="str">
        <f>IF(Q874=1,SUM($Q$2:Q874),"")</f>
        <v/>
      </c>
    </row>
    <row r="875" spans="1:18" x14ac:dyDescent="0.2">
      <c r="A875" s="73" t="s">
        <v>407</v>
      </c>
      <c r="B875" s="77" t="s">
        <v>1541</v>
      </c>
      <c r="C875" s="74" t="s">
        <v>1810</v>
      </c>
      <c r="D875" s="74" t="s">
        <v>990</v>
      </c>
      <c r="E875" s="78" t="s">
        <v>120</v>
      </c>
      <c r="F875" s="76" t="s">
        <v>407</v>
      </c>
      <c r="G875" s="76" t="s">
        <v>1244</v>
      </c>
      <c r="H875" s="70"/>
      <c r="P875" s="70">
        <f t="shared" si="13"/>
        <v>0</v>
      </c>
      <c r="Q875" s="70" cm="1">
        <f t="array" ref="Q875">IF(P875=1,IF(SUMPRODUCT(($P$2:P875)*(--($G$2:G875=$G875)))=1,1,0),0)</f>
        <v>0</v>
      </c>
      <c r="R875" s="70" t="str">
        <f>IF(Q875=1,SUM($Q$2:Q875),"")</f>
        <v/>
      </c>
    </row>
    <row r="876" spans="1:18" x14ac:dyDescent="0.2">
      <c r="A876" s="73" t="s">
        <v>407</v>
      </c>
      <c r="B876" s="77" t="s">
        <v>1541</v>
      </c>
      <c r="C876" s="74" t="s">
        <v>1810</v>
      </c>
      <c r="D876" s="74" t="s">
        <v>990</v>
      </c>
      <c r="E876" s="78" t="s">
        <v>120</v>
      </c>
      <c r="F876" s="76" t="s">
        <v>1780</v>
      </c>
      <c r="G876" s="76" t="s">
        <v>1244</v>
      </c>
      <c r="H876" s="70"/>
      <c r="P876" s="70">
        <f t="shared" si="13"/>
        <v>0</v>
      </c>
      <c r="Q876" s="70" cm="1">
        <f t="array" ref="Q876">IF(P876=1,IF(SUMPRODUCT(($P$2:P876)*(--($G$2:G876=$G876)))=1,1,0),0)</f>
        <v>0</v>
      </c>
      <c r="R876" s="70" t="str">
        <f>IF(Q876=1,SUM($Q$2:Q876),"")</f>
        <v/>
      </c>
    </row>
    <row r="877" spans="1:18" x14ac:dyDescent="0.2">
      <c r="A877" s="73" t="s">
        <v>407</v>
      </c>
      <c r="B877" s="77" t="s">
        <v>1541</v>
      </c>
      <c r="C877" s="74" t="s">
        <v>1810</v>
      </c>
      <c r="D877" s="74" t="s">
        <v>990</v>
      </c>
      <c r="E877" s="78" t="s">
        <v>120</v>
      </c>
      <c r="F877" s="76" t="s">
        <v>1781</v>
      </c>
      <c r="G877" s="76" t="s">
        <v>1244</v>
      </c>
      <c r="H877" s="70"/>
      <c r="P877" s="70">
        <f t="shared" si="13"/>
        <v>0</v>
      </c>
      <c r="Q877" s="70" cm="1">
        <f t="array" ref="Q877">IF(P877=1,IF(SUMPRODUCT(($P$2:P877)*(--($G$2:G877=$G877)))=1,1,0),0)</f>
        <v>0</v>
      </c>
      <c r="R877" s="70" t="str">
        <f>IF(Q877=1,SUM($Q$2:Q877),"")</f>
        <v/>
      </c>
    </row>
    <row r="878" spans="1:18" x14ac:dyDescent="0.2">
      <c r="A878" s="73" t="s">
        <v>407</v>
      </c>
      <c r="B878" s="77" t="s">
        <v>1541</v>
      </c>
      <c r="C878" s="74" t="s">
        <v>1810</v>
      </c>
      <c r="D878" s="74" t="s">
        <v>990</v>
      </c>
      <c r="E878" s="78" t="s">
        <v>120</v>
      </c>
      <c r="F878" s="76" t="s">
        <v>1841</v>
      </c>
      <c r="G878" s="76" t="s">
        <v>1244</v>
      </c>
      <c r="H878" s="70"/>
      <c r="P878" s="70">
        <f t="shared" si="13"/>
        <v>0</v>
      </c>
      <c r="Q878" s="70" cm="1">
        <f t="array" ref="Q878">IF(P878=1,IF(SUMPRODUCT(($P$2:P878)*(--($G$2:G878=$G878)))=1,1,0),0)</f>
        <v>0</v>
      </c>
      <c r="R878" s="70" t="str">
        <f>IF(Q878=1,SUM($Q$2:Q878),"")</f>
        <v/>
      </c>
    </row>
    <row r="879" spans="1:18" x14ac:dyDescent="0.2">
      <c r="A879" s="73" t="s">
        <v>407</v>
      </c>
      <c r="B879" s="77" t="s">
        <v>1541</v>
      </c>
      <c r="C879" s="74" t="s">
        <v>1810</v>
      </c>
      <c r="D879" s="74" t="s">
        <v>990</v>
      </c>
      <c r="E879" s="78" t="s">
        <v>120</v>
      </c>
      <c r="F879" s="76" t="s">
        <v>1842</v>
      </c>
      <c r="G879" s="76" t="s">
        <v>1244</v>
      </c>
      <c r="H879" s="70"/>
      <c r="P879" s="70">
        <f t="shared" si="13"/>
        <v>0</v>
      </c>
      <c r="Q879" s="70" cm="1">
        <f t="array" ref="Q879">IF(P879=1,IF(SUMPRODUCT(($P$2:P879)*(--($G$2:G879=$G879)))=1,1,0),0)</f>
        <v>0</v>
      </c>
      <c r="R879" s="70" t="str">
        <f>IF(Q879=1,SUM($Q$2:Q879),"")</f>
        <v/>
      </c>
    </row>
    <row r="880" spans="1:18" x14ac:dyDescent="0.2">
      <c r="A880" s="73" t="s">
        <v>407</v>
      </c>
      <c r="B880" s="77" t="s">
        <v>1541</v>
      </c>
      <c r="C880" s="74" t="s">
        <v>1810</v>
      </c>
      <c r="D880" s="74" t="s">
        <v>990</v>
      </c>
      <c r="E880" s="78" t="s">
        <v>120</v>
      </c>
      <c r="F880" s="76" t="s">
        <v>1783</v>
      </c>
      <c r="G880" s="76" t="s">
        <v>1244</v>
      </c>
      <c r="H880" s="70"/>
      <c r="P880" s="70">
        <f t="shared" si="13"/>
        <v>0</v>
      </c>
      <c r="Q880" s="70" cm="1">
        <f t="array" ref="Q880">IF(P880=1,IF(SUMPRODUCT(($P$2:P880)*(--($G$2:G880=$G880)))=1,1,0),0)</f>
        <v>0</v>
      </c>
      <c r="R880" s="70" t="str">
        <f>IF(Q880=1,SUM($Q$2:Q880),"")</f>
        <v/>
      </c>
    </row>
    <row r="881" spans="1:18" x14ac:dyDescent="0.2">
      <c r="A881" s="73" t="s">
        <v>407</v>
      </c>
      <c r="B881" s="77" t="s">
        <v>1541</v>
      </c>
      <c r="C881" s="74" t="s">
        <v>1810</v>
      </c>
      <c r="D881" s="74" t="s">
        <v>990</v>
      </c>
      <c r="E881" s="78" t="s">
        <v>120</v>
      </c>
      <c r="F881" s="76" t="s">
        <v>1843</v>
      </c>
      <c r="G881" s="76" t="s">
        <v>1244</v>
      </c>
      <c r="H881" s="70"/>
      <c r="P881" s="70">
        <f t="shared" si="13"/>
        <v>0</v>
      </c>
      <c r="Q881" s="70" cm="1">
        <f t="array" ref="Q881">IF(P881=1,IF(SUMPRODUCT(($P$2:P881)*(--($G$2:G881=$G881)))=1,1,0),0)</f>
        <v>0</v>
      </c>
      <c r="R881" s="70" t="str">
        <f>IF(Q881=1,SUM($Q$2:Q881),"")</f>
        <v/>
      </c>
    </row>
    <row r="882" spans="1:18" x14ac:dyDescent="0.2">
      <c r="A882" s="73" t="s">
        <v>407</v>
      </c>
      <c r="B882" s="77" t="s">
        <v>1541</v>
      </c>
      <c r="C882" s="74" t="s">
        <v>1810</v>
      </c>
      <c r="D882" s="74" t="s">
        <v>990</v>
      </c>
      <c r="E882" s="78" t="s">
        <v>120</v>
      </c>
      <c r="F882" s="76" t="s">
        <v>1784</v>
      </c>
      <c r="G882" s="76" t="s">
        <v>1244</v>
      </c>
      <c r="H882" s="70"/>
      <c r="P882" s="70">
        <f t="shared" si="13"/>
        <v>0</v>
      </c>
      <c r="Q882" s="70" cm="1">
        <f t="array" ref="Q882">IF(P882=1,IF(SUMPRODUCT(($P$2:P882)*(--($G$2:G882=$G882)))=1,1,0),0)</f>
        <v>0</v>
      </c>
      <c r="R882" s="70" t="str">
        <f>IF(Q882=1,SUM($Q$2:Q882),"")</f>
        <v/>
      </c>
    </row>
    <row r="883" spans="1:18" x14ac:dyDescent="0.2">
      <c r="A883" s="73" t="s">
        <v>407</v>
      </c>
      <c r="B883" s="77" t="s">
        <v>1541</v>
      </c>
      <c r="C883" s="74" t="s">
        <v>1810</v>
      </c>
      <c r="D883" s="74" t="s">
        <v>990</v>
      </c>
      <c r="E883" s="78" t="s">
        <v>120</v>
      </c>
      <c r="F883" s="76" t="s">
        <v>416</v>
      </c>
      <c r="G883" s="76" t="s">
        <v>1244</v>
      </c>
      <c r="H883" s="70"/>
      <c r="P883" s="70">
        <f t="shared" si="13"/>
        <v>0</v>
      </c>
      <c r="Q883" s="70" cm="1">
        <f t="array" ref="Q883">IF(P883=1,IF(SUMPRODUCT(($P$2:P883)*(--($G$2:G883=$G883)))=1,1,0),0)</f>
        <v>0</v>
      </c>
      <c r="R883" s="70" t="str">
        <f>IF(Q883=1,SUM($Q$2:Q883),"")</f>
        <v/>
      </c>
    </row>
    <row r="884" spans="1:18" x14ac:dyDescent="0.2">
      <c r="A884" s="73" t="s">
        <v>407</v>
      </c>
      <c r="B884" s="77" t="s">
        <v>1541</v>
      </c>
      <c r="C884" s="74" t="s">
        <v>1810</v>
      </c>
      <c r="D884" s="74" t="s">
        <v>990</v>
      </c>
      <c r="E884" s="78" t="s">
        <v>120</v>
      </c>
      <c r="F884" s="76" t="s">
        <v>1844</v>
      </c>
      <c r="G884" s="76" t="s">
        <v>1244</v>
      </c>
      <c r="H884" s="70"/>
      <c r="P884" s="70">
        <f t="shared" si="13"/>
        <v>0</v>
      </c>
      <c r="Q884" s="70" cm="1">
        <f t="array" ref="Q884">IF(P884=1,IF(SUMPRODUCT(($P$2:P884)*(--($G$2:G884=$G884)))=1,1,0),0)</f>
        <v>0</v>
      </c>
      <c r="R884" s="70" t="str">
        <f>IF(Q884=1,SUM($Q$2:Q884),"")</f>
        <v/>
      </c>
    </row>
    <row r="885" spans="1:18" x14ac:dyDescent="0.2">
      <c r="A885" s="73" t="s">
        <v>407</v>
      </c>
      <c r="B885" s="77" t="s">
        <v>1541</v>
      </c>
      <c r="C885" s="74" t="s">
        <v>1810</v>
      </c>
      <c r="D885" s="74" t="s">
        <v>990</v>
      </c>
      <c r="E885" s="78" t="s">
        <v>120</v>
      </c>
      <c r="F885" s="76" t="s">
        <v>421</v>
      </c>
      <c r="G885" s="76" t="s">
        <v>1244</v>
      </c>
      <c r="H885" s="70"/>
      <c r="P885" s="70">
        <f t="shared" si="13"/>
        <v>0</v>
      </c>
      <c r="Q885" s="70" cm="1">
        <f t="array" ref="Q885">IF(P885=1,IF(SUMPRODUCT(($P$2:P885)*(--($G$2:G885=$G885)))=1,1,0),0)</f>
        <v>0</v>
      </c>
      <c r="R885" s="70" t="str">
        <f>IF(Q885=1,SUM($Q$2:Q885),"")</f>
        <v/>
      </c>
    </row>
    <row r="886" spans="1:18" x14ac:dyDescent="0.2">
      <c r="A886" s="73" t="s">
        <v>407</v>
      </c>
      <c r="B886" s="77" t="s">
        <v>1541</v>
      </c>
      <c r="C886" s="74" t="s">
        <v>1810</v>
      </c>
      <c r="D886" s="74" t="s">
        <v>990</v>
      </c>
      <c r="E886" s="78" t="s">
        <v>120</v>
      </c>
      <c r="F886" s="76" t="s">
        <v>1845</v>
      </c>
      <c r="G886" s="76" t="s">
        <v>1244</v>
      </c>
      <c r="H886" s="70"/>
      <c r="P886" s="70">
        <f t="shared" si="13"/>
        <v>0</v>
      </c>
      <c r="Q886" s="70" cm="1">
        <f t="array" ref="Q886">IF(P886=1,IF(SUMPRODUCT(($P$2:P886)*(--($G$2:G886=$G886)))=1,1,0),0)</f>
        <v>0</v>
      </c>
      <c r="R886" s="70" t="str">
        <f>IF(Q886=1,SUM($Q$2:Q886),"")</f>
        <v/>
      </c>
    </row>
    <row r="887" spans="1:18" ht="16" x14ac:dyDescent="0.2">
      <c r="A887" s="73" t="s">
        <v>407</v>
      </c>
      <c r="B887" s="85" t="s">
        <v>1824</v>
      </c>
      <c r="C887" s="74" t="s">
        <v>1810</v>
      </c>
      <c r="D887" s="74" t="s">
        <v>990</v>
      </c>
      <c r="E887" s="78" t="s">
        <v>97</v>
      </c>
      <c r="F887" s="76" t="s">
        <v>1785</v>
      </c>
      <c r="G887" s="88" t="s">
        <v>620</v>
      </c>
      <c r="H887" s="70"/>
      <c r="P887" s="70">
        <f t="shared" si="13"/>
        <v>0</v>
      </c>
      <c r="Q887" s="70" cm="1">
        <f t="array" ref="Q887">IF(P887=1,IF(SUMPRODUCT(($P$2:P887)*(--($G$2:G887=$G887)))=1,1,0),0)</f>
        <v>0</v>
      </c>
      <c r="R887" s="70" t="str">
        <f>IF(Q887=1,SUM($Q$2:Q887),"")</f>
        <v/>
      </c>
    </row>
    <row r="888" spans="1:18" ht="16" x14ac:dyDescent="0.2">
      <c r="A888" s="73" t="s">
        <v>407</v>
      </c>
      <c r="B888" s="85" t="s">
        <v>1824</v>
      </c>
      <c r="C888" s="74" t="s">
        <v>1810</v>
      </c>
      <c r="D888" s="74" t="s">
        <v>990</v>
      </c>
      <c r="E888" s="78" t="s">
        <v>97</v>
      </c>
      <c r="F888" s="76" t="s">
        <v>1786</v>
      </c>
      <c r="G888" s="88" t="s">
        <v>620</v>
      </c>
      <c r="H888" s="70"/>
      <c r="P888" s="70">
        <f t="shared" si="13"/>
        <v>0</v>
      </c>
      <c r="Q888" s="70" cm="1">
        <f t="array" ref="Q888">IF(P888=1,IF(SUMPRODUCT(($P$2:P888)*(--($G$2:G888=$G888)))=1,1,0),0)</f>
        <v>0</v>
      </c>
      <c r="R888" s="70" t="str">
        <f>IF(Q888=1,SUM($Q$2:Q888),"")</f>
        <v/>
      </c>
    </row>
    <row r="889" spans="1:18" ht="16" x14ac:dyDescent="0.2">
      <c r="A889" s="73" t="s">
        <v>407</v>
      </c>
      <c r="B889" s="85" t="s">
        <v>1824</v>
      </c>
      <c r="C889" s="74" t="s">
        <v>1810</v>
      </c>
      <c r="D889" s="74" t="s">
        <v>990</v>
      </c>
      <c r="E889" s="78" t="s">
        <v>97</v>
      </c>
      <c r="F889" s="76" t="s">
        <v>1787</v>
      </c>
      <c r="G889" s="88" t="s">
        <v>620</v>
      </c>
      <c r="H889" s="70"/>
      <c r="P889" s="70">
        <f t="shared" si="13"/>
        <v>0</v>
      </c>
      <c r="Q889" s="70" cm="1">
        <f t="array" ref="Q889">IF(P889=1,IF(SUMPRODUCT(($P$2:P889)*(--($G$2:G889=$G889)))=1,1,0),0)</f>
        <v>0</v>
      </c>
      <c r="R889" s="70" t="str">
        <f>IF(Q889=1,SUM($Q$2:Q889),"")</f>
        <v/>
      </c>
    </row>
    <row r="890" spans="1:18" ht="16" x14ac:dyDescent="0.2">
      <c r="A890" s="73" t="s">
        <v>407</v>
      </c>
      <c r="B890" s="85" t="s">
        <v>1824</v>
      </c>
      <c r="C890" s="74" t="s">
        <v>1810</v>
      </c>
      <c r="D890" s="74" t="s">
        <v>990</v>
      </c>
      <c r="E890" s="78" t="s">
        <v>97</v>
      </c>
      <c r="F890" s="76" t="s">
        <v>1788</v>
      </c>
      <c r="G890" s="88" t="s">
        <v>620</v>
      </c>
      <c r="H890" s="70"/>
      <c r="P890" s="70">
        <f t="shared" si="13"/>
        <v>0</v>
      </c>
      <c r="Q890" s="70" cm="1">
        <f t="array" ref="Q890">IF(P890=1,IF(SUMPRODUCT(($P$2:P890)*(--($G$2:G890=$G890)))=1,1,0),0)</f>
        <v>0</v>
      </c>
      <c r="R890" s="70" t="str">
        <f>IF(Q890=1,SUM($Q$2:Q890),"")</f>
        <v/>
      </c>
    </row>
    <row r="891" spans="1:18" ht="16" x14ac:dyDescent="0.2">
      <c r="A891" s="73" t="s">
        <v>407</v>
      </c>
      <c r="B891" s="85" t="s">
        <v>1824</v>
      </c>
      <c r="C891" s="74" t="s">
        <v>1810</v>
      </c>
      <c r="D891" s="74" t="s">
        <v>990</v>
      </c>
      <c r="E891" s="78" t="s">
        <v>97</v>
      </c>
      <c r="F891" s="76" t="s">
        <v>1789</v>
      </c>
      <c r="G891" s="88" t="s">
        <v>620</v>
      </c>
      <c r="H891" s="70"/>
      <c r="P891" s="70">
        <f t="shared" si="13"/>
        <v>0</v>
      </c>
      <c r="Q891" s="70" cm="1">
        <f t="array" ref="Q891">IF(P891=1,IF(SUMPRODUCT(($P$2:P891)*(--($G$2:G891=$G891)))=1,1,0),0)</f>
        <v>0</v>
      </c>
      <c r="R891" s="70" t="str">
        <f>IF(Q891=1,SUM($Q$2:Q891),"")</f>
        <v/>
      </c>
    </row>
    <row r="892" spans="1:18" ht="16" x14ac:dyDescent="0.2">
      <c r="A892" s="73" t="s">
        <v>407</v>
      </c>
      <c r="B892" s="85" t="s">
        <v>1824</v>
      </c>
      <c r="C892" s="74" t="s">
        <v>1810</v>
      </c>
      <c r="D892" s="74" t="s">
        <v>990</v>
      </c>
      <c r="E892" s="78" t="s">
        <v>97</v>
      </c>
      <c r="F892" s="76" t="s">
        <v>1790</v>
      </c>
      <c r="G892" s="88" t="s">
        <v>620</v>
      </c>
      <c r="H892" s="70"/>
      <c r="P892" s="70">
        <f t="shared" si="13"/>
        <v>0</v>
      </c>
      <c r="Q892" s="70" cm="1">
        <f t="array" ref="Q892">IF(P892=1,IF(SUMPRODUCT(($P$2:P892)*(--($G$2:G892=$G892)))=1,1,0),0)</f>
        <v>0</v>
      </c>
      <c r="R892" s="70" t="str">
        <f>IF(Q892=1,SUM($Q$2:Q892),"")</f>
        <v/>
      </c>
    </row>
    <row r="893" spans="1:18" ht="16" x14ac:dyDescent="0.2">
      <c r="A893" s="73" t="s">
        <v>407</v>
      </c>
      <c r="B893" s="85" t="s">
        <v>1824</v>
      </c>
      <c r="C893" s="74" t="s">
        <v>1810</v>
      </c>
      <c r="D893" s="74" t="s">
        <v>990</v>
      </c>
      <c r="E893" s="78" t="s">
        <v>97</v>
      </c>
      <c r="F893" s="76" t="s">
        <v>1846</v>
      </c>
      <c r="G893" s="88" t="s">
        <v>620</v>
      </c>
      <c r="H893" s="70"/>
      <c r="P893" s="70">
        <f t="shared" si="13"/>
        <v>0</v>
      </c>
      <c r="Q893" s="70" cm="1">
        <f t="array" ref="Q893">IF(P893=1,IF(SUMPRODUCT(($P$2:P893)*(--($G$2:G893=$G893)))=1,1,0),0)</f>
        <v>0</v>
      </c>
      <c r="R893" s="70" t="str">
        <f>IF(Q893=1,SUM($Q$2:Q893),"")</f>
        <v/>
      </c>
    </row>
    <row r="894" spans="1:18" ht="16" x14ac:dyDescent="0.2">
      <c r="A894" s="73" t="s">
        <v>407</v>
      </c>
      <c r="B894" s="85" t="s">
        <v>1824</v>
      </c>
      <c r="C894" s="74" t="s">
        <v>1810</v>
      </c>
      <c r="D894" s="74" t="s">
        <v>990</v>
      </c>
      <c r="E894" s="78" t="s">
        <v>97</v>
      </c>
      <c r="F894" s="76" t="s">
        <v>1847</v>
      </c>
      <c r="G894" s="88" t="s">
        <v>620</v>
      </c>
      <c r="H894" s="70"/>
      <c r="P894" s="70">
        <f t="shared" si="13"/>
        <v>0</v>
      </c>
      <c r="Q894" s="70" cm="1">
        <f t="array" ref="Q894">IF(P894=1,IF(SUMPRODUCT(($P$2:P894)*(--($G$2:G894=$G894)))=1,1,0),0)</f>
        <v>0</v>
      </c>
      <c r="R894" s="70" t="str">
        <f>IF(Q894=1,SUM($Q$2:Q894),"")</f>
        <v/>
      </c>
    </row>
    <row r="895" spans="1:18" ht="16" x14ac:dyDescent="0.2">
      <c r="A895" s="73" t="s">
        <v>407</v>
      </c>
      <c r="B895" s="85" t="s">
        <v>1824</v>
      </c>
      <c r="C895" s="74" t="s">
        <v>1810</v>
      </c>
      <c r="D895" s="74" t="s">
        <v>990</v>
      </c>
      <c r="E895" s="78" t="s">
        <v>97</v>
      </c>
      <c r="F895" s="76" t="s">
        <v>1848</v>
      </c>
      <c r="G895" s="88" t="s">
        <v>620</v>
      </c>
      <c r="H895" s="70"/>
      <c r="P895" s="70">
        <f t="shared" si="13"/>
        <v>0</v>
      </c>
      <c r="Q895" s="70" cm="1">
        <f t="array" ref="Q895">IF(P895=1,IF(SUMPRODUCT(($P$2:P895)*(--($G$2:G895=$G895)))=1,1,0),0)</f>
        <v>0</v>
      </c>
      <c r="R895" s="70" t="str">
        <f>IF(Q895=1,SUM($Q$2:Q895),"")</f>
        <v/>
      </c>
    </row>
    <row r="896" spans="1:18" ht="16" x14ac:dyDescent="0.2">
      <c r="A896" s="73" t="s">
        <v>407</v>
      </c>
      <c r="B896" s="85" t="s">
        <v>1824</v>
      </c>
      <c r="C896" s="74" t="s">
        <v>1810</v>
      </c>
      <c r="D896" s="74" t="s">
        <v>990</v>
      </c>
      <c r="E896" s="78" t="s">
        <v>97</v>
      </c>
      <c r="F896" s="76" t="s">
        <v>1849</v>
      </c>
      <c r="G896" s="88" t="s">
        <v>620</v>
      </c>
      <c r="H896" s="70"/>
      <c r="P896" s="70">
        <f t="shared" si="13"/>
        <v>0</v>
      </c>
      <c r="Q896" s="70" cm="1">
        <f t="array" ref="Q896">IF(P896=1,IF(SUMPRODUCT(($P$2:P896)*(--($G$2:G896=$G896)))=1,1,0),0)</f>
        <v>0</v>
      </c>
      <c r="R896" s="70" t="str">
        <f>IF(Q896=1,SUM($Q$2:Q896),"")</f>
        <v/>
      </c>
    </row>
    <row r="897" spans="1:18" ht="16" x14ac:dyDescent="0.2">
      <c r="A897" s="73" t="s">
        <v>407</v>
      </c>
      <c r="B897" s="85" t="s">
        <v>1824</v>
      </c>
      <c r="C897" s="74" t="s">
        <v>1810</v>
      </c>
      <c r="D897" s="74" t="s">
        <v>990</v>
      </c>
      <c r="E897" s="78" t="s">
        <v>97</v>
      </c>
      <c r="F897" s="76" t="s">
        <v>1850</v>
      </c>
      <c r="G897" s="88" t="s">
        <v>620</v>
      </c>
      <c r="H897" s="70"/>
      <c r="P897" s="70">
        <f t="shared" si="13"/>
        <v>0</v>
      </c>
      <c r="Q897" s="70" cm="1">
        <f t="array" ref="Q897">IF(P897=1,IF(SUMPRODUCT(($P$2:P897)*(--($G$2:G897=$G897)))=1,1,0),0)</f>
        <v>0</v>
      </c>
      <c r="R897" s="70" t="str">
        <f>IF(Q897=1,SUM($Q$2:Q897),"")</f>
        <v/>
      </c>
    </row>
    <row r="898" spans="1:18" ht="16" x14ac:dyDescent="0.2">
      <c r="A898" s="73" t="s">
        <v>407</v>
      </c>
      <c r="B898" s="85" t="s">
        <v>1824</v>
      </c>
      <c r="C898" s="74" t="s">
        <v>1810</v>
      </c>
      <c r="D898" s="74" t="s">
        <v>990</v>
      </c>
      <c r="E898" s="78" t="s">
        <v>97</v>
      </c>
      <c r="F898" s="76" t="s">
        <v>1851</v>
      </c>
      <c r="G898" s="88" t="s">
        <v>620</v>
      </c>
      <c r="H898" s="70"/>
      <c r="P898" s="70">
        <f t="shared" si="13"/>
        <v>0</v>
      </c>
      <c r="Q898" s="70" cm="1">
        <f t="array" ref="Q898">IF(P898=1,IF(SUMPRODUCT(($P$2:P898)*(--($G$2:G898=$G898)))=1,1,0),0)</f>
        <v>0</v>
      </c>
      <c r="R898" s="70" t="str">
        <f>IF(Q898=1,SUM($Q$2:Q898),"")</f>
        <v/>
      </c>
    </row>
    <row r="899" spans="1:18" x14ac:dyDescent="0.2">
      <c r="A899" s="73" t="s">
        <v>407</v>
      </c>
      <c r="B899" s="77" t="s">
        <v>1541</v>
      </c>
      <c r="C899" s="74" t="s">
        <v>1810</v>
      </c>
      <c r="D899" s="74" t="s">
        <v>990</v>
      </c>
      <c r="E899" s="78" t="s">
        <v>97</v>
      </c>
      <c r="F899" s="76" t="s">
        <v>1785</v>
      </c>
      <c r="G899" s="76" t="s">
        <v>1246</v>
      </c>
      <c r="H899" s="70"/>
      <c r="P899" s="70">
        <f t="shared" ref="P899:P962" si="14">IF(AND(IF(TRIM($J$2&amp;"")="",TRUE,LEFT($D899,LEN($J$2))=$J$2),IF(TRIM($K$2&amp;"")="",TRUE,$E899=$K$2),IF($L$2="",TRUE,$F899=$L$2)),1,0)</f>
        <v>0</v>
      </c>
      <c r="Q899" s="70" cm="1">
        <f t="array" ref="Q899">IF(P899=1,IF(SUMPRODUCT(($P$2:P899)*(--($G$2:G899=$G899)))=1,1,0),0)</f>
        <v>0</v>
      </c>
      <c r="R899" s="70" t="str">
        <f>IF(Q899=1,SUM($Q$2:Q899),"")</f>
        <v/>
      </c>
    </row>
    <row r="900" spans="1:18" x14ac:dyDescent="0.2">
      <c r="A900" s="73" t="s">
        <v>407</v>
      </c>
      <c r="B900" s="77" t="s">
        <v>1541</v>
      </c>
      <c r="C900" s="74" t="s">
        <v>1810</v>
      </c>
      <c r="D900" s="74" t="s">
        <v>990</v>
      </c>
      <c r="E900" s="78" t="s">
        <v>97</v>
      </c>
      <c r="F900" s="76" t="s">
        <v>1786</v>
      </c>
      <c r="G900" s="76" t="s">
        <v>1246</v>
      </c>
      <c r="H900" s="70"/>
      <c r="P900" s="70">
        <f t="shared" si="14"/>
        <v>0</v>
      </c>
      <c r="Q900" s="70" cm="1">
        <f t="array" ref="Q900">IF(P900=1,IF(SUMPRODUCT(($P$2:P900)*(--($G$2:G900=$G900)))=1,1,0),0)</f>
        <v>0</v>
      </c>
      <c r="R900" s="70" t="str">
        <f>IF(Q900=1,SUM($Q$2:Q900),"")</f>
        <v/>
      </c>
    </row>
    <row r="901" spans="1:18" x14ac:dyDescent="0.2">
      <c r="A901" s="73" t="s">
        <v>407</v>
      </c>
      <c r="B901" s="77" t="s">
        <v>1541</v>
      </c>
      <c r="C901" s="74" t="s">
        <v>1810</v>
      </c>
      <c r="D901" s="74" t="s">
        <v>990</v>
      </c>
      <c r="E901" s="78" t="s">
        <v>97</v>
      </c>
      <c r="F901" s="76" t="s">
        <v>1787</v>
      </c>
      <c r="G901" s="76" t="s">
        <v>1246</v>
      </c>
      <c r="H901" s="70"/>
      <c r="P901" s="70">
        <f t="shared" si="14"/>
        <v>0</v>
      </c>
      <c r="Q901" s="70" cm="1">
        <f t="array" ref="Q901">IF(P901=1,IF(SUMPRODUCT(($P$2:P901)*(--($G$2:G901=$G901)))=1,1,0),0)</f>
        <v>0</v>
      </c>
      <c r="R901" s="70" t="str">
        <f>IF(Q901=1,SUM($Q$2:Q901),"")</f>
        <v/>
      </c>
    </row>
    <row r="902" spans="1:18" x14ac:dyDescent="0.2">
      <c r="A902" s="73" t="s">
        <v>407</v>
      </c>
      <c r="B902" s="77" t="s">
        <v>1541</v>
      </c>
      <c r="C902" s="74" t="s">
        <v>1810</v>
      </c>
      <c r="D902" s="74" t="s">
        <v>990</v>
      </c>
      <c r="E902" s="78" t="s">
        <v>97</v>
      </c>
      <c r="F902" s="76" t="s">
        <v>1788</v>
      </c>
      <c r="G902" s="76" t="s">
        <v>1246</v>
      </c>
      <c r="H902" s="70"/>
      <c r="P902" s="70">
        <f t="shared" si="14"/>
        <v>0</v>
      </c>
      <c r="Q902" s="70" cm="1">
        <f t="array" ref="Q902">IF(P902=1,IF(SUMPRODUCT(($P$2:P902)*(--($G$2:G902=$G902)))=1,1,0),0)</f>
        <v>0</v>
      </c>
      <c r="R902" s="70" t="str">
        <f>IF(Q902=1,SUM($Q$2:Q902),"")</f>
        <v/>
      </c>
    </row>
    <row r="903" spans="1:18" x14ac:dyDescent="0.2">
      <c r="A903" s="73" t="s">
        <v>407</v>
      </c>
      <c r="B903" s="77" t="s">
        <v>1541</v>
      </c>
      <c r="C903" s="74" t="s">
        <v>1810</v>
      </c>
      <c r="D903" s="74" t="s">
        <v>990</v>
      </c>
      <c r="E903" s="78" t="s">
        <v>97</v>
      </c>
      <c r="F903" s="76" t="s">
        <v>1789</v>
      </c>
      <c r="G903" s="76" t="s">
        <v>1246</v>
      </c>
      <c r="H903" s="70"/>
      <c r="P903" s="70">
        <f t="shared" si="14"/>
        <v>0</v>
      </c>
      <c r="Q903" s="70" cm="1">
        <f t="array" ref="Q903">IF(P903=1,IF(SUMPRODUCT(($P$2:P903)*(--($G$2:G903=$G903)))=1,1,0),0)</f>
        <v>0</v>
      </c>
      <c r="R903" s="70" t="str">
        <f>IF(Q903=1,SUM($Q$2:Q903),"")</f>
        <v/>
      </c>
    </row>
    <row r="904" spans="1:18" x14ac:dyDescent="0.2">
      <c r="A904" s="73" t="s">
        <v>407</v>
      </c>
      <c r="B904" s="77" t="s">
        <v>1541</v>
      </c>
      <c r="C904" s="74" t="s">
        <v>1810</v>
      </c>
      <c r="D904" s="74" t="s">
        <v>990</v>
      </c>
      <c r="E904" s="78" t="s">
        <v>97</v>
      </c>
      <c r="F904" s="76" t="s">
        <v>1790</v>
      </c>
      <c r="G904" s="76" t="s">
        <v>1246</v>
      </c>
      <c r="H904" s="70"/>
      <c r="P904" s="70">
        <f t="shared" si="14"/>
        <v>0</v>
      </c>
      <c r="Q904" s="70" cm="1">
        <f t="array" ref="Q904">IF(P904=1,IF(SUMPRODUCT(($P$2:P904)*(--($G$2:G904=$G904)))=1,1,0),0)</f>
        <v>0</v>
      </c>
      <c r="R904" s="70" t="str">
        <f>IF(Q904=1,SUM($Q$2:Q904),"")</f>
        <v/>
      </c>
    </row>
    <row r="905" spans="1:18" x14ac:dyDescent="0.2">
      <c r="A905" s="73" t="s">
        <v>407</v>
      </c>
      <c r="B905" s="77" t="s">
        <v>1541</v>
      </c>
      <c r="C905" s="74" t="s">
        <v>1810</v>
      </c>
      <c r="D905" s="74" t="s">
        <v>990</v>
      </c>
      <c r="E905" s="78" t="s">
        <v>97</v>
      </c>
      <c r="F905" s="76" t="s">
        <v>1847</v>
      </c>
      <c r="G905" s="76" t="s">
        <v>1246</v>
      </c>
      <c r="H905" s="70"/>
      <c r="P905" s="70">
        <f t="shared" si="14"/>
        <v>0</v>
      </c>
      <c r="Q905" s="70" cm="1">
        <f t="array" ref="Q905">IF(P905=1,IF(SUMPRODUCT(($P$2:P905)*(--($G$2:G905=$G905)))=1,1,0),0)</f>
        <v>0</v>
      </c>
      <c r="R905" s="70" t="str">
        <f>IF(Q905=1,SUM($Q$2:Q905),"")</f>
        <v/>
      </c>
    </row>
    <row r="906" spans="1:18" x14ac:dyDescent="0.2">
      <c r="A906" s="73" t="s">
        <v>407</v>
      </c>
      <c r="B906" s="77" t="s">
        <v>1541</v>
      </c>
      <c r="C906" s="74" t="s">
        <v>1810</v>
      </c>
      <c r="D906" s="74" t="s">
        <v>990</v>
      </c>
      <c r="E906" s="78" t="s">
        <v>97</v>
      </c>
      <c r="F906" s="76" t="s">
        <v>1848</v>
      </c>
      <c r="G906" s="76" t="s">
        <v>1246</v>
      </c>
      <c r="H906" s="70"/>
      <c r="P906" s="70">
        <f t="shared" si="14"/>
        <v>0</v>
      </c>
      <c r="Q906" s="70" cm="1">
        <f t="array" ref="Q906">IF(P906=1,IF(SUMPRODUCT(($P$2:P906)*(--($G$2:G906=$G906)))=1,1,0),0)</f>
        <v>0</v>
      </c>
      <c r="R906" s="70" t="str">
        <f>IF(Q906=1,SUM($Q$2:Q906),"")</f>
        <v/>
      </c>
    </row>
    <row r="907" spans="1:18" x14ac:dyDescent="0.2">
      <c r="A907" s="73" t="s">
        <v>407</v>
      </c>
      <c r="B907" s="77" t="s">
        <v>1541</v>
      </c>
      <c r="C907" s="74" t="s">
        <v>1810</v>
      </c>
      <c r="D907" s="74" t="s">
        <v>990</v>
      </c>
      <c r="E907" s="78" t="s">
        <v>97</v>
      </c>
      <c r="F907" s="76" t="s">
        <v>1849</v>
      </c>
      <c r="G907" s="76" t="s">
        <v>1246</v>
      </c>
      <c r="H907" s="70"/>
      <c r="P907" s="70">
        <f t="shared" si="14"/>
        <v>0</v>
      </c>
      <c r="Q907" s="70" cm="1">
        <f t="array" ref="Q907">IF(P907=1,IF(SUMPRODUCT(($P$2:P907)*(--($G$2:G907=$G907)))=1,1,0),0)</f>
        <v>0</v>
      </c>
      <c r="R907" s="70" t="str">
        <f>IF(Q907=1,SUM($Q$2:Q907),"")</f>
        <v/>
      </c>
    </row>
    <row r="908" spans="1:18" x14ac:dyDescent="0.2">
      <c r="A908" s="73" t="s">
        <v>407</v>
      </c>
      <c r="B908" s="77" t="s">
        <v>1541</v>
      </c>
      <c r="C908" s="74" t="s">
        <v>1810</v>
      </c>
      <c r="D908" s="74" t="s">
        <v>990</v>
      </c>
      <c r="E908" s="78" t="s">
        <v>97</v>
      </c>
      <c r="F908" s="76" t="s">
        <v>1850</v>
      </c>
      <c r="G908" s="76" t="s">
        <v>1246</v>
      </c>
      <c r="H908" s="70"/>
      <c r="P908" s="70">
        <f t="shared" si="14"/>
        <v>0</v>
      </c>
      <c r="Q908" s="70" cm="1">
        <f t="array" ref="Q908">IF(P908=1,IF(SUMPRODUCT(($P$2:P908)*(--($G$2:G908=$G908)))=1,1,0),0)</f>
        <v>0</v>
      </c>
      <c r="R908" s="70" t="str">
        <f>IF(Q908=1,SUM($Q$2:Q908),"")</f>
        <v/>
      </c>
    </row>
    <row r="909" spans="1:18" x14ac:dyDescent="0.2">
      <c r="A909" s="73" t="s">
        <v>407</v>
      </c>
      <c r="B909" s="77" t="s">
        <v>1541</v>
      </c>
      <c r="C909" s="74" t="s">
        <v>1810</v>
      </c>
      <c r="D909" s="74" t="s">
        <v>990</v>
      </c>
      <c r="E909" s="78" t="s">
        <v>97</v>
      </c>
      <c r="F909" s="76" t="s">
        <v>1851</v>
      </c>
      <c r="G909" s="76" t="s">
        <v>1246</v>
      </c>
      <c r="H909" s="70"/>
      <c r="P909" s="70">
        <f t="shared" si="14"/>
        <v>0</v>
      </c>
      <c r="Q909" s="70" cm="1">
        <f t="array" ref="Q909">IF(P909=1,IF(SUMPRODUCT(($P$2:P909)*(--($G$2:G909=$G909)))=1,1,0),0)</f>
        <v>0</v>
      </c>
      <c r="R909" s="70" t="str">
        <f>IF(Q909=1,SUM($Q$2:Q909),"")</f>
        <v/>
      </c>
    </row>
    <row r="910" spans="1:18" x14ac:dyDescent="0.2">
      <c r="A910" s="73" t="s">
        <v>407</v>
      </c>
      <c r="B910" s="77" t="s">
        <v>1541</v>
      </c>
      <c r="C910" s="74" t="s">
        <v>1810</v>
      </c>
      <c r="D910" s="74" t="s">
        <v>990</v>
      </c>
      <c r="E910" s="78" t="s">
        <v>113</v>
      </c>
      <c r="F910" s="76" t="s">
        <v>1785</v>
      </c>
      <c r="G910" s="76" t="s">
        <v>1245</v>
      </c>
      <c r="H910" s="70"/>
      <c r="P910" s="70">
        <f t="shared" si="14"/>
        <v>0</v>
      </c>
      <c r="Q910" s="70" cm="1">
        <f t="array" ref="Q910">IF(P910=1,IF(SUMPRODUCT(($P$2:P910)*(--($G$2:G910=$G910)))=1,1,0),0)</f>
        <v>0</v>
      </c>
      <c r="R910" s="70" t="str">
        <f>IF(Q910=1,SUM($Q$2:Q910),"")</f>
        <v/>
      </c>
    </row>
    <row r="911" spans="1:18" x14ac:dyDescent="0.2">
      <c r="A911" s="73" t="s">
        <v>407</v>
      </c>
      <c r="B911" s="77" t="s">
        <v>1541</v>
      </c>
      <c r="C911" s="74" t="s">
        <v>1810</v>
      </c>
      <c r="D911" s="74" t="s">
        <v>990</v>
      </c>
      <c r="E911" s="78" t="s">
        <v>113</v>
      </c>
      <c r="F911" s="76" t="s">
        <v>1786</v>
      </c>
      <c r="G911" s="76" t="s">
        <v>1245</v>
      </c>
      <c r="H911" s="70"/>
      <c r="P911" s="70">
        <f t="shared" si="14"/>
        <v>0</v>
      </c>
      <c r="Q911" s="70" cm="1">
        <f t="array" ref="Q911">IF(P911=1,IF(SUMPRODUCT(($P$2:P911)*(--($G$2:G911=$G911)))=1,1,0),0)</f>
        <v>0</v>
      </c>
      <c r="R911" s="70" t="str">
        <f>IF(Q911=1,SUM($Q$2:Q911),"")</f>
        <v/>
      </c>
    </row>
    <row r="912" spans="1:18" x14ac:dyDescent="0.2">
      <c r="A912" s="73" t="s">
        <v>407</v>
      </c>
      <c r="B912" s="77" t="s">
        <v>1541</v>
      </c>
      <c r="C912" s="74" t="s">
        <v>1810</v>
      </c>
      <c r="D912" s="74" t="s">
        <v>990</v>
      </c>
      <c r="E912" s="78" t="s">
        <v>113</v>
      </c>
      <c r="F912" s="76" t="s">
        <v>1787</v>
      </c>
      <c r="G912" s="76" t="s">
        <v>1245</v>
      </c>
      <c r="H912" s="70"/>
      <c r="P912" s="70">
        <f t="shared" si="14"/>
        <v>0</v>
      </c>
      <c r="Q912" s="70" cm="1">
        <f t="array" ref="Q912">IF(P912=1,IF(SUMPRODUCT(($P$2:P912)*(--($G$2:G912=$G912)))=1,1,0),0)</f>
        <v>0</v>
      </c>
      <c r="R912" s="70" t="str">
        <f>IF(Q912=1,SUM($Q$2:Q912),"")</f>
        <v/>
      </c>
    </row>
    <row r="913" spans="1:18" x14ac:dyDescent="0.2">
      <c r="A913" s="73" t="s">
        <v>407</v>
      </c>
      <c r="B913" s="77" t="s">
        <v>1541</v>
      </c>
      <c r="C913" s="74" t="s">
        <v>1810</v>
      </c>
      <c r="D913" s="74" t="s">
        <v>990</v>
      </c>
      <c r="E913" s="78" t="s">
        <v>113</v>
      </c>
      <c r="F913" s="76" t="s">
        <v>1788</v>
      </c>
      <c r="G913" s="76" t="s">
        <v>1245</v>
      </c>
      <c r="H913" s="70"/>
      <c r="P913" s="70">
        <f t="shared" si="14"/>
        <v>0</v>
      </c>
      <c r="Q913" s="70" cm="1">
        <f t="array" ref="Q913">IF(P913=1,IF(SUMPRODUCT(($P$2:P913)*(--($G$2:G913=$G913)))=1,1,0),0)</f>
        <v>0</v>
      </c>
      <c r="R913" s="70" t="str">
        <f>IF(Q913=1,SUM($Q$2:Q913),"")</f>
        <v/>
      </c>
    </row>
    <row r="914" spans="1:18" x14ac:dyDescent="0.2">
      <c r="A914" s="73" t="s">
        <v>407</v>
      </c>
      <c r="B914" s="77" t="s">
        <v>1541</v>
      </c>
      <c r="C914" s="74" t="s">
        <v>1810</v>
      </c>
      <c r="D914" s="74" t="s">
        <v>990</v>
      </c>
      <c r="E914" s="78" t="s">
        <v>113</v>
      </c>
      <c r="F914" s="76" t="s">
        <v>1789</v>
      </c>
      <c r="G914" s="76" t="s">
        <v>1245</v>
      </c>
      <c r="H914" s="70"/>
      <c r="P914" s="70">
        <f t="shared" si="14"/>
        <v>0</v>
      </c>
      <c r="Q914" s="70" cm="1">
        <f t="array" ref="Q914">IF(P914=1,IF(SUMPRODUCT(($P$2:P914)*(--($G$2:G914=$G914)))=1,1,0),0)</f>
        <v>0</v>
      </c>
      <c r="R914" s="70" t="str">
        <f>IF(Q914=1,SUM($Q$2:Q914),"")</f>
        <v/>
      </c>
    </row>
    <row r="915" spans="1:18" x14ac:dyDescent="0.2">
      <c r="A915" s="73" t="s">
        <v>407</v>
      </c>
      <c r="B915" s="77" t="s">
        <v>1541</v>
      </c>
      <c r="C915" s="74" t="s">
        <v>1810</v>
      </c>
      <c r="D915" s="74" t="s">
        <v>990</v>
      </c>
      <c r="E915" s="78" t="s">
        <v>113</v>
      </c>
      <c r="F915" s="76" t="s">
        <v>1790</v>
      </c>
      <c r="G915" s="76" t="s">
        <v>1245</v>
      </c>
      <c r="H915" s="70"/>
      <c r="P915" s="70">
        <f t="shared" si="14"/>
        <v>0</v>
      </c>
      <c r="Q915" s="70" cm="1">
        <f t="array" ref="Q915">IF(P915=1,IF(SUMPRODUCT(($P$2:P915)*(--($G$2:G915=$G915)))=1,1,0),0)</f>
        <v>0</v>
      </c>
      <c r="R915" s="70" t="str">
        <f>IF(Q915=1,SUM($Q$2:Q915),"")</f>
        <v/>
      </c>
    </row>
    <row r="916" spans="1:18" x14ac:dyDescent="0.2">
      <c r="A916" s="73" t="s">
        <v>407</v>
      </c>
      <c r="B916" s="77" t="s">
        <v>1541</v>
      </c>
      <c r="C916" s="74" t="s">
        <v>1810</v>
      </c>
      <c r="D916" s="74" t="s">
        <v>990</v>
      </c>
      <c r="E916" s="78" t="s">
        <v>113</v>
      </c>
      <c r="F916" s="76" t="s">
        <v>1847</v>
      </c>
      <c r="G916" s="76" t="s">
        <v>1245</v>
      </c>
      <c r="H916" s="70"/>
      <c r="P916" s="70">
        <f t="shared" si="14"/>
        <v>0</v>
      </c>
      <c r="Q916" s="70" cm="1">
        <f t="array" ref="Q916">IF(P916=1,IF(SUMPRODUCT(($P$2:P916)*(--($G$2:G916=$G916)))=1,1,0),0)</f>
        <v>0</v>
      </c>
      <c r="R916" s="70" t="str">
        <f>IF(Q916=1,SUM($Q$2:Q916),"")</f>
        <v/>
      </c>
    </row>
    <row r="917" spans="1:18" x14ac:dyDescent="0.2">
      <c r="A917" s="73" t="s">
        <v>407</v>
      </c>
      <c r="B917" s="77" t="s">
        <v>1541</v>
      </c>
      <c r="C917" s="74" t="s">
        <v>1810</v>
      </c>
      <c r="D917" s="74" t="s">
        <v>990</v>
      </c>
      <c r="E917" s="78" t="s">
        <v>113</v>
      </c>
      <c r="F917" s="76" t="s">
        <v>1848</v>
      </c>
      <c r="G917" s="76" t="s">
        <v>1245</v>
      </c>
      <c r="H917" s="70"/>
      <c r="P917" s="70">
        <f t="shared" si="14"/>
        <v>0</v>
      </c>
      <c r="Q917" s="70" cm="1">
        <f t="array" ref="Q917">IF(P917=1,IF(SUMPRODUCT(($P$2:P917)*(--($G$2:G917=$G917)))=1,1,0),0)</f>
        <v>0</v>
      </c>
      <c r="R917" s="70" t="str">
        <f>IF(Q917=1,SUM($Q$2:Q917),"")</f>
        <v/>
      </c>
    </row>
    <row r="918" spans="1:18" x14ac:dyDescent="0.2">
      <c r="A918" s="73" t="s">
        <v>407</v>
      </c>
      <c r="B918" s="77" t="s">
        <v>1541</v>
      </c>
      <c r="C918" s="74" t="s">
        <v>1810</v>
      </c>
      <c r="D918" s="74" t="s">
        <v>990</v>
      </c>
      <c r="E918" s="78" t="s">
        <v>113</v>
      </c>
      <c r="F918" s="76" t="s">
        <v>1849</v>
      </c>
      <c r="G918" s="76" t="s">
        <v>1245</v>
      </c>
      <c r="H918" s="70"/>
      <c r="P918" s="70">
        <f t="shared" si="14"/>
        <v>0</v>
      </c>
      <c r="Q918" s="70" cm="1">
        <f t="array" ref="Q918">IF(P918=1,IF(SUMPRODUCT(($P$2:P918)*(--($G$2:G918=$G918)))=1,1,0),0)</f>
        <v>0</v>
      </c>
      <c r="R918" s="70" t="str">
        <f>IF(Q918=1,SUM($Q$2:Q918),"")</f>
        <v/>
      </c>
    </row>
    <row r="919" spans="1:18" x14ac:dyDescent="0.2">
      <c r="A919" s="73" t="s">
        <v>407</v>
      </c>
      <c r="B919" s="77" t="s">
        <v>1541</v>
      </c>
      <c r="C919" s="74" t="s">
        <v>1810</v>
      </c>
      <c r="D919" s="74" t="s">
        <v>990</v>
      </c>
      <c r="E919" s="78" t="s">
        <v>113</v>
      </c>
      <c r="F919" s="76" t="s">
        <v>1850</v>
      </c>
      <c r="G919" s="76" t="s">
        <v>1245</v>
      </c>
      <c r="H919" s="70"/>
      <c r="P919" s="70">
        <f t="shared" si="14"/>
        <v>0</v>
      </c>
      <c r="Q919" s="70" cm="1">
        <f t="array" ref="Q919">IF(P919=1,IF(SUMPRODUCT(($P$2:P919)*(--($G$2:G919=$G919)))=1,1,0),0)</f>
        <v>0</v>
      </c>
      <c r="R919" s="70" t="str">
        <f>IF(Q919=1,SUM($Q$2:Q919),"")</f>
        <v/>
      </c>
    </row>
    <row r="920" spans="1:18" x14ac:dyDescent="0.2">
      <c r="A920" s="73" t="s">
        <v>407</v>
      </c>
      <c r="B920" s="77" t="s">
        <v>1541</v>
      </c>
      <c r="C920" s="74" t="s">
        <v>1810</v>
      </c>
      <c r="D920" s="74" t="s">
        <v>990</v>
      </c>
      <c r="E920" s="78" t="s">
        <v>113</v>
      </c>
      <c r="F920" s="76" t="s">
        <v>1851</v>
      </c>
      <c r="G920" s="76" t="s">
        <v>1245</v>
      </c>
      <c r="H920" s="70"/>
      <c r="P920" s="70">
        <f t="shared" si="14"/>
        <v>0</v>
      </c>
      <c r="Q920" s="70" cm="1">
        <f t="array" ref="Q920">IF(P920=1,IF(SUMPRODUCT(($P$2:P920)*(--($G$2:G920=$G920)))=1,1,0),0)</f>
        <v>0</v>
      </c>
      <c r="R920" s="70" t="str">
        <f>IF(Q920=1,SUM($Q$2:Q920),"")</f>
        <v/>
      </c>
    </row>
    <row r="921" spans="1:18" x14ac:dyDescent="0.2">
      <c r="A921" s="73" t="s">
        <v>407</v>
      </c>
      <c r="B921" s="77" t="s">
        <v>1541</v>
      </c>
      <c r="C921" s="74" t="s">
        <v>1810</v>
      </c>
      <c r="D921" s="74" t="s">
        <v>990</v>
      </c>
      <c r="E921" s="78" t="s">
        <v>97</v>
      </c>
      <c r="F921" s="76" t="s">
        <v>411</v>
      </c>
      <c r="G921" s="76" t="s">
        <v>1247</v>
      </c>
      <c r="H921" s="70"/>
      <c r="P921" s="70">
        <f t="shared" si="14"/>
        <v>0</v>
      </c>
      <c r="Q921" s="70" cm="1">
        <f t="array" ref="Q921">IF(P921=1,IF(SUMPRODUCT(($P$2:P921)*(--($G$2:G921=$G921)))=1,1,0),0)</f>
        <v>0</v>
      </c>
      <c r="R921" s="70" t="str">
        <f>IF(Q921=1,SUM($Q$2:Q921),"")</f>
        <v/>
      </c>
    </row>
    <row r="922" spans="1:18" x14ac:dyDescent="0.2">
      <c r="A922" s="73" t="s">
        <v>407</v>
      </c>
      <c r="B922" s="77" t="s">
        <v>1541</v>
      </c>
      <c r="C922" s="74" t="s">
        <v>1810</v>
      </c>
      <c r="D922" s="74" t="s">
        <v>990</v>
      </c>
      <c r="E922" s="78" t="s">
        <v>97</v>
      </c>
      <c r="F922" s="76" t="s">
        <v>1792</v>
      </c>
      <c r="G922" s="76" t="s">
        <v>1247</v>
      </c>
      <c r="H922" s="70"/>
      <c r="P922" s="70">
        <f t="shared" si="14"/>
        <v>0</v>
      </c>
      <c r="Q922" s="70" cm="1">
        <f t="array" ref="Q922">IF(P922=1,IF(SUMPRODUCT(($P$2:P922)*(--($G$2:G922=$G922)))=1,1,0),0)</f>
        <v>0</v>
      </c>
      <c r="R922" s="70" t="str">
        <f>IF(Q922=1,SUM($Q$2:Q922),"")</f>
        <v/>
      </c>
    </row>
    <row r="923" spans="1:18" x14ac:dyDescent="0.2">
      <c r="A923" s="73" t="s">
        <v>407</v>
      </c>
      <c r="B923" s="77" t="s">
        <v>1541</v>
      </c>
      <c r="C923" s="74" t="s">
        <v>1810</v>
      </c>
      <c r="D923" s="74" t="s">
        <v>990</v>
      </c>
      <c r="E923" s="78" t="s">
        <v>97</v>
      </c>
      <c r="F923" s="76" t="s">
        <v>1793</v>
      </c>
      <c r="G923" s="76" t="s">
        <v>1247</v>
      </c>
      <c r="H923" s="70"/>
      <c r="P923" s="70">
        <f t="shared" si="14"/>
        <v>0</v>
      </c>
      <c r="Q923" s="70" cm="1">
        <f t="array" ref="Q923">IF(P923=1,IF(SUMPRODUCT(($P$2:P923)*(--($G$2:G923=$G923)))=1,1,0),0)</f>
        <v>0</v>
      </c>
      <c r="R923" s="70" t="str">
        <f>IF(Q923=1,SUM($Q$2:Q923),"")</f>
        <v/>
      </c>
    </row>
    <row r="924" spans="1:18" x14ac:dyDescent="0.2">
      <c r="A924" s="73" t="s">
        <v>407</v>
      </c>
      <c r="B924" s="77" t="s">
        <v>1541</v>
      </c>
      <c r="C924" s="74" t="s">
        <v>1810</v>
      </c>
      <c r="D924" s="74" t="s">
        <v>990</v>
      </c>
      <c r="E924" s="78" t="s">
        <v>97</v>
      </c>
      <c r="F924" s="76" t="s">
        <v>1794</v>
      </c>
      <c r="G924" s="76" t="s">
        <v>1247</v>
      </c>
      <c r="H924" s="70"/>
      <c r="P924" s="70">
        <f t="shared" si="14"/>
        <v>0</v>
      </c>
      <c r="Q924" s="70" cm="1">
        <f t="array" ref="Q924">IF(P924=1,IF(SUMPRODUCT(($P$2:P924)*(--($G$2:G924=$G924)))=1,1,0),0)</f>
        <v>0</v>
      </c>
      <c r="R924" s="70" t="str">
        <f>IF(Q924=1,SUM($Q$2:Q924),"")</f>
        <v/>
      </c>
    </row>
    <row r="925" spans="1:18" x14ac:dyDescent="0.2">
      <c r="A925" s="73" t="s">
        <v>407</v>
      </c>
      <c r="B925" s="77" t="s">
        <v>1541</v>
      </c>
      <c r="C925" s="74" t="s">
        <v>1810</v>
      </c>
      <c r="D925" s="74" t="s">
        <v>990</v>
      </c>
      <c r="E925" s="78" t="s">
        <v>97</v>
      </c>
      <c r="F925" s="76" t="s">
        <v>1795</v>
      </c>
      <c r="G925" s="76" t="s">
        <v>1247</v>
      </c>
      <c r="H925" s="70"/>
      <c r="P925" s="70">
        <f t="shared" si="14"/>
        <v>0</v>
      </c>
      <c r="Q925" s="70" cm="1">
        <f t="array" ref="Q925">IF(P925=1,IF(SUMPRODUCT(($P$2:P925)*(--($G$2:G925=$G925)))=1,1,0),0)</f>
        <v>0</v>
      </c>
      <c r="R925" s="70" t="str">
        <f>IF(Q925=1,SUM($Q$2:Q925),"")</f>
        <v/>
      </c>
    </row>
    <row r="926" spans="1:18" x14ac:dyDescent="0.2">
      <c r="A926" s="73" t="s">
        <v>407</v>
      </c>
      <c r="B926" s="77" t="s">
        <v>1541</v>
      </c>
      <c r="C926" s="74" t="s">
        <v>1810</v>
      </c>
      <c r="D926" s="74" t="s">
        <v>990</v>
      </c>
      <c r="E926" s="78" t="s">
        <v>97</v>
      </c>
      <c r="F926" s="76" t="s">
        <v>1797</v>
      </c>
      <c r="G926" s="76" t="s">
        <v>1247</v>
      </c>
      <c r="H926" s="70"/>
      <c r="P926" s="70">
        <f t="shared" si="14"/>
        <v>0</v>
      </c>
      <c r="Q926" s="70" cm="1">
        <f t="array" ref="Q926">IF(P926=1,IF(SUMPRODUCT(($P$2:P926)*(--($G$2:G926=$G926)))=1,1,0),0)</f>
        <v>0</v>
      </c>
      <c r="R926" s="70" t="str">
        <f>IF(Q926=1,SUM($Q$2:Q926),"")</f>
        <v/>
      </c>
    </row>
    <row r="927" spans="1:18" x14ac:dyDescent="0.2">
      <c r="A927" s="73" t="s">
        <v>407</v>
      </c>
      <c r="B927" s="77" t="s">
        <v>1541</v>
      </c>
      <c r="C927" s="74" t="s">
        <v>1810</v>
      </c>
      <c r="D927" s="74" t="s">
        <v>990</v>
      </c>
      <c r="E927" s="78" t="s">
        <v>97</v>
      </c>
      <c r="F927" s="76" t="s">
        <v>1798</v>
      </c>
      <c r="G927" s="76" t="s">
        <v>1247</v>
      </c>
      <c r="H927" s="70"/>
      <c r="P927" s="70">
        <f t="shared" si="14"/>
        <v>0</v>
      </c>
      <c r="Q927" s="70" cm="1">
        <f t="array" ref="Q927">IF(P927=1,IF(SUMPRODUCT(($P$2:P927)*(--($G$2:G927=$G927)))=1,1,0),0)</f>
        <v>0</v>
      </c>
      <c r="R927" s="70" t="str">
        <f>IF(Q927=1,SUM($Q$2:Q927),"")</f>
        <v/>
      </c>
    </row>
    <row r="928" spans="1:18" x14ac:dyDescent="0.2">
      <c r="A928" s="73" t="s">
        <v>407</v>
      </c>
      <c r="B928" s="77" t="s">
        <v>1541</v>
      </c>
      <c r="C928" s="74" t="s">
        <v>1810</v>
      </c>
      <c r="D928" s="74" t="s">
        <v>990</v>
      </c>
      <c r="E928" s="78" t="s">
        <v>97</v>
      </c>
      <c r="F928" s="76" t="s">
        <v>1852</v>
      </c>
      <c r="G928" s="76" t="s">
        <v>1247</v>
      </c>
      <c r="H928" s="70"/>
      <c r="P928" s="70">
        <f t="shared" si="14"/>
        <v>0</v>
      </c>
      <c r="Q928" s="70" cm="1">
        <f t="array" ref="Q928">IF(P928=1,IF(SUMPRODUCT(($P$2:P928)*(--($G$2:G928=$G928)))=1,1,0),0)</f>
        <v>0</v>
      </c>
      <c r="R928" s="70" t="str">
        <f>IF(Q928=1,SUM($Q$2:Q928),"")</f>
        <v/>
      </c>
    </row>
    <row r="929" spans="1:18" x14ac:dyDescent="0.2">
      <c r="A929" s="73" t="s">
        <v>407</v>
      </c>
      <c r="B929" s="77" t="s">
        <v>1541</v>
      </c>
      <c r="C929" s="74" t="s">
        <v>1810</v>
      </c>
      <c r="D929" s="74" t="s">
        <v>990</v>
      </c>
      <c r="E929" s="78" t="s">
        <v>97</v>
      </c>
      <c r="F929" s="76" t="s">
        <v>1853</v>
      </c>
      <c r="G929" s="76" t="s">
        <v>1247</v>
      </c>
      <c r="H929" s="70"/>
      <c r="P929" s="70">
        <f t="shared" si="14"/>
        <v>0</v>
      </c>
      <c r="Q929" s="70" cm="1">
        <f t="array" ref="Q929">IF(P929=1,IF(SUMPRODUCT(($P$2:P929)*(--($G$2:G929=$G929)))=1,1,0),0)</f>
        <v>0</v>
      </c>
      <c r="R929" s="70" t="str">
        <f>IF(Q929=1,SUM($Q$2:Q929),"")</f>
        <v/>
      </c>
    </row>
    <row r="930" spans="1:18" x14ac:dyDescent="0.2">
      <c r="A930" s="73" t="s">
        <v>407</v>
      </c>
      <c r="B930" s="77" t="s">
        <v>1541</v>
      </c>
      <c r="C930" s="74" t="s">
        <v>1810</v>
      </c>
      <c r="D930" s="74" t="s">
        <v>990</v>
      </c>
      <c r="E930" s="78" t="s">
        <v>97</v>
      </c>
      <c r="F930" s="76" t="s">
        <v>1854</v>
      </c>
      <c r="G930" s="76" t="s">
        <v>1247</v>
      </c>
      <c r="H930" s="70"/>
      <c r="P930" s="70">
        <f t="shared" si="14"/>
        <v>0</v>
      </c>
      <c r="Q930" s="70" cm="1">
        <f t="array" ref="Q930">IF(P930=1,IF(SUMPRODUCT(($P$2:P930)*(--($G$2:G930=$G930)))=1,1,0),0)</f>
        <v>0</v>
      </c>
      <c r="R930" s="70" t="str">
        <f>IF(Q930=1,SUM($Q$2:Q930),"")</f>
        <v/>
      </c>
    </row>
    <row r="931" spans="1:18" x14ac:dyDescent="0.2">
      <c r="A931" s="73" t="s">
        <v>407</v>
      </c>
      <c r="B931" s="77" t="s">
        <v>1541</v>
      </c>
      <c r="C931" s="74" t="s">
        <v>1810</v>
      </c>
      <c r="D931" s="74" t="s">
        <v>990</v>
      </c>
      <c r="E931" s="78" t="s">
        <v>97</v>
      </c>
      <c r="F931" s="76" t="s">
        <v>1855</v>
      </c>
      <c r="G931" s="76" t="s">
        <v>1247</v>
      </c>
      <c r="H931" s="70"/>
      <c r="P931" s="70">
        <f t="shared" si="14"/>
        <v>0</v>
      </c>
      <c r="Q931" s="70" cm="1">
        <f t="array" ref="Q931">IF(P931=1,IF(SUMPRODUCT(($P$2:P931)*(--($G$2:G931=$G931)))=1,1,0),0)</f>
        <v>0</v>
      </c>
      <c r="R931" s="70" t="str">
        <f>IF(Q931=1,SUM($Q$2:Q931),"")</f>
        <v/>
      </c>
    </row>
    <row r="932" spans="1:18" x14ac:dyDescent="0.2">
      <c r="A932" s="73" t="s">
        <v>407</v>
      </c>
      <c r="B932" s="77" t="s">
        <v>1541</v>
      </c>
      <c r="C932" s="74" t="s">
        <v>1810</v>
      </c>
      <c r="D932" s="74" t="s">
        <v>990</v>
      </c>
      <c r="E932" s="78" t="s">
        <v>97</v>
      </c>
      <c r="F932" s="76" t="s">
        <v>1856</v>
      </c>
      <c r="G932" s="76" t="s">
        <v>1247</v>
      </c>
      <c r="H932" s="70"/>
      <c r="P932" s="70">
        <f t="shared" si="14"/>
        <v>0</v>
      </c>
      <c r="Q932" s="70" cm="1">
        <f t="array" ref="Q932">IF(P932=1,IF(SUMPRODUCT(($P$2:P932)*(--($G$2:G932=$G932)))=1,1,0),0)</f>
        <v>0</v>
      </c>
      <c r="R932" s="70" t="str">
        <f>IF(Q932=1,SUM($Q$2:Q932),"")</f>
        <v/>
      </c>
    </row>
    <row r="933" spans="1:18" x14ac:dyDescent="0.2">
      <c r="A933" s="73" t="s">
        <v>407</v>
      </c>
      <c r="B933" s="85" t="s">
        <v>1824</v>
      </c>
      <c r="C933" s="74" t="s">
        <v>1810</v>
      </c>
      <c r="D933" s="74" t="s">
        <v>990</v>
      </c>
      <c r="E933" s="78" t="s">
        <v>97</v>
      </c>
      <c r="F933" s="76" t="s">
        <v>411</v>
      </c>
      <c r="G933" s="76" t="s">
        <v>1270</v>
      </c>
      <c r="H933" s="70"/>
      <c r="P933" s="70">
        <f t="shared" si="14"/>
        <v>0</v>
      </c>
      <c r="Q933" s="70" cm="1">
        <f t="array" ref="Q933">IF(P933=1,IF(SUMPRODUCT(($P$2:P933)*(--($G$2:G933=$G933)))=1,1,0),0)</f>
        <v>0</v>
      </c>
      <c r="R933" s="70" t="str">
        <f>IF(Q933=1,SUM($Q$2:Q933),"")</f>
        <v/>
      </c>
    </row>
    <row r="934" spans="1:18" x14ac:dyDescent="0.2">
      <c r="A934" s="73" t="s">
        <v>407</v>
      </c>
      <c r="B934" s="85" t="s">
        <v>1824</v>
      </c>
      <c r="C934" s="74" t="s">
        <v>1810</v>
      </c>
      <c r="D934" s="74" t="s">
        <v>990</v>
      </c>
      <c r="E934" s="78" t="s">
        <v>97</v>
      </c>
      <c r="F934" s="76" t="s">
        <v>1792</v>
      </c>
      <c r="G934" s="76" t="s">
        <v>1270</v>
      </c>
      <c r="H934" s="70"/>
      <c r="P934" s="70">
        <f t="shared" si="14"/>
        <v>0</v>
      </c>
      <c r="Q934" s="70" cm="1">
        <f t="array" ref="Q934">IF(P934=1,IF(SUMPRODUCT(($P$2:P934)*(--($G$2:G934=$G934)))=1,1,0),0)</f>
        <v>0</v>
      </c>
      <c r="R934" s="70" t="str">
        <f>IF(Q934=1,SUM($Q$2:Q934),"")</f>
        <v/>
      </c>
    </row>
    <row r="935" spans="1:18" x14ac:dyDescent="0.2">
      <c r="A935" s="73" t="s">
        <v>407</v>
      </c>
      <c r="B935" s="85" t="s">
        <v>1824</v>
      </c>
      <c r="C935" s="74" t="s">
        <v>1810</v>
      </c>
      <c r="D935" s="74" t="s">
        <v>990</v>
      </c>
      <c r="E935" s="78" t="s">
        <v>97</v>
      </c>
      <c r="F935" s="76" t="s">
        <v>1793</v>
      </c>
      <c r="G935" s="76" t="s">
        <v>1270</v>
      </c>
      <c r="H935" s="70"/>
      <c r="P935" s="70">
        <f t="shared" si="14"/>
        <v>0</v>
      </c>
      <c r="Q935" s="70" cm="1">
        <f t="array" ref="Q935">IF(P935=1,IF(SUMPRODUCT(($P$2:P935)*(--($G$2:G935=$G935)))=1,1,0),0)</f>
        <v>0</v>
      </c>
      <c r="R935" s="70" t="str">
        <f>IF(Q935=1,SUM($Q$2:Q935),"")</f>
        <v/>
      </c>
    </row>
    <row r="936" spans="1:18" x14ac:dyDescent="0.2">
      <c r="A936" s="73" t="s">
        <v>407</v>
      </c>
      <c r="B936" s="85" t="s">
        <v>1824</v>
      </c>
      <c r="C936" s="74" t="s">
        <v>1810</v>
      </c>
      <c r="D936" s="74" t="s">
        <v>990</v>
      </c>
      <c r="E936" s="78" t="s">
        <v>97</v>
      </c>
      <c r="F936" s="76" t="s">
        <v>1794</v>
      </c>
      <c r="G936" s="76" t="s">
        <v>1270</v>
      </c>
      <c r="H936" s="70"/>
      <c r="P936" s="70">
        <f t="shared" si="14"/>
        <v>0</v>
      </c>
      <c r="Q936" s="70" cm="1">
        <f t="array" ref="Q936">IF(P936=1,IF(SUMPRODUCT(($P$2:P936)*(--($G$2:G936=$G936)))=1,1,0),0)</f>
        <v>0</v>
      </c>
      <c r="R936" s="70" t="str">
        <f>IF(Q936=1,SUM($Q$2:Q936),"")</f>
        <v/>
      </c>
    </row>
    <row r="937" spans="1:18" x14ac:dyDescent="0.2">
      <c r="A937" s="73" t="s">
        <v>407</v>
      </c>
      <c r="B937" s="85" t="s">
        <v>1824</v>
      </c>
      <c r="C937" s="74" t="s">
        <v>1810</v>
      </c>
      <c r="D937" s="74" t="s">
        <v>990</v>
      </c>
      <c r="E937" s="78" t="s">
        <v>97</v>
      </c>
      <c r="F937" s="76" t="s">
        <v>1795</v>
      </c>
      <c r="G937" s="76" t="s">
        <v>1270</v>
      </c>
      <c r="H937" s="70"/>
      <c r="P937" s="70">
        <f t="shared" si="14"/>
        <v>0</v>
      </c>
      <c r="Q937" s="70" cm="1">
        <f t="array" ref="Q937">IF(P937=1,IF(SUMPRODUCT(($P$2:P937)*(--($G$2:G937=$G937)))=1,1,0),0)</f>
        <v>0</v>
      </c>
      <c r="R937" s="70" t="str">
        <f>IF(Q937=1,SUM($Q$2:Q937),"")</f>
        <v/>
      </c>
    </row>
    <row r="938" spans="1:18" x14ac:dyDescent="0.2">
      <c r="A938" s="73" t="s">
        <v>407</v>
      </c>
      <c r="B938" s="85" t="s">
        <v>1824</v>
      </c>
      <c r="C938" s="74" t="s">
        <v>1810</v>
      </c>
      <c r="D938" s="74" t="s">
        <v>990</v>
      </c>
      <c r="E938" s="78" t="s">
        <v>97</v>
      </c>
      <c r="F938" s="76" t="s">
        <v>1796</v>
      </c>
      <c r="G938" s="76" t="s">
        <v>1270</v>
      </c>
      <c r="H938" s="70"/>
      <c r="P938" s="70">
        <f t="shared" si="14"/>
        <v>0</v>
      </c>
      <c r="Q938" s="70" cm="1">
        <f t="array" ref="Q938">IF(P938=1,IF(SUMPRODUCT(($P$2:P938)*(--($G$2:G938=$G938)))=1,1,0),0)</f>
        <v>0</v>
      </c>
      <c r="R938" s="70" t="str">
        <f>IF(Q938=1,SUM($Q$2:Q938),"")</f>
        <v/>
      </c>
    </row>
    <row r="939" spans="1:18" x14ac:dyDescent="0.2">
      <c r="A939" s="73" t="s">
        <v>407</v>
      </c>
      <c r="B939" s="85" t="s">
        <v>1824</v>
      </c>
      <c r="C939" s="74" t="s">
        <v>1810</v>
      </c>
      <c r="D939" s="74" t="s">
        <v>990</v>
      </c>
      <c r="E939" s="78" t="s">
        <v>97</v>
      </c>
      <c r="F939" s="76" t="s">
        <v>1797</v>
      </c>
      <c r="G939" s="76" t="s">
        <v>1270</v>
      </c>
      <c r="H939" s="70"/>
      <c r="P939" s="70">
        <f t="shared" si="14"/>
        <v>0</v>
      </c>
      <c r="Q939" s="70" cm="1">
        <f t="array" ref="Q939">IF(P939=1,IF(SUMPRODUCT(($P$2:P939)*(--($G$2:G939=$G939)))=1,1,0),0)</f>
        <v>0</v>
      </c>
      <c r="R939" s="70" t="str">
        <f>IF(Q939=1,SUM($Q$2:Q939),"")</f>
        <v/>
      </c>
    </row>
    <row r="940" spans="1:18" x14ac:dyDescent="0.2">
      <c r="A940" s="73" t="s">
        <v>407</v>
      </c>
      <c r="B940" s="85" t="s">
        <v>1824</v>
      </c>
      <c r="C940" s="74" t="s">
        <v>1810</v>
      </c>
      <c r="D940" s="74" t="s">
        <v>990</v>
      </c>
      <c r="E940" s="78" t="s">
        <v>97</v>
      </c>
      <c r="F940" s="76" t="s">
        <v>1798</v>
      </c>
      <c r="G940" s="76" t="s">
        <v>1270</v>
      </c>
      <c r="H940" s="70"/>
      <c r="P940" s="70">
        <f t="shared" si="14"/>
        <v>0</v>
      </c>
      <c r="Q940" s="70" cm="1">
        <f t="array" ref="Q940">IF(P940=1,IF(SUMPRODUCT(($P$2:P940)*(--($G$2:G940=$G940)))=1,1,0),0)</f>
        <v>0</v>
      </c>
      <c r="R940" s="70" t="str">
        <f>IF(Q940=1,SUM($Q$2:Q940),"")</f>
        <v/>
      </c>
    </row>
    <row r="941" spans="1:18" x14ac:dyDescent="0.2">
      <c r="A941" s="73" t="s">
        <v>407</v>
      </c>
      <c r="B941" s="85" t="s">
        <v>1824</v>
      </c>
      <c r="C941" s="74" t="s">
        <v>1810</v>
      </c>
      <c r="D941" s="74" t="s">
        <v>990</v>
      </c>
      <c r="E941" s="78" t="s">
        <v>97</v>
      </c>
      <c r="F941" s="76" t="s">
        <v>1852</v>
      </c>
      <c r="G941" s="76" t="s">
        <v>1270</v>
      </c>
      <c r="H941" s="70"/>
      <c r="P941" s="70">
        <f t="shared" si="14"/>
        <v>0</v>
      </c>
      <c r="Q941" s="70" cm="1">
        <f t="array" ref="Q941">IF(P941=1,IF(SUMPRODUCT(($P$2:P941)*(--($G$2:G941=$G941)))=1,1,0),0)</f>
        <v>0</v>
      </c>
      <c r="R941" s="70" t="str">
        <f>IF(Q941=1,SUM($Q$2:Q941),"")</f>
        <v/>
      </c>
    </row>
    <row r="942" spans="1:18" x14ac:dyDescent="0.2">
      <c r="A942" s="73" t="s">
        <v>407</v>
      </c>
      <c r="B942" s="85" t="s">
        <v>1824</v>
      </c>
      <c r="C942" s="74" t="s">
        <v>1810</v>
      </c>
      <c r="D942" s="74" t="s">
        <v>990</v>
      </c>
      <c r="E942" s="78" t="s">
        <v>97</v>
      </c>
      <c r="F942" s="76" t="s">
        <v>1853</v>
      </c>
      <c r="G942" s="76" t="s">
        <v>1270</v>
      </c>
      <c r="H942" s="70"/>
      <c r="P942" s="70">
        <f t="shared" si="14"/>
        <v>0</v>
      </c>
      <c r="Q942" s="70" cm="1">
        <f t="array" ref="Q942">IF(P942=1,IF(SUMPRODUCT(($P$2:P942)*(--($G$2:G942=$G942)))=1,1,0),0)</f>
        <v>0</v>
      </c>
      <c r="R942" s="70" t="str">
        <f>IF(Q942=1,SUM($Q$2:Q942),"")</f>
        <v/>
      </c>
    </row>
    <row r="943" spans="1:18" x14ac:dyDescent="0.2">
      <c r="A943" s="73" t="s">
        <v>407</v>
      </c>
      <c r="B943" s="85" t="s">
        <v>1824</v>
      </c>
      <c r="C943" s="74" t="s">
        <v>1810</v>
      </c>
      <c r="D943" s="74" t="s">
        <v>990</v>
      </c>
      <c r="E943" s="78" t="s">
        <v>97</v>
      </c>
      <c r="F943" s="76" t="s">
        <v>1854</v>
      </c>
      <c r="G943" s="76" t="s">
        <v>1270</v>
      </c>
      <c r="H943" s="70"/>
      <c r="P943" s="70">
        <f t="shared" si="14"/>
        <v>0</v>
      </c>
      <c r="Q943" s="70" cm="1">
        <f t="array" ref="Q943">IF(P943=1,IF(SUMPRODUCT(($P$2:P943)*(--($G$2:G943=$G943)))=1,1,0),0)</f>
        <v>0</v>
      </c>
      <c r="R943" s="70" t="str">
        <f>IF(Q943=1,SUM($Q$2:Q943),"")</f>
        <v/>
      </c>
    </row>
    <row r="944" spans="1:18" x14ac:dyDescent="0.2">
      <c r="A944" s="73" t="s">
        <v>407</v>
      </c>
      <c r="B944" s="85" t="s">
        <v>1824</v>
      </c>
      <c r="C944" s="74" t="s">
        <v>1810</v>
      </c>
      <c r="D944" s="74" t="s">
        <v>990</v>
      </c>
      <c r="E944" s="78" t="s">
        <v>97</v>
      </c>
      <c r="F944" s="76" t="s">
        <v>1855</v>
      </c>
      <c r="G944" s="76" t="s">
        <v>1270</v>
      </c>
      <c r="H944" s="70"/>
      <c r="P944" s="70">
        <f t="shared" si="14"/>
        <v>0</v>
      </c>
      <c r="Q944" s="70" cm="1">
        <f t="array" ref="Q944">IF(P944=1,IF(SUMPRODUCT(($P$2:P944)*(--($G$2:G944=$G944)))=1,1,0),0)</f>
        <v>0</v>
      </c>
      <c r="R944" s="70" t="str">
        <f>IF(Q944=1,SUM($Q$2:Q944),"")</f>
        <v/>
      </c>
    </row>
    <row r="945" spans="1:18" x14ac:dyDescent="0.2">
      <c r="A945" s="73" t="s">
        <v>407</v>
      </c>
      <c r="B945" s="85" t="s">
        <v>1824</v>
      </c>
      <c r="C945" s="74" t="s">
        <v>1810</v>
      </c>
      <c r="D945" s="74" t="s">
        <v>990</v>
      </c>
      <c r="E945" s="78" t="s">
        <v>97</v>
      </c>
      <c r="F945" s="76" t="s">
        <v>1856</v>
      </c>
      <c r="G945" s="76" t="s">
        <v>1270</v>
      </c>
      <c r="H945" s="70"/>
      <c r="P945" s="70">
        <f t="shared" si="14"/>
        <v>0</v>
      </c>
      <c r="Q945" s="70" cm="1">
        <f t="array" ref="Q945">IF(P945=1,IF(SUMPRODUCT(($P$2:P945)*(--($G$2:G945=$G945)))=1,1,0),0)</f>
        <v>0</v>
      </c>
      <c r="R945" s="70" t="str">
        <f>IF(Q945=1,SUM($Q$2:Q945),"")</f>
        <v/>
      </c>
    </row>
    <row r="946" spans="1:18" x14ac:dyDescent="0.2">
      <c r="A946" s="73" t="s">
        <v>407</v>
      </c>
      <c r="B946" s="77" t="s">
        <v>1541</v>
      </c>
      <c r="C946" s="74" t="s">
        <v>1810</v>
      </c>
      <c r="D946" s="74" t="s">
        <v>990</v>
      </c>
      <c r="E946" s="78" t="s">
        <v>97</v>
      </c>
      <c r="F946" s="76" t="s">
        <v>1799</v>
      </c>
      <c r="G946" s="76" t="s">
        <v>1248</v>
      </c>
      <c r="H946" s="70"/>
      <c r="P946" s="70">
        <f t="shared" si="14"/>
        <v>0</v>
      </c>
      <c r="Q946" s="70" cm="1">
        <f t="array" ref="Q946">IF(P946=1,IF(SUMPRODUCT(($P$2:P946)*(--($G$2:G946=$G946)))=1,1,0),0)</f>
        <v>0</v>
      </c>
      <c r="R946" s="70" t="str">
        <f>IF(Q946=1,SUM($Q$2:Q946),"")</f>
        <v/>
      </c>
    </row>
    <row r="947" spans="1:18" x14ac:dyDescent="0.2">
      <c r="A947" s="73" t="s">
        <v>407</v>
      </c>
      <c r="B947" s="77" t="s">
        <v>1541</v>
      </c>
      <c r="C947" s="74" t="s">
        <v>1810</v>
      </c>
      <c r="D947" s="74" t="s">
        <v>990</v>
      </c>
      <c r="E947" s="78" t="s">
        <v>97</v>
      </c>
      <c r="F947" s="76" t="s">
        <v>1800</v>
      </c>
      <c r="G947" s="76" t="s">
        <v>1248</v>
      </c>
      <c r="H947" s="70"/>
      <c r="P947" s="70">
        <f t="shared" si="14"/>
        <v>0</v>
      </c>
      <c r="Q947" s="70" cm="1">
        <f t="array" ref="Q947">IF(P947=1,IF(SUMPRODUCT(($P$2:P947)*(--($G$2:G947=$G947)))=1,1,0),0)</f>
        <v>0</v>
      </c>
      <c r="R947" s="70" t="str">
        <f>IF(Q947=1,SUM($Q$2:Q947),"")</f>
        <v/>
      </c>
    </row>
    <row r="948" spans="1:18" x14ac:dyDescent="0.2">
      <c r="A948" s="73" t="s">
        <v>407</v>
      </c>
      <c r="B948" s="77" t="s">
        <v>1541</v>
      </c>
      <c r="C948" s="74" t="s">
        <v>1810</v>
      </c>
      <c r="D948" s="74" t="s">
        <v>990</v>
      </c>
      <c r="E948" s="78" t="s">
        <v>97</v>
      </c>
      <c r="F948" s="76" t="s">
        <v>1801</v>
      </c>
      <c r="G948" s="76" t="s">
        <v>1248</v>
      </c>
      <c r="H948" s="70"/>
      <c r="P948" s="70">
        <f t="shared" si="14"/>
        <v>0</v>
      </c>
      <c r="Q948" s="70" cm="1">
        <f t="array" ref="Q948">IF(P948=1,IF(SUMPRODUCT(($P$2:P948)*(--($G$2:G948=$G948)))=1,1,0),0)</f>
        <v>0</v>
      </c>
      <c r="R948" s="70" t="str">
        <f>IF(Q948=1,SUM($Q$2:Q948),"")</f>
        <v/>
      </c>
    </row>
    <row r="949" spans="1:18" x14ac:dyDescent="0.2">
      <c r="A949" s="73" t="s">
        <v>407</v>
      </c>
      <c r="B949" s="77" t="s">
        <v>1541</v>
      </c>
      <c r="C949" s="74" t="s">
        <v>1810</v>
      </c>
      <c r="D949" s="74" t="s">
        <v>990</v>
      </c>
      <c r="E949" s="78" t="s">
        <v>97</v>
      </c>
      <c r="F949" s="76" t="s">
        <v>1802</v>
      </c>
      <c r="G949" s="76" t="s">
        <v>1248</v>
      </c>
      <c r="H949" s="70"/>
      <c r="P949" s="70">
        <f t="shared" si="14"/>
        <v>0</v>
      </c>
      <c r="Q949" s="70" cm="1">
        <f t="array" ref="Q949">IF(P949=1,IF(SUMPRODUCT(($P$2:P949)*(--($G$2:G949=$G949)))=1,1,0),0)</f>
        <v>0</v>
      </c>
      <c r="R949" s="70" t="str">
        <f>IF(Q949=1,SUM($Q$2:Q949),"")</f>
        <v/>
      </c>
    </row>
    <row r="950" spans="1:18" x14ac:dyDescent="0.2">
      <c r="A950" s="73" t="s">
        <v>407</v>
      </c>
      <c r="B950" s="77" t="s">
        <v>1541</v>
      </c>
      <c r="C950" s="74" t="s">
        <v>1810</v>
      </c>
      <c r="D950" s="74" t="s">
        <v>990</v>
      </c>
      <c r="E950" s="78" t="s">
        <v>97</v>
      </c>
      <c r="F950" s="76" t="s">
        <v>1803</v>
      </c>
      <c r="G950" s="76" t="s">
        <v>1248</v>
      </c>
      <c r="H950" s="70"/>
      <c r="P950" s="70">
        <f t="shared" si="14"/>
        <v>0</v>
      </c>
      <c r="Q950" s="70" cm="1">
        <f t="array" ref="Q950">IF(P950=1,IF(SUMPRODUCT(($P$2:P950)*(--($G$2:G950=$G950)))=1,1,0),0)</f>
        <v>0</v>
      </c>
      <c r="R950" s="70" t="str">
        <f>IF(Q950=1,SUM($Q$2:Q950),"")</f>
        <v/>
      </c>
    </row>
    <row r="951" spans="1:18" x14ac:dyDescent="0.2">
      <c r="A951" s="73" t="s">
        <v>407</v>
      </c>
      <c r="B951" s="77" t="s">
        <v>1541</v>
      </c>
      <c r="C951" s="74" t="s">
        <v>1810</v>
      </c>
      <c r="D951" s="74" t="s">
        <v>990</v>
      </c>
      <c r="E951" s="78" t="s">
        <v>97</v>
      </c>
      <c r="F951" s="76" t="s">
        <v>1804</v>
      </c>
      <c r="G951" s="76" t="s">
        <v>1248</v>
      </c>
      <c r="H951" s="70"/>
      <c r="P951" s="70">
        <f t="shared" si="14"/>
        <v>0</v>
      </c>
      <c r="Q951" s="70" cm="1">
        <f t="array" ref="Q951">IF(P951=1,IF(SUMPRODUCT(($P$2:P951)*(--($G$2:G951=$G951)))=1,1,0),0)</f>
        <v>0</v>
      </c>
      <c r="R951" s="70" t="str">
        <f>IF(Q951=1,SUM($Q$2:Q951),"")</f>
        <v/>
      </c>
    </row>
    <row r="952" spans="1:18" x14ac:dyDescent="0.2">
      <c r="A952" s="73" t="s">
        <v>407</v>
      </c>
      <c r="B952" s="77" t="s">
        <v>1541</v>
      </c>
      <c r="C952" s="74" t="s">
        <v>1810</v>
      </c>
      <c r="D952" s="74" t="s">
        <v>990</v>
      </c>
      <c r="E952" s="78" t="s">
        <v>97</v>
      </c>
      <c r="F952" s="76" t="s">
        <v>1857</v>
      </c>
      <c r="G952" s="76" t="s">
        <v>1248</v>
      </c>
      <c r="H952" s="70"/>
      <c r="P952" s="70">
        <f t="shared" si="14"/>
        <v>0</v>
      </c>
      <c r="Q952" s="70" cm="1">
        <f t="array" ref="Q952">IF(P952=1,IF(SUMPRODUCT(($P$2:P952)*(--($G$2:G952=$G952)))=1,1,0),0)</f>
        <v>0</v>
      </c>
      <c r="R952" s="70" t="str">
        <f>IF(Q952=1,SUM($Q$2:Q952),"")</f>
        <v/>
      </c>
    </row>
    <row r="953" spans="1:18" x14ac:dyDescent="0.2">
      <c r="A953" s="73" t="s">
        <v>407</v>
      </c>
      <c r="B953" s="77" t="s">
        <v>1541</v>
      </c>
      <c r="C953" s="74" t="s">
        <v>1810</v>
      </c>
      <c r="D953" s="74" t="s">
        <v>990</v>
      </c>
      <c r="E953" s="78" t="s">
        <v>97</v>
      </c>
      <c r="F953" s="76" t="s">
        <v>1858</v>
      </c>
      <c r="G953" s="76" t="s">
        <v>1248</v>
      </c>
      <c r="H953" s="70"/>
      <c r="P953" s="70">
        <f t="shared" si="14"/>
        <v>0</v>
      </c>
      <c r="Q953" s="70" cm="1">
        <f t="array" ref="Q953">IF(P953=1,IF(SUMPRODUCT(($P$2:P953)*(--($G$2:G953=$G953)))=1,1,0),0)</f>
        <v>0</v>
      </c>
      <c r="R953" s="70" t="str">
        <f>IF(Q953=1,SUM($Q$2:Q953),"")</f>
        <v/>
      </c>
    </row>
    <row r="954" spans="1:18" x14ac:dyDescent="0.2">
      <c r="A954" s="73" t="s">
        <v>407</v>
      </c>
      <c r="B954" s="77" t="s">
        <v>1541</v>
      </c>
      <c r="C954" s="74" t="s">
        <v>1810</v>
      </c>
      <c r="D954" s="74" t="s">
        <v>990</v>
      </c>
      <c r="E954" s="78" t="s">
        <v>97</v>
      </c>
      <c r="F954" s="76" t="s">
        <v>1859</v>
      </c>
      <c r="G954" s="76" t="s">
        <v>1248</v>
      </c>
      <c r="H954" s="70"/>
      <c r="P954" s="70">
        <f t="shared" si="14"/>
        <v>0</v>
      </c>
      <c r="Q954" s="70" cm="1">
        <f t="array" ref="Q954">IF(P954=1,IF(SUMPRODUCT(($P$2:P954)*(--($G$2:G954=$G954)))=1,1,0),0)</f>
        <v>0</v>
      </c>
      <c r="R954" s="70" t="str">
        <f>IF(Q954=1,SUM($Q$2:Q954),"")</f>
        <v/>
      </c>
    </row>
    <row r="955" spans="1:18" x14ac:dyDescent="0.2">
      <c r="A955" s="73" t="s">
        <v>407</v>
      </c>
      <c r="B955" s="77" t="s">
        <v>1541</v>
      </c>
      <c r="C955" s="74" t="s">
        <v>1810</v>
      </c>
      <c r="D955" s="74" t="s">
        <v>990</v>
      </c>
      <c r="E955" s="78" t="s">
        <v>97</v>
      </c>
      <c r="F955" s="76" t="s">
        <v>1860</v>
      </c>
      <c r="G955" s="76" t="s">
        <v>1248</v>
      </c>
      <c r="H955" s="70"/>
      <c r="P955" s="70">
        <f t="shared" si="14"/>
        <v>0</v>
      </c>
      <c r="Q955" s="70" cm="1">
        <f t="array" ref="Q955">IF(P955=1,IF(SUMPRODUCT(($P$2:P955)*(--($G$2:G955=$G955)))=1,1,0),0)</f>
        <v>0</v>
      </c>
      <c r="R955" s="70" t="str">
        <f>IF(Q955=1,SUM($Q$2:Q955),"")</f>
        <v/>
      </c>
    </row>
    <row r="956" spans="1:18" x14ac:dyDescent="0.2">
      <c r="A956" s="73" t="s">
        <v>407</v>
      </c>
      <c r="B956" s="77" t="s">
        <v>1541</v>
      </c>
      <c r="C956" s="74" t="s">
        <v>1810</v>
      </c>
      <c r="D956" s="74" t="s">
        <v>990</v>
      </c>
      <c r="E956" s="78" t="s">
        <v>97</v>
      </c>
      <c r="F956" s="76" t="s">
        <v>1861</v>
      </c>
      <c r="G956" s="76" t="s">
        <v>1248</v>
      </c>
      <c r="H956" s="70"/>
      <c r="P956" s="70">
        <f t="shared" si="14"/>
        <v>0</v>
      </c>
      <c r="Q956" s="70" cm="1">
        <f t="array" ref="Q956">IF(P956=1,IF(SUMPRODUCT(($P$2:P956)*(--($G$2:G956=$G956)))=1,1,0),0)</f>
        <v>0</v>
      </c>
      <c r="R956" s="70" t="str">
        <f>IF(Q956=1,SUM($Q$2:Q956),"")</f>
        <v/>
      </c>
    </row>
    <row r="957" spans="1:18" x14ac:dyDescent="0.2">
      <c r="A957" s="73" t="s">
        <v>407</v>
      </c>
      <c r="B957" s="85" t="s">
        <v>1824</v>
      </c>
      <c r="C957" s="74" t="s">
        <v>1810</v>
      </c>
      <c r="D957" s="74" t="s">
        <v>990</v>
      </c>
      <c r="E957" s="78" t="s">
        <v>97</v>
      </c>
      <c r="F957" s="76" t="s">
        <v>1799</v>
      </c>
      <c r="G957" s="76" t="s">
        <v>1271</v>
      </c>
      <c r="H957" s="70"/>
      <c r="P957" s="70">
        <f t="shared" si="14"/>
        <v>0</v>
      </c>
      <c r="Q957" s="70" cm="1">
        <f t="array" ref="Q957">IF(P957=1,IF(SUMPRODUCT(($P$2:P957)*(--($G$2:G957=$G957)))=1,1,0),0)</f>
        <v>0</v>
      </c>
      <c r="R957" s="70" t="str">
        <f>IF(Q957=1,SUM($Q$2:Q957),"")</f>
        <v/>
      </c>
    </row>
    <row r="958" spans="1:18" x14ac:dyDescent="0.2">
      <c r="A958" s="73" t="s">
        <v>407</v>
      </c>
      <c r="B958" s="85" t="s">
        <v>1824</v>
      </c>
      <c r="C958" s="74" t="s">
        <v>1810</v>
      </c>
      <c r="D958" s="74" t="s">
        <v>990</v>
      </c>
      <c r="E958" s="78" t="s">
        <v>97</v>
      </c>
      <c r="F958" s="76" t="s">
        <v>1800</v>
      </c>
      <c r="G958" s="76" t="s">
        <v>1271</v>
      </c>
      <c r="H958" s="70"/>
      <c r="P958" s="70">
        <f t="shared" si="14"/>
        <v>0</v>
      </c>
      <c r="Q958" s="70" cm="1">
        <f t="array" ref="Q958">IF(P958=1,IF(SUMPRODUCT(($P$2:P958)*(--($G$2:G958=$G958)))=1,1,0),0)</f>
        <v>0</v>
      </c>
      <c r="R958" s="70" t="str">
        <f>IF(Q958=1,SUM($Q$2:Q958),"")</f>
        <v/>
      </c>
    </row>
    <row r="959" spans="1:18" x14ac:dyDescent="0.2">
      <c r="A959" s="73" t="s">
        <v>407</v>
      </c>
      <c r="B959" s="85" t="s">
        <v>1824</v>
      </c>
      <c r="C959" s="74" t="s">
        <v>1810</v>
      </c>
      <c r="D959" s="74" t="s">
        <v>990</v>
      </c>
      <c r="E959" s="78" t="s">
        <v>97</v>
      </c>
      <c r="F959" s="76" t="s">
        <v>1801</v>
      </c>
      <c r="G959" s="76" t="s">
        <v>1271</v>
      </c>
      <c r="H959" s="70"/>
      <c r="P959" s="70">
        <f t="shared" si="14"/>
        <v>0</v>
      </c>
      <c r="Q959" s="70" cm="1">
        <f t="array" ref="Q959">IF(P959=1,IF(SUMPRODUCT(($P$2:P959)*(--($G$2:G959=$G959)))=1,1,0),0)</f>
        <v>0</v>
      </c>
      <c r="R959" s="70" t="str">
        <f>IF(Q959=1,SUM($Q$2:Q959),"")</f>
        <v/>
      </c>
    </row>
    <row r="960" spans="1:18" x14ac:dyDescent="0.2">
      <c r="A960" s="73" t="s">
        <v>407</v>
      </c>
      <c r="B960" s="85" t="s">
        <v>1824</v>
      </c>
      <c r="C960" s="74" t="s">
        <v>1810</v>
      </c>
      <c r="D960" s="74" t="s">
        <v>990</v>
      </c>
      <c r="E960" s="78" t="s">
        <v>97</v>
      </c>
      <c r="F960" s="76" t="s">
        <v>1802</v>
      </c>
      <c r="G960" s="76" t="s">
        <v>1271</v>
      </c>
      <c r="H960" s="70"/>
      <c r="P960" s="70">
        <f t="shared" si="14"/>
        <v>0</v>
      </c>
      <c r="Q960" s="70" cm="1">
        <f t="array" ref="Q960">IF(P960=1,IF(SUMPRODUCT(($P$2:P960)*(--($G$2:G960=$G960)))=1,1,0),0)</f>
        <v>0</v>
      </c>
      <c r="R960" s="70" t="str">
        <f>IF(Q960=1,SUM($Q$2:Q960),"")</f>
        <v/>
      </c>
    </row>
    <row r="961" spans="1:18" x14ac:dyDescent="0.2">
      <c r="A961" s="73" t="s">
        <v>407</v>
      </c>
      <c r="B961" s="85" t="s">
        <v>1824</v>
      </c>
      <c r="C961" s="74" t="s">
        <v>1810</v>
      </c>
      <c r="D961" s="74" t="s">
        <v>990</v>
      </c>
      <c r="E961" s="78" t="s">
        <v>97</v>
      </c>
      <c r="F961" s="76" t="s">
        <v>1803</v>
      </c>
      <c r="G961" s="76" t="s">
        <v>1271</v>
      </c>
      <c r="H961" s="70"/>
      <c r="P961" s="70">
        <f t="shared" si="14"/>
        <v>0</v>
      </c>
      <c r="Q961" s="70" cm="1">
        <f t="array" ref="Q961">IF(P961=1,IF(SUMPRODUCT(($P$2:P961)*(--($G$2:G961=$G961)))=1,1,0),0)</f>
        <v>0</v>
      </c>
      <c r="R961" s="70" t="str">
        <f>IF(Q961=1,SUM($Q$2:Q961),"")</f>
        <v/>
      </c>
    </row>
    <row r="962" spans="1:18" x14ac:dyDescent="0.2">
      <c r="A962" s="73" t="s">
        <v>407</v>
      </c>
      <c r="B962" s="85" t="s">
        <v>1824</v>
      </c>
      <c r="C962" s="74" t="s">
        <v>1810</v>
      </c>
      <c r="D962" s="74" t="s">
        <v>990</v>
      </c>
      <c r="E962" s="78" t="s">
        <v>97</v>
      </c>
      <c r="F962" s="76" t="s">
        <v>1804</v>
      </c>
      <c r="G962" s="76" t="s">
        <v>1271</v>
      </c>
      <c r="H962" s="70"/>
      <c r="P962" s="70">
        <f t="shared" si="14"/>
        <v>0</v>
      </c>
      <c r="Q962" s="70" cm="1">
        <f t="array" ref="Q962">IF(P962=1,IF(SUMPRODUCT(($P$2:P962)*(--($G$2:G962=$G962)))=1,1,0),0)</f>
        <v>0</v>
      </c>
      <c r="R962" s="70" t="str">
        <f>IF(Q962=1,SUM($Q$2:Q962),"")</f>
        <v/>
      </c>
    </row>
    <row r="963" spans="1:18" x14ac:dyDescent="0.2">
      <c r="A963" s="73" t="s">
        <v>407</v>
      </c>
      <c r="B963" s="85" t="s">
        <v>1824</v>
      </c>
      <c r="C963" s="74" t="s">
        <v>1810</v>
      </c>
      <c r="D963" s="74" t="s">
        <v>990</v>
      </c>
      <c r="E963" s="78" t="s">
        <v>97</v>
      </c>
      <c r="F963" s="76" t="s">
        <v>1805</v>
      </c>
      <c r="G963" s="76" t="s">
        <v>1271</v>
      </c>
      <c r="H963" s="70"/>
      <c r="P963" s="70">
        <f t="shared" ref="P963:P1026" si="15">IF(AND(IF(TRIM($J$2&amp;"")="",TRUE,LEFT($D963,LEN($J$2))=$J$2),IF(TRIM($K$2&amp;"")="",TRUE,$E963=$K$2),IF($L$2="",TRUE,$F963=$L$2)),1,0)</f>
        <v>0</v>
      </c>
      <c r="Q963" s="70" cm="1">
        <f t="array" ref="Q963">IF(P963=1,IF(SUMPRODUCT(($P$2:P963)*(--($G$2:G963=$G963)))=1,1,0),0)</f>
        <v>0</v>
      </c>
      <c r="R963" s="70" t="str">
        <f>IF(Q963=1,SUM($Q$2:Q963),"")</f>
        <v/>
      </c>
    </row>
    <row r="964" spans="1:18" x14ac:dyDescent="0.2">
      <c r="A964" s="73" t="s">
        <v>407</v>
      </c>
      <c r="B964" s="85" t="s">
        <v>1824</v>
      </c>
      <c r="C964" s="74" t="s">
        <v>1810</v>
      </c>
      <c r="D964" s="74" t="s">
        <v>990</v>
      </c>
      <c r="E964" s="78" t="s">
        <v>97</v>
      </c>
      <c r="F964" s="76" t="s">
        <v>1857</v>
      </c>
      <c r="G964" s="76" t="s">
        <v>1271</v>
      </c>
      <c r="H964" s="70"/>
      <c r="P964" s="70">
        <f t="shared" si="15"/>
        <v>0</v>
      </c>
      <c r="Q964" s="70" cm="1">
        <f t="array" ref="Q964">IF(P964=1,IF(SUMPRODUCT(($P$2:P964)*(--($G$2:G964=$G964)))=1,1,0),0)</f>
        <v>0</v>
      </c>
      <c r="R964" s="70" t="str">
        <f>IF(Q964=1,SUM($Q$2:Q964),"")</f>
        <v/>
      </c>
    </row>
    <row r="965" spans="1:18" x14ac:dyDescent="0.2">
      <c r="A965" s="73" t="s">
        <v>407</v>
      </c>
      <c r="B965" s="85" t="s">
        <v>1824</v>
      </c>
      <c r="C965" s="74" t="s">
        <v>1810</v>
      </c>
      <c r="D965" s="74" t="s">
        <v>990</v>
      </c>
      <c r="E965" s="78" t="s">
        <v>97</v>
      </c>
      <c r="F965" s="76" t="s">
        <v>1858</v>
      </c>
      <c r="G965" s="76" t="s">
        <v>1271</v>
      </c>
      <c r="H965" s="70"/>
      <c r="P965" s="70">
        <f t="shared" si="15"/>
        <v>0</v>
      </c>
      <c r="Q965" s="70" cm="1">
        <f t="array" ref="Q965">IF(P965=1,IF(SUMPRODUCT(($P$2:P965)*(--($G$2:G965=$G965)))=1,1,0),0)</f>
        <v>0</v>
      </c>
      <c r="R965" s="70" t="str">
        <f>IF(Q965=1,SUM($Q$2:Q965),"")</f>
        <v/>
      </c>
    </row>
    <row r="966" spans="1:18" x14ac:dyDescent="0.2">
      <c r="A966" s="73" t="s">
        <v>407</v>
      </c>
      <c r="B966" s="85" t="s">
        <v>1824</v>
      </c>
      <c r="C966" s="74" t="s">
        <v>1810</v>
      </c>
      <c r="D966" s="74" t="s">
        <v>990</v>
      </c>
      <c r="E966" s="78" t="s">
        <v>97</v>
      </c>
      <c r="F966" s="76" t="s">
        <v>1859</v>
      </c>
      <c r="G966" s="76" t="s">
        <v>1271</v>
      </c>
      <c r="H966" s="70"/>
      <c r="P966" s="70">
        <f t="shared" si="15"/>
        <v>0</v>
      </c>
      <c r="Q966" s="70" cm="1">
        <f t="array" ref="Q966">IF(P966=1,IF(SUMPRODUCT(($P$2:P966)*(--($G$2:G966=$G966)))=1,1,0),0)</f>
        <v>0</v>
      </c>
      <c r="R966" s="70" t="str">
        <f>IF(Q966=1,SUM($Q$2:Q966),"")</f>
        <v/>
      </c>
    </row>
    <row r="967" spans="1:18" x14ac:dyDescent="0.2">
      <c r="A967" s="73" t="s">
        <v>407</v>
      </c>
      <c r="B967" s="85" t="s">
        <v>1824</v>
      </c>
      <c r="C967" s="74" t="s">
        <v>1810</v>
      </c>
      <c r="D967" s="74" t="s">
        <v>990</v>
      </c>
      <c r="E967" s="78" t="s">
        <v>97</v>
      </c>
      <c r="F967" s="76" t="s">
        <v>1860</v>
      </c>
      <c r="G967" s="76" t="s">
        <v>1271</v>
      </c>
      <c r="H967" s="70"/>
      <c r="P967" s="70">
        <f t="shared" si="15"/>
        <v>0</v>
      </c>
      <c r="Q967" s="70" cm="1">
        <f t="array" ref="Q967">IF(P967=1,IF(SUMPRODUCT(($P$2:P967)*(--($G$2:G967=$G967)))=1,1,0),0)</f>
        <v>0</v>
      </c>
      <c r="R967" s="70" t="str">
        <f>IF(Q967=1,SUM($Q$2:Q967),"")</f>
        <v/>
      </c>
    </row>
    <row r="968" spans="1:18" x14ac:dyDescent="0.2">
      <c r="A968" s="73" t="s">
        <v>407</v>
      </c>
      <c r="B968" s="85" t="s">
        <v>1824</v>
      </c>
      <c r="C968" s="74" t="s">
        <v>1810</v>
      </c>
      <c r="D968" s="74" t="s">
        <v>990</v>
      </c>
      <c r="E968" s="78" t="s">
        <v>97</v>
      </c>
      <c r="F968" s="76" t="s">
        <v>1861</v>
      </c>
      <c r="G968" s="76" t="s">
        <v>1271</v>
      </c>
      <c r="H968" s="70"/>
      <c r="P968" s="70">
        <f t="shared" si="15"/>
        <v>0</v>
      </c>
      <c r="Q968" s="70" cm="1">
        <f t="array" ref="Q968">IF(P968=1,IF(SUMPRODUCT(($P$2:P968)*(--($G$2:G968=$G968)))=1,1,0),0)</f>
        <v>0</v>
      </c>
      <c r="R968" s="70" t="str">
        <f>IF(Q968=1,SUM($Q$2:Q968),"")</f>
        <v/>
      </c>
    </row>
    <row r="969" spans="1:18" ht="16" x14ac:dyDescent="0.2">
      <c r="A969" s="73" t="s">
        <v>407</v>
      </c>
      <c r="B969" s="77" t="s">
        <v>1541</v>
      </c>
      <c r="C969" s="74" t="s">
        <v>1810</v>
      </c>
      <c r="D969" s="74" t="s">
        <v>990</v>
      </c>
      <c r="E969" s="78" t="s">
        <v>120</v>
      </c>
      <c r="F969" s="76" t="s">
        <v>1807</v>
      </c>
      <c r="G969" s="88" t="s">
        <v>1128</v>
      </c>
      <c r="H969" s="70"/>
      <c r="P969" s="70">
        <f t="shared" si="15"/>
        <v>0</v>
      </c>
      <c r="Q969" s="70" cm="1">
        <f t="array" ref="Q969">IF(P969=1,IF(SUMPRODUCT(($P$2:P969)*(--($G$2:G969=$G969)))=1,1,0),0)</f>
        <v>0</v>
      </c>
      <c r="R969" s="70" t="str">
        <f>IF(Q969=1,SUM($Q$2:Q969),"")</f>
        <v/>
      </c>
    </row>
    <row r="970" spans="1:18" ht="16" x14ac:dyDescent="0.2">
      <c r="A970" s="73" t="s">
        <v>407</v>
      </c>
      <c r="B970" s="77" t="s">
        <v>1541</v>
      </c>
      <c r="C970" s="74" t="s">
        <v>1810</v>
      </c>
      <c r="D970" s="74" t="s">
        <v>990</v>
      </c>
      <c r="E970" s="78" t="s">
        <v>120</v>
      </c>
      <c r="F970" s="76" t="s">
        <v>1808</v>
      </c>
      <c r="G970" s="88" t="s">
        <v>1128</v>
      </c>
      <c r="H970" s="70"/>
      <c r="P970" s="70">
        <f t="shared" si="15"/>
        <v>0</v>
      </c>
      <c r="Q970" s="70" cm="1">
        <f t="array" ref="Q970">IF(P970=1,IF(SUMPRODUCT(($P$2:P970)*(--($G$2:G970=$G970)))=1,1,0),0)</f>
        <v>0</v>
      </c>
      <c r="R970" s="70" t="str">
        <f>IF(Q970=1,SUM($Q$2:Q970),"")</f>
        <v/>
      </c>
    </row>
    <row r="971" spans="1:18" ht="16" x14ac:dyDescent="0.2">
      <c r="A971" s="73" t="s">
        <v>407</v>
      </c>
      <c r="B971" s="77" t="s">
        <v>1541</v>
      </c>
      <c r="C971" s="74" t="s">
        <v>1810</v>
      </c>
      <c r="D971" s="74" t="s">
        <v>990</v>
      </c>
      <c r="E971" s="78" t="s">
        <v>120</v>
      </c>
      <c r="F971" s="76" t="s">
        <v>1862</v>
      </c>
      <c r="G971" s="88" t="s">
        <v>1128</v>
      </c>
      <c r="H971" s="70"/>
      <c r="P971" s="70">
        <f t="shared" si="15"/>
        <v>0</v>
      </c>
      <c r="Q971" s="70" cm="1">
        <f t="array" ref="Q971">IF(P971=1,IF(SUMPRODUCT(($P$2:P971)*(--($G$2:G971=$G971)))=1,1,0),0)</f>
        <v>0</v>
      </c>
      <c r="R971" s="70" t="str">
        <f>IF(Q971=1,SUM($Q$2:Q971),"")</f>
        <v/>
      </c>
    </row>
    <row r="972" spans="1:18" ht="16" x14ac:dyDescent="0.2">
      <c r="A972" s="73" t="s">
        <v>407</v>
      </c>
      <c r="B972" s="85" t="s">
        <v>1824</v>
      </c>
      <c r="C972" s="74" t="s">
        <v>1810</v>
      </c>
      <c r="D972" s="74" t="s">
        <v>990</v>
      </c>
      <c r="E972" s="78" t="s">
        <v>97</v>
      </c>
      <c r="F972" s="76" t="s">
        <v>1862</v>
      </c>
      <c r="G972" s="88" t="s">
        <v>617</v>
      </c>
      <c r="H972" s="70"/>
      <c r="P972" s="70">
        <f t="shared" si="15"/>
        <v>0</v>
      </c>
      <c r="Q972" s="70" cm="1">
        <f t="array" ref="Q972">IF(P972=1,IF(SUMPRODUCT(($P$2:P972)*(--($G$2:G972=$G972)))=1,1,0),0)</f>
        <v>0</v>
      </c>
      <c r="R972" s="70" t="str">
        <f>IF(Q972=1,SUM($Q$2:Q972),"")</f>
        <v/>
      </c>
    </row>
    <row r="973" spans="1:18" ht="16" x14ac:dyDescent="0.2">
      <c r="A973" s="73" t="s">
        <v>407</v>
      </c>
      <c r="B973" s="85" t="s">
        <v>1824</v>
      </c>
      <c r="C973" s="74" t="s">
        <v>1810</v>
      </c>
      <c r="D973" s="74" t="s">
        <v>990</v>
      </c>
      <c r="E973" s="78" t="s">
        <v>97</v>
      </c>
      <c r="F973" s="76" t="s">
        <v>1808</v>
      </c>
      <c r="G973" s="88" t="s">
        <v>617</v>
      </c>
      <c r="H973" s="70"/>
      <c r="P973" s="70">
        <f t="shared" si="15"/>
        <v>0</v>
      </c>
      <c r="Q973" s="70" cm="1">
        <f t="array" ref="Q973">IF(P973=1,IF(SUMPRODUCT(($P$2:P973)*(--($G$2:G973=$G973)))=1,1,0),0)</f>
        <v>0</v>
      </c>
      <c r="R973" s="70" t="str">
        <f>IF(Q973=1,SUM($Q$2:Q973),"")</f>
        <v/>
      </c>
    </row>
    <row r="974" spans="1:18" ht="16" x14ac:dyDescent="0.2">
      <c r="A974" s="73" t="s">
        <v>407</v>
      </c>
      <c r="B974" s="85" t="s">
        <v>1824</v>
      </c>
      <c r="C974" s="74" t="s">
        <v>1810</v>
      </c>
      <c r="D974" s="74" t="s">
        <v>990</v>
      </c>
      <c r="E974" s="78" t="s">
        <v>97</v>
      </c>
      <c r="F974" s="76" t="s">
        <v>1863</v>
      </c>
      <c r="G974" s="88" t="s">
        <v>617</v>
      </c>
      <c r="H974" s="70"/>
      <c r="P974" s="70">
        <f t="shared" si="15"/>
        <v>0</v>
      </c>
      <c r="Q974" s="70" cm="1">
        <f t="array" ref="Q974">IF(P974=1,IF(SUMPRODUCT(($P$2:P974)*(--($G$2:G974=$G974)))=1,1,0),0)</f>
        <v>0</v>
      </c>
      <c r="R974" s="70" t="str">
        <f>IF(Q974=1,SUM($Q$2:Q974),"")</f>
        <v/>
      </c>
    </row>
    <row r="975" spans="1:18" ht="16" x14ac:dyDescent="0.2">
      <c r="A975" s="73" t="s">
        <v>407</v>
      </c>
      <c r="B975" s="77" t="s">
        <v>1541</v>
      </c>
      <c r="C975" s="74" t="s">
        <v>1810</v>
      </c>
      <c r="D975" s="74" t="s">
        <v>990</v>
      </c>
      <c r="E975" s="78" t="s">
        <v>113</v>
      </c>
      <c r="F975" s="76" t="s">
        <v>1808</v>
      </c>
      <c r="G975" s="88" t="s">
        <v>1242</v>
      </c>
      <c r="H975" s="70"/>
      <c r="P975" s="70">
        <f t="shared" si="15"/>
        <v>0</v>
      </c>
      <c r="Q975" s="70" cm="1">
        <f t="array" ref="Q975">IF(P975=1,IF(SUMPRODUCT(($P$2:P975)*(--($G$2:G975=$G975)))=1,1,0),0)</f>
        <v>0</v>
      </c>
      <c r="R975" s="70" t="str">
        <f>IF(Q975=1,SUM($Q$2:Q975),"")</f>
        <v/>
      </c>
    </row>
    <row r="976" spans="1:18" ht="16" x14ac:dyDescent="0.2">
      <c r="A976" s="73" t="s">
        <v>407</v>
      </c>
      <c r="B976" s="77" t="s">
        <v>1541</v>
      </c>
      <c r="C976" s="74" t="s">
        <v>1810</v>
      </c>
      <c r="D976" s="74" t="s">
        <v>990</v>
      </c>
      <c r="E976" s="78" t="s">
        <v>113</v>
      </c>
      <c r="F976" s="76" t="s">
        <v>1862</v>
      </c>
      <c r="G976" s="88" t="s">
        <v>1242</v>
      </c>
      <c r="H976" s="70"/>
      <c r="P976" s="70">
        <f t="shared" si="15"/>
        <v>0</v>
      </c>
      <c r="Q976" s="70" cm="1">
        <f t="array" ref="Q976">IF(P976=1,IF(SUMPRODUCT(($P$2:P976)*(--($G$2:G976=$G976)))=1,1,0),0)</f>
        <v>0</v>
      </c>
      <c r="R976" s="70" t="str">
        <f>IF(Q976=1,SUM($Q$2:Q976),"")</f>
        <v/>
      </c>
    </row>
    <row r="977" spans="1:18" ht="16" x14ac:dyDescent="0.2">
      <c r="A977" s="73" t="s">
        <v>407</v>
      </c>
      <c r="B977" s="77" t="s">
        <v>1541</v>
      </c>
      <c r="C977" s="74" t="s">
        <v>1810</v>
      </c>
      <c r="D977" s="74" t="s">
        <v>990</v>
      </c>
      <c r="E977" s="78" t="s">
        <v>97</v>
      </c>
      <c r="F977" s="76" t="s">
        <v>1808</v>
      </c>
      <c r="G977" s="88" t="s">
        <v>1241</v>
      </c>
      <c r="H977" s="70"/>
      <c r="P977" s="70">
        <f t="shared" si="15"/>
        <v>0</v>
      </c>
      <c r="Q977" s="70" cm="1">
        <f t="array" ref="Q977">IF(P977=1,IF(SUMPRODUCT(($P$2:P977)*(--($G$2:G977=$G977)))=1,1,0),0)</f>
        <v>0</v>
      </c>
      <c r="R977" s="70" t="str">
        <f>IF(Q977=1,SUM($Q$2:Q977),"")</f>
        <v/>
      </c>
    </row>
    <row r="978" spans="1:18" ht="16" x14ac:dyDescent="0.2">
      <c r="A978" s="73" t="s">
        <v>407</v>
      </c>
      <c r="B978" s="77" t="s">
        <v>1541</v>
      </c>
      <c r="C978" s="74" t="s">
        <v>1810</v>
      </c>
      <c r="D978" s="74" t="s">
        <v>990</v>
      </c>
      <c r="E978" s="78" t="s">
        <v>97</v>
      </c>
      <c r="F978" s="76" t="s">
        <v>1862</v>
      </c>
      <c r="G978" s="88" t="s">
        <v>1241</v>
      </c>
      <c r="H978" s="70"/>
      <c r="P978" s="70">
        <f t="shared" si="15"/>
        <v>0</v>
      </c>
      <c r="Q978" s="70" cm="1">
        <f t="array" ref="Q978">IF(P978=1,IF(SUMPRODUCT(($P$2:P978)*(--($G$2:G978=$G978)))=1,1,0),0)</f>
        <v>0</v>
      </c>
      <c r="R978" s="70" t="str">
        <f>IF(Q978=1,SUM($Q$2:Q978),"")</f>
        <v/>
      </c>
    </row>
    <row r="979" spans="1:18" ht="16" x14ac:dyDescent="0.2">
      <c r="A979" s="73" t="s">
        <v>407</v>
      </c>
      <c r="B979" s="77" t="s">
        <v>1541</v>
      </c>
      <c r="C979" s="74" t="s">
        <v>1810</v>
      </c>
      <c r="D979" s="74" t="s">
        <v>990</v>
      </c>
      <c r="E979" s="78" t="s">
        <v>138</v>
      </c>
      <c r="F979" s="76" t="s">
        <v>1808</v>
      </c>
      <c r="G979" s="88" t="s">
        <v>1241</v>
      </c>
      <c r="H979" s="70"/>
      <c r="P979" s="70">
        <f t="shared" si="15"/>
        <v>0</v>
      </c>
      <c r="Q979" s="70" cm="1">
        <f t="array" ref="Q979">IF(P979=1,IF(SUMPRODUCT(($P$2:P979)*(--($G$2:G979=$G979)))=1,1,0),0)</f>
        <v>0</v>
      </c>
      <c r="R979" s="70" t="str">
        <f>IF(Q979=1,SUM($Q$2:Q979),"")</f>
        <v/>
      </c>
    </row>
    <row r="980" spans="1:18" ht="16" x14ac:dyDescent="0.2">
      <c r="A980" s="73" t="s">
        <v>407</v>
      </c>
      <c r="B980" s="77" t="s">
        <v>1541</v>
      </c>
      <c r="C980" s="74" t="s">
        <v>1810</v>
      </c>
      <c r="D980" s="74" t="s">
        <v>990</v>
      </c>
      <c r="E980" s="78" t="s">
        <v>138</v>
      </c>
      <c r="F980" s="76" t="s">
        <v>1862</v>
      </c>
      <c r="G980" s="88" t="s">
        <v>1241</v>
      </c>
      <c r="H980" s="70"/>
      <c r="P980" s="70">
        <f t="shared" si="15"/>
        <v>0</v>
      </c>
      <c r="Q980" s="70" cm="1">
        <f t="array" ref="Q980">IF(P980=1,IF(SUMPRODUCT(($P$2:P980)*(--($G$2:G980=$G980)))=1,1,0),0)</f>
        <v>0</v>
      </c>
      <c r="R980" s="70" t="str">
        <f>IF(Q980=1,SUM($Q$2:Q980),"")</f>
        <v/>
      </c>
    </row>
    <row r="981" spans="1:18" ht="16" x14ac:dyDescent="0.2">
      <c r="A981" s="73" t="s">
        <v>1539</v>
      </c>
      <c r="B981" s="85" t="s">
        <v>1544</v>
      </c>
      <c r="C981" s="74" t="s">
        <v>1864</v>
      </c>
      <c r="D981" s="74" t="s">
        <v>988</v>
      </c>
      <c r="E981" s="78" t="s">
        <v>97</v>
      </c>
      <c r="F981" s="76" t="s">
        <v>231</v>
      </c>
      <c r="G981" s="75" t="s">
        <v>585</v>
      </c>
      <c r="H981" s="70"/>
      <c r="P981" s="70">
        <f t="shared" si="15"/>
        <v>0</v>
      </c>
      <c r="Q981" s="70" cm="1">
        <f t="array" ref="Q981">IF(P981=1,IF(SUMPRODUCT(($P$2:P981)*(--($G$2:G981=$G981)))=1,1,0),0)</f>
        <v>0</v>
      </c>
      <c r="R981" s="70" t="str">
        <f>IF(Q981=1,SUM($Q$2:Q981),"")</f>
        <v/>
      </c>
    </row>
    <row r="982" spans="1:18" ht="16" x14ac:dyDescent="0.2">
      <c r="A982" s="73" t="s">
        <v>407</v>
      </c>
      <c r="B982" s="77" t="s">
        <v>1541</v>
      </c>
      <c r="C982" s="74" t="s">
        <v>1864</v>
      </c>
      <c r="D982" s="74" t="s">
        <v>988</v>
      </c>
      <c r="E982" s="78" t="s">
        <v>97</v>
      </c>
      <c r="F982" s="76" t="s">
        <v>407</v>
      </c>
      <c r="G982" s="75" t="s">
        <v>1224</v>
      </c>
      <c r="H982" s="70"/>
      <c r="P982" s="70">
        <f t="shared" si="15"/>
        <v>0</v>
      </c>
      <c r="Q982" s="70" cm="1">
        <f t="array" ref="Q982">IF(P982=1,IF(SUMPRODUCT(($P$2:P982)*(--($G$2:G982=$G982)))=1,1,0),0)</f>
        <v>0</v>
      </c>
      <c r="R982" s="70" t="str">
        <f>IF(Q982=1,SUM($Q$2:Q982),"")</f>
        <v/>
      </c>
    </row>
    <row r="983" spans="1:18" ht="16" x14ac:dyDescent="0.2">
      <c r="A983" s="73" t="s">
        <v>407</v>
      </c>
      <c r="B983" s="77" t="s">
        <v>1541</v>
      </c>
      <c r="C983" s="74" t="s">
        <v>1864</v>
      </c>
      <c r="D983" s="74" t="s">
        <v>988</v>
      </c>
      <c r="E983" s="78" t="s">
        <v>97</v>
      </c>
      <c r="F983" s="76" t="s">
        <v>1780</v>
      </c>
      <c r="G983" s="75" t="s">
        <v>1224</v>
      </c>
      <c r="H983" s="70"/>
      <c r="P983" s="70">
        <f t="shared" si="15"/>
        <v>0</v>
      </c>
      <c r="Q983" s="70" cm="1">
        <f t="array" ref="Q983">IF(P983=1,IF(SUMPRODUCT(($P$2:P983)*(--($G$2:G983=$G983)))=1,1,0),0)</f>
        <v>0</v>
      </c>
      <c r="R983" s="70" t="str">
        <f>IF(Q983=1,SUM($Q$2:Q983),"")</f>
        <v/>
      </c>
    </row>
    <row r="984" spans="1:18" ht="16" x14ac:dyDescent="0.2">
      <c r="A984" s="73" t="s">
        <v>407</v>
      </c>
      <c r="B984" s="77" t="s">
        <v>1541</v>
      </c>
      <c r="C984" s="74" t="s">
        <v>1864</v>
      </c>
      <c r="D984" s="74" t="s">
        <v>988</v>
      </c>
      <c r="E984" s="78" t="s">
        <v>97</v>
      </c>
      <c r="F984" s="76" t="s">
        <v>1781</v>
      </c>
      <c r="G984" s="75" t="s">
        <v>1224</v>
      </c>
      <c r="H984" s="70"/>
      <c r="P984" s="70">
        <f t="shared" si="15"/>
        <v>0</v>
      </c>
      <c r="Q984" s="70" cm="1">
        <f t="array" ref="Q984">IF(P984=1,IF(SUMPRODUCT(($P$2:P984)*(--($G$2:G984=$G984)))=1,1,0),0)</f>
        <v>0</v>
      </c>
      <c r="R984" s="70" t="str">
        <f>IF(Q984=1,SUM($Q$2:Q984),"")</f>
        <v/>
      </c>
    </row>
    <row r="985" spans="1:18" ht="16" x14ac:dyDescent="0.2">
      <c r="A985" s="73" t="s">
        <v>407</v>
      </c>
      <c r="B985" s="77" t="s">
        <v>1541</v>
      </c>
      <c r="C985" s="74" t="s">
        <v>1864</v>
      </c>
      <c r="D985" s="74" t="s">
        <v>988</v>
      </c>
      <c r="E985" s="78" t="s">
        <v>97</v>
      </c>
      <c r="F985" s="76" t="s">
        <v>1841</v>
      </c>
      <c r="G985" s="75" t="s">
        <v>1224</v>
      </c>
      <c r="H985" s="70"/>
      <c r="P985" s="70">
        <f t="shared" si="15"/>
        <v>0</v>
      </c>
      <c r="Q985" s="70" cm="1">
        <f t="array" ref="Q985">IF(P985=1,IF(SUMPRODUCT(($P$2:P985)*(--($G$2:G985=$G985)))=1,1,0),0)</f>
        <v>0</v>
      </c>
      <c r="R985" s="70" t="str">
        <f>IF(Q985=1,SUM($Q$2:Q985),"")</f>
        <v/>
      </c>
    </row>
    <row r="986" spans="1:18" ht="16" x14ac:dyDescent="0.2">
      <c r="A986" s="73" t="s">
        <v>407</v>
      </c>
      <c r="B986" s="77" t="s">
        <v>1541</v>
      </c>
      <c r="C986" s="74" t="s">
        <v>1864</v>
      </c>
      <c r="D986" s="74" t="s">
        <v>988</v>
      </c>
      <c r="E986" s="78" t="s">
        <v>97</v>
      </c>
      <c r="F986" s="76" t="s">
        <v>1842</v>
      </c>
      <c r="G986" s="75" t="s">
        <v>1224</v>
      </c>
      <c r="H986" s="70"/>
      <c r="P986" s="70">
        <f t="shared" si="15"/>
        <v>0</v>
      </c>
      <c r="Q986" s="70" cm="1">
        <f t="array" ref="Q986">IF(P986=1,IF(SUMPRODUCT(($P$2:P986)*(--($G$2:G986=$G986)))=1,1,0),0)</f>
        <v>0</v>
      </c>
      <c r="R986" s="70" t="str">
        <f>IF(Q986=1,SUM($Q$2:Q986),"")</f>
        <v/>
      </c>
    </row>
    <row r="987" spans="1:18" ht="16" x14ac:dyDescent="0.2">
      <c r="A987" s="73" t="s">
        <v>407</v>
      </c>
      <c r="B987" s="77" t="s">
        <v>1541</v>
      </c>
      <c r="C987" s="74" t="s">
        <v>1864</v>
      </c>
      <c r="D987" s="74" t="s">
        <v>988</v>
      </c>
      <c r="E987" s="78" t="s">
        <v>97</v>
      </c>
      <c r="F987" s="76" t="s">
        <v>1783</v>
      </c>
      <c r="G987" s="75" t="s">
        <v>1224</v>
      </c>
      <c r="H987" s="70"/>
      <c r="P987" s="70">
        <f t="shared" si="15"/>
        <v>0</v>
      </c>
      <c r="Q987" s="70" cm="1">
        <f t="array" ref="Q987">IF(P987=1,IF(SUMPRODUCT(($P$2:P987)*(--($G$2:G987=$G987)))=1,1,0),0)</f>
        <v>0</v>
      </c>
      <c r="R987" s="70" t="str">
        <f>IF(Q987=1,SUM($Q$2:Q987),"")</f>
        <v/>
      </c>
    </row>
    <row r="988" spans="1:18" ht="16" x14ac:dyDescent="0.2">
      <c r="A988" s="73" t="s">
        <v>407</v>
      </c>
      <c r="B988" s="77" t="s">
        <v>1541</v>
      </c>
      <c r="C988" s="74" t="s">
        <v>1864</v>
      </c>
      <c r="D988" s="74" t="s">
        <v>988</v>
      </c>
      <c r="E988" s="78" t="s">
        <v>97</v>
      </c>
      <c r="F988" s="76" t="s">
        <v>1843</v>
      </c>
      <c r="G988" s="75" t="s">
        <v>1224</v>
      </c>
      <c r="H988" s="70"/>
      <c r="P988" s="70">
        <f t="shared" si="15"/>
        <v>0</v>
      </c>
      <c r="Q988" s="70" cm="1">
        <f t="array" ref="Q988">IF(P988=1,IF(SUMPRODUCT(($P$2:P988)*(--($G$2:G988=$G988)))=1,1,0),0)</f>
        <v>0</v>
      </c>
      <c r="R988" s="70" t="str">
        <f>IF(Q988=1,SUM($Q$2:Q988),"")</f>
        <v/>
      </c>
    </row>
    <row r="989" spans="1:18" x14ac:dyDescent="0.2">
      <c r="A989" s="73" t="s">
        <v>407</v>
      </c>
      <c r="B989" s="77" t="s">
        <v>1541</v>
      </c>
      <c r="C989" s="74" t="s">
        <v>1864</v>
      </c>
      <c r="D989" s="74" t="s">
        <v>988</v>
      </c>
      <c r="E989" s="78" t="s">
        <v>97</v>
      </c>
      <c r="F989" s="76" t="s">
        <v>1785</v>
      </c>
      <c r="G989" s="76" t="s">
        <v>1225</v>
      </c>
      <c r="H989" s="70"/>
      <c r="P989" s="70">
        <f t="shared" si="15"/>
        <v>0</v>
      </c>
      <c r="Q989" s="70" cm="1">
        <f t="array" ref="Q989">IF(P989=1,IF(SUMPRODUCT(($P$2:P989)*(--($G$2:G989=$G989)))=1,1,0),0)</f>
        <v>0</v>
      </c>
      <c r="R989" s="70" t="str">
        <f>IF(Q989=1,SUM($Q$2:Q989),"")</f>
        <v/>
      </c>
    </row>
    <row r="990" spans="1:18" x14ac:dyDescent="0.2">
      <c r="A990" s="73" t="s">
        <v>407</v>
      </c>
      <c r="B990" s="77" t="s">
        <v>1541</v>
      </c>
      <c r="C990" s="74" t="s">
        <v>1864</v>
      </c>
      <c r="D990" s="74" t="s">
        <v>988</v>
      </c>
      <c r="E990" s="78" t="s">
        <v>97</v>
      </c>
      <c r="F990" s="76" t="s">
        <v>1847</v>
      </c>
      <c r="G990" s="76" t="s">
        <v>1225</v>
      </c>
      <c r="H990" s="70"/>
      <c r="P990" s="70">
        <f t="shared" si="15"/>
        <v>0</v>
      </c>
      <c r="Q990" s="70" cm="1">
        <f t="array" ref="Q990">IF(P990=1,IF(SUMPRODUCT(($P$2:P990)*(--($G$2:G990=$G990)))=1,1,0),0)</f>
        <v>0</v>
      </c>
      <c r="R990" s="70" t="str">
        <f>IF(Q990=1,SUM($Q$2:Q990),"")</f>
        <v/>
      </c>
    </row>
    <row r="991" spans="1:18" x14ac:dyDescent="0.2">
      <c r="A991" s="73" t="s">
        <v>407</v>
      </c>
      <c r="B991" s="77" t="s">
        <v>1541</v>
      </c>
      <c r="C991" s="74" t="s">
        <v>1864</v>
      </c>
      <c r="D991" s="74" t="s">
        <v>988</v>
      </c>
      <c r="E991" s="78" t="s">
        <v>97</v>
      </c>
      <c r="F991" s="76" t="s">
        <v>1786</v>
      </c>
      <c r="G991" s="76" t="s">
        <v>1225</v>
      </c>
      <c r="H991" s="70"/>
      <c r="P991" s="70">
        <f t="shared" si="15"/>
        <v>0</v>
      </c>
      <c r="Q991" s="70" cm="1">
        <f t="array" ref="Q991">IF(P991=1,IF(SUMPRODUCT(($P$2:P991)*(--($G$2:G991=$G991)))=1,1,0),0)</f>
        <v>0</v>
      </c>
      <c r="R991" s="70" t="str">
        <f>IF(Q991=1,SUM($Q$2:Q991),"")</f>
        <v/>
      </c>
    </row>
    <row r="992" spans="1:18" x14ac:dyDescent="0.2">
      <c r="A992" s="73" t="s">
        <v>407</v>
      </c>
      <c r="B992" s="77" t="s">
        <v>1541</v>
      </c>
      <c r="C992" s="74" t="s">
        <v>1864</v>
      </c>
      <c r="D992" s="74" t="s">
        <v>988</v>
      </c>
      <c r="E992" s="78" t="s">
        <v>97</v>
      </c>
      <c r="F992" s="76" t="s">
        <v>1787</v>
      </c>
      <c r="G992" s="76" t="s">
        <v>1225</v>
      </c>
      <c r="H992" s="70"/>
      <c r="P992" s="70">
        <f t="shared" si="15"/>
        <v>0</v>
      </c>
      <c r="Q992" s="70" cm="1">
        <f t="array" ref="Q992">IF(P992=1,IF(SUMPRODUCT(($P$2:P992)*(--($G$2:G992=$G992)))=1,1,0),0)</f>
        <v>0</v>
      </c>
      <c r="R992" s="70" t="str">
        <f>IF(Q992=1,SUM($Q$2:Q992),"")</f>
        <v/>
      </c>
    </row>
    <row r="993" spans="1:18" x14ac:dyDescent="0.2">
      <c r="A993" s="73" t="s">
        <v>407</v>
      </c>
      <c r="B993" s="77" t="s">
        <v>1541</v>
      </c>
      <c r="C993" s="74" t="s">
        <v>1864</v>
      </c>
      <c r="D993" s="74" t="s">
        <v>988</v>
      </c>
      <c r="E993" s="78" t="s">
        <v>97</v>
      </c>
      <c r="F993" s="76" t="s">
        <v>1788</v>
      </c>
      <c r="G993" s="76" t="s">
        <v>1225</v>
      </c>
      <c r="H993" s="70"/>
      <c r="P993" s="70">
        <f t="shared" si="15"/>
        <v>0</v>
      </c>
      <c r="Q993" s="70" cm="1">
        <f t="array" ref="Q993">IF(P993=1,IF(SUMPRODUCT(($P$2:P993)*(--($G$2:G993=$G993)))=1,1,0),0)</f>
        <v>0</v>
      </c>
      <c r="R993" s="70" t="str">
        <f>IF(Q993=1,SUM($Q$2:Q993),"")</f>
        <v/>
      </c>
    </row>
    <row r="994" spans="1:18" x14ac:dyDescent="0.2">
      <c r="A994" s="73" t="s">
        <v>407</v>
      </c>
      <c r="B994" s="77" t="s">
        <v>1541</v>
      </c>
      <c r="C994" s="74" t="s">
        <v>1864</v>
      </c>
      <c r="D994" s="74" t="s">
        <v>988</v>
      </c>
      <c r="E994" s="78" t="s">
        <v>97</v>
      </c>
      <c r="F994" s="76" t="s">
        <v>1789</v>
      </c>
      <c r="G994" s="76" t="s">
        <v>1225</v>
      </c>
      <c r="H994" s="70"/>
      <c r="P994" s="70">
        <f t="shared" si="15"/>
        <v>0</v>
      </c>
      <c r="Q994" s="70" cm="1">
        <f t="array" ref="Q994">IF(P994=1,IF(SUMPRODUCT(($P$2:P994)*(--($G$2:G994=$G994)))=1,1,0),0)</f>
        <v>0</v>
      </c>
      <c r="R994" s="70" t="str">
        <f>IF(Q994=1,SUM($Q$2:Q994),"")</f>
        <v/>
      </c>
    </row>
    <row r="995" spans="1:18" x14ac:dyDescent="0.2">
      <c r="A995" s="73" t="s">
        <v>407</v>
      </c>
      <c r="B995" s="77" t="s">
        <v>1541</v>
      </c>
      <c r="C995" s="74" t="s">
        <v>1864</v>
      </c>
      <c r="D995" s="74" t="s">
        <v>988</v>
      </c>
      <c r="E995" s="78" t="s">
        <v>97</v>
      </c>
      <c r="F995" s="76" t="s">
        <v>1790</v>
      </c>
      <c r="G995" s="76" t="s">
        <v>1225</v>
      </c>
      <c r="H995" s="70"/>
      <c r="P995" s="70">
        <f t="shared" si="15"/>
        <v>0</v>
      </c>
      <c r="Q995" s="70" cm="1">
        <f t="array" ref="Q995">IF(P995=1,IF(SUMPRODUCT(($P$2:P995)*(--($G$2:G995=$G995)))=1,1,0),0)</f>
        <v>0</v>
      </c>
      <c r="R995" s="70" t="str">
        <f>IF(Q995=1,SUM($Q$2:Q995),"")</f>
        <v/>
      </c>
    </row>
    <row r="996" spans="1:18" x14ac:dyDescent="0.2">
      <c r="A996" s="73" t="s">
        <v>407</v>
      </c>
      <c r="B996" s="77" t="s">
        <v>1541</v>
      </c>
      <c r="C996" s="74" t="s">
        <v>1864</v>
      </c>
      <c r="D996" s="74" t="s">
        <v>988</v>
      </c>
      <c r="E996" s="78" t="s">
        <v>97</v>
      </c>
      <c r="F996" s="76" t="s">
        <v>411</v>
      </c>
      <c r="G996" s="76" t="s">
        <v>1226</v>
      </c>
      <c r="H996" s="70"/>
      <c r="P996" s="70">
        <f t="shared" si="15"/>
        <v>0</v>
      </c>
      <c r="Q996" s="70" cm="1">
        <f t="array" ref="Q996">IF(P996=1,IF(SUMPRODUCT(($P$2:P996)*(--($G$2:G996=$G996)))=1,1,0),0)</f>
        <v>0</v>
      </c>
      <c r="R996" s="70" t="str">
        <f>IF(Q996=1,SUM($Q$2:Q996),"")</f>
        <v/>
      </c>
    </row>
    <row r="997" spans="1:18" x14ac:dyDescent="0.2">
      <c r="A997" s="73" t="s">
        <v>407</v>
      </c>
      <c r="B997" s="77" t="s">
        <v>1541</v>
      </c>
      <c r="C997" s="74" t="s">
        <v>1864</v>
      </c>
      <c r="D997" s="74" t="s">
        <v>988</v>
      </c>
      <c r="E997" s="78" t="s">
        <v>97</v>
      </c>
      <c r="F997" s="76" t="s">
        <v>1792</v>
      </c>
      <c r="G997" s="76" t="s">
        <v>1226</v>
      </c>
      <c r="H997" s="70"/>
      <c r="P997" s="70">
        <f t="shared" si="15"/>
        <v>0</v>
      </c>
      <c r="Q997" s="70" cm="1">
        <f t="array" ref="Q997">IF(P997=1,IF(SUMPRODUCT(($P$2:P997)*(--($G$2:G997=$G997)))=1,1,0),0)</f>
        <v>0</v>
      </c>
      <c r="R997" s="70" t="str">
        <f>IF(Q997=1,SUM($Q$2:Q997),"")</f>
        <v/>
      </c>
    </row>
    <row r="998" spans="1:18" x14ac:dyDescent="0.2">
      <c r="A998" s="73" t="s">
        <v>407</v>
      </c>
      <c r="B998" s="77" t="s">
        <v>1541</v>
      </c>
      <c r="C998" s="74" t="s">
        <v>1864</v>
      </c>
      <c r="D998" s="74" t="s">
        <v>988</v>
      </c>
      <c r="E998" s="78" t="s">
        <v>97</v>
      </c>
      <c r="F998" s="76" t="s">
        <v>1793</v>
      </c>
      <c r="G998" s="76" t="s">
        <v>1226</v>
      </c>
      <c r="H998" s="70"/>
      <c r="P998" s="70">
        <f t="shared" si="15"/>
        <v>0</v>
      </c>
      <c r="Q998" s="70" cm="1">
        <f t="array" ref="Q998">IF(P998=1,IF(SUMPRODUCT(($P$2:P998)*(--($G$2:G998=$G998)))=1,1,0),0)</f>
        <v>0</v>
      </c>
      <c r="R998" s="70" t="str">
        <f>IF(Q998=1,SUM($Q$2:Q998),"")</f>
        <v/>
      </c>
    </row>
    <row r="999" spans="1:18" x14ac:dyDescent="0.2">
      <c r="A999" s="73" t="s">
        <v>407</v>
      </c>
      <c r="B999" s="77" t="s">
        <v>1541</v>
      </c>
      <c r="C999" s="74" t="s">
        <v>1864</v>
      </c>
      <c r="D999" s="74" t="s">
        <v>988</v>
      </c>
      <c r="E999" s="78" t="s">
        <v>97</v>
      </c>
      <c r="F999" s="76" t="s">
        <v>1794</v>
      </c>
      <c r="G999" s="76" t="s">
        <v>1226</v>
      </c>
      <c r="H999" s="70"/>
      <c r="P999" s="70">
        <f t="shared" si="15"/>
        <v>0</v>
      </c>
      <c r="Q999" s="70" cm="1">
        <f t="array" ref="Q999">IF(P999=1,IF(SUMPRODUCT(($P$2:P999)*(--($G$2:G999=$G999)))=1,1,0),0)</f>
        <v>0</v>
      </c>
      <c r="R999" s="70" t="str">
        <f>IF(Q999=1,SUM($Q$2:Q999),"")</f>
        <v/>
      </c>
    </row>
    <row r="1000" spans="1:18" x14ac:dyDescent="0.2">
      <c r="A1000" s="73" t="s">
        <v>407</v>
      </c>
      <c r="B1000" s="77" t="s">
        <v>1541</v>
      </c>
      <c r="C1000" s="74" t="s">
        <v>1864</v>
      </c>
      <c r="D1000" s="74" t="s">
        <v>988</v>
      </c>
      <c r="E1000" s="78" t="s">
        <v>97</v>
      </c>
      <c r="F1000" s="76" t="s">
        <v>1795</v>
      </c>
      <c r="G1000" s="76" t="s">
        <v>1226</v>
      </c>
      <c r="H1000" s="70"/>
      <c r="P1000" s="70">
        <f t="shared" si="15"/>
        <v>0</v>
      </c>
      <c r="Q1000" s="70" cm="1">
        <f t="array" ref="Q1000">IF(P1000=1,IF(SUMPRODUCT(($P$2:P1000)*(--($G$2:G1000=$G1000)))=1,1,0),0)</f>
        <v>0</v>
      </c>
      <c r="R1000" s="70" t="str">
        <f>IF(Q1000=1,SUM($Q$2:Q1000),"")</f>
        <v/>
      </c>
    </row>
    <row r="1001" spans="1:18" x14ac:dyDescent="0.2">
      <c r="A1001" s="73" t="s">
        <v>407</v>
      </c>
      <c r="B1001" s="77" t="s">
        <v>1541</v>
      </c>
      <c r="C1001" s="74" t="s">
        <v>1864</v>
      </c>
      <c r="D1001" s="74" t="s">
        <v>988</v>
      </c>
      <c r="E1001" s="78" t="s">
        <v>97</v>
      </c>
      <c r="F1001" s="76" t="s">
        <v>1797</v>
      </c>
      <c r="G1001" s="76" t="s">
        <v>1226</v>
      </c>
      <c r="H1001" s="70"/>
      <c r="P1001" s="70">
        <f t="shared" si="15"/>
        <v>0</v>
      </c>
      <c r="Q1001" s="70" cm="1">
        <f t="array" ref="Q1001">IF(P1001=1,IF(SUMPRODUCT(($P$2:P1001)*(--($G$2:G1001=$G1001)))=1,1,0),0)</f>
        <v>0</v>
      </c>
      <c r="R1001" s="70" t="str">
        <f>IF(Q1001=1,SUM($Q$2:Q1001),"")</f>
        <v/>
      </c>
    </row>
    <row r="1002" spans="1:18" x14ac:dyDescent="0.2">
      <c r="A1002" s="73" t="s">
        <v>407</v>
      </c>
      <c r="B1002" s="77" t="s">
        <v>1541</v>
      </c>
      <c r="C1002" s="74" t="s">
        <v>1864</v>
      </c>
      <c r="D1002" s="74" t="s">
        <v>988</v>
      </c>
      <c r="E1002" s="78" t="s">
        <v>97</v>
      </c>
      <c r="F1002" s="76" t="s">
        <v>1852</v>
      </c>
      <c r="G1002" s="76" t="s">
        <v>1226</v>
      </c>
      <c r="H1002" s="70"/>
      <c r="P1002" s="70">
        <f t="shared" si="15"/>
        <v>0</v>
      </c>
      <c r="Q1002" s="70" cm="1">
        <f t="array" ref="Q1002">IF(P1002=1,IF(SUMPRODUCT(($P$2:P1002)*(--($G$2:G1002=$G1002)))=1,1,0),0)</f>
        <v>0</v>
      </c>
      <c r="R1002" s="70" t="str">
        <f>IF(Q1002=1,SUM($Q$2:Q1002),"")</f>
        <v/>
      </c>
    </row>
    <row r="1003" spans="1:18" x14ac:dyDescent="0.2">
      <c r="A1003" s="73" t="s">
        <v>407</v>
      </c>
      <c r="B1003" s="77" t="s">
        <v>1541</v>
      </c>
      <c r="C1003" s="74" t="s">
        <v>1864</v>
      </c>
      <c r="D1003" s="74" t="s">
        <v>988</v>
      </c>
      <c r="E1003" s="78" t="s">
        <v>97</v>
      </c>
      <c r="F1003" s="76" t="s">
        <v>1798</v>
      </c>
      <c r="G1003" s="76" t="s">
        <v>1226</v>
      </c>
      <c r="H1003" s="70"/>
      <c r="P1003" s="70">
        <f t="shared" si="15"/>
        <v>0</v>
      </c>
      <c r="Q1003" s="70" cm="1">
        <f t="array" ref="Q1003">IF(P1003=1,IF(SUMPRODUCT(($P$2:P1003)*(--($G$2:G1003=$G1003)))=1,1,0),0)</f>
        <v>0</v>
      </c>
      <c r="R1003" s="70" t="str">
        <f>IF(Q1003=1,SUM($Q$2:Q1003),"")</f>
        <v/>
      </c>
    </row>
    <row r="1004" spans="1:18" x14ac:dyDescent="0.2">
      <c r="A1004" s="73" t="s">
        <v>407</v>
      </c>
      <c r="B1004" s="77" t="s">
        <v>1541</v>
      </c>
      <c r="C1004" s="74" t="s">
        <v>1864</v>
      </c>
      <c r="D1004" s="74" t="s">
        <v>988</v>
      </c>
      <c r="E1004" s="78" t="s">
        <v>97</v>
      </c>
      <c r="F1004" s="76" t="s">
        <v>1799</v>
      </c>
      <c r="G1004" s="76" t="s">
        <v>1227</v>
      </c>
      <c r="H1004" s="70"/>
      <c r="P1004" s="70">
        <f t="shared" si="15"/>
        <v>0</v>
      </c>
      <c r="Q1004" s="70" cm="1">
        <f t="array" ref="Q1004">IF(P1004=1,IF(SUMPRODUCT(($P$2:P1004)*(--($G$2:G1004=$G1004)))=1,1,0),0)</f>
        <v>0</v>
      </c>
      <c r="R1004" s="70" t="str">
        <f>IF(Q1004=1,SUM($Q$2:Q1004),"")</f>
        <v/>
      </c>
    </row>
    <row r="1005" spans="1:18" x14ac:dyDescent="0.2">
      <c r="A1005" s="73" t="s">
        <v>407</v>
      </c>
      <c r="B1005" s="77" t="s">
        <v>1541</v>
      </c>
      <c r="C1005" s="74" t="s">
        <v>1864</v>
      </c>
      <c r="D1005" s="74" t="s">
        <v>988</v>
      </c>
      <c r="E1005" s="78" t="s">
        <v>97</v>
      </c>
      <c r="F1005" s="76" t="s">
        <v>1800</v>
      </c>
      <c r="G1005" s="76" t="s">
        <v>1227</v>
      </c>
      <c r="H1005" s="70"/>
      <c r="P1005" s="70">
        <f t="shared" si="15"/>
        <v>0</v>
      </c>
      <c r="Q1005" s="70" cm="1">
        <f t="array" ref="Q1005">IF(P1005=1,IF(SUMPRODUCT(($P$2:P1005)*(--($G$2:G1005=$G1005)))=1,1,0),0)</f>
        <v>0</v>
      </c>
      <c r="R1005" s="70" t="str">
        <f>IF(Q1005=1,SUM($Q$2:Q1005),"")</f>
        <v/>
      </c>
    </row>
    <row r="1006" spans="1:18" x14ac:dyDescent="0.2">
      <c r="A1006" s="73" t="s">
        <v>407</v>
      </c>
      <c r="B1006" s="77" t="s">
        <v>1541</v>
      </c>
      <c r="C1006" s="74" t="s">
        <v>1864</v>
      </c>
      <c r="D1006" s="74" t="s">
        <v>988</v>
      </c>
      <c r="E1006" s="78" t="s">
        <v>97</v>
      </c>
      <c r="F1006" s="76" t="s">
        <v>1801</v>
      </c>
      <c r="G1006" s="76" t="s">
        <v>1227</v>
      </c>
      <c r="H1006" s="70"/>
      <c r="P1006" s="70">
        <f t="shared" si="15"/>
        <v>0</v>
      </c>
      <c r="Q1006" s="70" cm="1">
        <f t="array" ref="Q1006">IF(P1006=1,IF(SUMPRODUCT(($P$2:P1006)*(--($G$2:G1006=$G1006)))=1,1,0),0)</f>
        <v>0</v>
      </c>
      <c r="R1006" s="70" t="str">
        <f>IF(Q1006=1,SUM($Q$2:Q1006),"")</f>
        <v/>
      </c>
    </row>
    <row r="1007" spans="1:18" x14ac:dyDescent="0.2">
      <c r="A1007" s="73" t="s">
        <v>407</v>
      </c>
      <c r="B1007" s="77" t="s">
        <v>1541</v>
      </c>
      <c r="C1007" s="74" t="s">
        <v>1864</v>
      </c>
      <c r="D1007" s="74" t="s">
        <v>988</v>
      </c>
      <c r="E1007" s="78" t="s">
        <v>97</v>
      </c>
      <c r="F1007" s="76" t="s">
        <v>1857</v>
      </c>
      <c r="G1007" s="76" t="s">
        <v>1227</v>
      </c>
      <c r="H1007" s="70"/>
      <c r="P1007" s="70">
        <f t="shared" si="15"/>
        <v>0</v>
      </c>
      <c r="Q1007" s="70" cm="1">
        <f t="array" ref="Q1007">IF(P1007=1,IF(SUMPRODUCT(($P$2:P1007)*(--($G$2:G1007=$G1007)))=1,1,0),0)</f>
        <v>0</v>
      </c>
      <c r="R1007" s="70" t="str">
        <f>IF(Q1007=1,SUM($Q$2:Q1007),"")</f>
        <v/>
      </c>
    </row>
    <row r="1008" spans="1:18" x14ac:dyDescent="0.2">
      <c r="A1008" s="73" t="s">
        <v>407</v>
      </c>
      <c r="B1008" s="77" t="s">
        <v>1541</v>
      </c>
      <c r="C1008" s="74" t="s">
        <v>1864</v>
      </c>
      <c r="D1008" s="74" t="s">
        <v>988</v>
      </c>
      <c r="E1008" s="78" t="s">
        <v>97</v>
      </c>
      <c r="F1008" s="76" t="s">
        <v>1802</v>
      </c>
      <c r="G1008" s="76" t="s">
        <v>1227</v>
      </c>
      <c r="H1008" s="70"/>
      <c r="P1008" s="70">
        <f t="shared" si="15"/>
        <v>0</v>
      </c>
      <c r="Q1008" s="70" cm="1">
        <f t="array" ref="Q1008">IF(P1008=1,IF(SUMPRODUCT(($P$2:P1008)*(--($G$2:G1008=$G1008)))=1,1,0),0)</f>
        <v>0</v>
      </c>
      <c r="R1008" s="70" t="str">
        <f>IF(Q1008=1,SUM($Q$2:Q1008),"")</f>
        <v/>
      </c>
    </row>
    <row r="1009" spans="1:18" x14ac:dyDescent="0.2">
      <c r="A1009" s="73" t="s">
        <v>407</v>
      </c>
      <c r="B1009" s="77" t="s">
        <v>1541</v>
      </c>
      <c r="C1009" s="74" t="s">
        <v>1864</v>
      </c>
      <c r="D1009" s="74" t="s">
        <v>988</v>
      </c>
      <c r="E1009" s="78" t="s">
        <v>97</v>
      </c>
      <c r="F1009" s="76" t="s">
        <v>1803</v>
      </c>
      <c r="G1009" s="76" t="s">
        <v>1227</v>
      </c>
      <c r="H1009" s="70"/>
      <c r="P1009" s="70">
        <f t="shared" si="15"/>
        <v>0</v>
      </c>
      <c r="Q1009" s="70" cm="1">
        <f t="array" ref="Q1009">IF(P1009=1,IF(SUMPRODUCT(($P$2:P1009)*(--($G$2:G1009=$G1009)))=1,1,0),0)</f>
        <v>0</v>
      </c>
      <c r="R1009" s="70" t="str">
        <f>IF(Q1009=1,SUM($Q$2:Q1009),"")</f>
        <v/>
      </c>
    </row>
    <row r="1010" spans="1:18" x14ac:dyDescent="0.2">
      <c r="A1010" s="73" t="s">
        <v>407</v>
      </c>
      <c r="B1010" s="77" t="s">
        <v>1541</v>
      </c>
      <c r="C1010" s="74" t="s">
        <v>1864</v>
      </c>
      <c r="D1010" s="74" t="s">
        <v>988</v>
      </c>
      <c r="E1010" s="78" t="s">
        <v>97</v>
      </c>
      <c r="F1010" s="76" t="s">
        <v>1804</v>
      </c>
      <c r="G1010" s="76" t="s">
        <v>1227</v>
      </c>
      <c r="H1010" s="70"/>
      <c r="P1010" s="70">
        <f t="shared" si="15"/>
        <v>0</v>
      </c>
      <c r="Q1010" s="70" cm="1">
        <f t="array" ref="Q1010">IF(P1010=1,IF(SUMPRODUCT(($P$2:P1010)*(--($G$2:G1010=$G1010)))=1,1,0),0)</f>
        <v>0</v>
      </c>
      <c r="R1010" s="70" t="str">
        <f>IF(Q1010=1,SUM($Q$2:Q1010),"")</f>
        <v/>
      </c>
    </row>
    <row r="1011" spans="1:18" x14ac:dyDescent="0.2">
      <c r="A1011" s="73" t="s">
        <v>1539</v>
      </c>
      <c r="B1011" s="85" t="s">
        <v>1544</v>
      </c>
      <c r="C1011" s="74" t="s">
        <v>1865</v>
      </c>
      <c r="D1011" s="74" t="s">
        <v>991</v>
      </c>
      <c r="E1011" s="78" t="s">
        <v>97</v>
      </c>
      <c r="F1011" s="76" t="s">
        <v>231</v>
      </c>
      <c r="G1011" s="89" t="s">
        <v>591</v>
      </c>
      <c r="H1011" s="70"/>
      <c r="P1011" s="70">
        <f t="shared" si="15"/>
        <v>0</v>
      </c>
      <c r="Q1011" s="70" cm="1">
        <f t="array" ref="Q1011">IF(P1011=1,IF(SUMPRODUCT(($P$2:P1011)*(--($G$2:G1011=$G1011)))=1,1,0),0)</f>
        <v>0</v>
      </c>
      <c r="R1011" s="70" t="str">
        <f>IF(Q1011=1,SUM($Q$2:Q1011),"")</f>
        <v/>
      </c>
    </row>
    <row r="1012" spans="1:18" ht="16" x14ac:dyDescent="0.2">
      <c r="A1012" s="73" t="s">
        <v>285</v>
      </c>
      <c r="B1012" s="77" t="s">
        <v>1541</v>
      </c>
      <c r="C1012" s="74" t="s">
        <v>1865</v>
      </c>
      <c r="D1012" s="74" t="s">
        <v>991</v>
      </c>
      <c r="E1012" s="78" t="s">
        <v>106</v>
      </c>
      <c r="F1012" s="76" t="s">
        <v>285</v>
      </c>
      <c r="G1012" s="75" t="s">
        <v>593</v>
      </c>
      <c r="H1012" s="70"/>
      <c r="P1012" s="70">
        <f t="shared" si="15"/>
        <v>0</v>
      </c>
      <c r="Q1012" s="70" cm="1">
        <f t="array" ref="Q1012">IF(P1012=1,IF(SUMPRODUCT(($P$2:P1012)*(--($G$2:G1012=$G1012)))=1,1,0),0)</f>
        <v>0</v>
      </c>
      <c r="R1012" s="70" t="str">
        <f>IF(Q1012=1,SUM($Q$2:Q1012),"")</f>
        <v/>
      </c>
    </row>
    <row r="1013" spans="1:18" ht="16" x14ac:dyDescent="0.2">
      <c r="A1013" s="73" t="s">
        <v>285</v>
      </c>
      <c r="B1013" s="77" t="s">
        <v>1541</v>
      </c>
      <c r="C1013" s="74" t="s">
        <v>1865</v>
      </c>
      <c r="D1013" s="74" t="s">
        <v>991</v>
      </c>
      <c r="E1013" s="78" t="s">
        <v>106</v>
      </c>
      <c r="F1013" s="76" t="s">
        <v>289</v>
      </c>
      <c r="G1013" s="75" t="s">
        <v>593</v>
      </c>
      <c r="H1013" s="70"/>
      <c r="P1013" s="70">
        <f t="shared" si="15"/>
        <v>0</v>
      </c>
      <c r="Q1013" s="70" cm="1">
        <f t="array" ref="Q1013">IF(P1013=1,IF(SUMPRODUCT(($P$2:P1013)*(--($G$2:G1013=$G1013)))=1,1,0),0)</f>
        <v>0</v>
      </c>
      <c r="R1013" s="70" t="str">
        <f>IF(Q1013=1,SUM($Q$2:Q1013),"")</f>
        <v/>
      </c>
    </row>
    <row r="1014" spans="1:18" ht="16" x14ac:dyDescent="0.2">
      <c r="A1014" s="73" t="s">
        <v>285</v>
      </c>
      <c r="B1014" s="77" t="s">
        <v>1541</v>
      </c>
      <c r="C1014" s="74" t="s">
        <v>1865</v>
      </c>
      <c r="D1014" s="74" t="s">
        <v>991</v>
      </c>
      <c r="E1014" s="78" t="s">
        <v>106</v>
      </c>
      <c r="F1014" s="76" t="s">
        <v>1593</v>
      </c>
      <c r="G1014" s="75" t="s">
        <v>593</v>
      </c>
      <c r="H1014" s="70"/>
      <c r="P1014" s="70">
        <f t="shared" si="15"/>
        <v>0</v>
      </c>
      <c r="Q1014" s="70" cm="1">
        <f t="array" ref="Q1014">IF(P1014=1,IF(SUMPRODUCT(($P$2:P1014)*(--($G$2:G1014=$G1014)))=1,1,0),0)</f>
        <v>0</v>
      </c>
      <c r="R1014" s="70" t="str">
        <f>IF(Q1014=1,SUM($Q$2:Q1014),"")</f>
        <v/>
      </c>
    </row>
    <row r="1015" spans="1:18" ht="16" x14ac:dyDescent="0.2">
      <c r="A1015" s="73" t="s">
        <v>285</v>
      </c>
      <c r="B1015" s="77" t="s">
        <v>1541</v>
      </c>
      <c r="C1015" s="74" t="s">
        <v>1865</v>
      </c>
      <c r="D1015" s="74" t="s">
        <v>991</v>
      </c>
      <c r="E1015" s="78" t="s">
        <v>106</v>
      </c>
      <c r="F1015" s="76" t="s">
        <v>1594</v>
      </c>
      <c r="G1015" s="75" t="s">
        <v>593</v>
      </c>
      <c r="H1015" s="70"/>
      <c r="P1015" s="70">
        <f t="shared" si="15"/>
        <v>0</v>
      </c>
      <c r="Q1015" s="70" cm="1">
        <f t="array" ref="Q1015">IF(P1015=1,IF(SUMPRODUCT(($P$2:P1015)*(--($G$2:G1015=$G1015)))=1,1,0),0)</f>
        <v>0</v>
      </c>
      <c r="R1015" s="70" t="str">
        <f>IF(Q1015=1,SUM($Q$2:Q1015),"")</f>
        <v/>
      </c>
    </row>
    <row r="1016" spans="1:18" ht="16" x14ac:dyDescent="0.2">
      <c r="A1016" s="73" t="s">
        <v>285</v>
      </c>
      <c r="B1016" s="77" t="s">
        <v>1541</v>
      </c>
      <c r="C1016" s="74" t="s">
        <v>1865</v>
      </c>
      <c r="D1016" s="74" t="s">
        <v>991</v>
      </c>
      <c r="E1016" s="78" t="s">
        <v>106</v>
      </c>
      <c r="F1016" s="76" t="s">
        <v>1595</v>
      </c>
      <c r="G1016" s="75" t="s">
        <v>593</v>
      </c>
      <c r="H1016" s="70"/>
      <c r="P1016" s="70">
        <f t="shared" si="15"/>
        <v>0</v>
      </c>
      <c r="Q1016" s="70" cm="1">
        <f t="array" ref="Q1016">IF(P1016=1,IF(SUMPRODUCT(($P$2:P1016)*(--($G$2:G1016=$G1016)))=1,1,0),0)</f>
        <v>0</v>
      </c>
      <c r="R1016" s="70" t="str">
        <f>IF(Q1016=1,SUM($Q$2:Q1016),"")</f>
        <v/>
      </c>
    </row>
    <row r="1017" spans="1:18" ht="16" x14ac:dyDescent="0.2">
      <c r="A1017" s="73" t="s">
        <v>285</v>
      </c>
      <c r="B1017" s="77" t="s">
        <v>1541</v>
      </c>
      <c r="C1017" s="74" t="s">
        <v>1865</v>
      </c>
      <c r="D1017" s="74" t="s">
        <v>991</v>
      </c>
      <c r="E1017" s="78" t="s">
        <v>106</v>
      </c>
      <c r="F1017" s="76" t="s">
        <v>1666</v>
      </c>
      <c r="G1017" s="75" t="s">
        <v>593</v>
      </c>
      <c r="H1017" s="70"/>
      <c r="P1017" s="70">
        <f t="shared" si="15"/>
        <v>0</v>
      </c>
      <c r="Q1017" s="70" cm="1">
        <f t="array" ref="Q1017">IF(P1017=1,IF(SUMPRODUCT(($P$2:P1017)*(--($G$2:G1017=$G1017)))=1,1,0),0)</f>
        <v>0</v>
      </c>
      <c r="R1017" s="70" t="str">
        <f>IF(Q1017=1,SUM($Q$2:Q1017),"")</f>
        <v/>
      </c>
    </row>
    <row r="1018" spans="1:18" ht="16" x14ac:dyDescent="0.2">
      <c r="A1018" s="73" t="s">
        <v>285</v>
      </c>
      <c r="B1018" s="77" t="s">
        <v>1541</v>
      </c>
      <c r="C1018" s="74" t="s">
        <v>1865</v>
      </c>
      <c r="D1018" s="74" t="s">
        <v>991</v>
      </c>
      <c r="E1018" s="78" t="s">
        <v>106</v>
      </c>
      <c r="F1018" s="76" t="s">
        <v>1667</v>
      </c>
      <c r="G1018" s="75" t="s">
        <v>593</v>
      </c>
      <c r="H1018" s="70"/>
      <c r="P1018" s="70">
        <f t="shared" si="15"/>
        <v>0</v>
      </c>
      <c r="Q1018" s="70" cm="1">
        <f t="array" ref="Q1018">IF(P1018=1,IF(SUMPRODUCT(($P$2:P1018)*(--($G$2:G1018=$G1018)))=1,1,0),0)</f>
        <v>0</v>
      </c>
      <c r="R1018" s="70" t="str">
        <f>IF(Q1018=1,SUM($Q$2:Q1018),"")</f>
        <v/>
      </c>
    </row>
    <row r="1019" spans="1:18" ht="16" x14ac:dyDescent="0.2">
      <c r="A1019" s="73" t="s">
        <v>285</v>
      </c>
      <c r="B1019" s="77" t="s">
        <v>1541</v>
      </c>
      <c r="C1019" s="74" t="s">
        <v>1865</v>
      </c>
      <c r="D1019" s="74" t="s">
        <v>991</v>
      </c>
      <c r="E1019" s="78" t="s">
        <v>106</v>
      </c>
      <c r="F1019" s="76" t="s">
        <v>1668</v>
      </c>
      <c r="G1019" s="75" t="s">
        <v>593</v>
      </c>
      <c r="H1019" s="70"/>
      <c r="P1019" s="70">
        <f t="shared" si="15"/>
        <v>0</v>
      </c>
      <c r="Q1019" s="70" cm="1">
        <f t="array" ref="Q1019">IF(P1019=1,IF(SUMPRODUCT(($P$2:P1019)*(--($G$2:G1019=$G1019)))=1,1,0),0)</f>
        <v>0</v>
      </c>
      <c r="R1019" s="70" t="str">
        <f>IF(Q1019=1,SUM($Q$2:Q1019),"")</f>
        <v/>
      </c>
    </row>
    <row r="1020" spans="1:18" ht="16" x14ac:dyDescent="0.2">
      <c r="A1020" s="73" t="s">
        <v>285</v>
      </c>
      <c r="B1020" s="77" t="s">
        <v>1541</v>
      </c>
      <c r="C1020" s="74" t="s">
        <v>1865</v>
      </c>
      <c r="D1020" s="74" t="s">
        <v>991</v>
      </c>
      <c r="E1020" s="78" t="s">
        <v>106</v>
      </c>
      <c r="F1020" s="76" t="s">
        <v>1669</v>
      </c>
      <c r="G1020" s="75" t="s">
        <v>593</v>
      </c>
      <c r="H1020" s="70"/>
      <c r="P1020" s="70">
        <f t="shared" si="15"/>
        <v>0</v>
      </c>
      <c r="Q1020" s="70" cm="1">
        <f t="array" ref="Q1020">IF(P1020=1,IF(SUMPRODUCT(($P$2:P1020)*(--($G$2:G1020=$G1020)))=1,1,0),0)</f>
        <v>0</v>
      </c>
      <c r="R1020" s="70" t="str">
        <f>IF(Q1020=1,SUM($Q$2:Q1020),"")</f>
        <v/>
      </c>
    </row>
    <row r="1021" spans="1:18" ht="16" x14ac:dyDescent="0.2">
      <c r="A1021" s="73" t="s">
        <v>285</v>
      </c>
      <c r="B1021" s="77" t="s">
        <v>1541</v>
      </c>
      <c r="C1021" s="74" t="s">
        <v>1865</v>
      </c>
      <c r="D1021" s="74" t="s">
        <v>991</v>
      </c>
      <c r="E1021" s="78" t="s">
        <v>106</v>
      </c>
      <c r="F1021" s="76" t="s">
        <v>1596</v>
      </c>
      <c r="G1021" s="75" t="s">
        <v>1250</v>
      </c>
      <c r="H1021" s="70"/>
      <c r="P1021" s="70">
        <f t="shared" si="15"/>
        <v>0</v>
      </c>
      <c r="Q1021" s="70" cm="1">
        <f t="array" ref="Q1021">IF(P1021=1,IF(SUMPRODUCT(($P$2:P1021)*(--($G$2:G1021=$G1021)))=1,1,0),0)</f>
        <v>0</v>
      </c>
      <c r="R1021" s="70" t="str">
        <f>IF(Q1021=1,SUM($Q$2:Q1021),"")</f>
        <v/>
      </c>
    </row>
    <row r="1022" spans="1:18" ht="16" x14ac:dyDescent="0.2">
      <c r="A1022" s="73" t="s">
        <v>285</v>
      </c>
      <c r="B1022" s="77" t="s">
        <v>1541</v>
      </c>
      <c r="C1022" s="74" t="s">
        <v>1865</v>
      </c>
      <c r="D1022" s="74" t="s">
        <v>991</v>
      </c>
      <c r="E1022" s="78" t="s">
        <v>106</v>
      </c>
      <c r="F1022" s="76" t="s">
        <v>1597</v>
      </c>
      <c r="G1022" s="75" t="s">
        <v>1250</v>
      </c>
      <c r="H1022" s="70"/>
      <c r="P1022" s="70">
        <f t="shared" si="15"/>
        <v>0</v>
      </c>
      <c r="Q1022" s="70" cm="1">
        <f t="array" ref="Q1022">IF(P1022=1,IF(SUMPRODUCT(($P$2:P1022)*(--($G$2:G1022=$G1022)))=1,1,0),0)</f>
        <v>0</v>
      </c>
      <c r="R1022" s="70" t="str">
        <f>IF(Q1022=1,SUM($Q$2:Q1022),"")</f>
        <v/>
      </c>
    </row>
    <row r="1023" spans="1:18" ht="16" x14ac:dyDescent="0.2">
      <c r="A1023" s="73" t="s">
        <v>285</v>
      </c>
      <c r="B1023" s="77" t="s">
        <v>1541</v>
      </c>
      <c r="C1023" s="74" t="s">
        <v>1865</v>
      </c>
      <c r="D1023" s="74" t="s">
        <v>991</v>
      </c>
      <c r="E1023" s="78" t="s">
        <v>106</v>
      </c>
      <c r="F1023" s="76" t="s">
        <v>1673</v>
      </c>
      <c r="G1023" s="75" t="s">
        <v>1250</v>
      </c>
      <c r="H1023" s="70"/>
      <c r="P1023" s="70">
        <f t="shared" si="15"/>
        <v>0</v>
      </c>
      <c r="Q1023" s="70" cm="1">
        <f t="array" ref="Q1023">IF(P1023=1,IF(SUMPRODUCT(($P$2:P1023)*(--($G$2:G1023=$G1023)))=1,1,0),0)</f>
        <v>0</v>
      </c>
      <c r="R1023" s="70" t="str">
        <f>IF(Q1023=1,SUM($Q$2:Q1023),"")</f>
        <v/>
      </c>
    </row>
    <row r="1024" spans="1:18" ht="16" x14ac:dyDescent="0.2">
      <c r="A1024" s="73" t="s">
        <v>285</v>
      </c>
      <c r="B1024" s="77" t="s">
        <v>1541</v>
      </c>
      <c r="C1024" s="74" t="s">
        <v>1865</v>
      </c>
      <c r="D1024" s="74" t="s">
        <v>991</v>
      </c>
      <c r="E1024" s="78" t="s">
        <v>106</v>
      </c>
      <c r="F1024" s="76" t="s">
        <v>1671</v>
      </c>
      <c r="G1024" s="75" t="s">
        <v>1250</v>
      </c>
      <c r="H1024" s="70"/>
      <c r="P1024" s="70">
        <f t="shared" si="15"/>
        <v>0</v>
      </c>
      <c r="Q1024" s="70" cm="1">
        <f t="array" ref="Q1024">IF(P1024=1,IF(SUMPRODUCT(($P$2:P1024)*(--($G$2:G1024=$G1024)))=1,1,0),0)</f>
        <v>0</v>
      </c>
      <c r="R1024" s="70" t="str">
        <f>IF(Q1024=1,SUM($Q$2:Q1024),"")</f>
        <v/>
      </c>
    </row>
    <row r="1025" spans="1:18" ht="16" x14ac:dyDescent="0.2">
      <c r="A1025" s="73" t="s">
        <v>285</v>
      </c>
      <c r="B1025" s="77" t="s">
        <v>1541</v>
      </c>
      <c r="C1025" s="74" t="s">
        <v>1865</v>
      </c>
      <c r="D1025" s="74" t="s">
        <v>991</v>
      </c>
      <c r="E1025" s="78" t="s">
        <v>106</v>
      </c>
      <c r="F1025" s="76" t="s">
        <v>1672</v>
      </c>
      <c r="G1025" s="75" t="s">
        <v>1250</v>
      </c>
      <c r="H1025" s="70"/>
      <c r="P1025" s="70">
        <f t="shared" si="15"/>
        <v>0</v>
      </c>
      <c r="Q1025" s="70" cm="1">
        <f t="array" ref="Q1025">IF(P1025=1,IF(SUMPRODUCT(($P$2:P1025)*(--($G$2:G1025=$G1025)))=1,1,0),0)</f>
        <v>0</v>
      </c>
      <c r="R1025" s="70" t="str">
        <f>IF(Q1025=1,SUM($Q$2:Q1025),"")</f>
        <v/>
      </c>
    </row>
    <row r="1026" spans="1:18" ht="16" x14ac:dyDescent="0.2">
      <c r="A1026" s="73" t="s">
        <v>285</v>
      </c>
      <c r="B1026" s="77" t="s">
        <v>1541</v>
      </c>
      <c r="C1026" s="74" t="s">
        <v>1865</v>
      </c>
      <c r="D1026" s="74" t="s">
        <v>991</v>
      </c>
      <c r="E1026" s="78" t="s">
        <v>106</v>
      </c>
      <c r="F1026" s="76" t="s">
        <v>1866</v>
      </c>
      <c r="G1026" s="75" t="s">
        <v>1250</v>
      </c>
      <c r="H1026" s="70"/>
      <c r="P1026" s="70">
        <f t="shared" si="15"/>
        <v>0</v>
      </c>
      <c r="Q1026" s="70" cm="1">
        <f t="array" ref="Q1026">IF(P1026=1,IF(SUMPRODUCT(($P$2:P1026)*(--($G$2:G1026=$G1026)))=1,1,0),0)</f>
        <v>0</v>
      </c>
      <c r="R1026" s="70" t="str">
        <f>IF(Q1026=1,SUM($Q$2:Q1026),"")</f>
        <v/>
      </c>
    </row>
    <row r="1027" spans="1:18" ht="16" x14ac:dyDescent="0.2">
      <c r="A1027" s="73" t="s">
        <v>285</v>
      </c>
      <c r="B1027" s="77" t="s">
        <v>1541</v>
      </c>
      <c r="C1027" s="74" t="s">
        <v>1865</v>
      </c>
      <c r="D1027" s="74" t="s">
        <v>991</v>
      </c>
      <c r="E1027" s="78" t="s">
        <v>97</v>
      </c>
      <c r="F1027" s="76" t="s">
        <v>285</v>
      </c>
      <c r="G1027" s="75" t="s">
        <v>1252</v>
      </c>
      <c r="H1027" s="70"/>
      <c r="P1027" s="70">
        <f t="shared" ref="P1027:P1090" si="16">IF(AND(IF(TRIM($J$2&amp;"")="",TRUE,LEFT($D1027,LEN($J$2))=$J$2),IF(TRIM($K$2&amp;"")="",TRUE,$E1027=$K$2),IF($L$2="",TRUE,$F1027=$L$2)),1,0)</f>
        <v>0</v>
      </c>
      <c r="Q1027" s="70" cm="1">
        <f t="array" ref="Q1027">IF(P1027=1,IF(SUMPRODUCT(($P$2:P1027)*(--($G$2:G1027=$G1027)))=1,1,0),0)</f>
        <v>0</v>
      </c>
      <c r="R1027" s="70" t="str">
        <f>IF(Q1027=1,SUM($Q$2:Q1027),"")</f>
        <v/>
      </c>
    </row>
    <row r="1028" spans="1:18" ht="16" x14ac:dyDescent="0.2">
      <c r="A1028" s="73" t="s">
        <v>285</v>
      </c>
      <c r="B1028" s="77" t="s">
        <v>1541</v>
      </c>
      <c r="C1028" s="74" t="s">
        <v>1865</v>
      </c>
      <c r="D1028" s="74" t="s">
        <v>991</v>
      </c>
      <c r="E1028" s="78" t="s">
        <v>97</v>
      </c>
      <c r="F1028" s="76" t="s">
        <v>289</v>
      </c>
      <c r="G1028" s="75" t="s">
        <v>1252</v>
      </c>
      <c r="H1028" s="70"/>
      <c r="P1028" s="70">
        <f t="shared" si="16"/>
        <v>0</v>
      </c>
      <c r="Q1028" s="70" cm="1">
        <f t="array" ref="Q1028">IF(P1028=1,IF(SUMPRODUCT(($P$2:P1028)*(--($G$2:G1028=$G1028)))=1,1,0),0)</f>
        <v>0</v>
      </c>
      <c r="R1028" s="70" t="str">
        <f>IF(Q1028=1,SUM($Q$2:Q1028),"")</f>
        <v/>
      </c>
    </row>
    <row r="1029" spans="1:18" ht="16" x14ac:dyDescent="0.2">
      <c r="A1029" s="73" t="s">
        <v>285</v>
      </c>
      <c r="B1029" s="77" t="s">
        <v>1541</v>
      </c>
      <c r="C1029" s="74" t="s">
        <v>1865</v>
      </c>
      <c r="D1029" s="74" t="s">
        <v>991</v>
      </c>
      <c r="E1029" s="78" t="s">
        <v>97</v>
      </c>
      <c r="F1029" s="76" t="s">
        <v>1593</v>
      </c>
      <c r="G1029" s="75" t="s">
        <v>1252</v>
      </c>
      <c r="H1029" s="70"/>
      <c r="P1029" s="70">
        <f t="shared" si="16"/>
        <v>0</v>
      </c>
      <c r="Q1029" s="70" cm="1">
        <f t="array" ref="Q1029">IF(P1029=1,IF(SUMPRODUCT(($P$2:P1029)*(--($G$2:G1029=$G1029)))=1,1,0),0)</f>
        <v>0</v>
      </c>
      <c r="R1029" s="70" t="str">
        <f>IF(Q1029=1,SUM($Q$2:Q1029),"")</f>
        <v/>
      </c>
    </row>
    <row r="1030" spans="1:18" ht="16" x14ac:dyDescent="0.2">
      <c r="A1030" s="73" t="s">
        <v>285</v>
      </c>
      <c r="B1030" s="77" t="s">
        <v>1541</v>
      </c>
      <c r="C1030" s="74" t="s">
        <v>1865</v>
      </c>
      <c r="D1030" s="74" t="s">
        <v>991</v>
      </c>
      <c r="E1030" s="78" t="s">
        <v>97</v>
      </c>
      <c r="F1030" s="76" t="s">
        <v>1594</v>
      </c>
      <c r="G1030" s="75" t="s">
        <v>1252</v>
      </c>
      <c r="H1030" s="70"/>
      <c r="P1030" s="70">
        <f t="shared" si="16"/>
        <v>0</v>
      </c>
      <c r="Q1030" s="70" cm="1">
        <f t="array" ref="Q1030">IF(P1030=1,IF(SUMPRODUCT(($P$2:P1030)*(--($G$2:G1030=$G1030)))=1,1,0),0)</f>
        <v>0</v>
      </c>
      <c r="R1030" s="70" t="str">
        <f>IF(Q1030=1,SUM($Q$2:Q1030),"")</f>
        <v/>
      </c>
    </row>
    <row r="1031" spans="1:18" ht="16" x14ac:dyDescent="0.2">
      <c r="A1031" s="73" t="s">
        <v>285</v>
      </c>
      <c r="B1031" s="77" t="s">
        <v>1541</v>
      </c>
      <c r="C1031" s="74" t="s">
        <v>1865</v>
      </c>
      <c r="D1031" s="74" t="s">
        <v>991</v>
      </c>
      <c r="E1031" s="78" t="s">
        <v>97</v>
      </c>
      <c r="F1031" s="76" t="s">
        <v>1595</v>
      </c>
      <c r="G1031" s="75" t="s">
        <v>1252</v>
      </c>
      <c r="H1031" s="70"/>
      <c r="P1031" s="70">
        <f t="shared" si="16"/>
        <v>0</v>
      </c>
      <c r="Q1031" s="70" cm="1">
        <f t="array" ref="Q1031">IF(P1031=1,IF(SUMPRODUCT(($P$2:P1031)*(--($G$2:G1031=$G1031)))=1,1,0),0)</f>
        <v>0</v>
      </c>
      <c r="R1031" s="70" t="str">
        <f>IF(Q1031=1,SUM($Q$2:Q1031),"")</f>
        <v/>
      </c>
    </row>
    <row r="1032" spans="1:18" ht="16" x14ac:dyDescent="0.2">
      <c r="A1032" s="73" t="s">
        <v>285</v>
      </c>
      <c r="B1032" s="77" t="s">
        <v>1541</v>
      </c>
      <c r="C1032" s="74" t="s">
        <v>1865</v>
      </c>
      <c r="D1032" s="74" t="s">
        <v>991</v>
      </c>
      <c r="E1032" s="78" t="s">
        <v>138</v>
      </c>
      <c r="F1032" s="76" t="s">
        <v>285</v>
      </c>
      <c r="G1032" s="75" t="s">
        <v>1252</v>
      </c>
      <c r="H1032" s="70"/>
      <c r="P1032" s="70">
        <f t="shared" si="16"/>
        <v>0</v>
      </c>
      <c r="Q1032" s="70" cm="1">
        <f t="array" ref="Q1032">IF(P1032=1,IF(SUMPRODUCT(($P$2:P1032)*(--($G$2:G1032=$G1032)))=1,1,0),0)</f>
        <v>0</v>
      </c>
      <c r="R1032" s="70" t="str">
        <f>IF(Q1032=1,SUM($Q$2:Q1032),"")</f>
        <v/>
      </c>
    </row>
    <row r="1033" spans="1:18" ht="16" x14ac:dyDescent="0.2">
      <c r="A1033" s="73" t="s">
        <v>285</v>
      </c>
      <c r="B1033" s="77" t="s">
        <v>1541</v>
      </c>
      <c r="C1033" s="74" t="s">
        <v>1865</v>
      </c>
      <c r="D1033" s="74" t="s">
        <v>991</v>
      </c>
      <c r="E1033" s="78" t="s">
        <v>138</v>
      </c>
      <c r="F1033" s="76" t="s">
        <v>289</v>
      </c>
      <c r="G1033" s="75" t="s">
        <v>1252</v>
      </c>
      <c r="H1033" s="70"/>
      <c r="P1033" s="70">
        <f t="shared" si="16"/>
        <v>0</v>
      </c>
      <c r="Q1033" s="70" cm="1">
        <f t="array" ref="Q1033">IF(P1033=1,IF(SUMPRODUCT(($P$2:P1033)*(--($G$2:G1033=$G1033)))=1,1,0),0)</f>
        <v>0</v>
      </c>
      <c r="R1033" s="70" t="str">
        <f>IF(Q1033=1,SUM($Q$2:Q1033),"")</f>
        <v/>
      </c>
    </row>
    <row r="1034" spans="1:18" ht="16" x14ac:dyDescent="0.2">
      <c r="A1034" s="73" t="s">
        <v>285</v>
      </c>
      <c r="B1034" s="77" t="s">
        <v>1541</v>
      </c>
      <c r="C1034" s="74" t="s">
        <v>1865</v>
      </c>
      <c r="D1034" s="74" t="s">
        <v>991</v>
      </c>
      <c r="E1034" s="78" t="s">
        <v>138</v>
      </c>
      <c r="F1034" s="76" t="s">
        <v>1593</v>
      </c>
      <c r="G1034" s="75" t="s">
        <v>1252</v>
      </c>
      <c r="H1034" s="70"/>
      <c r="P1034" s="70">
        <f t="shared" si="16"/>
        <v>0</v>
      </c>
      <c r="Q1034" s="70" cm="1">
        <f t="array" ref="Q1034">IF(P1034=1,IF(SUMPRODUCT(($P$2:P1034)*(--($G$2:G1034=$G1034)))=1,1,0),0)</f>
        <v>0</v>
      </c>
      <c r="R1034" s="70" t="str">
        <f>IF(Q1034=1,SUM($Q$2:Q1034),"")</f>
        <v/>
      </c>
    </row>
    <row r="1035" spans="1:18" ht="16" x14ac:dyDescent="0.2">
      <c r="A1035" s="73" t="s">
        <v>285</v>
      </c>
      <c r="B1035" s="77" t="s">
        <v>1541</v>
      </c>
      <c r="C1035" s="74" t="s">
        <v>1865</v>
      </c>
      <c r="D1035" s="74" t="s">
        <v>991</v>
      </c>
      <c r="E1035" s="78" t="s">
        <v>138</v>
      </c>
      <c r="F1035" s="76" t="s">
        <v>1594</v>
      </c>
      <c r="G1035" s="75" t="s">
        <v>1252</v>
      </c>
      <c r="H1035" s="70"/>
      <c r="P1035" s="70">
        <f t="shared" si="16"/>
        <v>0</v>
      </c>
      <c r="Q1035" s="70" cm="1">
        <f t="array" ref="Q1035">IF(P1035=1,IF(SUMPRODUCT(($P$2:P1035)*(--($G$2:G1035=$G1035)))=1,1,0),0)</f>
        <v>0</v>
      </c>
      <c r="R1035" s="70" t="str">
        <f>IF(Q1035=1,SUM($Q$2:Q1035),"")</f>
        <v/>
      </c>
    </row>
    <row r="1036" spans="1:18" ht="16" x14ac:dyDescent="0.2">
      <c r="A1036" s="73" t="s">
        <v>285</v>
      </c>
      <c r="B1036" s="77" t="s">
        <v>1541</v>
      </c>
      <c r="C1036" s="74" t="s">
        <v>1865</v>
      </c>
      <c r="D1036" s="74" t="s">
        <v>991</v>
      </c>
      <c r="E1036" s="78" t="s">
        <v>138</v>
      </c>
      <c r="F1036" s="76" t="s">
        <v>1595</v>
      </c>
      <c r="G1036" s="75" t="s">
        <v>1252</v>
      </c>
      <c r="H1036" s="70"/>
      <c r="P1036" s="70">
        <f t="shared" si="16"/>
        <v>0</v>
      </c>
      <c r="Q1036" s="70" cm="1">
        <f t="array" ref="Q1036">IF(P1036=1,IF(SUMPRODUCT(($P$2:P1036)*(--($G$2:G1036=$G1036)))=1,1,0),0)</f>
        <v>0</v>
      </c>
      <c r="R1036" s="70" t="str">
        <f>IF(Q1036=1,SUM($Q$2:Q1036),"")</f>
        <v/>
      </c>
    </row>
    <row r="1037" spans="1:18" ht="16" x14ac:dyDescent="0.2">
      <c r="A1037" s="73" t="s">
        <v>285</v>
      </c>
      <c r="B1037" s="85" t="s">
        <v>1824</v>
      </c>
      <c r="C1037" s="74" t="s">
        <v>1865</v>
      </c>
      <c r="D1037" s="74" t="s">
        <v>991</v>
      </c>
      <c r="E1037" s="78" t="s">
        <v>97</v>
      </c>
      <c r="F1037" s="76" t="s">
        <v>285</v>
      </c>
      <c r="G1037" s="75" t="s">
        <v>1272</v>
      </c>
      <c r="H1037" s="70"/>
      <c r="P1037" s="70">
        <f t="shared" si="16"/>
        <v>0</v>
      </c>
      <c r="Q1037" s="70" cm="1">
        <f t="array" ref="Q1037">IF(P1037=1,IF(SUMPRODUCT(($P$2:P1037)*(--($G$2:G1037=$G1037)))=1,1,0),0)</f>
        <v>0</v>
      </c>
      <c r="R1037" s="70" t="str">
        <f>IF(Q1037=1,SUM($Q$2:Q1037),"")</f>
        <v/>
      </c>
    </row>
    <row r="1038" spans="1:18" ht="16" x14ac:dyDescent="0.2">
      <c r="A1038" s="73" t="s">
        <v>285</v>
      </c>
      <c r="B1038" s="85" t="s">
        <v>1824</v>
      </c>
      <c r="C1038" s="74" t="s">
        <v>1865</v>
      </c>
      <c r="D1038" s="74" t="s">
        <v>991</v>
      </c>
      <c r="E1038" s="78" t="s">
        <v>97</v>
      </c>
      <c r="F1038" s="76" t="s">
        <v>289</v>
      </c>
      <c r="G1038" s="75" t="s">
        <v>1272</v>
      </c>
      <c r="H1038" s="70"/>
      <c r="P1038" s="70">
        <f t="shared" si="16"/>
        <v>0</v>
      </c>
      <c r="Q1038" s="70" cm="1">
        <f t="array" ref="Q1038">IF(P1038=1,IF(SUMPRODUCT(($P$2:P1038)*(--($G$2:G1038=$G1038)))=1,1,0),0)</f>
        <v>0</v>
      </c>
      <c r="R1038" s="70" t="str">
        <f>IF(Q1038=1,SUM($Q$2:Q1038),"")</f>
        <v/>
      </c>
    </row>
    <row r="1039" spans="1:18" ht="16" x14ac:dyDescent="0.2">
      <c r="A1039" s="73" t="s">
        <v>285</v>
      </c>
      <c r="B1039" s="85" t="s">
        <v>1824</v>
      </c>
      <c r="C1039" s="74" t="s">
        <v>1865</v>
      </c>
      <c r="D1039" s="74" t="s">
        <v>991</v>
      </c>
      <c r="E1039" s="78" t="s">
        <v>97</v>
      </c>
      <c r="F1039" s="76" t="s">
        <v>1823</v>
      </c>
      <c r="G1039" s="75" t="s">
        <v>1272</v>
      </c>
      <c r="H1039" s="70"/>
      <c r="P1039" s="70">
        <f t="shared" si="16"/>
        <v>0</v>
      </c>
      <c r="Q1039" s="70" cm="1">
        <f t="array" ref="Q1039">IF(P1039=1,IF(SUMPRODUCT(($P$2:P1039)*(--($G$2:G1039=$G1039)))=1,1,0),0)</f>
        <v>0</v>
      </c>
      <c r="R1039" s="70" t="str">
        <f>IF(Q1039=1,SUM($Q$2:Q1039),"")</f>
        <v/>
      </c>
    </row>
    <row r="1040" spans="1:18" ht="16" x14ac:dyDescent="0.2">
      <c r="A1040" s="73" t="s">
        <v>285</v>
      </c>
      <c r="B1040" s="85" t="s">
        <v>1824</v>
      </c>
      <c r="C1040" s="74" t="s">
        <v>1865</v>
      </c>
      <c r="D1040" s="74" t="s">
        <v>991</v>
      </c>
      <c r="E1040" s="78" t="s">
        <v>97</v>
      </c>
      <c r="F1040" s="76" t="s">
        <v>1867</v>
      </c>
      <c r="G1040" s="75" t="s">
        <v>1272</v>
      </c>
      <c r="H1040" s="70"/>
      <c r="P1040" s="70">
        <f t="shared" si="16"/>
        <v>0</v>
      </c>
      <c r="Q1040" s="70" cm="1">
        <f t="array" ref="Q1040">IF(P1040=1,IF(SUMPRODUCT(($P$2:P1040)*(--($G$2:G1040=$G1040)))=1,1,0),0)</f>
        <v>0</v>
      </c>
      <c r="R1040" s="70" t="str">
        <f>IF(Q1040=1,SUM($Q$2:Q1040),"")</f>
        <v/>
      </c>
    </row>
    <row r="1041" spans="1:18" ht="16" x14ac:dyDescent="0.2">
      <c r="A1041" s="73" t="s">
        <v>285</v>
      </c>
      <c r="B1041" s="85" t="s">
        <v>1824</v>
      </c>
      <c r="C1041" s="74" t="s">
        <v>1865</v>
      </c>
      <c r="D1041" s="74" t="s">
        <v>991</v>
      </c>
      <c r="E1041" s="78" t="s">
        <v>97</v>
      </c>
      <c r="F1041" s="76" t="s">
        <v>1595</v>
      </c>
      <c r="G1041" s="75" t="s">
        <v>1272</v>
      </c>
      <c r="H1041" s="70"/>
      <c r="P1041" s="70">
        <f t="shared" si="16"/>
        <v>0</v>
      </c>
      <c r="Q1041" s="70" cm="1">
        <f t="array" ref="Q1041">IF(P1041=1,IF(SUMPRODUCT(($P$2:P1041)*(--($G$2:G1041=$G1041)))=1,1,0),0)</f>
        <v>0</v>
      </c>
      <c r="R1041" s="70" t="str">
        <f>IF(Q1041=1,SUM($Q$2:Q1041),"")</f>
        <v/>
      </c>
    </row>
    <row r="1042" spans="1:18" ht="16" x14ac:dyDescent="0.2">
      <c r="A1042" s="73" t="s">
        <v>285</v>
      </c>
      <c r="B1042" s="85" t="s">
        <v>1824</v>
      </c>
      <c r="C1042" s="74" t="s">
        <v>1865</v>
      </c>
      <c r="D1042" s="74" t="s">
        <v>991</v>
      </c>
      <c r="E1042" s="78" t="s">
        <v>138</v>
      </c>
      <c r="F1042" s="76" t="s">
        <v>285</v>
      </c>
      <c r="G1042" s="75" t="s">
        <v>1272</v>
      </c>
      <c r="H1042" s="70"/>
      <c r="P1042" s="70">
        <f t="shared" si="16"/>
        <v>0</v>
      </c>
      <c r="Q1042" s="70" cm="1">
        <f t="array" ref="Q1042">IF(P1042=1,IF(SUMPRODUCT(($P$2:P1042)*(--($G$2:G1042=$G1042)))=1,1,0),0)</f>
        <v>0</v>
      </c>
      <c r="R1042" s="70" t="str">
        <f>IF(Q1042=1,SUM($Q$2:Q1042),"")</f>
        <v/>
      </c>
    </row>
    <row r="1043" spans="1:18" ht="16" x14ac:dyDescent="0.2">
      <c r="A1043" s="73" t="s">
        <v>285</v>
      </c>
      <c r="B1043" s="85" t="s">
        <v>1824</v>
      </c>
      <c r="C1043" s="74" t="s">
        <v>1865</v>
      </c>
      <c r="D1043" s="74" t="s">
        <v>991</v>
      </c>
      <c r="E1043" s="78" t="s">
        <v>138</v>
      </c>
      <c r="F1043" s="76" t="s">
        <v>289</v>
      </c>
      <c r="G1043" s="75" t="s">
        <v>1272</v>
      </c>
      <c r="H1043" s="70"/>
      <c r="P1043" s="70">
        <f t="shared" si="16"/>
        <v>0</v>
      </c>
      <c r="Q1043" s="70" cm="1">
        <f t="array" ref="Q1043">IF(P1043=1,IF(SUMPRODUCT(($P$2:P1043)*(--($G$2:G1043=$G1043)))=1,1,0),0)</f>
        <v>0</v>
      </c>
      <c r="R1043" s="70" t="str">
        <f>IF(Q1043=1,SUM($Q$2:Q1043),"")</f>
        <v/>
      </c>
    </row>
    <row r="1044" spans="1:18" ht="16" x14ac:dyDescent="0.2">
      <c r="A1044" s="73" t="s">
        <v>285</v>
      </c>
      <c r="B1044" s="85" t="s">
        <v>1824</v>
      </c>
      <c r="C1044" s="74" t="s">
        <v>1865</v>
      </c>
      <c r="D1044" s="74" t="s">
        <v>991</v>
      </c>
      <c r="E1044" s="78" t="s">
        <v>138</v>
      </c>
      <c r="F1044" s="76" t="s">
        <v>1823</v>
      </c>
      <c r="G1044" s="75" t="s">
        <v>1272</v>
      </c>
      <c r="H1044" s="70"/>
      <c r="P1044" s="70">
        <f t="shared" si="16"/>
        <v>0</v>
      </c>
      <c r="Q1044" s="70" cm="1">
        <f t="array" ref="Q1044">IF(P1044=1,IF(SUMPRODUCT(($P$2:P1044)*(--($G$2:G1044=$G1044)))=1,1,0),0)</f>
        <v>0</v>
      </c>
      <c r="R1044" s="70" t="str">
        <f>IF(Q1044=1,SUM($Q$2:Q1044),"")</f>
        <v/>
      </c>
    </row>
    <row r="1045" spans="1:18" ht="16" x14ac:dyDescent="0.2">
      <c r="A1045" s="73" t="s">
        <v>285</v>
      </c>
      <c r="B1045" s="85" t="s">
        <v>1824</v>
      </c>
      <c r="C1045" s="74" t="s">
        <v>1865</v>
      </c>
      <c r="D1045" s="74" t="s">
        <v>991</v>
      </c>
      <c r="E1045" s="78" t="s">
        <v>138</v>
      </c>
      <c r="F1045" s="76" t="s">
        <v>1867</v>
      </c>
      <c r="G1045" s="75" t="s">
        <v>1272</v>
      </c>
      <c r="H1045" s="70"/>
      <c r="P1045" s="70">
        <f t="shared" si="16"/>
        <v>0</v>
      </c>
      <c r="Q1045" s="70" cm="1">
        <f t="array" ref="Q1045">IF(P1045=1,IF(SUMPRODUCT(($P$2:P1045)*(--($G$2:G1045=$G1045)))=1,1,0),0)</f>
        <v>0</v>
      </c>
      <c r="R1045" s="70" t="str">
        <f>IF(Q1045=1,SUM($Q$2:Q1045),"")</f>
        <v/>
      </c>
    </row>
    <row r="1046" spans="1:18" ht="16" x14ac:dyDescent="0.2">
      <c r="A1046" s="73" t="s">
        <v>285</v>
      </c>
      <c r="B1046" s="85" t="s">
        <v>1824</v>
      </c>
      <c r="C1046" s="74" t="s">
        <v>1865</v>
      </c>
      <c r="D1046" s="74" t="s">
        <v>991</v>
      </c>
      <c r="E1046" s="78" t="s">
        <v>138</v>
      </c>
      <c r="F1046" s="76" t="s">
        <v>1595</v>
      </c>
      <c r="G1046" s="75" t="s">
        <v>1272</v>
      </c>
      <c r="H1046" s="70"/>
      <c r="P1046" s="70">
        <f t="shared" si="16"/>
        <v>0</v>
      </c>
      <c r="Q1046" s="70" cm="1">
        <f t="array" ref="Q1046">IF(P1046=1,IF(SUMPRODUCT(($P$2:P1046)*(--($G$2:G1046=$G1046)))=1,1,0),0)</f>
        <v>0</v>
      </c>
      <c r="R1046" s="70" t="str">
        <f>IF(Q1046=1,SUM($Q$2:Q1046),"")</f>
        <v/>
      </c>
    </row>
    <row r="1047" spans="1:18" ht="16" x14ac:dyDescent="0.2">
      <c r="A1047" s="73" t="s">
        <v>285</v>
      </c>
      <c r="B1047" s="77" t="s">
        <v>1541</v>
      </c>
      <c r="C1047" s="74" t="s">
        <v>1865</v>
      </c>
      <c r="D1047" s="74" t="s">
        <v>991</v>
      </c>
      <c r="E1047" s="78" t="s">
        <v>97</v>
      </c>
      <c r="F1047" s="76" t="s">
        <v>1596</v>
      </c>
      <c r="G1047" s="75" t="s">
        <v>1251</v>
      </c>
      <c r="H1047" s="70"/>
      <c r="P1047" s="70">
        <f t="shared" si="16"/>
        <v>0</v>
      </c>
      <c r="Q1047" s="70" cm="1">
        <f t="array" ref="Q1047">IF(P1047=1,IF(SUMPRODUCT(($P$2:P1047)*(--($G$2:G1047=$G1047)))=1,1,0),0)</f>
        <v>0</v>
      </c>
      <c r="R1047" s="70" t="str">
        <f>IF(Q1047=1,SUM($Q$2:Q1047),"")</f>
        <v/>
      </c>
    </row>
    <row r="1048" spans="1:18" ht="16" x14ac:dyDescent="0.2">
      <c r="A1048" s="73" t="s">
        <v>285</v>
      </c>
      <c r="B1048" s="77" t="s">
        <v>1541</v>
      </c>
      <c r="C1048" s="74" t="s">
        <v>1865</v>
      </c>
      <c r="D1048" s="74" t="s">
        <v>991</v>
      </c>
      <c r="E1048" s="78" t="s">
        <v>97</v>
      </c>
      <c r="F1048" s="76" t="s">
        <v>1673</v>
      </c>
      <c r="G1048" s="75" t="s">
        <v>1251</v>
      </c>
      <c r="H1048" s="70"/>
      <c r="P1048" s="70">
        <f t="shared" si="16"/>
        <v>0</v>
      </c>
      <c r="Q1048" s="70" cm="1">
        <f t="array" ref="Q1048">IF(P1048=1,IF(SUMPRODUCT(($P$2:P1048)*(--($G$2:G1048=$G1048)))=1,1,0),0)</f>
        <v>0</v>
      </c>
      <c r="R1048" s="70" t="str">
        <f>IF(Q1048=1,SUM($Q$2:Q1048),"")</f>
        <v/>
      </c>
    </row>
    <row r="1049" spans="1:18" ht="16" x14ac:dyDescent="0.2">
      <c r="A1049" s="73" t="s">
        <v>285</v>
      </c>
      <c r="B1049" s="77" t="s">
        <v>1541</v>
      </c>
      <c r="C1049" s="74" t="s">
        <v>1865</v>
      </c>
      <c r="D1049" s="74" t="s">
        <v>991</v>
      </c>
      <c r="E1049" s="78" t="s">
        <v>97</v>
      </c>
      <c r="F1049" s="76" t="s">
        <v>1597</v>
      </c>
      <c r="G1049" s="75" t="s">
        <v>1251</v>
      </c>
      <c r="H1049" s="70"/>
      <c r="P1049" s="70">
        <f t="shared" si="16"/>
        <v>0</v>
      </c>
      <c r="Q1049" s="70" cm="1">
        <f t="array" ref="Q1049">IF(P1049=1,IF(SUMPRODUCT(($P$2:P1049)*(--($G$2:G1049=$G1049)))=1,1,0),0)</f>
        <v>0</v>
      </c>
      <c r="R1049" s="70" t="str">
        <f>IF(Q1049=1,SUM($Q$2:Q1049),"")</f>
        <v/>
      </c>
    </row>
    <row r="1050" spans="1:18" ht="16" x14ac:dyDescent="0.2">
      <c r="A1050" s="73" t="s">
        <v>285</v>
      </c>
      <c r="B1050" s="77" t="s">
        <v>1541</v>
      </c>
      <c r="C1050" s="74" t="s">
        <v>1865</v>
      </c>
      <c r="D1050" s="74" t="s">
        <v>991</v>
      </c>
      <c r="E1050" s="78" t="s">
        <v>97</v>
      </c>
      <c r="F1050" s="76" t="s">
        <v>1596</v>
      </c>
      <c r="G1050" s="75" t="s">
        <v>1251</v>
      </c>
      <c r="H1050" s="70"/>
      <c r="P1050" s="70">
        <f t="shared" si="16"/>
        <v>0</v>
      </c>
      <c r="Q1050" s="70" cm="1">
        <f t="array" ref="Q1050">IF(P1050=1,IF(SUMPRODUCT(($P$2:P1050)*(--($G$2:G1050=$G1050)))=1,1,0),0)</f>
        <v>0</v>
      </c>
      <c r="R1050" s="70" t="str">
        <f>IF(Q1050=1,SUM($Q$2:Q1050),"")</f>
        <v/>
      </c>
    </row>
    <row r="1051" spans="1:18" ht="16" x14ac:dyDescent="0.2">
      <c r="A1051" s="73" t="s">
        <v>285</v>
      </c>
      <c r="B1051" s="77" t="s">
        <v>1541</v>
      </c>
      <c r="C1051" s="74" t="s">
        <v>1865</v>
      </c>
      <c r="D1051" s="74" t="s">
        <v>991</v>
      </c>
      <c r="E1051" s="78" t="s">
        <v>97</v>
      </c>
      <c r="F1051" s="76" t="s">
        <v>1673</v>
      </c>
      <c r="G1051" s="75" t="s">
        <v>1251</v>
      </c>
      <c r="H1051" s="70"/>
      <c r="P1051" s="70">
        <f t="shared" si="16"/>
        <v>0</v>
      </c>
      <c r="Q1051" s="70" cm="1">
        <f t="array" ref="Q1051">IF(P1051=1,IF(SUMPRODUCT(($P$2:P1051)*(--($G$2:G1051=$G1051)))=1,1,0),0)</f>
        <v>0</v>
      </c>
      <c r="R1051" s="70" t="str">
        <f>IF(Q1051=1,SUM($Q$2:Q1051),"")</f>
        <v/>
      </c>
    </row>
    <row r="1052" spans="1:18" ht="16" x14ac:dyDescent="0.2">
      <c r="A1052" s="73" t="s">
        <v>285</v>
      </c>
      <c r="B1052" s="77" t="s">
        <v>1541</v>
      </c>
      <c r="C1052" s="74" t="s">
        <v>1865</v>
      </c>
      <c r="D1052" s="74" t="s">
        <v>991</v>
      </c>
      <c r="E1052" s="78" t="s">
        <v>97</v>
      </c>
      <c r="F1052" s="76" t="s">
        <v>1597</v>
      </c>
      <c r="G1052" s="75" t="s">
        <v>1251</v>
      </c>
      <c r="H1052" s="70"/>
      <c r="P1052" s="70">
        <f t="shared" si="16"/>
        <v>0</v>
      </c>
      <c r="Q1052" s="70" cm="1">
        <f t="array" ref="Q1052">IF(P1052=1,IF(SUMPRODUCT(($P$2:P1052)*(--($G$2:G1052=$G1052)))=1,1,0),0)</f>
        <v>0</v>
      </c>
      <c r="R1052" s="70" t="str">
        <f>IF(Q1052=1,SUM($Q$2:Q1052),"")</f>
        <v/>
      </c>
    </row>
    <row r="1053" spans="1:18" ht="16" x14ac:dyDescent="0.2">
      <c r="A1053" s="73" t="s">
        <v>285</v>
      </c>
      <c r="B1053" s="77" t="s">
        <v>1541</v>
      </c>
      <c r="C1053" s="74" t="s">
        <v>1865</v>
      </c>
      <c r="D1053" s="74" t="s">
        <v>991</v>
      </c>
      <c r="E1053" s="78" t="s">
        <v>97</v>
      </c>
      <c r="F1053" s="76" t="s">
        <v>1819</v>
      </c>
      <c r="G1053" s="75" t="s">
        <v>1253</v>
      </c>
      <c r="H1053" s="70"/>
      <c r="P1053" s="70">
        <f t="shared" si="16"/>
        <v>0</v>
      </c>
      <c r="Q1053" s="70" cm="1">
        <f t="array" ref="Q1053">IF(P1053=1,IF(SUMPRODUCT(($P$2:P1053)*(--($G$2:G1053=$G1053)))=1,1,0),0)</f>
        <v>0</v>
      </c>
      <c r="R1053" s="70" t="str">
        <f>IF(Q1053=1,SUM($Q$2:Q1053),"")</f>
        <v/>
      </c>
    </row>
    <row r="1054" spans="1:18" ht="16" x14ac:dyDescent="0.2">
      <c r="A1054" s="73" t="s">
        <v>285</v>
      </c>
      <c r="B1054" s="77" t="s">
        <v>1541</v>
      </c>
      <c r="C1054" s="74" t="s">
        <v>1865</v>
      </c>
      <c r="D1054" s="74" t="s">
        <v>991</v>
      </c>
      <c r="E1054" s="78" t="s">
        <v>97</v>
      </c>
      <c r="F1054" s="76" t="s">
        <v>1820</v>
      </c>
      <c r="G1054" s="75" t="s">
        <v>1253</v>
      </c>
      <c r="H1054" s="70"/>
      <c r="P1054" s="70">
        <f t="shared" si="16"/>
        <v>0</v>
      </c>
      <c r="Q1054" s="70" cm="1">
        <f t="array" ref="Q1054">IF(P1054=1,IF(SUMPRODUCT(($P$2:P1054)*(--($G$2:G1054=$G1054)))=1,1,0),0)</f>
        <v>0</v>
      </c>
      <c r="R1054" s="70" t="str">
        <f>IF(Q1054=1,SUM($Q$2:Q1054),"")</f>
        <v/>
      </c>
    </row>
    <row r="1055" spans="1:18" ht="16" x14ac:dyDescent="0.2">
      <c r="A1055" s="73" t="s">
        <v>285</v>
      </c>
      <c r="B1055" s="77" t="s">
        <v>1541</v>
      </c>
      <c r="C1055" s="74" t="s">
        <v>1865</v>
      </c>
      <c r="D1055" s="74" t="s">
        <v>991</v>
      </c>
      <c r="E1055" s="78" t="s">
        <v>97</v>
      </c>
      <c r="F1055" s="76" t="s">
        <v>1821</v>
      </c>
      <c r="G1055" s="75" t="s">
        <v>1297</v>
      </c>
      <c r="H1055" s="70"/>
      <c r="P1055" s="70">
        <f t="shared" si="16"/>
        <v>0</v>
      </c>
      <c r="Q1055" s="70" cm="1">
        <f t="array" ref="Q1055">IF(P1055=1,IF(SUMPRODUCT(($P$2:P1055)*(--($G$2:G1055=$G1055)))=1,1,0),0)</f>
        <v>0</v>
      </c>
      <c r="R1055" s="70" t="str">
        <f>IF(Q1055=1,SUM($Q$2:Q1055),"")</f>
        <v/>
      </c>
    </row>
    <row r="1056" spans="1:18" ht="16" x14ac:dyDescent="0.2">
      <c r="A1056" s="73" t="s">
        <v>285</v>
      </c>
      <c r="B1056" s="77" t="s">
        <v>1541</v>
      </c>
      <c r="C1056" s="74" t="s">
        <v>1865</v>
      </c>
      <c r="D1056" s="74" t="s">
        <v>991</v>
      </c>
      <c r="E1056" s="78" t="s">
        <v>97</v>
      </c>
      <c r="F1056" s="76" t="s">
        <v>1822</v>
      </c>
      <c r="G1056" s="75" t="s">
        <v>1297</v>
      </c>
      <c r="H1056" s="70"/>
      <c r="P1056" s="70">
        <f t="shared" si="16"/>
        <v>0</v>
      </c>
      <c r="Q1056" s="70" cm="1">
        <f t="array" ref="Q1056">IF(P1056=1,IF(SUMPRODUCT(($P$2:P1056)*(--($G$2:G1056=$G1056)))=1,1,0),0)</f>
        <v>0</v>
      </c>
      <c r="R1056" s="70" t="str">
        <f>IF(Q1056=1,SUM($Q$2:Q1056),"")</f>
        <v/>
      </c>
    </row>
    <row r="1057" spans="1:18" ht="16" x14ac:dyDescent="0.2">
      <c r="A1057" s="73" t="s">
        <v>407</v>
      </c>
      <c r="B1057" s="77" t="s">
        <v>1541</v>
      </c>
      <c r="C1057" s="74" t="s">
        <v>1865</v>
      </c>
      <c r="D1057" s="74" t="s">
        <v>991</v>
      </c>
      <c r="E1057" s="78" t="s">
        <v>106</v>
      </c>
      <c r="F1057" s="76" t="s">
        <v>1773</v>
      </c>
      <c r="G1057" s="75" t="s">
        <v>1249</v>
      </c>
      <c r="H1057" s="70"/>
      <c r="P1057" s="70">
        <f t="shared" si="16"/>
        <v>0</v>
      </c>
      <c r="Q1057" s="70" cm="1">
        <f t="array" ref="Q1057">IF(P1057=1,IF(SUMPRODUCT(($P$2:P1057)*(--($G$2:G1057=$G1057)))=1,1,0),0)</f>
        <v>0</v>
      </c>
      <c r="R1057" s="70" t="str">
        <f>IF(Q1057=1,SUM($Q$2:Q1057),"")</f>
        <v/>
      </c>
    </row>
    <row r="1058" spans="1:18" ht="16" x14ac:dyDescent="0.2">
      <c r="A1058" s="73" t="s">
        <v>407</v>
      </c>
      <c r="B1058" s="77" t="s">
        <v>1541</v>
      </c>
      <c r="C1058" s="74" t="s">
        <v>1865</v>
      </c>
      <c r="D1058" s="74" t="s">
        <v>991</v>
      </c>
      <c r="E1058" s="78" t="s">
        <v>106</v>
      </c>
      <c r="F1058" s="76" t="s">
        <v>1775</v>
      </c>
      <c r="G1058" s="75" t="s">
        <v>1249</v>
      </c>
      <c r="H1058" s="70"/>
      <c r="P1058" s="70">
        <f t="shared" si="16"/>
        <v>0</v>
      </c>
      <c r="Q1058" s="70" cm="1">
        <f t="array" ref="Q1058">IF(P1058=1,IF(SUMPRODUCT(($P$2:P1058)*(--($G$2:G1058=$G1058)))=1,1,0),0)</f>
        <v>0</v>
      </c>
      <c r="R1058" s="70" t="str">
        <f>IF(Q1058=1,SUM($Q$2:Q1058),"")</f>
        <v/>
      </c>
    </row>
    <row r="1059" spans="1:18" ht="16" x14ac:dyDescent="0.2">
      <c r="A1059" s="73" t="s">
        <v>407</v>
      </c>
      <c r="B1059" s="77" t="s">
        <v>1541</v>
      </c>
      <c r="C1059" s="74" t="s">
        <v>1865</v>
      </c>
      <c r="D1059" s="74" t="s">
        <v>991</v>
      </c>
      <c r="E1059" s="78" t="s">
        <v>106</v>
      </c>
      <c r="F1059" s="76" t="s">
        <v>1774</v>
      </c>
      <c r="G1059" s="75" t="s">
        <v>1249</v>
      </c>
      <c r="H1059" s="70"/>
      <c r="P1059" s="70">
        <f t="shared" si="16"/>
        <v>0</v>
      </c>
      <c r="Q1059" s="70" cm="1">
        <f t="array" ref="Q1059">IF(P1059=1,IF(SUMPRODUCT(($P$2:P1059)*(--($G$2:G1059=$G1059)))=1,1,0),0)</f>
        <v>0</v>
      </c>
      <c r="R1059" s="70" t="str">
        <f>IF(Q1059=1,SUM($Q$2:Q1059),"")</f>
        <v/>
      </c>
    </row>
    <row r="1060" spans="1:18" ht="16" x14ac:dyDescent="0.2">
      <c r="A1060" s="73" t="s">
        <v>407</v>
      </c>
      <c r="B1060" s="77" t="s">
        <v>1541</v>
      </c>
      <c r="C1060" s="74" t="s">
        <v>1865</v>
      </c>
      <c r="D1060" s="74" t="s">
        <v>991</v>
      </c>
      <c r="E1060" s="78" t="s">
        <v>106</v>
      </c>
      <c r="F1060" s="76" t="s">
        <v>1868</v>
      </c>
      <c r="G1060" s="75" t="s">
        <v>1249</v>
      </c>
      <c r="H1060" s="70"/>
      <c r="P1060" s="70">
        <f t="shared" si="16"/>
        <v>0</v>
      </c>
      <c r="Q1060" s="70" cm="1">
        <f t="array" ref="Q1060">IF(P1060=1,IF(SUMPRODUCT(($P$2:P1060)*(--($G$2:G1060=$G1060)))=1,1,0),0)</f>
        <v>0</v>
      </c>
      <c r="R1060" s="70" t="str">
        <f>IF(Q1060=1,SUM($Q$2:Q1060),"")</f>
        <v/>
      </c>
    </row>
    <row r="1061" spans="1:18" ht="16" x14ac:dyDescent="0.2">
      <c r="A1061" s="73" t="s">
        <v>407</v>
      </c>
      <c r="B1061" s="77" t="s">
        <v>1541</v>
      </c>
      <c r="C1061" s="74" t="s">
        <v>1865</v>
      </c>
      <c r="D1061" s="74" t="s">
        <v>991</v>
      </c>
      <c r="E1061" s="78" t="s">
        <v>106</v>
      </c>
      <c r="F1061" s="76" t="s">
        <v>1776</v>
      </c>
      <c r="G1061" s="75" t="s">
        <v>1249</v>
      </c>
      <c r="H1061" s="70"/>
      <c r="P1061" s="70">
        <f t="shared" si="16"/>
        <v>0</v>
      </c>
      <c r="Q1061" s="70" cm="1">
        <f t="array" ref="Q1061">IF(P1061=1,IF(SUMPRODUCT(($P$2:P1061)*(--($G$2:G1061=$G1061)))=1,1,0),0)</f>
        <v>0</v>
      </c>
      <c r="R1061" s="70" t="str">
        <f>IF(Q1061=1,SUM($Q$2:Q1061),"")</f>
        <v/>
      </c>
    </row>
    <row r="1062" spans="1:18" ht="16" x14ac:dyDescent="0.2">
      <c r="A1062" s="73" t="s">
        <v>407</v>
      </c>
      <c r="B1062" s="77" t="s">
        <v>1541</v>
      </c>
      <c r="C1062" s="74" t="s">
        <v>1865</v>
      </c>
      <c r="D1062" s="74" t="s">
        <v>991</v>
      </c>
      <c r="E1062" s="78" t="s">
        <v>106</v>
      </c>
      <c r="F1062" s="76" t="s">
        <v>1777</v>
      </c>
      <c r="G1062" s="75" t="s">
        <v>1249</v>
      </c>
      <c r="H1062" s="70"/>
      <c r="P1062" s="70">
        <f t="shared" si="16"/>
        <v>0</v>
      </c>
      <c r="Q1062" s="70" cm="1">
        <f t="array" ref="Q1062">IF(P1062=1,IF(SUMPRODUCT(($P$2:P1062)*(--($G$2:G1062=$G1062)))=1,1,0),0)</f>
        <v>0</v>
      </c>
      <c r="R1062" s="70" t="str">
        <f>IF(Q1062=1,SUM($Q$2:Q1062),"")</f>
        <v/>
      </c>
    </row>
    <row r="1063" spans="1:18" ht="16" x14ac:dyDescent="0.2">
      <c r="A1063" s="73" t="s">
        <v>407</v>
      </c>
      <c r="B1063" s="77" t="s">
        <v>1541</v>
      </c>
      <c r="C1063" s="74" t="s">
        <v>1865</v>
      </c>
      <c r="D1063" s="74" t="s">
        <v>991</v>
      </c>
      <c r="E1063" s="78" t="s">
        <v>106</v>
      </c>
      <c r="F1063" s="76" t="s">
        <v>1778</v>
      </c>
      <c r="G1063" s="75" t="s">
        <v>1249</v>
      </c>
      <c r="H1063" s="70"/>
      <c r="P1063" s="70">
        <f t="shared" si="16"/>
        <v>0</v>
      </c>
      <c r="Q1063" s="70" cm="1">
        <f t="array" ref="Q1063">IF(P1063=1,IF(SUMPRODUCT(($P$2:P1063)*(--($G$2:G1063=$G1063)))=1,1,0),0)</f>
        <v>0</v>
      </c>
      <c r="R1063" s="70" t="str">
        <f>IF(Q1063=1,SUM($Q$2:Q1063),"")</f>
        <v/>
      </c>
    </row>
    <row r="1064" spans="1:18" ht="16" x14ac:dyDescent="0.2">
      <c r="A1064" s="73" t="s">
        <v>407</v>
      </c>
      <c r="B1064" s="77" t="s">
        <v>1541</v>
      </c>
      <c r="C1064" s="74" t="s">
        <v>1865</v>
      </c>
      <c r="D1064" s="74" t="s">
        <v>991</v>
      </c>
      <c r="E1064" s="78" t="s">
        <v>106</v>
      </c>
      <c r="F1064" s="76" t="s">
        <v>1779</v>
      </c>
      <c r="G1064" s="75" t="s">
        <v>1249</v>
      </c>
      <c r="H1064" s="70"/>
      <c r="P1064" s="70">
        <f t="shared" si="16"/>
        <v>0</v>
      </c>
      <c r="Q1064" s="70" cm="1">
        <f t="array" ref="Q1064">IF(P1064=1,IF(SUMPRODUCT(($P$2:P1064)*(--($G$2:G1064=$G1064)))=1,1,0),0)</f>
        <v>0</v>
      </c>
      <c r="R1064" s="70" t="str">
        <f>IF(Q1064=1,SUM($Q$2:Q1064),"")</f>
        <v/>
      </c>
    </row>
    <row r="1065" spans="1:18" ht="16" x14ac:dyDescent="0.2">
      <c r="A1065" s="73" t="s">
        <v>407</v>
      </c>
      <c r="B1065" s="77" t="s">
        <v>1541</v>
      </c>
      <c r="C1065" s="74" t="s">
        <v>1865</v>
      </c>
      <c r="D1065" s="74" t="s">
        <v>991</v>
      </c>
      <c r="E1065" s="78" t="s">
        <v>106</v>
      </c>
      <c r="F1065" s="76" t="s">
        <v>1773</v>
      </c>
      <c r="G1065" s="75" t="s">
        <v>1249</v>
      </c>
      <c r="H1065" s="70"/>
      <c r="P1065" s="70">
        <f t="shared" si="16"/>
        <v>0</v>
      </c>
      <c r="Q1065" s="70" cm="1">
        <f t="array" ref="Q1065">IF(P1065=1,IF(SUMPRODUCT(($P$2:P1065)*(--($G$2:G1065=$G1065)))=1,1,0),0)</f>
        <v>0</v>
      </c>
      <c r="R1065" s="70" t="str">
        <f>IF(Q1065=1,SUM($Q$2:Q1065),"")</f>
        <v/>
      </c>
    </row>
    <row r="1066" spans="1:18" ht="16" x14ac:dyDescent="0.2">
      <c r="A1066" s="73" t="s">
        <v>407</v>
      </c>
      <c r="B1066" s="77" t="s">
        <v>1541</v>
      </c>
      <c r="C1066" s="74" t="s">
        <v>1865</v>
      </c>
      <c r="D1066" s="74" t="s">
        <v>991</v>
      </c>
      <c r="E1066" s="78" t="s">
        <v>106</v>
      </c>
      <c r="F1066" s="76" t="s">
        <v>1775</v>
      </c>
      <c r="G1066" s="75" t="s">
        <v>1249</v>
      </c>
      <c r="H1066" s="70"/>
      <c r="P1066" s="70">
        <f t="shared" si="16"/>
        <v>0</v>
      </c>
      <c r="Q1066" s="70" cm="1">
        <f t="array" ref="Q1066">IF(P1066=1,IF(SUMPRODUCT(($P$2:P1066)*(--($G$2:G1066=$G1066)))=1,1,0),0)</f>
        <v>0</v>
      </c>
      <c r="R1066" s="70" t="str">
        <f>IF(Q1066=1,SUM($Q$2:Q1066),"")</f>
        <v/>
      </c>
    </row>
    <row r="1067" spans="1:18" ht="16" x14ac:dyDescent="0.2">
      <c r="A1067" s="73" t="s">
        <v>407</v>
      </c>
      <c r="B1067" s="77" t="s">
        <v>1541</v>
      </c>
      <c r="C1067" s="74" t="s">
        <v>1865</v>
      </c>
      <c r="D1067" s="74" t="s">
        <v>991</v>
      </c>
      <c r="E1067" s="78" t="s">
        <v>106</v>
      </c>
      <c r="F1067" s="76" t="s">
        <v>1774</v>
      </c>
      <c r="G1067" s="75" t="s">
        <v>1249</v>
      </c>
      <c r="H1067" s="70"/>
      <c r="P1067" s="70">
        <f t="shared" si="16"/>
        <v>0</v>
      </c>
      <c r="Q1067" s="70" cm="1">
        <f t="array" ref="Q1067">IF(P1067=1,IF(SUMPRODUCT(($P$2:P1067)*(--($G$2:G1067=$G1067)))=1,1,0),0)</f>
        <v>0</v>
      </c>
      <c r="R1067" s="70" t="str">
        <f>IF(Q1067=1,SUM($Q$2:Q1067),"")</f>
        <v/>
      </c>
    </row>
    <row r="1068" spans="1:18" ht="16" x14ac:dyDescent="0.2">
      <c r="A1068" s="73" t="s">
        <v>407</v>
      </c>
      <c r="B1068" s="77" t="s">
        <v>1541</v>
      </c>
      <c r="C1068" s="74" t="s">
        <v>1865</v>
      </c>
      <c r="D1068" s="74" t="s">
        <v>991</v>
      </c>
      <c r="E1068" s="78" t="s">
        <v>106</v>
      </c>
      <c r="F1068" s="76" t="s">
        <v>1868</v>
      </c>
      <c r="G1068" s="75" t="s">
        <v>1249</v>
      </c>
      <c r="H1068" s="70"/>
      <c r="P1068" s="70">
        <f t="shared" si="16"/>
        <v>0</v>
      </c>
      <c r="Q1068" s="70" cm="1">
        <f t="array" ref="Q1068">IF(P1068=1,IF(SUMPRODUCT(($P$2:P1068)*(--($G$2:G1068=$G1068)))=1,1,0),0)</f>
        <v>0</v>
      </c>
      <c r="R1068" s="70" t="str">
        <f>IF(Q1068=1,SUM($Q$2:Q1068),"")</f>
        <v/>
      </c>
    </row>
    <row r="1069" spans="1:18" ht="16" x14ac:dyDescent="0.2">
      <c r="A1069" s="73" t="s">
        <v>407</v>
      </c>
      <c r="B1069" s="77" t="s">
        <v>1541</v>
      </c>
      <c r="C1069" s="74" t="s">
        <v>1865</v>
      </c>
      <c r="D1069" s="74" t="s">
        <v>991</v>
      </c>
      <c r="E1069" s="78" t="s">
        <v>106</v>
      </c>
      <c r="F1069" s="76" t="s">
        <v>1776</v>
      </c>
      <c r="G1069" s="75" t="s">
        <v>1249</v>
      </c>
      <c r="H1069" s="70"/>
      <c r="P1069" s="70">
        <f t="shared" si="16"/>
        <v>0</v>
      </c>
      <c r="Q1069" s="70" cm="1">
        <f t="array" ref="Q1069">IF(P1069=1,IF(SUMPRODUCT(($P$2:P1069)*(--($G$2:G1069=$G1069)))=1,1,0),0)</f>
        <v>0</v>
      </c>
      <c r="R1069" s="70" t="str">
        <f>IF(Q1069=1,SUM($Q$2:Q1069),"")</f>
        <v/>
      </c>
    </row>
    <row r="1070" spans="1:18" ht="16" x14ac:dyDescent="0.2">
      <c r="A1070" s="73" t="s">
        <v>407</v>
      </c>
      <c r="B1070" s="77" t="s">
        <v>1541</v>
      </c>
      <c r="C1070" s="74" t="s">
        <v>1865</v>
      </c>
      <c r="D1070" s="74" t="s">
        <v>991</v>
      </c>
      <c r="E1070" s="78" t="s">
        <v>106</v>
      </c>
      <c r="F1070" s="76" t="s">
        <v>1777</v>
      </c>
      <c r="G1070" s="75" t="s">
        <v>1249</v>
      </c>
      <c r="H1070" s="70"/>
      <c r="P1070" s="70">
        <f t="shared" si="16"/>
        <v>0</v>
      </c>
      <c r="Q1070" s="70" cm="1">
        <f t="array" ref="Q1070">IF(P1070=1,IF(SUMPRODUCT(($P$2:P1070)*(--($G$2:G1070=$G1070)))=1,1,0),0)</f>
        <v>0</v>
      </c>
      <c r="R1070" s="70" t="str">
        <f>IF(Q1070=1,SUM($Q$2:Q1070),"")</f>
        <v/>
      </c>
    </row>
    <row r="1071" spans="1:18" ht="16" x14ac:dyDescent="0.2">
      <c r="A1071" s="73" t="s">
        <v>407</v>
      </c>
      <c r="B1071" s="77" t="s">
        <v>1541</v>
      </c>
      <c r="C1071" s="74" t="s">
        <v>1865</v>
      </c>
      <c r="D1071" s="74" t="s">
        <v>991</v>
      </c>
      <c r="E1071" s="78" t="s">
        <v>106</v>
      </c>
      <c r="F1071" s="76" t="s">
        <v>1778</v>
      </c>
      <c r="G1071" s="75" t="s">
        <v>1249</v>
      </c>
      <c r="H1071" s="70"/>
      <c r="P1071" s="70">
        <f t="shared" si="16"/>
        <v>0</v>
      </c>
      <c r="Q1071" s="70" cm="1">
        <f t="array" ref="Q1071">IF(P1071=1,IF(SUMPRODUCT(($P$2:P1071)*(--($G$2:G1071=$G1071)))=1,1,0),0)</f>
        <v>0</v>
      </c>
      <c r="R1071" s="70" t="str">
        <f>IF(Q1071=1,SUM($Q$2:Q1071),"")</f>
        <v/>
      </c>
    </row>
    <row r="1072" spans="1:18" ht="16" x14ac:dyDescent="0.2">
      <c r="A1072" s="73" t="s">
        <v>407</v>
      </c>
      <c r="B1072" s="77" t="s">
        <v>1541</v>
      </c>
      <c r="C1072" s="74" t="s">
        <v>1865</v>
      </c>
      <c r="D1072" s="74" t="s">
        <v>991</v>
      </c>
      <c r="E1072" s="78" t="s">
        <v>106</v>
      </c>
      <c r="F1072" s="76" t="s">
        <v>1779</v>
      </c>
      <c r="G1072" s="75" t="s">
        <v>1249</v>
      </c>
      <c r="H1072" s="70"/>
      <c r="P1072" s="70">
        <f t="shared" si="16"/>
        <v>0</v>
      </c>
      <c r="Q1072" s="70" cm="1">
        <f t="array" ref="Q1072">IF(P1072=1,IF(SUMPRODUCT(($P$2:P1072)*(--($G$2:G1072=$G1072)))=1,1,0),0)</f>
        <v>0</v>
      </c>
      <c r="R1072" s="70" t="str">
        <f>IF(Q1072=1,SUM($Q$2:Q1072),"")</f>
        <v/>
      </c>
    </row>
    <row r="1073" spans="1:18" ht="16" x14ac:dyDescent="0.2">
      <c r="A1073" s="73" t="s">
        <v>407</v>
      </c>
      <c r="B1073" s="77" t="s">
        <v>1541</v>
      </c>
      <c r="C1073" s="74" t="s">
        <v>1865</v>
      </c>
      <c r="D1073" s="74" t="s">
        <v>991</v>
      </c>
      <c r="E1073" s="78" t="s">
        <v>97</v>
      </c>
      <c r="F1073" s="76" t="s">
        <v>1825</v>
      </c>
      <c r="G1073" s="75" t="s">
        <v>1289</v>
      </c>
      <c r="H1073" s="70"/>
      <c r="P1073" s="70">
        <f t="shared" si="16"/>
        <v>0</v>
      </c>
      <c r="Q1073" s="70" cm="1">
        <f t="array" ref="Q1073">IF(P1073=1,IF(SUMPRODUCT(($P$2:P1073)*(--($G$2:G1073=$G1073)))=1,1,0),0)</f>
        <v>0</v>
      </c>
      <c r="R1073" s="70" t="str">
        <f>IF(Q1073=1,SUM($Q$2:Q1073),"")</f>
        <v/>
      </c>
    </row>
    <row r="1074" spans="1:18" ht="16" x14ac:dyDescent="0.2">
      <c r="A1074" s="73" t="s">
        <v>407</v>
      </c>
      <c r="B1074" s="77" t="s">
        <v>1541</v>
      </c>
      <c r="C1074" s="74" t="s">
        <v>1865</v>
      </c>
      <c r="D1074" s="74" t="s">
        <v>991</v>
      </c>
      <c r="E1074" s="78" t="s">
        <v>97</v>
      </c>
      <c r="F1074" s="76" t="s">
        <v>1833</v>
      </c>
      <c r="G1074" s="75" t="s">
        <v>1298</v>
      </c>
      <c r="H1074" s="70"/>
      <c r="P1074" s="70">
        <f t="shared" si="16"/>
        <v>0</v>
      </c>
      <c r="Q1074" s="70" cm="1">
        <f t="array" ref="Q1074">IF(P1074=1,IF(SUMPRODUCT(($P$2:P1074)*(--($G$2:G1074=$G1074)))=1,1,0),0)</f>
        <v>0</v>
      </c>
      <c r="R1074" s="70" t="str">
        <f>IF(Q1074=1,SUM($Q$2:Q1074),"")</f>
        <v/>
      </c>
    </row>
    <row r="1075" spans="1:18" ht="16" x14ac:dyDescent="0.2">
      <c r="A1075" s="73" t="s">
        <v>407</v>
      </c>
      <c r="B1075" s="77" t="s">
        <v>1541</v>
      </c>
      <c r="C1075" s="74" t="s">
        <v>1865</v>
      </c>
      <c r="D1075" s="74" t="s">
        <v>991</v>
      </c>
      <c r="E1075" s="78" t="s">
        <v>97</v>
      </c>
      <c r="F1075" s="76" t="s">
        <v>1826</v>
      </c>
      <c r="G1075" s="75" t="s">
        <v>1289</v>
      </c>
      <c r="H1075" s="70"/>
      <c r="P1075" s="70">
        <f t="shared" si="16"/>
        <v>0</v>
      </c>
      <c r="Q1075" s="70" cm="1">
        <f t="array" ref="Q1075">IF(P1075=1,IF(SUMPRODUCT(($P$2:P1075)*(--($G$2:G1075=$G1075)))=1,1,0),0)</f>
        <v>0</v>
      </c>
      <c r="R1075" s="70" t="str">
        <f>IF(Q1075=1,SUM($Q$2:Q1075),"")</f>
        <v/>
      </c>
    </row>
    <row r="1076" spans="1:18" ht="16" x14ac:dyDescent="0.2">
      <c r="A1076" s="73" t="s">
        <v>407</v>
      </c>
      <c r="B1076" s="77" t="s">
        <v>1541</v>
      </c>
      <c r="C1076" s="74" t="s">
        <v>1865</v>
      </c>
      <c r="D1076" s="74" t="s">
        <v>991</v>
      </c>
      <c r="E1076" s="78" t="s">
        <v>97</v>
      </c>
      <c r="F1076" s="76" t="s">
        <v>1834</v>
      </c>
      <c r="G1076" s="75" t="s">
        <v>1298</v>
      </c>
      <c r="H1076" s="70"/>
      <c r="P1076" s="70">
        <f t="shared" si="16"/>
        <v>0</v>
      </c>
      <c r="Q1076" s="70" cm="1">
        <f t="array" ref="Q1076">IF(P1076=1,IF(SUMPRODUCT(($P$2:P1076)*(--($G$2:G1076=$G1076)))=1,1,0),0)</f>
        <v>0</v>
      </c>
      <c r="R1076" s="70" t="str">
        <f>IF(Q1076=1,SUM($Q$2:Q1076),"")</f>
        <v/>
      </c>
    </row>
    <row r="1077" spans="1:18" ht="16" x14ac:dyDescent="0.2">
      <c r="A1077" s="73" t="s">
        <v>407</v>
      </c>
      <c r="B1077" s="77" t="s">
        <v>1541</v>
      </c>
      <c r="C1077" s="74" t="s">
        <v>1865</v>
      </c>
      <c r="D1077" s="74" t="s">
        <v>991</v>
      </c>
      <c r="E1077" s="78" t="s">
        <v>97</v>
      </c>
      <c r="F1077" s="76" t="s">
        <v>1829</v>
      </c>
      <c r="G1077" s="75" t="s">
        <v>1290</v>
      </c>
      <c r="H1077" s="70"/>
      <c r="P1077" s="70">
        <f t="shared" si="16"/>
        <v>0</v>
      </c>
      <c r="Q1077" s="70" cm="1">
        <f t="array" ref="Q1077">IF(P1077=1,IF(SUMPRODUCT(($P$2:P1077)*(--($G$2:G1077=$G1077)))=1,1,0),0)</f>
        <v>0</v>
      </c>
      <c r="R1077" s="70" t="str">
        <f>IF(Q1077=1,SUM($Q$2:Q1077),"")</f>
        <v/>
      </c>
    </row>
    <row r="1078" spans="1:18" ht="16" x14ac:dyDescent="0.2">
      <c r="A1078" s="73" t="s">
        <v>407</v>
      </c>
      <c r="B1078" s="77" t="s">
        <v>1541</v>
      </c>
      <c r="C1078" s="74" t="s">
        <v>1865</v>
      </c>
      <c r="D1078" s="74" t="s">
        <v>991</v>
      </c>
      <c r="E1078" s="78" t="s">
        <v>97</v>
      </c>
      <c r="F1078" s="76" t="s">
        <v>1837</v>
      </c>
      <c r="G1078" s="75" t="s">
        <v>1299</v>
      </c>
      <c r="H1078" s="70"/>
      <c r="P1078" s="70">
        <f t="shared" si="16"/>
        <v>0</v>
      </c>
      <c r="Q1078" s="70" cm="1">
        <f t="array" ref="Q1078">IF(P1078=1,IF(SUMPRODUCT(($P$2:P1078)*(--($G$2:G1078=$G1078)))=1,1,0),0)</f>
        <v>0</v>
      </c>
      <c r="R1078" s="70" t="str">
        <f>IF(Q1078=1,SUM($Q$2:Q1078),"")</f>
        <v/>
      </c>
    </row>
    <row r="1079" spans="1:18" ht="16" x14ac:dyDescent="0.2">
      <c r="A1079" s="73" t="s">
        <v>407</v>
      </c>
      <c r="B1079" s="77" t="s">
        <v>1541</v>
      </c>
      <c r="C1079" s="74" t="s">
        <v>1865</v>
      </c>
      <c r="D1079" s="74" t="s">
        <v>991</v>
      </c>
      <c r="E1079" s="78" t="s">
        <v>97</v>
      </c>
      <c r="F1079" s="76" t="s">
        <v>1830</v>
      </c>
      <c r="G1079" s="75" t="s">
        <v>1290</v>
      </c>
      <c r="H1079" s="70"/>
      <c r="P1079" s="70">
        <f t="shared" si="16"/>
        <v>0</v>
      </c>
      <c r="Q1079" s="70" cm="1">
        <f t="array" ref="Q1079">IF(P1079=1,IF(SUMPRODUCT(($P$2:P1079)*(--($G$2:G1079=$G1079)))=1,1,0),0)</f>
        <v>0</v>
      </c>
      <c r="R1079" s="70" t="str">
        <f>IF(Q1079=1,SUM($Q$2:Q1079),"")</f>
        <v/>
      </c>
    </row>
    <row r="1080" spans="1:18" ht="16" x14ac:dyDescent="0.2">
      <c r="A1080" s="73" t="s">
        <v>407</v>
      </c>
      <c r="B1080" s="77" t="s">
        <v>1541</v>
      </c>
      <c r="C1080" s="74" t="s">
        <v>1865</v>
      </c>
      <c r="D1080" s="74" t="s">
        <v>991</v>
      </c>
      <c r="E1080" s="78" t="s">
        <v>97</v>
      </c>
      <c r="F1080" s="76" t="s">
        <v>1838</v>
      </c>
      <c r="G1080" s="75" t="s">
        <v>1299</v>
      </c>
      <c r="H1080" s="70"/>
      <c r="P1080" s="70">
        <f t="shared" si="16"/>
        <v>0</v>
      </c>
      <c r="Q1080" s="70" cm="1">
        <f t="array" ref="Q1080">IF(P1080=1,IF(SUMPRODUCT(($P$2:P1080)*(--($G$2:G1080=$G1080)))=1,1,0),0)</f>
        <v>0</v>
      </c>
      <c r="R1080" s="70" t="str">
        <f>IF(Q1080=1,SUM($Q$2:Q1080),"")</f>
        <v/>
      </c>
    </row>
    <row r="1081" spans="1:18" ht="16" x14ac:dyDescent="0.2">
      <c r="A1081" s="73" t="s">
        <v>407</v>
      </c>
      <c r="B1081" s="77" t="s">
        <v>1541</v>
      </c>
      <c r="C1081" s="74" t="s">
        <v>1865</v>
      </c>
      <c r="D1081" s="74" t="s">
        <v>991</v>
      </c>
      <c r="E1081" s="78" t="s">
        <v>97</v>
      </c>
      <c r="F1081" s="76" t="s">
        <v>1831</v>
      </c>
      <c r="G1081" s="75" t="s">
        <v>1290</v>
      </c>
      <c r="H1081" s="70"/>
      <c r="P1081" s="70">
        <f t="shared" si="16"/>
        <v>0</v>
      </c>
      <c r="Q1081" s="70" cm="1">
        <f t="array" ref="Q1081">IF(P1081=1,IF(SUMPRODUCT(($P$2:P1081)*(--($G$2:G1081=$G1081)))=1,1,0),0)</f>
        <v>0</v>
      </c>
      <c r="R1081" s="70" t="str">
        <f>IF(Q1081=1,SUM($Q$2:Q1081),"")</f>
        <v/>
      </c>
    </row>
    <row r="1082" spans="1:18" ht="16" x14ac:dyDescent="0.2">
      <c r="A1082" s="73" t="s">
        <v>407</v>
      </c>
      <c r="B1082" s="77" t="s">
        <v>1541</v>
      </c>
      <c r="C1082" s="74" t="s">
        <v>1865</v>
      </c>
      <c r="D1082" s="74" t="s">
        <v>991</v>
      </c>
      <c r="E1082" s="78" t="s">
        <v>97</v>
      </c>
      <c r="F1082" s="76" t="s">
        <v>1839</v>
      </c>
      <c r="G1082" s="75" t="s">
        <v>1299</v>
      </c>
      <c r="H1082" s="70"/>
      <c r="P1082" s="70">
        <f t="shared" si="16"/>
        <v>0</v>
      </c>
      <c r="Q1082" s="70" cm="1">
        <f t="array" ref="Q1082">IF(P1082=1,IF(SUMPRODUCT(($P$2:P1082)*(--($G$2:G1082=$G1082)))=1,1,0),0)</f>
        <v>0</v>
      </c>
      <c r="R1082" s="70" t="str">
        <f>IF(Q1082=1,SUM($Q$2:Q1082),"")</f>
        <v/>
      </c>
    </row>
    <row r="1083" spans="1:18" ht="16" x14ac:dyDescent="0.2">
      <c r="A1083" s="73" t="s">
        <v>407</v>
      </c>
      <c r="B1083" s="77" t="s">
        <v>1541</v>
      </c>
      <c r="C1083" s="74" t="s">
        <v>1865</v>
      </c>
      <c r="D1083" s="74" t="s">
        <v>991</v>
      </c>
      <c r="E1083" s="78" t="s">
        <v>97</v>
      </c>
      <c r="F1083" s="76" t="s">
        <v>1828</v>
      </c>
      <c r="G1083" s="75" t="s">
        <v>1289</v>
      </c>
      <c r="H1083" s="70"/>
      <c r="P1083" s="70">
        <f t="shared" si="16"/>
        <v>0</v>
      </c>
      <c r="Q1083" s="70" cm="1">
        <f t="array" ref="Q1083">IF(P1083=1,IF(SUMPRODUCT(($P$2:P1083)*(--($G$2:G1083=$G1083)))=1,1,0),0)</f>
        <v>0</v>
      </c>
      <c r="R1083" s="70" t="str">
        <f>IF(Q1083=1,SUM($Q$2:Q1083),"")</f>
        <v/>
      </c>
    </row>
    <row r="1084" spans="1:18" ht="16" x14ac:dyDescent="0.2">
      <c r="A1084" s="73" t="s">
        <v>407</v>
      </c>
      <c r="B1084" s="77" t="s">
        <v>1541</v>
      </c>
      <c r="C1084" s="74" t="s">
        <v>1865</v>
      </c>
      <c r="D1084" s="74" t="s">
        <v>991</v>
      </c>
      <c r="E1084" s="78" t="s">
        <v>97</v>
      </c>
      <c r="F1084" s="76" t="s">
        <v>1836</v>
      </c>
      <c r="G1084" s="75" t="s">
        <v>1298</v>
      </c>
      <c r="H1084" s="70"/>
      <c r="P1084" s="70">
        <f t="shared" si="16"/>
        <v>0</v>
      </c>
      <c r="Q1084" s="70" cm="1">
        <f t="array" ref="Q1084">IF(P1084=1,IF(SUMPRODUCT(($P$2:P1084)*(--($G$2:G1084=$G1084)))=1,1,0),0)</f>
        <v>0</v>
      </c>
      <c r="R1084" s="70" t="str">
        <f>IF(Q1084=1,SUM($Q$2:Q1084),"")</f>
        <v/>
      </c>
    </row>
    <row r="1085" spans="1:18" ht="16" x14ac:dyDescent="0.2">
      <c r="A1085" s="73" t="s">
        <v>407</v>
      </c>
      <c r="B1085" s="77" t="s">
        <v>1541</v>
      </c>
      <c r="C1085" s="74" t="s">
        <v>1865</v>
      </c>
      <c r="D1085" s="74" t="s">
        <v>991</v>
      </c>
      <c r="E1085" s="78" t="s">
        <v>97</v>
      </c>
      <c r="F1085" s="76" t="s">
        <v>1832</v>
      </c>
      <c r="G1085" s="75" t="s">
        <v>1290</v>
      </c>
      <c r="H1085" s="70"/>
      <c r="P1085" s="70">
        <f t="shared" si="16"/>
        <v>0</v>
      </c>
      <c r="Q1085" s="70" cm="1">
        <f t="array" ref="Q1085">IF(P1085=1,IF(SUMPRODUCT(($P$2:P1085)*(--($G$2:G1085=$G1085)))=1,1,0),0)</f>
        <v>0</v>
      </c>
      <c r="R1085" s="70" t="str">
        <f>IF(Q1085=1,SUM($Q$2:Q1085),"")</f>
        <v/>
      </c>
    </row>
    <row r="1086" spans="1:18" ht="16" x14ac:dyDescent="0.2">
      <c r="A1086" s="73" t="s">
        <v>407</v>
      </c>
      <c r="B1086" s="77" t="s">
        <v>1541</v>
      </c>
      <c r="C1086" s="74" t="s">
        <v>1865</v>
      </c>
      <c r="D1086" s="74" t="s">
        <v>991</v>
      </c>
      <c r="E1086" s="78" t="s">
        <v>97</v>
      </c>
      <c r="F1086" s="76" t="s">
        <v>1840</v>
      </c>
      <c r="G1086" s="75" t="s">
        <v>1299</v>
      </c>
      <c r="H1086" s="70"/>
      <c r="P1086" s="70">
        <f t="shared" si="16"/>
        <v>0</v>
      </c>
      <c r="Q1086" s="70" cm="1">
        <f t="array" ref="Q1086">IF(P1086=1,IF(SUMPRODUCT(($P$2:P1086)*(--($G$2:G1086=$G1086)))=1,1,0),0)</f>
        <v>0</v>
      </c>
      <c r="R1086" s="70" t="str">
        <f>IF(Q1086=1,SUM($Q$2:Q1086),"")</f>
        <v/>
      </c>
    </row>
    <row r="1087" spans="1:18" ht="16" x14ac:dyDescent="0.2">
      <c r="A1087" s="73" t="s">
        <v>407</v>
      </c>
      <c r="B1087" s="77" t="s">
        <v>1541</v>
      </c>
      <c r="C1087" s="74" t="s">
        <v>1865</v>
      </c>
      <c r="D1087" s="74" t="s">
        <v>991</v>
      </c>
      <c r="E1087" s="78" t="s">
        <v>97</v>
      </c>
      <c r="F1087" s="76" t="s">
        <v>1827</v>
      </c>
      <c r="G1087" s="75" t="s">
        <v>1289</v>
      </c>
      <c r="H1087" s="70"/>
      <c r="P1087" s="70">
        <f t="shared" si="16"/>
        <v>0</v>
      </c>
      <c r="Q1087" s="70" cm="1">
        <f t="array" ref="Q1087">IF(P1087=1,IF(SUMPRODUCT(($P$2:P1087)*(--($G$2:G1087=$G1087)))=1,1,0),0)</f>
        <v>0</v>
      </c>
      <c r="R1087" s="70" t="str">
        <f>IF(Q1087=1,SUM($Q$2:Q1087),"")</f>
        <v/>
      </c>
    </row>
    <row r="1088" spans="1:18" ht="16" x14ac:dyDescent="0.2">
      <c r="A1088" s="73" t="s">
        <v>407</v>
      </c>
      <c r="B1088" s="77" t="s">
        <v>1541</v>
      </c>
      <c r="C1088" s="74" t="s">
        <v>1865</v>
      </c>
      <c r="D1088" s="74" t="s">
        <v>991</v>
      </c>
      <c r="E1088" s="78" t="s">
        <v>97</v>
      </c>
      <c r="F1088" s="76" t="s">
        <v>1835</v>
      </c>
      <c r="G1088" s="75" t="s">
        <v>1298</v>
      </c>
      <c r="H1088" s="70"/>
      <c r="P1088" s="70">
        <f t="shared" si="16"/>
        <v>0</v>
      </c>
      <c r="Q1088" s="70" cm="1">
        <f t="array" ref="Q1088">IF(P1088=1,IF(SUMPRODUCT(($P$2:P1088)*(--($G$2:G1088=$G1088)))=1,1,0),0)</f>
        <v>0</v>
      </c>
      <c r="R1088" s="70" t="str">
        <f>IF(Q1088=1,SUM($Q$2:Q1088),"")</f>
        <v/>
      </c>
    </row>
    <row r="1089" spans="1:18" ht="16" x14ac:dyDescent="0.2">
      <c r="A1089" s="73" t="s">
        <v>407</v>
      </c>
      <c r="B1089" s="85" t="s">
        <v>1869</v>
      </c>
      <c r="C1089" s="74" t="s">
        <v>1865</v>
      </c>
      <c r="D1089" s="74" t="s">
        <v>991</v>
      </c>
      <c r="E1089" s="78" t="s">
        <v>97</v>
      </c>
      <c r="F1089" s="76" t="s">
        <v>407</v>
      </c>
      <c r="G1089" s="75" t="s">
        <v>607</v>
      </c>
      <c r="H1089" s="70"/>
      <c r="P1089" s="70">
        <f t="shared" si="16"/>
        <v>0</v>
      </c>
      <c r="Q1089" s="70" cm="1">
        <f t="array" ref="Q1089">IF(P1089=1,IF(SUMPRODUCT(($P$2:P1089)*(--($G$2:G1089=$G1089)))=1,1,0),0)</f>
        <v>0</v>
      </c>
      <c r="R1089" s="70" t="str">
        <f>IF(Q1089=1,SUM($Q$2:Q1089),"")</f>
        <v/>
      </c>
    </row>
    <row r="1090" spans="1:18" ht="16" x14ac:dyDescent="0.2">
      <c r="A1090" s="73" t="s">
        <v>407</v>
      </c>
      <c r="B1090" s="85" t="s">
        <v>1869</v>
      </c>
      <c r="C1090" s="74" t="s">
        <v>1865</v>
      </c>
      <c r="D1090" s="74" t="s">
        <v>991</v>
      </c>
      <c r="E1090" s="78" t="s">
        <v>97</v>
      </c>
      <c r="F1090" s="76" t="s">
        <v>1780</v>
      </c>
      <c r="G1090" s="75" t="s">
        <v>607</v>
      </c>
      <c r="H1090" s="70"/>
      <c r="P1090" s="70">
        <f t="shared" si="16"/>
        <v>0</v>
      </c>
      <c r="Q1090" s="70" cm="1">
        <f t="array" ref="Q1090">IF(P1090=1,IF(SUMPRODUCT(($P$2:P1090)*(--($G$2:G1090=$G1090)))=1,1,0),0)</f>
        <v>0</v>
      </c>
      <c r="R1090" s="70" t="str">
        <f>IF(Q1090=1,SUM($Q$2:Q1090),"")</f>
        <v/>
      </c>
    </row>
    <row r="1091" spans="1:18" ht="16" x14ac:dyDescent="0.2">
      <c r="A1091" s="73" t="s">
        <v>407</v>
      </c>
      <c r="B1091" s="85" t="s">
        <v>1869</v>
      </c>
      <c r="C1091" s="74" t="s">
        <v>1865</v>
      </c>
      <c r="D1091" s="74" t="s">
        <v>991</v>
      </c>
      <c r="E1091" s="78" t="s">
        <v>97</v>
      </c>
      <c r="F1091" s="76" t="s">
        <v>1870</v>
      </c>
      <c r="G1091" s="75" t="s">
        <v>607</v>
      </c>
      <c r="H1091" s="70"/>
      <c r="P1091" s="70">
        <f t="shared" ref="P1091:P1154" si="17">IF(AND(IF(TRIM($J$2&amp;"")="",TRUE,LEFT($D1091,LEN($J$2))=$J$2),IF(TRIM($K$2&amp;"")="",TRUE,$E1091=$K$2),IF($L$2="",TRUE,$F1091=$L$2)),1,0)</f>
        <v>0</v>
      </c>
      <c r="Q1091" s="70" cm="1">
        <f t="array" ref="Q1091">IF(P1091=1,IF(SUMPRODUCT(($P$2:P1091)*(--($G$2:G1091=$G1091)))=1,1,0),0)</f>
        <v>0</v>
      </c>
      <c r="R1091" s="70" t="str">
        <f>IF(Q1091=1,SUM($Q$2:Q1091),"")</f>
        <v/>
      </c>
    </row>
    <row r="1092" spans="1:18" ht="16" x14ac:dyDescent="0.2">
      <c r="A1092" s="73" t="s">
        <v>407</v>
      </c>
      <c r="B1092" s="85" t="s">
        <v>1869</v>
      </c>
      <c r="C1092" s="74" t="s">
        <v>1865</v>
      </c>
      <c r="D1092" s="74" t="s">
        <v>991</v>
      </c>
      <c r="E1092" s="78" t="s">
        <v>97</v>
      </c>
      <c r="F1092" s="76" t="s">
        <v>1781</v>
      </c>
      <c r="G1092" s="75" t="s">
        <v>607</v>
      </c>
      <c r="H1092" s="70"/>
      <c r="P1092" s="70">
        <f t="shared" si="17"/>
        <v>0</v>
      </c>
      <c r="Q1092" s="70" cm="1">
        <f t="array" ref="Q1092">IF(P1092=1,IF(SUMPRODUCT(($P$2:P1092)*(--($G$2:G1092=$G1092)))=1,1,0),0)</f>
        <v>0</v>
      </c>
      <c r="R1092" s="70" t="str">
        <f>IF(Q1092=1,SUM($Q$2:Q1092),"")</f>
        <v/>
      </c>
    </row>
    <row r="1093" spans="1:18" ht="16" x14ac:dyDescent="0.2">
      <c r="A1093" s="73" t="s">
        <v>407</v>
      </c>
      <c r="B1093" s="85" t="s">
        <v>1869</v>
      </c>
      <c r="C1093" s="74" t="s">
        <v>1865</v>
      </c>
      <c r="D1093" s="74" t="s">
        <v>991</v>
      </c>
      <c r="E1093" s="78" t="s">
        <v>97</v>
      </c>
      <c r="F1093" s="76" t="s">
        <v>1841</v>
      </c>
      <c r="G1093" s="75" t="s">
        <v>607</v>
      </c>
      <c r="H1093" s="70"/>
      <c r="P1093" s="70">
        <f t="shared" si="17"/>
        <v>0</v>
      </c>
      <c r="Q1093" s="70" cm="1">
        <f t="array" ref="Q1093">IF(P1093=1,IF(SUMPRODUCT(($P$2:P1093)*(--($G$2:G1093=$G1093)))=1,1,0),0)</f>
        <v>0</v>
      </c>
      <c r="R1093" s="70" t="str">
        <f>IF(Q1093=1,SUM($Q$2:Q1093),"")</f>
        <v/>
      </c>
    </row>
    <row r="1094" spans="1:18" ht="16" x14ac:dyDescent="0.2">
      <c r="A1094" s="73" t="s">
        <v>407</v>
      </c>
      <c r="B1094" s="85" t="s">
        <v>1869</v>
      </c>
      <c r="C1094" s="74" t="s">
        <v>1865</v>
      </c>
      <c r="D1094" s="74" t="s">
        <v>991</v>
      </c>
      <c r="E1094" s="78" t="s">
        <v>97</v>
      </c>
      <c r="F1094" s="76" t="s">
        <v>1842</v>
      </c>
      <c r="G1094" s="75" t="s">
        <v>607</v>
      </c>
      <c r="H1094" s="70"/>
      <c r="P1094" s="70">
        <f t="shared" si="17"/>
        <v>0</v>
      </c>
      <c r="Q1094" s="70" cm="1">
        <f t="array" ref="Q1094">IF(P1094=1,IF(SUMPRODUCT(($P$2:P1094)*(--($G$2:G1094=$G1094)))=1,1,0),0)</f>
        <v>0</v>
      </c>
      <c r="R1094" s="70" t="str">
        <f>IF(Q1094=1,SUM($Q$2:Q1094),"")</f>
        <v/>
      </c>
    </row>
    <row r="1095" spans="1:18" ht="16" x14ac:dyDescent="0.2">
      <c r="A1095" s="73" t="s">
        <v>407</v>
      </c>
      <c r="B1095" s="85" t="s">
        <v>1869</v>
      </c>
      <c r="C1095" s="74" t="s">
        <v>1865</v>
      </c>
      <c r="D1095" s="74" t="s">
        <v>991</v>
      </c>
      <c r="E1095" s="78" t="s">
        <v>97</v>
      </c>
      <c r="F1095" s="76" t="s">
        <v>1783</v>
      </c>
      <c r="G1095" s="75" t="s">
        <v>607</v>
      </c>
      <c r="H1095" s="70"/>
      <c r="P1095" s="70">
        <f t="shared" si="17"/>
        <v>0</v>
      </c>
      <c r="Q1095" s="70" cm="1">
        <f t="array" ref="Q1095">IF(P1095=1,IF(SUMPRODUCT(($P$2:P1095)*(--($G$2:G1095=$G1095)))=1,1,0),0)</f>
        <v>0</v>
      </c>
      <c r="R1095" s="70" t="str">
        <f>IF(Q1095=1,SUM($Q$2:Q1095),"")</f>
        <v/>
      </c>
    </row>
    <row r="1096" spans="1:18" ht="16" x14ac:dyDescent="0.2">
      <c r="A1096" s="73" t="s">
        <v>407</v>
      </c>
      <c r="B1096" s="85" t="s">
        <v>1869</v>
      </c>
      <c r="C1096" s="74" t="s">
        <v>1865</v>
      </c>
      <c r="D1096" s="74" t="s">
        <v>991</v>
      </c>
      <c r="E1096" s="78" t="s">
        <v>97</v>
      </c>
      <c r="F1096" s="76" t="s">
        <v>1843</v>
      </c>
      <c r="G1096" s="75" t="s">
        <v>607</v>
      </c>
      <c r="H1096" s="70"/>
      <c r="P1096" s="70">
        <f t="shared" si="17"/>
        <v>0</v>
      </c>
      <c r="Q1096" s="70" cm="1">
        <f t="array" ref="Q1096">IF(P1096=1,IF(SUMPRODUCT(($P$2:P1096)*(--($G$2:G1096=$G1096)))=1,1,0),0)</f>
        <v>0</v>
      </c>
      <c r="R1096" s="70" t="str">
        <f>IF(Q1096=1,SUM($Q$2:Q1096),"")</f>
        <v/>
      </c>
    </row>
    <row r="1097" spans="1:18" ht="16" x14ac:dyDescent="0.2">
      <c r="A1097" s="73" t="s">
        <v>407</v>
      </c>
      <c r="B1097" s="85" t="s">
        <v>1869</v>
      </c>
      <c r="C1097" s="74" t="s">
        <v>1865</v>
      </c>
      <c r="D1097" s="74" t="s">
        <v>991</v>
      </c>
      <c r="E1097" s="78" t="s">
        <v>97</v>
      </c>
      <c r="F1097" s="76" t="s">
        <v>1784</v>
      </c>
      <c r="G1097" s="75" t="s">
        <v>607</v>
      </c>
      <c r="H1097" s="70"/>
      <c r="P1097" s="70">
        <f t="shared" si="17"/>
        <v>0</v>
      </c>
      <c r="Q1097" s="70" cm="1">
        <f t="array" ref="Q1097">IF(P1097=1,IF(SUMPRODUCT(($P$2:P1097)*(--($G$2:G1097=$G1097)))=1,1,0),0)</f>
        <v>0</v>
      </c>
      <c r="R1097" s="70" t="str">
        <f>IF(Q1097=1,SUM($Q$2:Q1097),"")</f>
        <v/>
      </c>
    </row>
    <row r="1098" spans="1:18" ht="16" x14ac:dyDescent="0.2">
      <c r="A1098" s="73" t="s">
        <v>407</v>
      </c>
      <c r="B1098" s="85" t="s">
        <v>1869</v>
      </c>
      <c r="C1098" s="74" t="s">
        <v>1865</v>
      </c>
      <c r="D1098" s="74" t="s">
        <v>991</v>
      </c>
      <c r="E1098" s="78" t="s">
        <v>97</v>
      </c>
      <c r="F1098" s="76" t="s">
        <v>416</v>
      </c>
      <c r="G1098" s="75" t="s">
        <v>607</v>
      </c>
      <c r="H1098" s="70"/>
      <c r="P1098" s="70">
        <f t="shared" si="17"/>
        <v>0</v>
      </c>
      <c r="Q1098" s="70" cm="1">
        <f t="array" ref="Q1098">IF(P1098=1,IF(SUMPRODUCT(($P$2:P1098)*(--($G$2:G1098=$G1098)))=1,1,0),0)</f>
        <v>0</v>
      </c>
      <c r="R1098" s="70" t="str">
        <f>IF(Q1098=1,SUM($Q$2:Q1098),"")</f>
        <v/>
      </c>
    </row>
    <row r="1099" spans="1:18" ht="16" x14ac:dyDescent="0.2">
      <c r="A1099" s="73" t="s">
        <v>407</v>
      </c>
      <c r="B1099" s="85" t="s">
        <v>1869</v>
      </c>
      <c r="C1099" s="74" t="s">
        <v>1865</v>
      </c>
      <c r="D1099" s="74" t="s">
        <v>991</v>
      </c>
      <c r="E1099" s="78" t="s">
        <v>97</v>
      </c>
      <c r="F1099" s="76" t="s">
        <v>1844</v>
      </c>
      <c r="G1099" s="75" t="s">
        <v>607</v>
      </c>
      <c r="H1099" s="70"/>
      <c r="P1099" s="70">
        <f t="shared" si="17"/>
        <v>0</v>
      </c>
      <c r="Q1099" s="70" cm="1">
        <f t="array" ref="Q1099">IF(P1099=1,IF(SUMPRODUCT(($P$2:P1099)*(--($G$2:G1099=$G1099)))=1,1,0),0)</f>
        <v>0</v>
      </c>
      <c r="R1099" s="70" t="str">
        <f>IF(Q1099=1,SUM($Q$2:Q1099),"")</f>
        <v/>
      </c>
    </row>
    <row r="1100" spans="1:18" ht="16" x14ac:dyDescent="0.2">
      <c r="A1100" s="73" t="s">
        <v>407</v>
      </c>
      <c r="B1100" s="85" t="s">
        <v>1869</v>
      </c>
      <c r="C1100" s="74" t="s">
        <v>1865</v>
      </c>
      <c r="D1100" s="74" t="s">
        <v>991</v>
      </c>
      <c r="E1100" s="78" t="s">
        <v>97</v>
      </c>
      <c r="F1100" s="76" t="s">
        <v>421</v>
      </c>
      <c r="G1100" s="75" t="s">
        <v>607</v>
      </c>
      <c r="H1100" s="70"/>
      <c r="P1100" s="70">
        <f t="shared" si="17"/>
        <v>0</v>
      </c>
      <c r="Q1100" s="70" cm="1">
        <f t="array" ref="Q1100">IF(P1100=1,IF(SUMPRODUCT(($P$2:P1100)*(--($G$2:G1100=$G1100)))=1,1,0),0)</f>
        <v>0</v>
      </c>
      <c r="R1100" s="70" t="str">
        <f>IF(Q1100=1,SUM($Q$2:Q1100),"")</f>
        <v/>
      </c>
    </row>
    <row r="1101" spans="1:18" ht="16" x14ac:dyDescent="0.2">
      <c r="A1101" s="73" t="s">
        <v>407</v>
      </c>
      <c r="B1101" s="85" t="s">
        <v>1869</v>
      </c>
      <c r="C1101" s="74" t="s">
        <v>1865</v>
      </c>
      <c r="D1101" s="74" t="s">
        <v>991</v>
      </c>
      <c r="E1101" s="78" t="s">
        <v>97</v>
      </c>
      <c r="F1101" s="76" t="s">
        <v>1845</v>
      </c>
      <c r="G1101" s="75" t="s">
        <v>607</v>
      </c>
      <c r="H1101" s="70"/>
      <c r="P1101" s="70">
        <f t="shared" si="17"/>
        <v>0</v>
      </c>
      <c r="Q1101" s="70" cm="1">
        <f t="array" ref="Q1101">IF(P1101=1,IF(SUMPRODUCT(($P$2:P1101)*(--($G$2:G1101=$G1101)))=1,1,0),0)</f>
        <v>0</v>
      </c>
      <c r="R1101" s="70" t="str">
        <f>IF(Q1101=1,SUM($Q$2:Q1101),"")</f>
        <v/>
      </c>
    </row>
    <row r="1102" spans="1:18" x14ac:dyDescent="0.2">
      <c r="A1102" s="73" t="s">
        <v>407</v>
      </c>
      <c r="B1102" s="85" t="s">
        <v>1871</v>
      </c>
      <c r="C1102" s="74" t="s">
        <v>1865</v>
      </c>
      <c r="D1102" s="74" t="s">
        <v>991</v>
      </c>
      <c r="E1102" s="78" t="s">
        <v>97</v>
      </c>
      <c r="F1102" s="76" t="s">
        <v>407</v>
      </c>
      <c r="G1102" s="76" t="s">
        <v>1262</v>
      </c>
      <c r="H1102" s="70"/>
      <c r="P1102" s="70">
        <f t="shared" si="17"/>
        <v>0</v>
      </c>
      <c r="Q1102" s="70" cm="1">
        <f t="array" ref="Q1102">IF(P1102=1,IF(SUMPRODUCT(($P$2:P1102)*(--($G$2:G1102=$G1102)))=1,1,0),0)</f>
        <v>0</v>
      </c>
      <c r="R1102" s="70" t="str">
        <f>IF(Q1102=1,SUM($Q$2:Q1102),"")</f>
        <v/>
      </c>
    </row>
    <row r="1103" spans="1:18" x14ac:dyDescent="0.2">
      <c r="A1103" s="73" t="s">
        <v>407</v>
      </c>
      <c r="B1103" s="85" t="s">
        <v>1871</v>
      </c>
      <c r="C1103" s="74" t="s">
        <v>1865</v>
      </c>
      <c r="D1103" s="74" t="s">
        <v>991</v>
      </c>
      <c r="E1103" s="78" t="s">
        <v>97</v>
      </c>
      <c r="F1103" s="76" t="s">
        <v>1780</v>
      </c>
      <c r="G1103" s="76" t="s">
        <v>1262</v>
      </c>
      <c r="H1103" s="70"/>
      <c r="P1103" s="70">
        <f t="shared" si="17"/>
        <v>0</v>
      </c>
      <c r="Q1103" s="70" cm="1">
        <f t="array" ref="Q1103">IF(P1103=1,IF(SUMPRODUCT(($P$2:P1103)*(--($G$2:G1103=$G1103)))=1,1,0),0)</f>
        <v>0</v>
      </c>
      <c r="R1103" s="70" t="str">
        <f>IF(Q1103=1,SUM($Q$2:Q1103),"")</f>
        <v/>
      </c>
    </row>
    <row r="1104" spans="1:18" x14ac:dyDescent="0.2">
      <c r="A1104" s="73" t="s">
        <v>407</v>
      </c>
      <c r="B1104" s="85" t="s">
        <v>1871</v>
      </c>
      <c r="C1104" s="74" t="s">
        <v>1865</v>
      </c>
      <c r="D1104" s="74" t="s">
        <v>991</v>
      </c>
      <c r="E1104" s="78" t="s">
        <v>97</v>
      </c>
      <c r="F1104" s="76" t="s">
        <v>1870</v>
      </c>
      <c r="G1104" s="76" t="s">
        <v>1262</v>
      </c>
      <c r="H1104" s="70"/>
      <c r="P1104" s="70">
        <f t="shared" si="17"/>
        <v>0</v>
      </c>
      <c r="Q1104" s="70" cm="1">
        <f t="array" ref="Q1104">IF(P1104=1,IF(SUMPRODUCT(($P$2:P1104)*(--($G$2:G1104=$G1104)))=1,1,0),0)</f>
        <v>0</v>
      </c>
      <c r="R1104" s="70" t="str">
        <f>IF(Q1104=1,SUM($Q$2:Q1104),"")</f>
        <v/>
      </c>
    </row>
    <row r="1105" spans="1:18" x14ac:dyDescent="0.2">
      <c r="A1105" s="73" t="s">
        <v>407</v>
      </c>
      <c r="B1105" s="85" t="s">
        <v>1871</v>
      </c>
      <c r="C1105" s="74" t="s">
        <v>1865</v>
      </c>
      <c r="D1105" s="74" t="s">
        <v>991</v>
      </c>
      <c r="E1105" s="78" t="s">
        <v>97</v>
      </c>
      <c r="F1105" s="76" t="s">
        <v>1781</v>
      </c>
      <c r="G1105" s="76" t="s">
        <v>1262</v>
      </c>
      <c r="H1105" s="70"/>
      <c r="P1105" s="70">
        <f t="shared" si="17"/>
        <v>0</v>
      </c>
      <c r="Q1105" s="70" cm="1">
        <f t="array" ref="Q1105">IF(P1105=1,IF(SUMPRODUCT(($P$2:P1105)*(--($G$2:G1105=$G1105)))=1,1,0),0)</f>
        <v>0</v>
      </c>
      <c r="R1105" s="70" t="str">
        <f>IF(Q1105=1,SUM($Q$2:Q1105),"")</f>
        <v/>
      </c>
    </row>
    <row r="1106" spans="1:18" x14ac:dyDescent="0.2">
      <c r="A1106" s="73" t="s">
        <v>407</v>
      </c>
      <c r="B1106" s="85" t="s">
        <v>1871</v>
      </c>
      <c r="C1106" s="74" t="s">
        <v>1865</v>
      </c>
      <c r="D1106" s="74" t="s">
        <v>991</v>
      </c>
      <c r="E1106" s="78" t="s">
        <v>97</v>
      </c>
      <c r="F1106" s="76" t="s">
        <v>1841</v>
      </c>
      <c r="G1106" s="76" t="s">
        <v>1262</v>
      </c>
      <c r="H1106" s="70"/>
      <c r="P1106" s="70">
        <f t="shared" si="17"/>
        <v>0</v>
      </c>
      <c r="Q1106" s="70" cm="1">
        <f t="array" ref="Q1106">IF(P1106=1,IF(SUMPRODUCT(($P$2:P1106)*(--($G$2:G1106=$G1106)))=1,1,0),0)</f>
        <v>0</v>
      </c>
      <c r="R1106" s="70" t="str">
        <f>IF(Q1106=1,SUM($Q$2:Q1106),"")</f>
        <v/>
      </c>
    </row>
    <row r="1107" spans="1:18" x14ac:dyDescent="0.2">
      <c r="A1107" s="73" t="s">
        <v>407</v>
      </c>
      <c r="B1107" s="85" t="s">
        <v>1871</v>
      </c>
      <c r="C1107" s="74" t="s">
        <v>1865</v>
      </c>
      <c r="D1107" s="74" t="s">
        <v>991</v>
      </c>
      <c r="E1107" s="78" t="s">
        <v>97</v>
      </c>
      <c r="F1107" s="76" t="s">
        <v>1842</v>
      </c>
      <c r="G1107" s="76" t="s">
        <v>1262</v>
      </c>
      <c r="H1107" s="70"/>
      <c r="P1107" s="70">
        <f t="shared" si="17"/>
        <v>0</v>
      </c>
      <c r="Q1107" s="70" cm="1">
        <f t="array" ref="Q1107">IF(P1107=1,IF(SUMPRODUCT(($P$2:P1107)*(--($G$2:G1107=$G1107)))=1,1,0),0)</f>
        <v>0</v>
      </c>
      <c r="R1107" s="70" t="str">
        <f>IF(Q1107=1,SUM($Q$2:Q1107),"")</f>
        <v/>
      </c>
    </row>
    <row r="1108" spans="1:18" x14ac:dyDescent="0.2">
      <c r="A1108" s="73" t="s">
        <v>407</v>
      </c>
      <c r="B1108" s="85" t="s">
        <v>1871</v>
      </c>
      <c r="C1108" s="74" t="s">
        <v>1865</v>
      </c>
      <c r="D1108" s="74" t="s">
        <v>991</v>
      </c>
      <c r="E1108" s="78" t="s">
        <v>97</v>
      </c>
      <c r="F1108" s="76" t="s">
        <v>1783</v>
      </c>
      <c r="G1108" s="76" t="s">
        <v>1262</v>
      </c>
      <c r="H1108" s="70"/>
      <c r="P1108" s="70">
        <f t="shared" si="17"/>
        <v>0</v>
      </c>
      <c r="Q1108" s="70" cm="1">
        <f t="array" ref="Q1108">IF(P1108=1,IF(SUMPRODUCT(($P$2:P1108)*(--($G$2:G1108=$G1108)))=1,1,0),0)</f>
        <v>0</v>
      </c>
      <c r="R1108" s="70" t="str">
        <f>IF(Q1108=1,SUM($Q$2:Q1108),"")</f>
        <v/>
      </c>
    </row>
    <row r="1109" spans="1:18" x14ac:dyDescent="0.2">
      <c r="A1109" s="73" t="s">
        <v>407</v>
      </c>
      <c r="B1109" s="85" t="s">
        <v>1871</v>
      </c>
      <c r="C1109" s="74" t="s">
        <v>1865</v>
      </c>
      <c r="D1109" s="74" t="s">
        <v>991</v>
      </c>
      <c r="E1109" s="78" t="s">
        <v>97</v>
      </c>
      <c r="F1109" s="76" t="s">
        <v>1843</v>
      </c>
      <c r="G1109" s="76" t="s">
        <v>1262</v>
      </c>
      <c r="H1109" s="70"/>
      <c r="P1109" s="70">
        <f t="shared" si="17"/>
        <v>0</v>
      </c>
      <c r="Q1109" s="70" cm="1">
        <f t="array" ref="Q1109">IF(P1109=1,IF(SUMPRODUCT(($P$2:P1109)*(--($G$2:G1109=$G1109)))=1,1,0),0)</f>
        <v>0</v>
      </c>
      <c r="R1109" s="70" t="str">
        <f>IF(Q1109=1,SUM($Q$2:Q1109),"")</f>
        <v/>
      </c>
    </row>
    <row r="1110" spans="1:18" x14ac:dyDescent="0.2">
      <c r="A1110" s="73" t="s">
        <v>407</v>
      </c>
      <c r="B1110" s="85" t="s">
        <v>1871</v>
      </c>
      <c r="C1110" s="74" t="s">
        <v>1865</v>
      </c>
      <c r="D1110" s="74" t="s">
        <v>991</v>
      </c>
      <c r="E1110" s="78" t="s">
        <v>97</v>
      </c>
      <c r="F1110" s="76" t="s">
        <v>1784</v>
      </c>
      <c r="G1110" s="76" t="s">
        <v>1262</v>
      </c>
      <c r="H1110" s="70"/>
      <c r="P1110" s="70">
        <f t="shared" si="17"/>
        <v>0</v>
      </c>
      <c r="Q1110" s="70" cm="1">
        <f t="array" ref="Q1110">IF(P1110=1,IF(SUMPRODUCT(($P$2:P1110)*(--($G$2:G1110=$G1110)))=1,1,0),0)</f>
        <v>0</v>
      </c>
      <c r="R1110" s="70" t="str">
        <f>IF(Q1110=1,SUM($Q$2:Q1110),"")</f>
        <v/>
      </c>
    </row>
    <row r="1111" spans="1:18" x14ac:dyDescent="0.2">
      <c r="A1111" s="73" t="s">
        <v>407</v>
      </c>
      <c r="B1111" s="85" t="s">
        <v>1871</v>
      </c>
      <c r="C1111" s="74" t="s">
        <v>1865</v>
      </c>
      <c r="D1111" s="74" t="s">
        <v>991</v>
      </c>
      <c r="E1111" s="78" t="s">
        <v>97</v>
      </c>
      <c r="F1111" s="76" t="s">
        <v>416</v>
      </c>
      <c r="G1111" s="76" t="s">
        <v>1262</v>
      </c>
      <c r="H1111" s="70"/>
      <c r="P1111" s="70">
        <f t="shared" si="17"/>
        <v>0</v>
      </c>
      <c r="Q1111" s="70" cm="1">
        <f t="array" ref="Q1111">IF(P1111=1,IF(SUMPRODUCT(($P$2:P1111)*(--($G$2:G1111=$G1111)))=1,1,0),0)</f>
        <v>0</v>
      </c>
      <c r="R1111" s="70" t="str">
        <f>IF(Q1111=1,SUM($Q$2:Q1111),"")</f>
        <v/>
      </c>
    </row>
    <row r="1112" spans="1:18" x14ac:dyDescent="0.2">
      <c r="A1112" s="73" t="s">
        <v>407</v>
      </c>
      <c r="B1112" s="85" t="s">
        <v>1871</v>
      </c>
      <c r="C1112" s="74" t="s">
        <v>1865</v>
      </c>
      <c r="D1112" s="74" t="s">
        <v>991</v>
      </c>
      <c r="E1112" s="78" t="s">
        <v>97</v>
      </c>
      <c r="F1112" s="76" t="s">
        <v>1844</v>
      </c>
      <c r="G1112" s="76" t="s">
        <v>1262</v>
      </c>
      <c r="H1112" s="70"/>
      <c r="P1112" s="70">
        <f t="shared" si="17"/>
        <v>0</v>
      </c>
      <c r="Q1112" s="70" cm="1">
        <f t="array" ref="Q1112">IF(P1112=1,IF(SUMPRODUCT(($P$2:P1112)*(--($G$2:G1112=$G1112)))=1,1,0),0)</f>
        <v>0</v>
      </c>
      <c r="R1112" s="70" t="str">
        <f>IF(Q1112=1,SUM($Q$2:Q1112),"")</f>
        <v/>
      </c>
    </row>
    <row r="1113" spans="1:18" x14ac:dyDescent="0.2">
      <c r="A1113" s="73" t="s">
        <v>407</v>
      </c>
      <c r="B1113" s="85" t="s">
        <v>1871</v>
      </c>
      <c r="C1113" s="74" t="s">
        <v>1865</v>
      </c>
      <c r="D1113" s="74" t="s">
        <v>991</v>
      </c>
      <c r="E1113" s="78" t="s">
        <v>97</v>
      </c>
      <c r="F1113" s="76" t="s">
        <v>421</v>
      </c>
      <c r="G1113" s="76" t="s">
        <v>1262</v>
      </c>
      <c r="H1113" s="70"/>
      <c r="P1113" s="70">
        <f t="shared" si="17"/>
        <v>0</v>
      </c>
      <c r="Q1113" s="70" cm="1">
        <f t="array" ref="Q1113">IF(P1113=1,IF(SUMPRODUCT(($P$2:P1113)*(--($G$2:G1113=$G1113)))=1,1,0),0)</f>
        <v>0</v>
      </c>
      <c r="R1113" s="70" t="str">
        <f>IF(Q1113=1,SUM($Q$2:Q1113),"")</f>
        <v/>
      </c>
    </row>
    <row r="1114" spans="1:18" x14ac:dyDescent="0.2">
      <c r="A1114" s="73" t="s">
        <v>407</v>
      </c>
      <c r="B1114" s="85" t="s">
        <v>1871</v>
      </c>
      <c r="C1114" s="74" t="s">
        <v>1865</v>
      </c>
      <c r="D1114" s="74" t="s">
        <v>991</v>
      </c>
      <c r="E1114" s="78" t="s">
        <v>97</v>
      </c>
      <c r="F1114" s="76" t="s">
        <v>1845</v>
      </c>
      <c r="G1114" s="76" t="s">
        <v>1262</v>
      </c>
      <c r="H1114" s="70"/>
      <c r="P1114" s="70">
        <f t="shared" si="17"/>
        <v>0</v>
      </c>
      <c r="Q1114" s="70" cm="1">
        <f t="array" ref="Q1114">IF(P1114=1,IF(SUMPRODUCT(($P$2:P1114)*(--($G$2:G1114=$G1114)))=1,1,0),0)</f>
        <v>0</v>
      </c>
      <c r="R1114" s="70" t="str">
        <f>IF(Q1114=1,SUM($Q$2:Q1114),"")</f>
        <v/>
      </c>
    </row>
    <row r="1115" spans="1:18" ht="16" x14ac:dyDescent="0.2">
      <c r="A1115" s="73" t="s">
        <v>407</v>
      </c>
      <c r="B1115" s="85" t="s">
        <v>1872</v>
      </c>
      <c r="C1115" s="74" t="s">
        <v>1865</v>
      </c>
      <c r="D1115" s="74" t="s">
        <v>991</v>
      </c>
      <c r="E1115" s="78" t="s">
        <v>97</v>
      </c>
      <c r="F1115" s="76" t="s">
        <v>1785</v>
      </c>
      <c r="G1115" s="75" t="s">
        <v>609</v>
      </c>
      <c r="H1115" s="70"/>
      <c r="P1115" s="70">
        <f t="shared" si="17"/>
        <v>0</v>
      </c>
      <c r="Q1115" s="70" cm="1">
        <f t="array" ref="Q1115">IF(P1115=1,IF(SUMPRODUCT(($P$2:P1115)*(--($G$2:G1115=$G1115)))=1,1,0),0)</f>
        <v>0</v>
      </c>
      <c r="R1115" s="70" t="str">
        <f>IF(Q1115=1,SUM($Q$2:Q1115),"")</f>
        <v/>
      </c>
    </row>
    <row r="1116" spans="1:18" ht="16" x14ac:dyDescent="0.2">
      <c r="A1116" s="73" t="s">
        <v>407</v>
      </c>
      <c r="B1116" s="85" t="s">
        <v>1872</v>
      </c>
      <c r="C1116" s="74" t="s">
        <v>1865</v>
      </c>
      <c r="D1116" s="74" t="s">
        <v>991</v>
      </c>
      <c r="E1116" s="78" t="s">
        <v>97</v>
      </c>
      <c r="F1116" s="76" t="s">
        <v>1873</v>
      </c>
      <c r="G1116" s="75" t="s">
        <v>609</v>
      </c>
      <c r="H1116" s="70"/>
      <c r="P1116" s="70">
        <f t="shared" si="17"/>
        <v>0</v>
      </c>
      <c r="Q1116" s="70" cm="1">
        <f t="array" ref="Q1116">IF(P1116=1,IF(SUMPRODUCT(($P$2:P1116)*(--($G$2:G1116=$G1116)))=1,1,0),0)</f>
        <v>0</v>
      </c>
      <c r="R1116" s="70" t="str">
        <f>IF(Q1116=1,SUM($Q$2:Q1116),"")</f>
        <v/>
      </c>
    </row>
    <row r="1117" spans="1:18" ht="16" x14ac:dyDescent="0.2">
      <c r="A1117" s="73" t="s">
        <v>407</v>
      </c>
      <c r="B1117" s="85" t="s">
        <v>1872</v>
      </c>
      <c r="C1117" s="74" t="s">
        <v>1865</v>
      </c>
      <c r="D1117" s="74" t="s">
        <v>991</v>
      </c>
      <c r="E1117" s="78" t="s">
        <v>97</v>
      </c>
      <c r="F1117" s="76" t="s">
        <v>1788</v>
      </c>
      <c r="G1117" s="75" t="s">
        <v>609</v>
      </c>
      <c r="H1117" s="70"/>
      <c r="P1117" s="70">
        <f t="shared" si="17"/>
        <v>0</v>
      </c>
      <c r="Q1117" s="70" cm="1">
        <f t="array" ref="Q1117">IF(P1117=1,IF(SUMPRODUCT(($P$2:P1117)*(--($G$2:G1117=$G1117)))=1,1,0),0)</f>
        <v>0</v>
      </c>
      <c r="R1117" s="70" t="str">
        <f>IF(Q1117=1,SUM($Q$2:Q1117),"")</f>
        <v/>
      </c>
    </row>
    <row r="1118" spans="1:18" ht="16" x14ac:dyDescent="0.2">
      <c r="A1118" s="73" t="s">
        <v>407</v>
      </c>
      <c r="B1118" s="85" t="s">
        <v>1872</v>
      </c>
      <c r="C1118" s="74" t="s">
        <v>1865</v>
      </c>
      <c r="D1118" s="74" t="s">
        <v>991</v>
      </c>
      <c r="E1118" s="78" t="s">
        <v>97</v>
      </c>
      <c r="F1118" s="76" t="s">
        <v>1789</v>
      </c>
      <c r="G1118" s="75" t="s">
        <v>609</v>
      </c>
      <c r="H1118" s="70"/>
      <c r="P1118" s="70">
        <f t="shared" si="17"/>
        <v>0</v>
      </c>
      <c r="Q1118" s="70" cm="1">
        <f t="array" ref="Q1118">IF(P1118=1,IF(SUMPRODUCT(($P$2:P1118)*(--($G$2:G1118=$G1118)))=1,1,0),0)</f>
        <v>0</v>
      </c>
      <c r="R1118" s="70" t="str">
        <f>IF(Q1118=1,SUM($Q$2:Q1118),"")</f>
        <v/>
      </c>
    </row>
    <row r="1119" spans="1:18" ht="16" x14ac:dyDescent="0.2">
      <c r="A1119" s="73" t="s">
        <v>407</v>
      </c>
      <c r="B1119" s="85" t="s">
        <v>1872</v>
      </c>
      <c r="C1119" s="74" t="s">
        <v>1865</v>
      </c>
      <c r="D1119" s="74" t="s">
        <v>991</v>
      </c>
      <c r="E1119" s="78" t="s">
        <v>97</v>
      </c>
      <c r="F1119" s="76" t="s">
        <v>1790</v>
      </c>
      <c r="G1119" s="75" t="s">
        <v>609</v>
      </c>
      <c r="H1119" s="70"/>
      <c r="P1119" s="70">
        <f t="shared" si="17"/>
        <v>0</v>
      </c>
      <c r="Q1119" s="70" cm="1">
        <f t="array" ref="Q1119">IF(P1119=1,IF(SUMPRODUCT(($P$2:P1119)*(--($G$2:G1119=$G1119)))=1,1,0),0)</f>
        <v>0</v>
      </c>
      <c r="R1119" s="70" t="str">
        <f>IF(Q1119=1,SUM($Q$2:Q1119),"")</f>
        <v/>
      </c>
    </row>
    <row r="1120" spans="1:18" ht="16" x14ac:dyDescent="0.2">
      <c r="A1120" s="73" t="s">
        <v>407</v>
      </c>
      <c r="B1120" s="85" t="s">
        <v>1872</v>
      </c>
      <c r="C1120" s="74" t="s">
        <v>1865</v>
      </c>
      <c r="D1120" s="74" t="s">
        <v>991</v>
      </c>
      <c r="E1120" s="78" t="s">
        <v>97</v>
      </c>
      <c r="F1120" s="76" t="s">
        <v>1847</v>
      </c>
      <c r="G1120" s="75" t="s">
        <v>609</v>
      </c>
      <c r="H1120" s="70"/>
      <c r="P1120" s="70">
        <f t="shared" si="17"/>
        <v>0</v>
      </c>
      <c r="Q1120" s="70" cm="1">
        <f t="array" ref="Q1120">IF(P1120=1,IF(SUMPRODUCT(($P$2:P1120)*(--($G$2:G1120=$G1120)))=1,1,0),0)</f>
        <v>0</v>
      </c>
      <c r="R1120" s="70" t="str">
        <f>IF(Q1120=1,SUM($Q$2:Q1120),"")</f>
        <v/>
      </c>
    </row>
    <row r="1121" spans="1:18" ht="16" x14ac:dyDescent="0.2">
      <c r="A1121" s="73" t="s">
        <v>407</v>
      </c>
      <c r="B1121" s="85" t="s">
        <v>1872</v>
      </c>
      <c r="C1121" s="74" t="s">
        <v>1865</v>
      </c>
      <c r="D1121" s="74" t="s">
        <v>991</v>
      </c>
      <c r="E1121" s="78" t="s">
        <v>97</v>
      </c>
      <c r="F1121" s="76" t="s">
        <v>1786</v>
      </c>
      <c r="G1121" s="75" t="s">
        <v>609</v>
      </c>
      <c r="H1121" s="70"/>
      <c r="P1121" s="70">
        <f t="shared" si="17"/>
        <v>0</v>
      </c>
      <c r="Q1121" s="70" cm="1">
        <f t="array" ref="Q1121">IF(P1121=1,IF(SUMPRODUCT(($P$2:P1121)*(--($G$2:G1121=$G1121)))=1,1,0),0)</f>
        <v>0</v>
      </c>
      <c r="R1121" s="70" t="str">
        <f>IF(Q1121=1,SUM($Q$2:Q1121),"")</f>
        <v/>
      </c>
    </row>
    <row r="1122" spans="1:18" ht="16" x14ac:dyDescent="0.2">
      <c r="A1122" s="73" t="s">
        <v>407</v>
      </c>
      <c r="B1122" s="85" t="s">
        <v>1872</v>
      </c>
      <c r="C1122" s="74" t="s">
        <v>1865</v>
      </c>
      <c r="D1122" s="74" t="s">
        <v>991</v>
      </c>
      <c r="E1122" s="78" t="s">
        <v>97</v>
      </c>
      <c r="F1122" s="76" t="s">
        <v>1787</v>
      </c>
      <c r="G1122" s="75" t="s">
        <v>609</v>
      </c>
      <c r="H1122" s="70"/>
      <c r="P1122" s="70">
        <f t="shared" si="17"/>
        <v>0</v>
      </c>
      <c r="Q1122" s="70" cm="1">
        <f t="array" ref="Q1122">IF(P1122=1,IF(SUMPRODUCT(($P$2:P1122)*(--($G$2:G1122=$G1122)))=1,1,0),0)</f>
        <v>0</v>
      </c>
      <c r="R1122" s="70" t="str">
        <f>IF(Q1122=1,SUM($Q$2:Q1122),"")</f>
        <v/>
      </c>
    </row>
    <row r="1123" spans="1:18" ht="16" x14ac:dyDescent="0.2">
      <c r="A1123" s="73" t="s">
        <v>407</v>
      </c>
      <c r="B1123" s="85" t="s">
        <v>1872</v>
      </c>
      <c r="C1123" s="74" t="s">
        <v>1865</v>
      </c>
      <c r="D1123" s="74" t="s">
        <v>991</v>
      </c>
      <c r="E1123" s="78" t="s">
        <v>97</v>
      </c>
      <c r="F1123" s="76" t="s">
        <v>1848</v>
      </c>
      <c r="G1123" s="75" t="s">
        <v>609</v>
      </c>
      <c r="H1123" s="70"/>
      <c r="P1123" s="70">
        <f t="shared" si="17"/>
        <v>0</v>
      </c>
      <c r="Q1123" s="70" cm="1">
        <f t="array" ref="Q1123">IF(P1123=1,IF(SUMPRODUCT(($P$2:P1123)*(--($G$2:G1123=$G1123)))=1,1,0),0)</f>
        <v>0</v>
      </c>
      <c r="R1123" s="70" t="str">
        <f>IF(Q1123=1,SUM($Q$2:Q1123),"")</f>
        <v/>
      </c>
    </row>
    <row r="1124" spans="1:18" ht="16" x14ac:dyDescent="0.2">
      <c r="A1124" s="73" t="s">
        <v>407</v>
      </c>
      <c r="B1124" s="85" t="s">
        <v>1872</v>
      </c>
      <c r="C1124" s="74" t="s">
        <v>1865</v>
      </c>
      <c r="D1124" s="74" t="s">
        <v>991</v>
      </c>
      <c r="E1124" s="78" t="s">
        <v>97</v>
      </c>
      <c r="F1124" s="76" t="s">
        <v>1849</v>
      </c>
      <c r="G1124" s="75" t="s">
        <v>609</v>
      </c>
      <c r="H1124" s="70"/>
      <c r="P1124" s="70">
        <f t="shared" si="17"/>
        <v>0</v>
      </c>
      <c r="Q1124" s="70" cm="1">
        <f t="array" ref="Q1124">IF(P1124=1,IF(SUMPRODUCT(($P$2:P1124)*(--($G$2:G1124=$G1124)))=1,1,0),0)</f>
        <v>0</v>
      </c>
      <c r="R1124" s="70" t="str">
        <f>IF(Q1124=1,SUM($Q$2:Q1124),"")</f>
        <v/>
      </c>
    </row>
    <row r="1125" spans="1:18" ht="16" x14ac:dyDescent="0.2">
      <c r="A1125" s="73" t="s">
        <v>407</v>
      </c>
      <c r="B1125" s="85" t="s">
        <v>1872</v>
      </c>
      <c r="C1125" s="74" t="s">
        <v>1865</v>
      </c>
      <c r="D1125" s="74" t="s">
        <v>991</v>
      </c>
      <c r="E1125" s="78" t="s">
        <v>97</v>
      </c>
      <c r="F1125" s="76" t="s">
        <v>1850</v>
      </c>
      <c r="G1125" s="75" t="s">
        <v>609</v>
      </c>
      <c r="H1125" s="70"/>
      <c r="P1125" s="70">
        <f t="shared" si="17"/>
        <v>0</v>
      </c>
      <c r="Q1125" s="70" cm="1">
        <f t="array" ref="Q1125">IF(P1125=1,IF(SUMPRODUCT(($P$2:P1125)*(--($G$2:G1125=$G1125)))=1,1,0),0)</f>
        <v>0</v>
      </c>
      <c r="R1125" s="70" t="str">
        <f>IF(Q1125=1,SUM($Q$2:Q1125),"")</f>
        <v/>
      </c>
    </row>
    <row r="1126" spans="1:18" ht="16" x14ac:dyDescent="0.2">
      <c r="A1126" s="73" t="s">
        <v>407</v>
      </c>
      <c r="B1126" s="85" t="s">
        <v>1872</v>
      </c>
      <c r="C1126" s="74" t="s">
        <v>1865</v>
      </c>
      <c r="D1126" s="74" t="s">
        <v>991</v>
      </c>
      <c r="E1126" s="78" t="s">
        <v>97</v>
      </c>
      <c r="F1126" s="76" t="s">
        <v>1851</v>
      </c>
      <c r="G1126" s="75" t="s">
        <v>609</v>
      </c>
      <c r="H1126" s="70"/>
      <c r="P1126" s="70">
        <f t="shared" si="17"/>
        <v>0</v>
      </c>
      <c r="Q1126" s="70" cm="1">
        <f t="array" ref="Q1126">IF(P1126=1,IF(SUMPRODUCT(($P$2:P1126)*(--($G$2:G1126=$G1126)))=1,1,0),0)</f>
        <v>0</v>
      </c>
      <c r="R1126" s="70" t="str">
        <f>IF(Q1126=1,SUM($Q$2:Q1126),"")</f>
        <v/>
      </c>
    </row>
    <row r="1127" spans="1:18" x14ac:dyDescent="0.2">
      <c r="A1127" s="73" t="s">
        <v>407</v>
      </c>
      <c r="B1127" s="85" t="s">
        <v>1869</v>
      </c>
      <c r="C1127" s="74" t="s">
        <v>1865</v>
      </c>
      <c r="D1127" s="74" t="s">
        <v>991</v>
      </c>
      <c r="E1127" s="78" t="s">
        <v>97</v>
      </c>
      <c r="F1127" s="76" t="s">
        <v>411</v>
      </c>
      <c r="G1127" s="76" t="s">
        <v>1264</v>
      </c>
      <c r="H1127" s="70"/>
      <c r="P1127" s="70">
        <f t="shared" si="17"/>
        <v>0</v>
      </c>
      <c r="Q1127" s="70" cm="1">
        <f t="array" ref="Q1127">IF(P1127=1,IF(SUMPRODUCT(($P$2:P1127)*(--($G$2:G1127=$G1127)))=1,1,0),0)</f>
        <v>0</v>
      </c>
      <c r="R1127" s="70" t="str">
        <f>IF(Q1127=1,SUM($Q$2:Q1127),"")</f>
        <v/>
      </c>
    </row>
    <row r="1128" spans="1:18" x14ac:dyDescent="0.2">
      <c r="A1128" s="73" t="s">
        <v>407</v>
      </c>
      <c r="B1128" s="85" t="s">
        <v>1869</v>
      </c>
      <c r="C1128" s="74" t="s">
        <v>1865</v>
      </c>
      <c r="D1128" s="74" t="s">
        <v>991</v>
      </c>
      <c r="E1128" s="78" t="s">
        <v>97</v>
      </c>
      <c r="F1128" s="76" t="s">
        <v>1792</v>
      </c>
      <c r="G1128" s="76" t="s">
        <v>1264</v>
      </c>
      <c r="H1128" s="70"/>
      <c r="P1128" s="70">
        <f t="shared" si="17"/>
        <v>0</v>
      </c>
      <c r="Q1128" s="70" cm="1">
        <f t="array" ref="Q1128">IF(P1128=1,IF(SUMPRODUCT(($P$2:P1128)*(--($G$2:G1128=$G1128)))=1,1,0),0)</f>
        <v>0</v>
      </c>
      <c r="R1128" s="70" t="str">
        <f>IF(Q1128=1,SUM($Q$2:Q1128),"")</f>
        <v/>
      </c>
    </row>
    <row r="1129" spans="1:18" x14ac:dyDescent="0.2">
      <c r="A1129" s="73" t="s">
        <v>407</v>
      </c>
      <c r="B1129" s="85" t="s">
        <v>1869</v>
      </c>
      <c r="C1129" s="74" t="s">
        <v>1865</v>
      </c>
      <c r="D1129" s="74" t="s">
        <v>991</v>
      </c>
      <c r="E1129" s="78" t="s">
        <v>97</v>
      </c>
      <c r="F1129" s="76" t="s">
        <v>1874</v>
      </c>
      <c r="G1129" s="76" t="s">
        <v>1264</v>
      </c>
      <c r="H1129" s="70"/>
      <c r="P1129" s="70">
        <f t="shared" si="17"/>
        <v>0</v>
      </c>
      <c r="Q1129" s="70" cm="1">
        <f t="array" ref="Q1129">IF(P1129=1,IF(SUMPRODUCT(($P$2:P1129)*(--($G$2:G1129=$G1129)))=1,1,0),0)</f>
        <v>0</v>
      </c>
      <c r="R1129" s="70" t="str">
        <f>IF(Q1129=1,SUM($Q$2:Q1129),"")</f>
        <v/>
      </c>
    </row>
    <row r="1130" spans="1:18" x14ac:dyDescent="0.2">
      <c r="A1130" s="73" t="s">
        <v>407</v>
      </c>
      <c r="B1130" s="85" t="s">
        <v>1869</v>
      </c>
      <c r="C1130" s="74" t="s">
        <v>1865</v>
      </c>
      <c r="D1130" s="74" t="s">
        <v>991</v>
      </c>
      <c r="E1130" s="78" t="s">
        <v>97</v>
      </c>
      <c r="F1130" s="76" t="s">
        <v>1793</v>
      </c>
      <c r="G1130" s="76" t="s">
        <v>1264</v>
      </c>
      <c r="H1130" s="70"/>
      <c r="P1130" s="70">
        <f t="shared" si="17"/>
        <v>0</v>
      </c>
      <c r="Q1130" s="70" cm="1">
        <f t="array" ref="Q1130">IF(P1130=1,IF(SUMPRODUCT(($P$2:P1130)*(--($G$2:G1130=$G1130)))=1,1,0),0)</f>
        <v>0</v>
      </c>
      <c r="R1130" s="70" t="str">
        <f>IF(Q1130=1,SUM($Q$2:Q1130),"")</f>
        <v/>
      </c>
    </row>
    <row r="1131" spans="1:18" x14ac:dyDescent="0.2">
      <c r="A1131" s="73" t="s">
        <v>407</v>
      </c>
      <c r="B1131" s="85" t="s">
        <v>1869</v>
      </c>
      <c r="C1131" s="74" t="s">
        <v>1865</v>
      </c>
      <c r="D1131" s="74" t="s">
        <v>991</v>
      </c>
      <c r="E1131" s="78" t="s">
        <v>97</v>
      </c>
      <c r="F1131" s="76" t="s">
        <v>1794</v>
      </c>
      <c r="G1131" s="76" t="s">
        <v>1264</v>
      </c>
      <c r="H1131" s="70"/>
      <c r="P1131" s="70">
        <f t="shared" si="17"/>
        <v>0</v>
      </c>
      <c r="Q1131" s="70" cm="1">
        <f t="array" ref="Q1131">IF(P1131=1,IF(SUMPRODUCT(($P$2:P1131)*(--($G$2:G1131=$G1131)))=1,1,0),0)</f>
        <v>0</v>
      </c>
      <c r="R1131" s="70" t="str">
        <f>IF(Q1131=1,SUM($Q$2:Q1131),"")</f>
        <v/>
      </c>
    </row>
    <row r="1132" spans="1:18" x14ac:dyDescent="0.2">
      <c r="A1132" s="73" t="s">
        <v>407</v>
      </c>
      <c r="B1132" s="85" t="s">
        <v>1869</v>
      </c>
      <c r="C1132" s="74" t="s">
        <v>1865</v>
      </c>
      <c r="D1132" s="74" t="s">
        <v>991</v>
      </c>
      <c r="E1132" s="78" t="s">
        <v>97</v>
      </c>
      <c r="F1132" s="76" t="s">
        <v>1795</v>
      </c>
      <c r="G1132" s="76" t="s">
        <v>1264</v>
      </c>
      <c r="H1132" s="70"/>
      <c r="P1132" s="70">
        <f t="shared" si="17"/>
        <v>0</v>
      </c>
      <c r="Q1132" s="70" cm="1">
        <f t="array" ref="Q1132">IF(P1132=1,IF(SUMPRODUCT(($P$2:P1132)*(--($G$2:G1132=$G1132)))=1,1,0),0)</f>
        <v>0</v>
      </c>
      <c r="R1132" s="70" t="str">
        <f>IF(Q1132=1,SUM($Q$2:Q1132),"")</f>
        <v/>
      </c>
    </row>
    <row r="1133" spans="1:18" x14ac:dyDescent="0.2">
      <c r="A1133" s="73" t="s">
        <v>407</v>
      </c>
      <c r="B1133" s="85" t="s">
        <v>1869</v>
      </c>
      <c r="C1133" s="74" t="s">
        <v>1865</v>
      </c>
      <c r="D1133" s="74" t="s">
        <v>991</v>
      </c>
      <c r="E1133" s="78" t="s">
        <v>97</v>
      </c>
      <c r="F1133" s="76" t="s">
        <v>1797</v>
      </c>
      <c r="G1133" s="76" t="s">
        <v>1264</v>
      </c>
      <c r="H1133" s="70"/>
      <c r="P1133" s="70">
        <f t="shared" si="17"/>
        <v>0</v>
      </c>
      <c r="Q1133" s="70" cm="1">
        <f t="array" ref="Q1133">IF(P1133=1,IF(SUMPRODUCT(($P$2:P1133)*(--($G$2:G1133=$G1133)))=1,1,0),0)</f>
        <v>0</v>
      </c>
      <c r="R1133" s="70" t="str">
        <f>IF(Q1133=1,SUM($Q$2:Q1133),"")</f>
        <v/>
      </c>
    </row>
    <row r="1134" spans="1:18" x14ac:dyDescent="0.2">
      <c r="A1134" s="73" t="s">
        <v>407</v>
      </c>
      <c r="B1134" s="85" t="s">
        <v>1869</v>
      </c>
      <c r="C1134" s="74" t="s">
        <v>1865</v>
      </c>
      <c r="D1134" s="74" t="s">
        <v>991</v>
      </c>
      <c r="E1134" s="78" t="s">
        <v>97</v>
      </c>
      <c r="F1134" s="76" t="s">
        <v>1852</v>
      </c>
      <c r="G1134" s="76" t="s">
        <v>1264</v>
      </c>
      <c r="H1134" s="70"/>
      <c r="P1134" s="70">
        <f t="shared" si="17"/>
        <v>0</v>
      </c>
      <c r="Q1134" s="70" cm="1">
        <f t="array" ref="Q1134">IF(P1134=1,IF(SUMPRODUCT(($P$2:P1134)*(--($G$2:G1134=$G1134)))=1,1,0),0)</f>
        <v>0</v>
      </c>
      <c r="R1134" s="70" t="str">
        <f>IF(Q1134=1,SUM($Q$2:Q1134),"")</f>
        <v/>
      </c>
    </row>
    <row r="1135" spans="1:18" x14ac:dyDescent="0.2">
      <c r="A1135" s="73" t="s">
        <v>407</v>
      </c>
      <c r="B1135" s="85" t="s">
        <v>1869</v>
      </c>
      <c r="C1135" s="74" t="s">
        <v>1865</v>
      </c>
      <c r="D1135" s="74" t="s">
        <v>991</v>
      </c>
      <c r="E1135" s="78" t="s">
        <v>97</v>
      </c>
      <c r="F1135" s="76" t="s">
        <v>1798</v>
      </c>
      <c r="G1135" s="76" t="s">
        <v>1264</v>
      </c>
      <c r="H1135" s="70"/>
      <c r="P1135" s="70">
        <f t="shared" si="17"/>
        <v>0</v>
      </c>
      <c r="Q1135" s="70" cm="1">
        <f t="array" ref="Q1135">IF(P1135=1,IF(SUMPRODUCT(($P$2:P1135)*(--($G$2:G1135=$G1135)))=1,1,0),0)</f>
        <v>0</v>
      </c>
      <c r="R1135" s="70" t="str">
        <f>IF(Q1135=1,SUM($Q$2:Q1135),"")</f>
        <v/>
      </c>
    </row>
    <row r="1136" spans="1:18" x14ac:dyDescent="0.2">
      <c r="A1136" s="73" t="s">
        <v>407</v>
      </c>
      <c r="B1136" s="85" t="s">
        <v>1869</v>
      </c>
      <c r="C1136" s="74" t="s">
        <v>1865</v>
      </c>
      <c r="D1136" s="74" t="s">
        <v>991</v>
      </c>
      <c r="E1136" s="78" t="s">
        <v>97</v>
      </c>
      <c r="F1136" s="76" t="s">
        <v>1853</v>
      </c>
      <c r="G1136" s="76" t="s">
        <v>1264</v>
      </c>
      <c r="H1136" s="70"/>
      <c r="P1136" s="70">
        <f t="shared" si="17"/>
        <v>0</v>
      </c>
      <c r="Q1136" s="70" cm="1">
        <f t="array" ref="Q1136">IF(P1136=1,IF(SUMPRODUCT(($P$2:P1136)*(--($G$2:G1136=$G1136)))=1,1,0),0)</f>
        <v>0</v>
      </c>
      <c r="R1136" s="70" t="str">
        <f>IF(Q1136=1,SUM($Q$2:Q1136),"")</f>
        <v/>
      </c>
    </row>
    <row r="1137" spans="1:18" x14ac:dyDescent="0.2">
      <c r="A1137" s="73" t="s">
        <v>407</v>
      </c>
      <c r="B1137" s="85" t="s">
        <v>1869</v>
      </c>
      <c r="C1137" s="74" t="s">
        <v>1865</v>
      </c>
      <c r="D1137" s="74" t="s">
        <v>991</v>
      </c>
      <c r="E1137" s="78" t="s">
        <v>97</v>
      </c>
      <c r="F1137" s="76" t="s">
        <v>1854</v>
      </c>
      <c r="G1137" s="76" t="s">
        <v>1264</v>
      </c>
      <c r="H1137" s="70"/>
      <c r="P1137" s="70">
        <f t="shared" si="17"/>
        <v>0</v>
      </c>
      <c r="Q1137" s="70" cm="1">
        <f t="array" ref="Q1137">IF(P1137=1,IF(SUMPRODUCT(($P$2:P1137)*(--($G$2:G1137=$G1137)))=1,1,0),0)</f>
        <v>0</v>
      </c>
      <c r="R1137" s="70" t="str">
        <f>IF(Q1137=1,SUM($Q$2:Q1137),"")</f>
        <v/>
      </c>
    </row>
    <row r="1138" spans="1:18" x14ac:dyDescent="0.2">
      <c r="A1138" s="73" t="s">
        <v>407</v>
      </c>
      <c r="B1138" s="85" t="s">
        <v>1869</v>
      </c>
      <c r="C1138" s="74" t="s">
        <v>1865</v>
      </c>
      <c r="D1138" s="74" t="s">
        <v>991</v>
      </c>
      <c r="E1138" s="78" t="s">
        <v>97</v>
      </c>
      <c r="F1138" s="76" t="s">
        <v>1855</v>
      </c>
      <c r="G1138" s="76" t="s">
        <v>1264</v>
      </c>
      <c r="H1138" s="70"/>
      <c r="P1138" s="70">
        <f t="shared" si="17"/>
        <v>0</v>
      </c>
      <c r="Q1138" s="70" cm="1">
        <f t="array" ref="Q1138">IF(P1138=1,IF(SUMPRODUCT(($P$2:P1138)*(--($G$2:G1138=$G1138)))=1,1,0),0)</f>
        <v>0</v>
      </c>
      <c r="R1138" s="70" t="str">
        <f>IF(Q1138=1,SUM($Q$2:Q1138),"")</f>
        <v/>
      </c>
    </row>
    <row r="1139" spans="1:18" x14ac:dyDescent="0.2">
      <c r="A1139" s="73" t="s">
        <v>407</v>
      </c>
      <c r="B1139" s="85" t="s">
        <v>1869</v>
      </c>
      <c r="C1139" s="74" t="s">
        <v>1865</v>
      </c>
      <c r="D1139" s="74" t="s">
        <v>991</v>
      </c>
      <c r="E1139" s="78" t="s">
        <v>97</v>
      </c>
      <c r="F1139" s="76" t="s">
        <v>1856</v>
      </c>
      <c r="G1139" s="76" t="s">
        <v>1264</v>
      </c>
      <c r="H1139" s="70"/>
      <c r="P1139" s="70">
        <f t="shared" si="17"/>
        <v>0</v>
      </c>
      <c r="Q1139" s="70" cm="1">
        <f t="array" ref="Q1139">IF(P1139=1,IF(SUMPRODUCT(($P$2:P1139)*(--($G$2:G1139=$G1139)))=1,1,0),0)</f>
        <v>0</v>
      </c>
      <c r="R1139" s="70" t="str">
        <f>IF(Q1139=1,SUM($Q$2:Q1139),"")</f>
        <v/>
      </c>
    </row>
    <row r="1140" spans="1:18" x14ac:dyDescent="0.2">
      <c r="A1140" s="73" t="s">
        <v>407</v>
      </c>
      <c r="B1140" s="85" t="s">
        <v>1871</v>
      </c>
      <c r="C1140" s="74" t="s">
        <v>1865</v>
      </c>
      <c r="D1140" s="74" t="s">
        <v>991</v>
      </c>
      <c r="E1140" s="78" t="s">
        <v>97</v>
      </c>
      <c r="F1140" s="76" t="s">
        <v>411</v>
      </c>
      <c r="G1140" s="76" t="s">
        <v>1263</v>
      </c>
      <c r="H1140" s="70"/>
      <c r="P1140" s="70">
        <f t="shared" si="17"/>
        <v>0</v>
      </c>
      <c r="Q1140" s="70" cm="1">
        <f t="array" ref="Q1140">IF(P1140=1,IF(SUMPRODUCT(($P$2:P1140)*(--($G$2:G1140=$G1140)))=1,1,0),0)</f>
        <v>0</v>
      </c>
      <c r="R1140" s="70" t="str">
        <f>IF(Q1140=1,SUM($Q$2:Q1140),"")</f>
        <v/>
      </c>
    </row>
    <row r="1141" spans="1:18" x14ac:dyDescent="0.2">
      <c r="A1141" s="73" t="s">
        <v>407</v>
      </c>
      <c r="B1141" s="85" t="s">
        <v>1871</v>
      </c>
      <c r="C1141" s="74" t="s">
        <v>1865</v>
      </c>
      <c r="D1141" s="74" t="s">
        <v>991</v>
      </c>
      <c r="E1141" s="78" t="s">
        <v>97</v>
      </c>
      <c r="F1141" s="76" t="s">
        <v>1792</v>
      </c>
      <c r="G1141" s="76" t="s">
        <v>1263</v>
      </c>
      <c r="H1141" s="70"/>
      <c r="P1141" s="70">
        <f t="shared" si="17"/>
        <v>0</v>
      </c>
      <c r="Q1141" s="70" cm="1">
        <f t="array" ref="Q1141">IF(P1141=1,IF(SUMPRODUCT(($P$2:P1141)*(--($G$2:G1141=$G1141)))=1,1,0),0)</f>
        <v>0</v>
      </c>
      <c r="R1141" s="70" t="str">
        <f>IF(Q1141=1,SUM($Q$2:Q1141),"")</f>
        <v/>
      </c>
    </row>
    <row r="1142" spans="1:18" x14ac:dyDescent="0.2">
      <c r="A1142" s="73" t="s">
        <v>407</v>
      </c>
      <c r="B1142" s="85" t="s">
        <v>1871</v>
      </c>
      <c r="C1142" s="74" t="s">
        <v>1865</v>
      </c>
      <c r="D1142" s="74" t="s">
        <v>991</v>
      </c>
      <c r="E1142" s="78" t="s">
        <v>97</v>
      </c>
      <c r="F1142" s="76" t="s">
        <v>1874</v>
      </c>
      <c r="G1142" s="76" t="s">
        <v>1263</v>
      </c>
      <c r="H1142" s="70"/>
      <c r="P1142" s="70">
        <f t="shared" si="17"/>
        <v>0</v>
      </c>
      <c r="Q1142" s="70" cm="1">
        <f t="array" ref="Q1142">IF(P1142=1,IF(SUMPRODUCT(($P$2:P1142)*(--($G$2:G1142=$G1142)))=1,1,0),0)</f>
        <v>0</v>
      </c>
      <c r="R1142" s="70" t="str">
        <f>IF(Q1142=1,SUM($Q$2:Q1142),"")</f>
        <v/>
      </c>
    </row>
    <row r="1143" spans="1:18" x14ac:dyDescent="0.2">
      <c r="A1143" s="73" t="s">
        <v>407</v>
      </c>
      <c r="B1143" s="85" t="s">
        <v>1871</v>
      </c>
      <c r="C1143" s="74" t="s">
        <v>1865</v>
      </c>
      <c r="D1143" s="74" t="s">
        <v>991</v>
      </c>
      <c r="E1143" s="78" t="s">
        <v>97</v>
      </c>
      <c r="F1143" s="76" t="s">
        <v>1793</v>
      </c>
      <c r="G1143" s="76" t="s">
        <v>1263</v>
      </c>
      <c r="H1143" s="70"/>
      <c r="P1143" s="70">
        <f t="shared" si="17"/>
        <v>0</v>
      </c>
      <c r="Q1143" s="70" cm="1">
        <f t="array" ref="Q1143">IF(P1143=1,IF(SUMPRODUCT(($P$2:P1143)*(--($G$2:G1143=$G1143)))=1,1,0),0)</f>
        <v>0</v>
      </c>
      <c r="R1143" s="70" t="str">
        <f>IF(Q1143=1,SUM($Q$2:Q1143),"")</f>
        <v/>
      </c>
    </row>
    <row r="1144" spans="1:18" x14ac:dyDescent="0.2">
      <c r="A1144" s="73" t="s">
        <v>407</v>
      </c>
      <c r="B1144" s="85" t="s">
        <v>1871</v>
      </c>
      <c r="C1144" s="74" t="s">
        <v>1865</v>
      </c>
      <c r="D1144" s="74" t="s">
        <v>991</v>
      </c>
      <c r="E1144" s="78" t="s">
        <v>97</v>
      </c>
      <c r="F1144" s="76" t="s">
        <v>1794</v>
      </c>
      <c r="G1144" s="76" t="s">
        <v>1263</v>
      </c>
      <c r="H1144" s="70"/>
      <c r="P1144" s="70">
        <f t="shared" si="17"/>
        <v>0</v>
      </c>
      <c r="Q1144" s="70" cm="1">
        <f t="array" ref="Q1144">IF(P1144=1,IF(SUMPRODUCT(($P$2:P1144)*(--($G$2:G1144=$G1144)))=1,1,0),0)</f>
        <v>0</v>
      </c>
      <c r="R1144" s="70" t="str">
        <f>IF(Q1144=1,SUM($Q$2:Q1144),"")</f>
        <v/>
      </c>
    </row>
    <row r="1145" spans="1:18" x14ac:dyDescent="0.2">
      <c r="A1145" s="73" t="s">
        <v>407</v>
      </c>
      <c r="B1145" s="85" t="s">
        <v>1871</v>
      </c>
      <c r="C1145" s="74" t="s">
        <v>1865</v>
      </c>
      <c r="D1145" s="74" t="s">
        <v>991</v>
      </c>
      <c r="E1145" s="78" t="s">
        <v>97</v>
      </c>
      <c r="F1145" s="76" t="s">
        <v>1795</v>
      </c>
      <c r="G1145" s="76" t="s">
        <v>1263</v>
      </c>
      <c r="H1145" s="70"/>
      <c r="P1145" s="70">
        <f t="shared" si="17"/>
        <v>0</v>
      </c>
      <c r="Q1145" s="70" cm="1">
        <f t="array" ref="Q1145">IF(P1145=1,IF(SUMPRODUCT(($P$2:P1145)*(--($G$2:G1145=$G1145)))=1,1,0),0)</f>
        <v>0</v>
      </c>
      <c r="R1145" s="70" t="str">
        <f>IF(Q1145=1,SUM($Q$2:Q1145),"")</f>
        <v/>
      </c>
    </row>
    <row r="1146" spans="1:18" x14ac:dyDescent="0.2">
      <c r="A1146" s="73" t="s">
        <v>407</v>
      </c>
      <c r="B1146" s="85" t="s">
        <v>1871</v>
      </c>
      <c r="C1146" s="74" t="s">
        <v>1865</v>
      </c>
      <c r="D1146" s="74" t="s">
        <v>991</v>
      </c>
      <c r="E1146" s="78" t="s">
        <v>97</v>
      </c>
      <c r="F1146" s="76" t="s">
        <v>1797</v>
      </c>
      <c r="G1146" s="76" t="s">
        <v>1263</v>
      </c>
      <c r="H1146" s="70"/>
      <c r="P1146" s="70">
        <f t="shared" si="17"/>
        <v>0</v>
      </c>
      <c r="Q1146" s="70" cm="1">
        <f t="array" ref="Q1146">IF(P1146=1,IF(SUMPRODUCT(($P$2:P1146)*(--($G$2:G1146=$G1146)))=1,1,0),0)</f>
        <v>0</v>
      </c>
      <c r="R1146" s="70" t="str">
        <f>IF(Q1146=1,SUM($Q$2:Q1146),"")</f>
        <v/>
      </c>
    </row>
    <row r="1147" spans="1:18" x14ac:dyDescent="0.2">
      <c r="A1147" s="73" t="s">
        <v>407</v>
      </c>
      <c r="B1147" s="85" t="s">
        <v>1871</v>
      </c>
      <c r="C1147" s="74" t="s">
        <v>1865</v>
      </c>
      <c r="D1147" s="74" t="s">
        <v>991</v>
      </c>
      <c r="E1147" s="78" t="s">
        <v>97</v>
      </c>
      <c r="F1147" s="76" t="s">
        <v>1852</v>
      </c>
      <c r="G1147" s="76" t="s">
        <v>1263</v>
      </c>
      <c r="H1147" s="70"/>
      <c r="P1147" s="70">
        <f t="shared" si="17"/>
        <v>0</v>
      </c>
      <c r="Q1147" s="70" cm="1">
        <f t="array" ref="Q1147">IF(P1147=1,IF(SUMPRODUCT(($P$2:P1147)*(--($G$2:G1147=$G1147)))=1,1,0),0)</f>
        <v>0</v>
      </c>
      <c r="R1147" s="70" t="str">
        <f>IF(Q1147=1,SUM($Q$2:Q1147),"")</f>
        <v/>
      </c>
    </row>
    <row r="1148" spans="1:18" x14ac:dyDescent="0.2">
      <c r="A1148" s="73" t="s">
        <v>407</v>
      </c>
      <c r="B1148" s="85" t="s">
        <v>1871</v>
      </c>
      <c r="C1148" s="74" t="s">
        <v>1865</v>
      </c>
      <c r="D1148" s="74" t="s">
        <v>991</v>
      </c>
      <c r="E1148" s="78" t="s">
        <v>97</v>
      </c>
      <c r="F1148" s="76" t="s">
        <v>1798</v>
      </c>
      <c r="G1148" s="76" t="s">
        <v>1263</v>
      </c>
      <c r="H1148" s="70"/>
      <c r="P1148" s="70">
        <f t="shared" si="17"/>
        <v>0</v>
      </c>
      <c r="Q1148" s="70" cm="1">
        <f t="array" ref="Q1148">IF(P1148=1,IF(SUMPRODUCT(($P$2:P1148)*(--($G$2:G1148=$G1148)))=1,1,0),0)</f>
        <v>0</v>
      </c>
      <c r="R1148" s="70" t="str">
        <f>IF(Q1148=1,SUM($Q$2:Q1148),"")</f>
        <v/>
      </c>
    </row>
    <row r="1149" spans="1:18" x14ac:dyDescent="0.2">
      <c r="A1149" s="73" t="s">
        <v>407</v>
      </c>
      <c r="B1149" s="85" t="s">
        <v>1871</v>
      </c>
      <c r="C1149" s="74" t="s">
        <v>1865</v>
      </c>
      <c r="D1149" s="74" t="s">
        <v>991</v>
      </c>
      <c r="E1149" s="78" t="s">
        <v>97</v>
      </c>
      <c r="F1149" s="76" t="s">
        <v>1853</v>
      </c>
      <c r="G1149" s="76" t="s">
        <v>1263</v>
      </c>
      <c r="H1149" s="70"/>
      <c r="P1149" s="70">
        <f t="shared" si="17"/>
        <v>0</v>
      </c>
      <c r="Q1149" s="70" cm="1">
        <f t="array" ref="Q1149">IF(P1149=1,IF(SUMPRODUCT(($P$2:P1149)*(--($G$2:G1149=$G1149)))=1,1,0),0)</f>
        <v>0</v>
      </c>
      <c r="R1149" s="70" t="str">
        <f>IF(Q1149=1,SUM($Q$2:Q1149),"")</f>
        <v/>
      </c>
    </row>
    <row r="1150" spans="1:18" x14ac:dyDescent="0.2">
      <c r="A1150" s="73" t="s">
        <v>407</v>
      </c>
      <c r="B1150" s="85" t="s">
        <v>1871</v>
      </c>
      <c r="C1150" s="74" t="s">
        <v>1865</v>
      </c>
      <c r="D1150" s="74" t="s">
        <v>991</v>
      </c>
      <c r="E1150" s="78" t="s">
        <v>97</v>
      </c>
      <c r="F1150" s="76" t="s">
        <v>1854</v>
      </c>
      <c r="G1150" s="76" t="s">
        <v>1263</v>
      </c>
      <c r="H1150" s="70"/>
      <c r="P1150" s="70">
        <f t="shared" si="17"/>
        <v>0</v>
      </c>
      <c r="Q1150" s="70" cm="1">
        <f t="array" ref="Q1150">IF(P1150=1,IF(SUMPRODUCT(($P$2:P1150)*(--($G$2:G1150=$G1150)))=1,1,0),0)</f>
        <v>0</v>
      </c>
      <c r="R1150" s="70" t="str">
        <f>IF(Q1150=1,SUM($Q$2:Q1150),"")</f>
        <v/>
      </c>
    </row>
    <row r="1151" spans="1:18" x14ac:dyDescent="0.2">
      <c r="A1151" s="73" t="s">
        <v>407</v>
      </c>
      <c r="B1151" s="85" t="s">
        <v>1871</v>
      </c>
      <c r="C1151" s="74" t="s">
        <v>1865</v>
      </c>
      <c r="D1151" s="74" t="s">
        <v>991</v>
      </c>
      <c r="E1151" s="78" t="s">
        <v>97</v>
      </c>
      <c r="F1151" s="76" t="s">
        <v>1855</v>
      </c>
      <c r="G1151" s="76" t="s">
        <v>1263</v>
      </c>
      <c r="H1151" s="70"/>
      <c r="P1151" s="70">
        <f t="shared" si="17"/>
        <v>0</v>
      </c>
      <c r="Q1151" s="70" cm="1">
        <f t="array" ref="Q1151">IF(P1151=1,IF(SUMPRODUCT(($P$2:P1151)*(--($G$2:G1151=$G1151)))=1,1,0),0)</f>
        <v>0</v>
      </c>
      <c r="R1151" s="70" t="str">
        <f>IF(Q1151=1,SUM($Q$2:Q1151),"")</f>
        <v/>
      </c>
    </row>
    <row r="1152" spans="1:18" x14ac:dyDescent="0.2">
      <c r="A1152" s="73" t="s">
        <v>407</v>
      </c>
      <c r="B1152" s="85" t="s">
        <v>1871</v>
      </c>
      <c r="C1152" s="74" t="s">
        <v>1865</v>
      </c>
      <c r="D1152" s="74" t="s">
        <v>991</v>
      </c>
      <c r="E1152" s="78" t="s">
        <v>97</v>
      </c>
      <c r="F1152" s="76" t="s">
        <v>1856</v>
      </c>
      <c r="G1152" s="76" t="s">
        <v>1263</v>
      </c>
      <c r="H1152" s="70"/>
      <c r="P1152" s="70">
        <f t="shared" si="17"/>
        <v>0</v>
      </c>
      <c r="Q1152" s="70" cm="1">
        <f t="array" ref="Q1152">IF(P1152=1,IF(SUMPRODUCT(($P$2:P1152)*(--($G$2:G1152=$G1152)))=1,1,0),0)</f>
        <v>0</v>
      </c>
      <c r="R1152" s="70" t="str">
        <f>IF(Q1152=1,SUM($Q$2:Q1152),"")</f>
        <v/>
      </c>
    </row>
    <row r="1153" spans="1:18" x14ac:dyDescent="0.2">
      <c r="A1153" s="73" t="s">
        <v>407</v>
      </c>
      <c r="B1153" s="85" t="s">
        <v>1872</v>
      </c>
      <c r="C1153" s="74" t="s">
        <v>1865</v>
      </c>
      <c r="D1153" s="74" t="s">
        <v>991</v>
      </c>
      <c r="E1153" s="78" t="s">
        <v>97</v>
      </c>
      <c r="F1153" s="76" t="s">
        <v>1799</v>
      </c>
      <c r="G1153" s="76" t="s">
        <v>1265</v>
      </c>
      <c r="H1153" s="70"/>
      <c r="P1153" s="70">
        <f t="shared" si="17"/>
        <v>0</v>
      </c>
      <c r="Q1153" s="70" cm="1">
        <f t="array" ref="Q1153">IF(P1153=1,IF(SUMPRODUCT(($P$2:P1153)*(--($G$2:G1153=$G1153)))=1,1,0),0)</f>
        <v>0</v>
      </c>
      <c r="R1153" s="70" t="str">
        <f>IF(Q1153=1,SUM($Q$2:Q1153),"")</f>
        <v/>
      </c>
    </row>
    <row r="1154" spans="1:18" x14ac:dyDescent="0.2">
      <c r="A1154" s="73" t="s">
        <v>407</v>
      </c>
      <c r="B1154" s="85" t="s">
        <v>1872</v>
      </c>
      <c r="C1154" s="74" t="s">
        <v>1865</v>
      </c>
      <c r="D1154" s="74" t="s">
        <v>991</v>
      </c>
      <c r="E1154" s="78" t="s">
        <v>97</v>
      </c>
      <c r="F1154" s="76" t="s">
        <v>1875</v>
      </c>
      <c r="G1154" s="76" t="s">
        <v>1265</v>
      </c>
      <c r="H1154" s="70"/>
      <c r="P1154" s="70">
        <f t="shared" si="17"/>
        <v>0</v>
      </c>
      <c r="Q1154" s="70" cm="1">
        <f t="array" ref="Q1154">IF(P1154=1,IF(SUMPRODUCT(($P$2:P1154)*(--($G$2:G1154=$G1154)))=1,1,0),0)</f>
        <v>0</v>
      </c>
      <c r="R1154" s="70" t="str">
        <f>IF(Q1154=1,SUM($Q$2:Q1154),"")</f>
        <v/>
      </c>
    </row>
    <row r="1155" spans="1:18" x14ac:dyDescent="0.2">
      <c r="A1155" s="73" t="s">
        <v>407</v>
      </c>
      <c r="B1155" s="85" t="s">
        <v>1872</v>
      </c>
      <c r="C1155" s="74" t="s">
        <v>1865</v>
      </c>
      <c r="D1155" s="74" t="s">
        <v>991</v>
      </c>
      <c r="E1155" s="78" t="s">
        <v>97</v>
      </c>
      <c r="F1155" s="76" t="s">
        <v>1802</v>
      </c>
      <c r="G1155" s="76" t="s">
        <v>1265</v>
      </c>
      <c r="H1155" s="70"/>
      <c r="P1155" s="70">
        <f t="shared" ref="P1155:P1218" si="18">IF(AND(IF(TRIM($J$2&amp;"")="",TRUE,LEFT($D1155,LEN($J$2))=$J$2),IF(TRIM($K$2&amp;"")="",TRUE,$E1155=$K$2),IF($L$2="",TRUE,$F1155=$L$2)),1,0)</f>
        <v>0</v>
      </c>
      <c r="Q1155" s="70" cm="1">
        <f t="array" ref="Q1155">IF(P1155=1,IF(SUMPRODUCT(($P$2:P1155)*(--($G$2:G1155=$G1155)))=1,1,0),0)</f>
        <v>0</v>
      </c>
      <c r="R1155" s="70" t="str">
        <f>IF(Q1155=1,SUM($Q$2:Q1155),"")</f>
        <v/>
      </c>
    </row>
    <row r="1156" spans="1:18" x14ac:dyDescent="0.2">
      <c r="A1156" s="73" t="s">
        <v>407</v>
      </c>
      <c r="B1156" s="85" t="s">
        <v>1872</v>
      </c>
      <c r="C1156" s="74" t="s">
        <v>1865</v>
      </c>
      <c r="D1156" s="74" t="s">
        <v>991</v>
      </c>
      <c r="E1156" s="78" t="s">
        <v>97</v>
      </c>
      <c r="F1156" s="76" t="s">
        <v>1803</v>
      </c>
      <c r="G1156" s="76" t="s">
        <v>1265</v>
      </c>
      <c r="H1156" s="70"/>
      <c r="P1156" s="70">
        <f t="shared" si="18"/>
        <v>0</v>
      </c>
      <c r="Q1156" s="70" cm="1">
        <f t="array" ref="Q1156">IF(P1156=1,IF(SUMPRODUCT(($P$2:P1156)*(--($G$2:G1156=$G1156)))=1,1,0),0)</f>
        <v>0</v>
      </c>
      <c r="R1156" s="70" t="str">
        <f>IF(Q1156=1,SUM($Q$2:Q1156),"")</f>
        <v/>
      </c>
    </row>
    <row r="1157" spans="1:18" x14ac:dyDescent="0.2">
      <c r="A1157" s="73" t="s">
        <v>407</v>
      </c>
      <c r="B1157" s="85" t="s">
        <v>1872</v>
      </c>
      <c r="C1157" s="74" t="s">
        <v>1865</v>
      </c>
      <c r="D1157" s="74" t="s">
        <v>991</v>
      </c>
      <c r="E1157" s="78" t="s">
        <v>97</v>
      </c>
      <c r="F1157" s="76" t="s">
        <v>1804</v>
      </c>
      <c r="G1157" s="76" t="s">
        <v>1265</v>
      </c>
      <c r="H1157" s="70"/>
      <c r="P1157" s="70">
        <f t="shared" si="18"/>
        <v>0</v>
      </c>
      <c r="Q1157" s="70" cm="1">
        <f t="array" ref="Q1157">IF(P1157=1,IF(SUMPRODUCT(($P$2:P1157)*(--($G$2:G1157=$G1157)))=1,1,0),0)</f>
        <v>0</v>
      </c>
      <c r="R1157" s="70" t="str">
        <f>IF(Q1157=1,SUM($Q$2:Q1157),"")</f>
        <v/>
      </c>
    </row>
    <row r="1158" spans="1:18" x14ac:dyDescent="0.2">
      <c r="A1158" s="73" t="s">
        <v>407</v>
      </c>
      <c r="B1158" s="85" t="s">
        <v>1872</v>
      </c>
      <c r="C1158" s="74" t="s">
        <v>1865</v>
      </c>
      <c r="D1158" s="74" t="s">
        <v>991</v>
      </c>
      <c r="E1158" s="78" t="s">
        <v>97</v>
      </c>
      <c r="F1158" s="76" t="s">
        <v>1857</v>
      </c>
      <c r="G1158" s="76" t="s">
        <v>1265</v>
      </c>
      <c r="H1158" s="70"/>
      <c r="P1158" s="70">
        <f t="shared" si="18"/>
        <v>0</v>
      </c>
      <c r="Q1158" s="70" cm="1">
        <f t="array" ref="Q1158">IF(P1158=1,IF(SUMPRODUCT(($P$2:P1158)*(--($G$2:G1158=$G1158)))=1,1,0),0)</f>
        <v>0</v>
      </c>
      <c r="R1158" s="70" t="str">
        <f>IF(Q1158=1,SUM($Q$2:Q1158),"")</f>
        <v/>
      </c>
    </row>
    <row r="1159" spans="1:18" x14ac:dyDescent="0.2">
      <c r="A1159" s="73" t="s">
        <v>407</v>
      </c>
      <c r="B1159" s="85" t="s">
        <v>1872</v>
      </c>
      <c r="C1159" s="74" t="s">
        <v>1865</v>
      </c>
      <c r="D1159" s="74" t="s">
        <v>991</v>
      </c>
      <c r="E1159" s="78" t="s">
        <v>97</v>
      </c>
      <c r="F1159" s="76" t="s">
        <v>1800</v>
      </c>
      <c r="G1159" s="76" t="s">
        <v>1265</v>
      </c>
      <c r="H1159" s="70"/>
      <c r="P1159" s="70">
        <f t="shared" si="18"/>
        <v>0</v>
      </c>
      <c r="Q1159" s="70" cm="1">
        <f t="array" ref="Q1159">IF(P1159=1,IF(SUMPRODUCT(($P$2:P1159)*(--($G$2:G1159=$G1159)))=1,1,0),0)</f>
        <v>0</v>
      </c>
      <c r="R1159" s="70" t="str">
        <f>IF(Q1159=1,SUM($Q$2:Q1159),"")</f>
        <v/>
      </c>
    </row>
    <row r="1160" spans="1:18" x14ac:dyDescent="0.2">
      <c r="A1160" s="73" t="s">
        <v>407</v>
      </c>
      <c r="B1160" s="85" t="s">
        <v>1872</v>
      </c>
      <c r="C1160" s="74" t="s">
        <v>1865</v>
      </c>
      <c r="D1160" s="74" t="s">
        <v>991</v>
      </c>
      <c r="E1160" s="78" t="s">
        <v>97</v>
      </c>
      <c r="F1160" s="76" t="s">
        <v>1801</v>
      </c>
      <c r="G1160" s="76" t="s">
        <v>1265</v>
      </c>
      <c r="H1160" s="70"/>
      <c r="P1160" s="70">
        <f t="shared" si="18"/>
        <v>0</v>
      </c>
      <c r="Q1160" s="70" cm="1">
        <f t="array" ref="Q1160">IF(P1160=1,IF(SUMPRODUCT(($P$2:P1160)*(--($G$2:G1160=$G1160)))=1,1,0),0)</f>
        <v>0</v>
      </c>
      <c r="R1160" s="70" t="str">
        <f>IF(Q1160=1,SUM($Q$2:Q1160),"")</f>
        <v/>
      </c>
    </row>
    <row r="1161" spans="1:18" x14ac:dyDescent="0.2">
      <c r="A1161" s="73" t="s">
        <v>407</v>
      </c>
      <c r="B1161" s="85" t="s">
        <v>1872</v>
      </c>
      <c r="C1161" s="74" t="s">
        <v>1865</v>
      </c>
      <c r="D1161" s="74" t="s">
        <v>991</v>
      </c>
      <c r="E1161" s="78" t="s">
        <v>97</v>
      </c>
      <c r="F1161" s="76" t="s">
        <v>1858</v>
      </c>
      <c r="G1161" s="76" t="s">
        <v>1265</v>
      </c>
      <c r="H1161" s="70"/>
      <c r="P1161" s="70">
        <f t="shared" si="18"/>
        <v>0</v>
      </c>
      <c r="Q1161" s="70" cm="1">
        <f t="array" ref="Q1161">IF(P1161=1,IF(SUMPRODUCT(($P$2:P1161)*(--($G$2:G1161=$G1161)))=1,1,0),0)</f>
        <v>0</v>
      </c>
      <c r="R1161" s="70" t="str">
        <f>IF(Q1161=1,SUM($Q$2:Q1161),"")</f>
        <v/>
      </c>
    </row>
    <row r="1162" spans="1:18" x14ac:dyDescent="0.2">
      <c r="A1162" s="73" t="s">
        <v>407</v>
      </c>
      <c r="B1162" s="85" t="s">
        <v>1872</v>
      </c>
      <c r="C1162" s="74" t="s">
        <v>1865</v>
      </c>
      <c r="D1162" s="74" t="s">
        <v>991</v>
      </c>
      <c r="E1162" s="78" t="s">
        <v>97</v>
      </c>
      <c r="F1162" s="76" t="s">
        <v>1859</v>
      </c>
      <c r="G1162" s="76" t="s">
        <v>1265</v>
      </c>
      <c r="H1162" s="70"/>
      <c r="P1162" s="70">
        <f t="shared" si="18"/>
        <v>0</v>
      </c>
      <c r="Q1162" s="70" cm="1">
        <f t="array" ref="Q1162">IF(P1162=1,IF(SUMPRODUCT(($P$2:P1162)*(--($G$2:G1162=$G1162)))=1,1,0),0)</f>
        <v>0</v>
      </c>
      <c r="R1162" s="70" t="str">
        <f>IF(Q1162=1,SUM($Q$2:Q1162),"")</f>
        <v/>
      </c>
    </row>
    <row r="1163" spans="1:18" x14ac:dyDescent="0.2">
      <c r="A1163" s="73" t="s">
        <v>407</v>
      </c>
      <c r="B1163" s="85" t="s">
        <v>1872</v>
      </c>
      <c r="C1163" s="74" t="s">
        <v>1865</v>
      </c>
      <c r="D1163" s="74" t="s">
        <v>991</v>
      </c>
      <c r="E1163" s="78" t="s">
        <v>97</v>
      </c>
      <c r="F1163" s="76" t="s">
        <v>1860</v>
      </c>
      <c r="G1163" s="76" t="s">
        <v>1265</v>
      </c>
      <c r="H1163" s="70"/>
      <c r="P1163" s="70">
        <f t="shared" si="18"/>
        <v>0</v>
      </c>
      <c r="Q1163" s="70" cm="1">
        <f t="array" ref="Q1163">IF(P1163=1,IF(SUMPRODUCT(($P$2:P1163)*(--($G$2:G1163=$G1163)))=1,1,0),0)</f>
        <v>0</v>
      </c>
      <c r="R1163" s="70" t="str">
        <f>IF(Q1163=1,SUM($Q$2:Q1163),"")</f>
        <v/>
      </c>
    </row>
    <row r="1164" spans="1:18" x14ac:dyDescent="0.2">
      <c r="A1164" s="73" t="s">
        <v>407</v>
      </c>
      <c r="B1164" s="85" t="s">
        <v>1872</v>
      </c>
      <c r="C1164" s="74" t="s">
        <v>1865</v>
      </c>
      <c r="D1164" s="74" t="s">
        <v>991</v>
      </c>
      <c r="E1164" s="78" t="s">
        <v>97</v>
      </c>
      <c r="F1164" s="76" t="s">
        <v>1861</v>
      </c>
      <c r="G1164" s="76" t="s">
        <v>1265</v>
      </c>
      <c r="H1164" s="70"/>
      <c r="P1164" s="70">
        <f t="shared" si="18"/>
        <v>0</v>
      </c>
      <c r="Q1164" s="70" cm="1">
        <f t="array" ref="Q1164">IF(P1164=1,IF(SUMPRODUCT(($P$2:P1164)*(--($G$2:G1164=$G1164)))=1,1,0),0)</f>
        <v>0</v>
      </c>
      <c r="R1164" s="70" t="str">
        <f>IF(Q1164=1,SUM($Q$2:Q1164),"")</f>
        <v/>
      </c>
    </row>
    <row r="1165" spans="1:18" ht="16" x14ac:dyDescent="0.2">
      <c r="A1165" s="73" t="s">
        <v>407</v>
      </c>
      <c r="B1165" s="85" t="s">
        <v>1876</v>
      </c>
      <c r="C1165" s="74" t="s">
        <v>1865</v>
      </c>
      <c r="D1165" s="74" t="s">
        <v>991</v>
      </c>
      <c r="E1165" s="78" t="s">
        <v>97</v>
      </c>
      <c r="F1165" s="76" t="s">
        <v>407</v>
      </c>
      <c r="G1165" s="75" t="s">
        <v>1273</v>
      </c>
      <c r="H1165" s="70"/>
      <c r="P1165" s="70">
        <f t="shared" si="18"/>
        <v>0</v>
      </c>
      <c r="Q1165" s="70" cm="1">
        <f t="array" ref="Q1165">IF(P1165=1,IF(SUMPRODUCT(($P$2:P1165)*(--($G$2:G1165=$G1165)))=1,1,0),0)</f>
        <v>0</v>
      </c>
      <c r="R1165" s="70" t="str">
        <f>IF(Q1165=1,SUM($Q$2:Q1165),"")</f>
        <v/>
      </c>
    </row>
    <row r="1166" spans="1:18" ht="16" x14ac:dyDescent="0.2">
      <c r="A1166" s="73" t="s">
        <v>407</v>
      </c>
      <c r="B1166" s="85" t="s">
        <v>1876</v>
      </c>
      <c r="C1166" s="74" t="s">
        <v>1865</v>
      </c>
      <c r="D1166" s="74" t="s">
        <v>991</v>
      </c>
      <c r="E1166" s="78" t="s">
        <v>97</v>
      </c>
      <c r="F1166" s="76" t="s">
        <v>1780</v>
      </c>
      <c r="G1166" s="75" t="s">
        <v>1273</v>
      </c>
      <c r="H1166" s="70"/>
      <c r="P1166" s="70">
        <f t="shared" si="18"/>
        <v>0</v>
      </c>
      <c r="Q1166" s="70" cm="1">
        <f t="array" ref="Q1166">IF(P1166=1,IF(SUMPRODUCT(($P$2:P1166)*(--($G$2:G1166=$G1166)))=1,1,0),0)</f>
        <v>0</v>
      </c>
      <c r="R1166" s="70" t="str">
        <f>IF(Q1166=1,SUM($Q$2:Q1166),"")</f>
        <v/>
      </c>
    </row>
    <row r="1167" spans="1:18" ht="16" x14ac:dyDescent="0.2">
      <c r="A1167" s="73" t="s">
        <v>407</v>
      </c>
      <c r="B1167" s="85" t="s">
        <v>1876</v>
      </c>
      <c r="C1167" s="74" t="s">
        <v>1865</v>
      </c>
      <c r="D1167" s="74" t="s">
        <v>991</v>
      </c>
      <c r="E1167" s="78" t="s">
        <v>97</v>
      </c>
      <c r="F1167" s="76" t="s">
        <v>1781</v>
      </c>
      <c r="G1167" s="75" t="s">
        <v>1273</v>
      </c>
      <c r="H1167" s="70"/>
      <c r="P1167" s="70">
        <f t="shared" si="18"/>
        <v>0</v>
      </c>
      <c r="Q1167" s="70" cm="1">
        <f t="array" ref="Q1167">IF(P1167=1,IF(SUMPRODUCT(($P$2:P1167)*(--($G$2:G1167=$G1167)))=1,1,0),0)</f>
        <v>0</v>
      </c>
      <c r="R1167" s="70" t="str">
        <f>IF(Q1167=1,SUM($Q$2:Q1167),"")</f>
        <v/>
      </c>
    </row>
    <row r="1168" spans="1:18" ht="16" x14ac:dyDescent="0.2">
      <c r="A1168" s="73" t="s">
        <v>407</v>
      </c>
      <c r="B1168" s="85" t="s">
        <v>1876</v>
      </c>
      <c r="C1168" s="74" t="s">
        <v>1865</v>
      </c>
      <c r="D1168" s="74" t="s">
        <v>991</v>
      </c>
      <c r="E1168" s="78" t="s">
        <v>97</v>
      </c>
      <c r="F1168" s="76" t="s">
        <v>1841</v>
      </c>
      <c r="G1168" s="75" t="s">
        <v>1273</v>
      </c>
      <c r="H1168" s="70"/>
      <c r="P1168" s="70">
        <f t="shared" si="18"/>
        <v>0</v>
      </c>
      <c r="Q1168" s="70" cm="1">
        <f t="array" ref="Q1168">IF(P1168=1,IF(SUMPRODUCT(($P$2:P1168)*(--($G$2:G1168=$G1168)))=1,1,0),0)</f>
        <v>0</v>
      </c>
      <c r="R1168" s="70" t="str">
        <f>IF(Q1168=1,SUM($Q$2:Q1168),"")</f>
        <v/>
      </c>
    </row>
    <row r="1169" spans="1:18" ht="16" x14ac:dyDescent="0.2">
      <c r="A1169" s="73" t="s">
        <v>407</v>
      </c>
      <c r="B1169" s="85" t="s">
        <v>1876</v>
      </c>
      <c r="C1169" s="74" t="s">
        <v>1865</v>
      </c>
      <c r="D1169" s="74" t="s">
        <v>991</v>
      </c>
      <c r="E1169" s="78" t="s">
        <v>97</v>
      </c>
      <c r="F1169" s="76" t="s">
        <v>1842</v>
      </c>
      <c r="G1169" s="75" t="s">
        <v>1273</v>
      </c>
      <c r="H1169" s="70"/>
      <c r="P1169" s="70">
        <f t="shared" si="18"/>
        <v>0</v>
      </c>
      <c r="Q1169" s="70" cm="1">
        <f t="array" ref="Q1169">IF(P1169=1,IF(SUMPRODUCT(($P$2:P1169)*(--($G$2:G1169=$G1169)))=1,1,0),0)</f>
        <v>0</v>
      </c>
      <c r="R1169" s="70" t="str">
        <f>IF(Q1169=1,SUM($Q$2:Q1169),"")</f>
        <v/>
      </c>
    </row>
    <row r="1170" spans="1:18" ht="16" x14ac:dyDescent="0.2">
      <c r="A1170" s="73" t="s">
        <v>407</v>
      </c>
      <c r="B1170" s="85" t="s">
        <v>1876</v>
      </c>
      <c r="C1170" s="74" t="s">
        <v>1865</v>
      </c>
      <c r="D1170" s="74" t="s">
        <v>991</v>
      </c>
      <c r="E1170" s="78" t="s">
        <v>97</v>
      </c>
      <c r="F1170" s="76" t="s">
        <v>1782</v>
      </c>
      <c r="G1170" s="75" t="s">
        <v>1273</v>
      </c>
      <c r="H1170" s="70"/>
      <c r="P1170" s="70">
        <f t="shared" si="18"/>
        <v>0</v>
      </c>
      <c r="Q1170" s="70" cm="1">
        <f t="array" ref="Q1170">IF(P1170=1,IF(SUMPRODUCT(($P$2:P1170)*(--($G$2:G1170=$G1170)))=1,1,0),0)</f>
        <v>0</v>
      </c>
      <c r="R1170" s="70" t="str">
        <f>IF(Q1170=1,SUM($Q$2:Q1170),"")</f>
        <v/>
      </c>
    </row>
    <row r="1171" spans="1:18" ht="16" x14ac:dyDescent="0.2">
      <c r="A1171" s="73" t="s">
        <v>407</v>
      </c>
      <c r="B1171" s="85" t="s">
        <v>1876</v>
      </c>
      <c r="C1171" s="74" t="s">
        <v>1865</v>
      </c>
      <c r="D1171" s="74" t="s">
        <v>991</v>
      </c>
      <c r="E1171" s="78" t="s">
        <v>97</v>
      </c>
      <c r="F1171" s="76" t="s">
        <v>1783</v>
      </c>
      <c r="G1171" s="75" t="s">
        <v>1273</v>
      </c>
      <c r="H1171" s="70"/>
      <c r="P1171" s="70">
        <f t="shared" si="18"/>
        <v>0</v>
      </c>
      <c r="Q1171" s="70" cm="1">
        <f t="array" ref="Q1171">IF(P1171=1,IF(SUMPRODUCT(($P$2:P1171)*(--($G$2:G1171=$G1171)))=1,1,0),0)</f>
        <v>0</v>
      </c>
      <c r="R1171" s="70" t="str">
        <f>IF(Q1171=1,SUM($Q$2:Q1171),"")</f>
        <v/>
      </c>
    </row>
    <row r="1172" spans="1:18" ht="16" x14ac:dyDescent="0.2">
      <c r="A1172" s="73" t="s">
        <v>407</v>
      </c>
      <c r="B1172" s="85" t="s">
        <v>1876</v>
      </c>
      <c r="C1172" s="74" t="s">
        <v>1865</v>
      </c>
      <c r="D1172" s="74" t="s">
        <v>991</v>
      </c>
      <c r="E1172" s="78" t="s">
        <v>97</v>
      </c>
      <c r="F1172" s="76" t="s">
        <v>1843</v>
      </c>
      <c r="G1172" s="75" t="s">
        <v>1273</v>
      </c>
      <c r="H1172" s="70"/>
      <c r="P1172" s="70">
        <f t="shared" si="18"/>
        <v>0</v>
      </c>
      <c r="Q1172" s="70" cm="1">
        <f t="array" ref="Q1172">IF(P1172=1,IF(SUMPRODUCT(($P$2:P1172)*(--($G$2:G1172=$G1172)))=1,1,0),0)</f>
        <v>0</v>
      </c>
      <c r="R1172" s="70" t="str">
        <f>IF(Q1172=1,SUM($Q$2:Q1172),"")</f>
        <v/>
      </c>
    </row>
    <row r="1173" spans="1:18" ht="16" x14ac:dyDescent="0.2">
      <c r="A1173" s="73" t="s">
        <v>407</v>
      </c>
      <c r="B1173" s="85" t="s">
        <v>1876</v>
      </c>
      <c r="C1173" s="74" t="s">
        <v>1865</v>
      </c>
      <c r="D1173" s="74" t="s">
        <v>991</v>
      </c>
      <c r="E1173" s="78" t="s">
        <v>97</v>
      </c>
      <c r="F1173" s="76" t="s">
        <v>1784</v>
      </c>
      <c r="G1173" s="75" t="s">
        <v>1273</v>
      </c>
      <c r="H1173" s="70"/>
      <c r="P1173" s="70">
        <f t="shared" si="18"/>
        <v>0</v>
      </c>
      <c r="Q1173" s="70" cm="1">
        <f t="array" ref="Q1173">IF(P1173=1,IF(SUMPRODUCT(($P$2:P1173)*(--($G$2:G1173=$G1173)))=1,1,0),0)</f>
        <v>0</v>
      </c>
      <c r="R1173" s="70" t="str">
        <f>IF(Q1173=1,SUM($Q$2:Q1173),"")</f>
        <v/>
      </c>
    </row>
    <row r="1174" spans="1:18" ht="16" x14ac:dyDescent="0.2">
      <c r="A1174" s="73" t="s">
        <v>407</v>
      </c>
      <c r="B1174" s="85" t="s">
        <v>1876</v>
      </c>
      <c r="C1174" s="74" t="s">
        <v>1865</v>
      </c>
      <c r="D1174" s="74" t="s">
        <v>991</v>
      </c>
      <c r="E1174" s="78" t="s">
        <v>97</v>
      </c>
      <c r="F1174" s="76" t="s">
        <v>416</v>
      </c>
      <c r="G1174" s="75" t="s">
        <v>1273</v>
      </c>
      <c r="H1174" s="70"/>
      <c r="P1174" s="70">
        <f t="shared" si="18"/>
        <v>0</v>
      </c>
      <c r="Q1174" s="70" cm="1">
        <f t="array" ref="Q1174">IF(P1174=1,IF(SUMPRODUCT(($P$2:P1174)*(--($G$2:G1174=$G1174)))=1,1,0),0)</f>
        <v>0</v>
      </c>
      <c r="R1174" s="70" t="str">
        <f>IF(Q1174=1,SUM($Q$2:Q1174),"")</f>
        <v/>
      </c>
    </row>
    <row r="1175" spans="1:18" ht="16" x14ac:dyDescent="0.2">
      <c r="A1175" s="73" t="s">
        <v>407</v>
      </c>
      <c r="B1175" s="85" t="s">
        <v>1876</v>
      </c>
      <c r="C1175" s="74" t="s">
        <v>1865</v>
      </c>
      <c r="D1175" s="74" t="s">
        <v>991</v>
      </c>
      <c r="E1175" s="78" t="s">
        <v>97</v>
      </c>
      <c r="F1175" s="76" t="s">
        <v>1844</v>
      </c>
      <c r="G1175" s="75" t="s">
        <v>1273</v>
      </c>
      <c r="H1175" s="70"/>
      <c r="P1175" s="70">
        <f t="shared" si="18"/>
        <v>0</v>
      </c>
      <c r="Q1175" s="70" cm="1">
        <f t="array" ref="Q1175">IF(P1175=1,IF(SUMPRODUCT(($P$2:P1175)*(--($G$2:G1175=$G1175)))=1,1,0),0)</f>
        <v>0</v>
      </c>
      <c r="R1175" s="70" t="str">
        <f>IF(Q1175=1,SUM($Q$2:Q1175),"")</f>
        <v/>
      </c>
    </row>
    <row r="1176" spans="1:18" ht="16" x14ac:dyDescent="0.2">
      <c r="A1176" s="73" t="s">
        <v>407</v>
      </c>
      <c r="B1176" s="85" t="s">
        <v>1876</v>
      </c>
      <c r="C1176" s="74" t="s">
        <v>1865</v>
      </c>
      <c r="D1176" s="74" t="s">
        <v>991</v>
      </c>
      <c r="E1176" s="78" t="s">
        <v>97</v>
      </c>
      <c r="F1176" s="76" t="s">
        <v>421</v>
      </c>
      <c r="G1176" s="75" t="s">
        <v>1273</v>
      </c>
      <c r="H1176" s="70"/>
      <c r="P1176" s="70">
        <f t="shared" si="18"/>
        <v>0</v>
      </c>
      <c r="Q1176" s="70" cm="1">
        <f t="array" ref="Q1176">IF(P1176=1,IF(SUMPRODUCT(($P$2:P1176)*(--($G$2:G1176=$G1176)))=1,1,0),0)</f>
        <v>0</v>
      </c>
      <c r="R1176" s="70" t="str">
        <f>IF(Q1176=1,SUM($Q$2:Q1176),"")</f>
        <v/>
      </c>
    </row>
    <row r="1177" spans="1:18" ht="16" x14ac:dyDescent="0.2">
      <c r="A1177" s="73" t="s">
        <v>407</v>
      </c>
      <c r="B1177" s="85" t="s">
        <v>1876</v>
      </c>
      <c r="C1177" s="74" t="s">
        <v>1865</v>
      </c>
      <c r="D1177" s="74" t="s">
        <v>991</v>
      </c>
      <c r="E1177" s="78" t="s">
        <v>97</v>
      </c>
      <c r="F1177" s="76" t="s">
        <v>1845</v>
      </c>
      <c r="G1177" s="75" t="s">
        <v>1273</v>
      </c>
      <c r="H1177" s="70"/>
      <c r="P1177" s="70">
        <f t="shared" si="18"/>
        <v>0</v>
      </c>
      <c r="Q1177" s="70" cm="1">
        <f t="array" ref="Q1177">IF(P1177=1,IF(SUMPRODUCT(($P$2:P1177)*(--($G$2:G1177=$G1177)))=1,1,0),0)</f>
        <v>0</v>
      </c>
      <c r="R1177" s="70" t="str">
        <f>IF(Q1177=1,SUM($Q$2:Q1177),"")</f>
        <v/>
      </c>
    </row>
    <row r="1178" spans="1:18" x14ac:dyDescent="0.2">
      <c r="A1178" s="73" t="s">
        <v>407</v>
      </c>
      <c r="B1178" s="77" t="s">
        <v>1541</v>
      </c>
      <c r="C1178" s="74" t="s">
        <v>1865</v>
      </c>
      <c r="D1178" s="74" t="s">
        <v>991</v>
      </c>
      <c r="E1178" s="78" t="s">
        <v>97</v>
      </c>
      <c r="F1178" s="76" t="s">
        <v>407</v>
      </c>
      <c r="G1178" s="76" t="s">
        <v>1254</v>
      </c>
      <c r="H1178" s="70"/>
      <c r="P1178" s="70">
        <f t="shared" si="18"/>
        <v>0</v>
      </c>
      <c r="Q1178" s="70" cm="1">
        <f t="array" ref="Q1178">IF(P1178=1,IF(SUMPRODUCT(($P$2:P1178)*(--($G$2:G1178=$G1178)))=1,1,0),0)</f>
        <v>0</v>
      </c>
      <c r="R1178" s="70" t="str">
        <f>IF(Q1178=1,SUM($Q$2:Q1178),"")</f>
        <v/>
      </c>
    </row>
    <row r="1179" spans="1:18" x14ac:dyDescent="0.2">
      <c r="A1179" s="73" t="s">
        <v>407</v>
      </c>
      <c r="B1179" s="77" t="s">
        <v>1541</v>
      </c>
      <c r="C1179" s="74" t="s">
        <v>1865</v>
      </c>
      <c r="D1179" s="74" t="s">
        <v>991</v>
      </c>
      <c r="E1179" s="78" t="s">
        <v>97</v>
      </c>
      <c r="F1179" s="76" t="s">
        <v>1780</v>
      </c>
      <c r="G1179" s="76" t="s">
        <v>1254</v>
      </c>
      <c r="H1179" s="70"/>
      <c r="P1179" s="70">
        <f t="shared" si="18"/>
        <v>0</v>
      </c>
      <c r="Q1179" s="70" cm="1">
        <f t="array" ref="Q1179">IF(P1179=1,IF(SUMPRODUCT(($P$2:P1179)*(--($G$2:G1179=$G1179)))=1,1,0),0)</f>
        <v>0</v>
      </c>
      <c r="R1179" s="70" t="str">
        <f>IF(Q1179=1,SUM($Q$2:Q1179),"")</f>
        <v/>
      </c>
    </row>
    <row r="1180" spans="1:18" x14ac:dyDescent="0.2">
      <c r="A1180" s="73" t="s">
        <v>407</v>
      </c>
      <c r="B1180" s="77" t="s">
        <v>1541</v>
      </c>
      <c r="C1180" s="74" t="s">
        <v>1865</v>
      </c>
      <c r="D1180" s="74" t="s">
        <v>991</v>
      </c>
      <c r="E1180" s="78" t="s">
        <v>97</v>
      </c>
      <c r="F1180" s="76" t="s">
        <v>1781</v>
      </c>
      <c r="G1180" s="76" t="s">
        <v>1254</v>
      </c>
      <c r="H1180" s="70"/>
      <c r="P1180" s="70">
        <f t="shared" si="18"/>
        <v>0</v>
      </c>
      <c r="Q1180" s="70" cm="1">
        <f t="array" ref="Q1180">IF(P1180=1,IF(SUMPRODUCT(($P$2:P1180)*(--($G$2:G1180=$G1180)))=1,1,0),0)</f>
        <v>0</v>
      </c>
      <c r="R1180" s="70" t="str">
        <f>IF(Q1180=1,SUM($Q$2:Q1180),"")</f>
        <v/>
      </c>
    </row>
    <row r="1181" spans="1:18" x14ac:dyDescent="0.2">
      <c r="A1181" s="73" t="s">
        <v>407</v>
      </c>
      <c r="B1181" s="77" t="s">
        <v>1541</v>
      </c>
      <c r="C1181" s="74" t="s">
        <v>1865</v>
      </c>
      <c r="D1181" s="74" t="s">
        <v>991</v>
      </c>
      <c r="E1181" s="78" t="s">
        <v>97</v>
      </c>
      <c r="F1181" s="76" t="s">
        <v>1841</v>
      </c>
      <c r="G1181" s="76" t="s">
        <v>1254</v>
      </c>
      <c r="H1181" s="70"/>
      <c r="P1181" s="70">
        <f t="shared" si="18"/>
        <v>0</v>
      </c>
      <c r="Q1181" s="70" cm="1">
        <f t="array" ref="Q1181">IF(P1181=1,IF(SUMPRODUCT(($P$2:P1181)*(--($G$2:G1181=$G1181)))=1,1,0),0)</f>
        <v>0</v>
      </c>
      <c r="R1181" s="70" t="str">
        <f>IF(Q1181=1,SUM($Q$2:Q1181),"")</f>
        <v/>
      </c>
    </row>
    <row r="1182" spans="1:18" x14ac:dyDescent="0.2">
      <c r="A1182" s="73" t="s">
        <v>407</v>
      </c>
      <c r="B1182" s="77" t="s">
        <v>1541</v>
      </c>
      <c r="C1182" s="74" t="s">
        <v>1865</v>
      </c>
      <c r="D1182" s="74" t="s">
        <v>991</v>
      </c>
      <c r="E1182" s="78" t="s">
        <v>97</v>
      </c>
      <c r="F1182" s="76" t="s">
        <v>1842</v>
      </c>
      <c r="G1182" s="76" t="s">
        <v>1254</v>
      </c>
      <c r="H1182" s="70"/>
      <c r="P1182" s="70">
        <f t="shared" si="18"/>
        <v>0</v>
      </c>
      <c r="Q1182" s="70" cm="1">
        <f t="array" ref="Q1182">IF(P1182=1,IF(SUMPRODUCT(($P$2:P1182)*(--($G$2:G1182=$G1182)))=1,1,0),0)</f>
        <v>0</v>
      </c>
      <c r="R1182" s="70" t="str">
        <f>IF(Q1182=1,SUM($Q$2:Q1182),"")</f>
        <v/>
      </c>
    </row>
    <row r="1183" spans="1:18" x14ac:dyDescent="0.2">
      <c r="A1183" s="73" t="s">
        <v>407</v>
      </c>
      <c r="B1183" s="77" t="s">
        <v>1541</v>
      </c>
      <c r="C1183" s="74" t="s">
        <v>1865</v>
      </c>
      <c r="D1183" s="74" t="s">
        <v>991</v>
      </c>
      <c r="E1183" s="78" t="s">
        <v>97</v>
      </c>
      <c r="F1183" s="76" t="s">
        <v>1783</v>
      </c>
      <c r="G1183" s="76" t="s">
        <v>1254</v>
      </c>
      <c r="H1183" s="70"/>
      <c r="P1183" s="70">
        <f t="shared" si="18"/>
        <v>0</v>
      </c>
      <c r="Q1183" s="70" cm="1">
        <f t="array" ref="Q1183">IF(P1183=1,IF(SUMPRODUCT(($P$2:P1183)*(--($G$2:G1183=$G1183)))=1,1,0),0)</f>
        <v>0</v>
      </c>
      <c r="R1183" s="70" t="str">
        <f>IF(Q1183=1,SUM($Q$2:Q1183),"")</f>
        <v/>
      </c>
    </row>
    <row r="1184" spans="1:18" x14ac:dyDescent="0.2">
      <c r="A1184" s="73" t="s">
        <v>407</v>
      </c>
      <c r="B1184" s="77" t="s">
        <v>1541</v>
      </c>
      <c r="C1184" s="74" t="s">
        <v>1865</v>
      </c>
      <c r="D1184" s="74" t="s">
        <v>991</v>
      </c>
      <c r="E1184" s="78" t="s">
        <v>97</v>
      </c>
      <c r="F1184" s="76" t="s">
        <v>1843</v>
      </c>
      <c r="G1184" s="76" t="s">
        <v>1254</v>
      </c>
      <c r="H1184" s="70"/>
      <c r="P1184" s="70">
        <f t="shared" si="18"/>
        <v>0</v>
      </c>
      <c r="Q1184" s="70" cm="1">
        <f t="array" ref="Q1184">IF(P1184=1,IF(SUMPRODUCT(($P$2:P1184)*(--($G$2:G1184=$G1184)))=1,1,0),0)</f>
        <v>0</v>
      </c>
      <c r="R1184" s="70" t="str">
        <f>IF(Q1184=1,SUM($Q$2:Q1184),"")</f>
        <v/>
      </c>
    </row>
    <row r="1185" spans="1:18" x14ac:dyDescent="0.2">
      <c r="A1185" s="73" t="s">
        <v>407</v>
      </c>
      <c r="B1185" s="77" t="s">
        <v>1541</v>
      </c>
      <c r="C1185" s="74" t="s">
        <v>1865</v>
      </c>
      <c r="D1185" s="74" t="s">
        <v>991</v>
      </c>
      <c r="E1185" s="78" t="s">
        <v>97</v>
      </c>
      <c r="F1185" s="76" t="s">
        <v>1784</v>
      </c>
      <c r="G1185" s="76" t="s">
        <v>1254</v>
      </c>
      <c r="H1185" s="70"/>
      <c r="P1185" s="70">
        <f t="shared" si="18"/>
        <v>0</v>
      </c>
      <c r="Q1185" s="70" cm="1">
        <f t="array" ref="Q1185">IF(P1185=1,IF(SUMPRODUCT(($P$2:P1185)*(--($G$2:G1185=$G1185)))=1,1,0),0)</f>
        <v>0</v>
      </c>
      <c r="R1185" s="70" t="str">
        <f>IF(Q1185=1,SUM($Q$2:Q1185),"")</f>
        <v/>
      </c>
    </row>
    <row r="1186" spans="1:18" x14ac:dyDescent="0.2">
      <c r="A1186" s="73" t="s">
        <v>407</v>
      </c>
      <c r="B1186" s="77" t="s">
        <v>1541</v>
      </c>
      <c r="C1186" s="74" t="s">
        <v>1865</v>
      </c>
      <c r="D1186" s="74" t="s">
        <v>991</v>
      </c>
      <c r="E1186" s="78" t="s">
        <v>97</v>
      </c>
      <c r="F1186" s="76" t="s">
        <v>416</v>
      </c>
      <c r="G1186" s="76" t="s">
        <v>1254</v>
      </c>
      <c r="H1186" s="70"/>
      <c r="P1186" s="70">
        <f t="shared" si="18"/>
        <v>0</v>
      </c>
      <c r="Q1186" s="70" cm="1">
        <f t="array" ref="Q1186">IF(P1186=1,IF(SUMPRODUCT(($P$2:P1186)*(--($G$2:G1186=$G1186)))=1,1,0),0)</f>
        <v>0</v>
      </c>
      <c r="R1186" s="70" t="str">
        <f>IF(Q1186=1,SUM($Q$2:Q1186),"")</f>
        <v/>
      </c>
    </row>
    <row r="1187" spans="1:18" x14ac:dyDescent="0.2">
      <c r="A1187" s="73" t="s">
        <v>407</v>
      </c>
      <c r="B1187" s="77" t="s">
        <v>1541</v>
      </c>
      <c r="C1187" s="74" t="s">
        <v>1865</v>
      </c>
      <c r="D1187" s="74" t="s">
        <v>991</v>
      </c>
      <c r="E1187" s="78" t="s">
        <v>97</v>
      </c>
      <c r="F1187" s="76" t="s">
        <v>1844</v>
      </c>
      <c r="G1187" s="76" t="s">
        <v>1254</v>
      </c>
      <c r="H1187" s="70"/>
      <c r="P1187" s="70">
        <f t="shared" si="18"/>
        <v>0</v>
      </c>
      <c r="Q1187" s="70" cm="1">
        <f t="array" ref="Q1187">IF(P1187=1,IF(SUMPRODUCT(($P$2:P1187)*(--($G$2:G1187=$G1187)))=1,1,0),0)</f>
        <v>0</v>
      </c>
      <c r="R1187" s="70" t="str">
        <f>IF(Q1187=1,SUM($Q$2:Q1187),"")</f>
        <v/>
      </c>
    </row>
    <row r="1188" spans="1:18" x14ac:dyDescent="0.2">
      <c r="A1188" s="73" t="s">
        <v>407</v>
      </c>
      <c r="B1188" s="77" t="s">
        <v>1541</v>
      </c>
      <c r="C1188" s="74" t="s">
        <v>1865</v>
      </c>
      <c r="D1188" s="74" t="s">
        <v>991</v>
      </c>
      <c r="E1188" s="78" t="s">
        <v>97</v>
      </c>
      <c r="F1188" s="76" t="s">
        <v>421</v>
      </c>
      <c r="G1188" s="76" t="s">
        <v>1254</v>
      </c>
      <c r="H1188" s="70"/>
      <c r="P1188" s="70">
        <f t="shared" si="18"/>
        <v>0</v>
      </c>
      <c r="Q1188" s="70" cm="1">
        <f t="array" ref="Q1188">IF(P1188=1,IF(SUMPRODUCT(($P$2:P1188)*(--($G$2:G1188=$G1188)))=1,1,0),0)</f>
        <v>0</v>
      </c>
      <c r="R1188" s="70" t="str">
        <f>IF(Q1188=1,SUM($Q$2:Q1188),"")</f>
        <v/>
      </c>
    </row>
    <row r="1189" spans="1:18" x14ac:dyDescent="0.2">
      <c r="A1189" s="73" t="s">
        <v>407</v>
      </c>
      <c r="B1189" s="77" t="s">
        <v>1541</v>
      </c>
      <c r="C1189" s="74" t="s">
        <v>1865</v>
      </c>
      <c r="D1189" s="74" t="s">
        <v>991</v>
      </c>
      <c r="E1189" s="78" t="s">
        <v>97</v>
      </c>
      <c r="F1189" s="76" t="s">
        <v>1845</v>
      </c>
      <c r="G1189" s="76" t="s">
        <v>1254</v>
      </c>
      <c r="H1189" s="70"/>
      <c r="P1189" s="70">
        <f t="shared" si="18"/>
        <v>0</v>
      </c>
      <c r="Q1189" s="70" cm="1">
        <f t="array" ref="Q1189">IF(P1189=1,IF(SUMPRODUCT(($P$2:P1189)*(--($G$2:G1189=$G1189)))=1,1,0),0)</f>
        <v>0</v>
      </c>
      <c r="R1189" s="70" t="str">
        <f>IF(Q1189=1,SUM($Q$2:Q1189),"")</f>
        <v/>
      </c>
    </row>
    <row r="1190" spans="1:18" ht="16" x14ac:dyDescent="0.2">
      <c r="A1190" s="73" t="s">
        <v>407</v>
      </c>
      <c r="B1190" s="85" t="s">
        <v>1877</v>
      </c>
      <c r="C1190" s="74" t="s">
        <v>1865</v>
      </c>
      <c r="D1190" s="74" t="s">
        <v>991</v>
      </c>
      <c r="E1190" s="78" t="s">
        <v>97</v>
      </c>
      <c r="F1190" s="76" t="s">
        <v>1785</v>
      </c>
      <c r="G1190" s="75" t="s">
        <v>598</v>
      </c>
      <c r="H1190" s="70"/>
      <c r="P1190" s="70">
        <f t="shared" si="18"/>
        <v>0</v>
      </c>
      <c r="Q1190" s="70" cm="1">
        <f t="array" ref="Q1190">IF(P1190=1,IF(SUMPRODUCT(($P$2:P1190)*(--($G$2:G1190=$G1190)))=1,1,0),0)</f>
        <v>0</v>
      </c>
      <c r="R1190" s="70" t="str">
        <f>IF(Q1190=1,SUM($Q$2:Q1190),"")</f>
        <v/>
      </c>
    </row>
    <row r="1191" spans="1:18" ht="16" x14ac:dyDescent="0.2">
      <c r="A1191" s="73" t="s">
        <v>407</v>
      </c>
      <c r="B1191" s="85" t="s">
        <v>1877</v>
      </c>
      <c r="C1191" s="74" t="s">
        <v>1865</v>
      </c>
      <c r="D1191" s="74" t="s">
        <v>991</v>
      </c>
      <c r="E1191" s="78" t="s">
        <v>97</v>
      </c>
      <c r="F1191" s="76" t="s">
        <v>1788</v>
      </c>
      <c r="G1191" s="75" t="s">
        <v>598</v>
      </c>
      <c r="H1191" s="70"/>
      <c r="P1191" s="70">
        <f t="shared" si="18"/>
        <v>0</v>
      </c>
      <c r="Q1191" s="70" cm="1">
        <f t="array" ref="Q1191">IF(P1191=1,IF(SUMPRODUCT(($P$2:P1191)*(--($G$2:G1191=$G1191)))=1,1,0),0)</f>
        <v>0</v>
      </c>
      <c r="R1191" s="70" t="str">
        <f>IF(Q1191=1,SUM($Q$2:Q1191),"")</f>
        <v/>
      </c>
    </row>
    <row r="1192" spans="1:18" ht="16" x14ac:dyDescent="0.2">
      <c r="A1192" s="73" t="s">
        <v>407</v>
      </c>
      <c r="B1192" s="85" t="s">
        <v>1877</v>
      </c>
      <c r="C1192" s="74" t="s">
        <v>1865</v>
      </c>
      <c r="D1192" s="74" t="s">
        <v>991</v>
      </c>
      <c r="E1192" s="78" t="s">
        <v>97</v>
      </c>
      <c r="F1192" s="76" t="s">
        <v>1789</v>
      </c>
      <c r="G1192" s="75" t="s">
        <v>598</v>
      </c>
      <c r="H1192" s="70"/>
      <c r="P1192" s="70">
        <f t="shared" si="18"/>
        <v>0</v>
      </c>
      <c r="Q1192" s="70" cm="1">
        <f t="array" ref="Q1192">IF(P1192=1,IF(SUMPRODUCT(($P$2:P1192)*(--($G$2:G1192=$G1192)))=1,1,0),0)</f>
        <v>0</v>
      </c>
      <c r="R1192" s="70" t="str">
        <f>IF(Q1192=1,SUM($Q$2:Q1192),"")</f>
        <v/>
      </c>
    </row>
    <row r="1193" spans="1:18" ht="16" x14ac:dyDescent="0.2">
      <c r="A1193" s="73" t="s">
        <v>407</v>
      </c>
      <c r="B1193" s="85" t="s">
        <v>1877</v>
      </c>
      <c r="C1193" s="74" t="s">
        <v>1865</v>
      </c>
      <c r="D1193" s="74" t="s">
        <v>991</v>
      </c>
      <c r="E1193" s="78" t="s">
        <v>97</v>
      </c>
      <c r="F1193" s="76" t="s">
        <v>1790</v>
      </c>
      <c r="G1193" s="75" t="s">
        <v>598</v>
      </c>
      <c r="H1193" s="70"/>
      <c r="P1193" s="70">
        <f t="shared" si="18"/>
        <v>0</v>
      </c>
      <c r="Q1193" s="70" cm="1">
        <f t="array" ref="Q1193">IF(P1193=1,IF(SUMPRODUCT(($P$2:P1193)*(--($G$2:G1193=$G1193)))=1,1,0),0)</f>
        <v>0</v>
      </c>
      <c r="R1193" s="70" t="str">
        <f>IF(Q1193=1,SUM($Q$2:Q1193),"")</f>
        <v/>
      </c>
    </row>
    <row r="1194" spans="1:18" ht="16" x14ac:dyDescent="0.2">
      <c r="A1194" s="73" t="s">
        <v>407</v>
      </c>
      <c r="B1194" s="85" t="s">
        <v>1877</v>
      </c>
      <c r="C1194" s="74" t="s">
        <v>1865</v>
      </c>
      <c r="D1194" s="74" t="s">
        <v>991</v>
      </c>
      <c r="E1194" s="78" t="s">
        <v>97</v>
      </c>
      <c r="F1194" s="76" t="s">
        <v>1847</v>
      </c>
      <c r="G1194" s="75" t="s">
        <v>598</v>
      </c>
      <c r="H1194" s="70"/>
      <c r="P1194" s="70">
        <f t="shared" si="18"/>
        <v>0</v>
      </c>
      <c r="Q1194" s="70" cm="1">
        <f t="array" ref="Q1194">IF(P1194=1,IF(SUMPRODUCT(($P$2:P1194)*(--($G$2:G1194=$G1194)))=1,1,0),0)</f>
        <v>0</v>
      </c>
      <c r="R1194" s="70" t="str">
        <f>IF(Q1194=1,SUM($Q$2:Q1194),"")</f>
        <v/>
      </c>
    </row>
    <row r="1195" spans="1:18" ht="16" x14ac:dyDescent="0.2">
      <c r="A1195" s="73" t="s">
        <v>407</v>
      </c>
      <c r="B1195" s="85" t="s">
        <v>1877</v>
      </c>
      <c r="C1195" s="74" t="s">
        <v>1865</v>
      </c>
      <c r="D1195" s="74" t="s">
        <v>991</v>
      </c>
      <c r="E1195" s="78" t="s">
        <v>97</v>
      </c>
      <c r="F1195" s="76" t="s">
        <v>1786</v>
      </c>
      <c r="G1195" s="75" t="s">
        <v>598</v>
      </c>
      <c r="H1195" s="70"/>
      <c r="P1195" s="70">
        <f t="shared" si="18"/>
        <v>0</v>
      </c>
      <c r="Q1195" s="70" cm="1">
        <f t="array" ref="Q1195">IF(P1195=1,IF(SUMPRODUCT(($P$2:P1195)*(--($G$2:G1195=$G1195)))=1,1,0),0)</f>
        <v>0</v>
      </c>
      <c r="R1195" s="70" t="str">
        <f>IF(Q1195=1,SUM($Q$2:Q1195),"")</f>
        <v/>
      </c>
    </row>
    <row r="1196" spans="1:18" ht="16" x14ac:dyDescent="0.2">
      <c r="A1196" s="73" t="s">
        <v>407</v>
      </c>
      <c r="B1196" s="85" t="s">
        <v>1877</v>
      </c>
      <c r="C1196" s="74" t="s">
        <v>1865</v>
      </c>
      <c r="D1196" s="74" t="s">
        <v>991</v>
      </c>
      <c r="E1196" s="78" t="s">
        <v>97</v>
      </c>
      <c r="F1196" s="76" t="s">
        <v>1787</v>
      </c>
      <c r="G1196" s="75" t="s">
        <v>598</v>
      </c>
      <c r="H1196" s="70"/>
      <c r="P1196" s="70">
        <f t="shared" si="18"/>
        <v>0</v>
      </c>
      <c r="Q1196" s="70" cm="1">
        <f t="array" ref="Q1196">IF(P1196=1,IF(SUMPRODUCT(($P$2:P1196)*(--($G$2:G1196=$G1196)))=1,1,0),0)</f>
        <v>0</v>
      </c>
      <c r="R1196" s="70" t="str">
        <f>IF(Q1196=1,SUM($Q$2:Q1196),"")</f>
        <v/>
      </c>
    </row>
    <row r="1197" spans="1:18" ht="16" x14ac:dyDescent="0.2">
      <c r="A1197" s="73" t="s">
        <v>407</v>
      </c>
      <c r="B1197" s="85" t="s">
        <v>1877</v>
      </c>
      <c r="C1197" s="74" t="s">
        <v>1865</v>
      </c>
      <c r="D1197" s="74" t="s">
        <v>991</v>
      </c>
      <c r="E1197" s="78" t="s">
        <v>97</v>
      </c>
      <c r="F1197" s="76" t="s">
        <v>1848</v>
      </c>
      <c r="G1197" s="75" t="s">
        <v>598</v>
      </c>
      <c r="H1197" s="70"/>
      <c r="P1197" s="70">
        <f t="shared" si="18"/>
        <v>0</v>
      </c>
      <c r="Q1197" s="70" cm="1">
        <f t="array" ref="Q1197">IF(P1197=1,IF(SUMPRODUCT(($P$2:P1197)*(--($G$2:G1197=$G1197)))=1,1,0),0)</f>
        <v>0</v>
      </c>
      <c r="R1197" s="70" t="str">
        <f>IF(Q1197=1,SUM($Q$2:Q1197),"")</f>
        <v/>
      </c>
    </row>
    <row r="1198" spans="1:18" ht="16" x14ac:dyDescent="0.2">
      <c r="A1198" s="73" t="s">
        <v>407</v>
      </c>
      <c r="B1198" s="85" t="s">
        <v>1877</v>
      </c>
      <c r="C1198" s="74" t="s">
        <v>1865</v>
      </c>
      <c r="D1198" s="74" t="s">
        <v>991</v>
      </c>
      <c r="E1198" s="78" t="s">
        <v>97</v>
      </c>
      <c r="F1198" s="76" t="s">
        <v>1849</v>
      </c>
      <c r="G1198" s="75" t="s">
        <v>598</v>
      </c>
      <c r="H1198" s="70"/>
      <c r="P1198" s="70">
        <f t="shared" si="18"/>
        <v>0</v>
      </c>
      <c r="Q1198" s="70" cm="1">
        <f t="array" ref="Q1198">IF(P1198=1,IF(SUMPRODUCT(($P$2:P1198)*(--($G$2:G1198=$G1198)))=1,1,0),0)</f>
        <v>0</v>
      </c>
      <c r="R1198" s="70" t="str">
        <f>IF(Q1198=1,SUM($Q$2:Q1198),"")</f>
        <v/>
      </c>
    </row>
    <row r="1199" spans="1:18" ht="16" x14ac:dyDescent="0.2">
      <c r="A1199" s="73" t="s">
        <v>407</v>
      </c>
      <c r="B1199" s="85" t="s">
        <v>1877</v>
      </c>
      <c r="C1199" s="74" t="s">
        <v>1865</v>
      </c>
      <c r="D1199" s="74" t="s">
        <v>991</v>
      </c>
      <c r="E1199" s="78" t="s">
        <v>97</v>
      </c>
      <c r="F1199" s="76" t="s">
        <v>1850</v>
      </c>
      <c r="G1199" s="75" t="s">
        <v>598</v>
      </c>
      <c r="H1199" s="70"/>
      <c r="P1199" s="70">
        <f t="shared" si="18"/>
        <v>0</v>
      </c>
      <c r="Q1199" s="70" cm="1">
        <f t="array" ref="Q1199">IF(P1199=1,IF(SUMPRODUCT(($P$2:P1199)*(--($G$2:G1199=$G1199)))=1,1,0),0)</f>
        <v>0</v>
      </c>
      <c r="R1199" s="70" t="str">
        <f>IF(Q1199=1,SUM($Q$2:Q1199),"")</f>
        <v/>
      </c>
    </row>
    <row r="1200" spans="1:18" ht="16" x14ac:dyDescent="0.2">
      <c r="A1200" s="73" t="s">
        <v>407</v>
      </c>
      <c r="B1200" s="85" t="s">
        <v>1877</v>
      </c>
      <c r="C1200" s="74" t="s">
        <v>1865</v>
      </c>
      <c r="D1200" s="74" t="s">
        <v>991</v>
      </c>
      <c r="E1200" s="78" t="s">
        <v>97</v>
      </c>
      <c r="F1200" s="76" t="s">
        <v>1851</v>
      </c>
      <c r="G1200" s="75" t="s">
        <v>598</v>
      </c>
      <c r="H1200" s="70"/>
      <c r="P1200" s="70">
        <f t="shared" si="18"/>
        <v>0</v>
      </c>
      <c r="Q1200" s="70" cm="1">
        <f t="array" ref="Q1200">IF(P1200=1,IF(SUMPRODUCT(($P$2:P1200)*(--($G$2:G1200=$G1200)))=1,1,0),0)</f>
        <v>0</v>
      </c>
      <c r="R1200" s="70" t="str">
        <f>IF(Q1200=1,SUM($Q$2:Q1200),"")</f>
        <v/>
      </c>
    </row>
    <row r="1201" spans="1:18" ht="16" x14ac:dyDescent="0.2">
      <c r="A1201" s="73" t="s">
        <v>407</v>
      </c>
      <c r="B1201" s="85" t="s">
        <v>1878</v>
      </c>
      <c r="C1201" s="74" t="s">
        <v>1865</v>
      </c>
      <c r="D1201" s="74" t="s">
        <v>991</v>
      </c>
      <c r="E1201" s="78" t="s">
        <v>97</v>
      </c>
      <c r="F1201" s="76" t="s">
        <v>1785</v>
      </c>
      <c r="G1201" s="75" t="s">
        <v>1274</v>
      </c>
      <c r="H1201" s="70"/>
      <c r="P1201" s="70">
        <f t="shared" si="18"/>
        <v>0</v>
      </c>
      <c r="Q1201" s="70" cm="1">
        <f t="array" ref="Q1201">IF(P1201=1,IF(SUMPRODUCT(($P$2:P1201)*(--($G$2:G1201=$G1201)))=1,1,0),0)</f>
        <v>0</v>
      </c>
      <c r="R1201" s="70" t="str">
        <f>IF(Q1201=1,SUM($Q$2:Q1201),"")</f>
        <v/>
      </c>
    </row>
    <row r="1202" spans="1:18" ht="16" x14ac:dyDescent="0.2">
      <c r="A1202" s="73" t="s">
        <v>407</v>
      </c>
      <c r="B1202" s="85" t="s">
        <v>1878</v>
      </c>
      <c r="C1202" s="74" t="s">
        <v>1865</v>
      </c>
      <c r="D1202" s="74" t="s">
        <v>991</v>
      </c>
      <c r="E1202" s="78" t="s">
        <v>97</v>
      </c>
      <c r="F1202" s="76" t="s">
        <v>1788</v>
      </c>
      <c r="G1202" s="75" t="s">
        <v>1274</v>
      </c>
      <c r="H1202" s="70"/>
      <c r="P1202" s="70">
        <f t="shared" si="18"/>
        <v>0</v>
      </c>
      <c r="Q1202" s="70" cm="1">
        <f t="array" ref="Q1202">IF(P1202=1,IF(SUMPRODUCT(($P$2:P1202)*(--($G$2:G1202=$G1202)))=1,1,0),0)</f>
        <v>0</v>
      </c>
      <c r="R1202" s="70" t="str">
        <f>IF(Q1202=1,SUM($Q$2:Q1202),"")</f>
        <v/>
      </c>
    </row>
    <row r="1203" spans="1:18" ht="16" x14ac:dyDescent="0.2">
      <c r="A1203" s="73" t="s">
        <v>407</v>
      </c>
      <c r="B1203" s="85" t="s">
        <v>1878</v>
      </c>
      <c r="C1203" s="74" t="s">
        <v>1865</v>
      </c>
      <c r="D1203" s="74" t="s">
        <v>991</v>
      </c>
      <c r="E1203" s="78" t="s">
        <v>97</v>
      </c>
      <c r="F1203" s="76" t="s">
        <v>1789</v>
      </c>
      <c r="G1203" s="75" t="s">
        <v>1274</v>
      </c>
      <c r="H1203" s="70"/>
      <c r="P1203" s="70">
        <f t="shared" si="18"/>
        <v>0</v>
      </c>
      <c r="Q1203" s="70" cm="1">
        <f t="array" ref="Q1203">IF(P1203=1,IF(SUMPRODUCT(($P$2:P1203)*(--($G$2:G1203=$G1203)))=1,1,0),0)</f>
        <v>0</v>
      </c>
      <c r="R1203" s="70" t="str">
        <f>IF(Q1203=1,SUM($Q$2:Q1203),"")</f>
        <v/>
      </c>
    </row>
    <row r="1204" spans="1:18" ht="16" x14ac:dyDescent="0.2">
      <c r="A1204" s="73" t="s">
        <v>407</v>
      </c>
      <c r="B1204" s="85" t="s">
        <v>1878</v>
      </c>
      <c r="C1204" s="74" t="s">
        <v>1865</v>
      </c>
      <c r="D1204" s="74" t="s">
        <v>991</v>
      </c>
      <c r="E1204" s="78" t="s">
        <v>97</v>
      </c>
      <c r="F1204" s="76" t="s">
        <v>1790</v>
      </c>
      <c r="G1204" s="75" t="s">
        <v>1274</v>
      </c>
      <c r="H1204" s="70"/>
      <c r="P1204" s="70">
        <f t="shared" si="18"/>
        <v>0</v>
      </c>
      <c r="Q1204" s="70" cm="1">
        <f t="array" ref="Q1204">IF(P1204=1,IF(SUMPRODUCT(($P$2:P1204)*(--($G$2:G1204=$G1204)))=1,1,0),0)</f>
        <v>0</v>
      </c>
      <c r="R1204" s="70" t="str">
        <f>IF(Q1204=1,SUM($Q$2:Q1204),"")</f>
        <v/>
      </c>
    </row>
    <row r="1205" spans="1:18" ht="16" x14ac:dyDescent="0.2">
      <c r="A1205" s="73" t="s">
        <v>407</v>
      </c>
      <c r="B1205" s="85" t="s">
        <v>1878</v>
      </c>
      <c r="C1205" s="74" t="s">
        <v>1865</v>
      </c>
      <c r="D1205" s="74" t="s">
        <v>991</v>
      </c>
      <c r="E1205" s="78" t="s">
        <v>97</v>
      </c>
      <c r="F1205" s="76" t="s">
        <v>1846</v>
      </c>
      <c r="G1205" s="75" t="s">
        <v>1274</v>
      </c>
      <c r="H1205" s="70"/>
      <c r="P1205" s="70">
        <f t="shared" si="18"/>
        <v>0</v>
      </c>
      <c r="Q1205" s="70" cm="1">
        <f t="array" ref="Q1205">IF(P1205=1,IF(SUMPRODUCT(($P$2:P1205)*(--($G$2:G1205=$G1205)))=1,1,0),0)</f>
        <v>0</v>
      </c>
      <c r="R1205" s="70" t="str">
        <f>IF(Q1205=1,SUM($Q$2:Q1205),"")</f>
        <v/>
      </c>
    </row>
    <row r="1206" spans="1:18" ht="16" x14ac:dyDescent="0.2">
      <c r="A1206" s="73" t="s">
        <v>407</v>
      </c>
      <c r="B1206" s="85" t="s">
        <v>1878</v>
      </c>
      <c r="C1206" s="74" t="s">
        <v>1865</v>
      </c>
      <c r="D1206" s="74" t="s">
        <v>991</v>
      </c>
      <c r="E1206" s="78" t="s">
        <v>97</v>
      </c>
      <c r="F1206" s="76" t="s">
        <v>1847</v>
      </c>
      <c r="G1206" s="75" t="s">
        <v>1274</v>
      </c>
      <c r="H1206" s="70"/>
      <c r="P1206" s="70">
        <f t="shared" si="18"/>
        <v>0</v>
      </c>
      <c r="Q1206" s="70" cm="1">
        <f t="array" ref="Q1206">IF(P1206=1,IF(SUMPRODUCT(($P$2:P1206)*(--($G$2:G1206=$G1206)))=1,1,0),0)</f>
        <v>0</v>
      </c>
      <c r="R1206" s="70" t="str">
        <f>IF(Q1206=1,SUM($Q$2:Q1206),"")</f>
        <v/>
      </c>
    </row>
    <row r="1207" spans="1:18" ht="16" x14ac:dyDescent="0.2">
      <c r="A1207" s="73" t="s">
        <v>407</v>
      </c>
      <c r="B1207" s="85" t="s">
        <v>1878</v>
      </c>
      <c r="C1207" s="74" t="s">
        <v>1865</v>
      </c>
      <c r="D1207" s="74" t="s">
        <v>991</v>
      </c>
      <c r="E1207" s="78" t="s">
        <v>97</v>
      </c>
      <c r="F1207" s="76" t="s">
        <v>1786</v>
      </c>
      <c r="G1207" s="75" t="s">
        <v>1274</v>
      </c>
      <c r="H1207" s="70"/>
      <c r="P1207" s="70">
        <f t="shared" si="18"/>
        <v>0</v>
      </c>
      <c r="Q1207" s="70" cm="1">
        <f t="array" ref="Q1207">IF(P1207=1,IF(SUMPRODUCT(($P$2:P1207)*(--($G$2:G1207=$G1207)))=1,1,0),0)</f>
        <v>0</v>
      </c>
      <c r="R1207" s="70" t="str">
        <f>IF(Q1207=1,SUM($Q$2:Q1207),"")</f>
        <v/>
      </c>
    </row>
    <row r="1208" spans="1:18" ht="16" x14ac:dyDescent="0.2">
      <c r="A1208" s="73" t="s">
        <v>407</v>
      </c>
      <c r="B1208" s="85" t="s">
        <v>1878</v>
      </c>
      <c r="C1208" s="74" t="s">
        <v>1865</v>
      </c>
      <c r="D1208" s="74" t="s">
        <v>991</v>
      </c>
      <c r="E1208" s="78" t="s">
        <v>97</v>
      </c>
      <c r="F1208" s="76" t="s">
        <v>1787</v>
      </c>
      <c r="G1208" s="75" t="s">
        <v>1274</v>
      </c>
      <c r="H1208" s="70"/>
      <c r="P1208" s="70">
        <f t="shared" si="18"/>
        <v>0</v>
      </c>
      <c r="Q1208" s="70" cm="1">
        <f t="array" ref="Q1208">IF(P1208=1,IF(SUMPRODUCT(($P$2:P1208)*(--($G$2:G1208=$G1208)))=1,1,0),0)</f>
        <v>0</v>
      </c>
      <c r="R1208" s="70" t="str">
        <f>IF(Q1208=1,SUM($Q$2:Q1208),"")</f>
        <v/>
      </c>
    </row>
    <row r="1209" spans="1:18" ht="16" x14ac:dyDescent="0.2">
      <c r="A1209" s="73" t="s">
        <v>407</v>
      </c>
      <c r="B1209" s="85" t="s">
        <v>1878</v>
      </c>
      <c r="C1209" s="74" t="s">
        <v>1865</v>
      </c>
      <c r="D1209" s="74" t="s">
        <v>991</v>
      </c>
      <c r="E1209" s="78" t="s">
        <v>97</v>
      </c>
      <c r="F1209" s="76" t="s">
        <v>1848</v>
      </c>
      <c r="G1209" s="75" t="s">
        <v>1274</v>
      </c>
      <c r="H1209" s="70"/>
      <c r="P1209" s="70">
        <f t="shared" si="18"/>
        <v>0</v>
      </c>
      <c r="Q1209" s="70" cm="1">
        <f t="array" ref="Q1209">IF(P1209=1,IF(SUMPRODUCT(($P$2:P1209)*(--($G$2:G1209=$G1209)))=1,1,0),0)</f>
        <v>0</v>
      </c>
      <c r="R1209" s="70" t="str">
        <f>IF(Q1209=1,SUM($Q$2:Q1209),"")</f>
        <v/>
      </c>
    </row>
    <row r="1210" spans="1:18" ht="16" x14ac:dyDescent="0.2">
      <c r="A1210" s="73" t="s">
        <v>407</v>
      </c>
      <c r="B1210" s="85" t="s">
        <v>1878</v>
      </c>
      <c r="C1210" s="74" t="s">
        <v>1865</v>
      </c>
      <c r="D1210" s="74" t="s">
        <v>991</v>
      </c>
      <c r="E1210" s="78" t="s">
        <v>97</v>
      </c>
      <c r="F1210" s="76" t="s">
        <v>1849</v>
      </c>
      <c r="G1210" s="75" t="s">
        <v>1274</v>
      </c>
      <c r="H1210" s="70"/>
      <c r="P1210" s="70">
        <f t="shared" si="18"/>
        <v>0</v>
      </c>
      <c r="Q1210" s="70" cm="1">
        <f t="array" ref="Q1210">IF(P1210=1,IF(SUMPRODUCT(($P$2:P1210)*(--($G$2:G1210=$G1210)))=1,1,0),0)</f>
        <v>0</v>
      </c>
      <c r="R1210" s="70" t="str">
        <f>IF(Q1210=1,SUM($Q$2:Q1210),"")</f>
        <v/>
      </c>
    </row>
    <row r="1211" spans="1:18" ht="16" x14ac:dyDescent="0.2">
      <c r="A1211" s="73" t="s">
        <v>407</v>
      </c>
      <c r="B1211" s="85" t="s">
        <v>1878</v>
      </c>
      <c r="C1211" s="74" t="s">
        <v>1865</v>
      </c>
      <c r="D1211" s="74" t="s">
        <v>991</v>
      </c>
      <c r="E1211" s="78" t="s">
        <v>97</v>
      </c>
      <c r="F1211" s="76" t="s">
        <v>1850</v>
      </c>
      <c r="G1211" s="75" t="s">
        <v>1274</v>
      </c>
      <c r="H1211" s="70"/>
      <c r="P1211" s="70">
        <f t="shared" si="18"/>
        <v>0</v>
      </c>
      <c r="Q1211" s="70" cm="1">
        <f t="array" ref="Q1211">IF(P1211=1,IF(SUMPRODUCT(($P$2:P1211)*(--($G$2:G1211=$G1211)))=1,1,0),0)</f>
        <v>0</v>
      </c>
      <c r="R1211" s="70" t="str">
        <f>IF(Q1211=1,SUM($Q$2:Q1211),"")</f>
        <v/>
      </c>
    </row>
    <row r="1212" spans="1:18" ht="16" x14ac:dyDescent="0.2">
      <c r="A1212" s="73" t="s">
        <v>407</v>
      </c>
      <c r="B1212" s="85" t="s">
        <v>1878</v>
      </c>
      <c r="C1212" s="74" t="s">
        <v>1865</v>
      </c>
      <c r="D1212" s="74" t="s">
        <v>991</v>
      </c>
      <c r="E1212" s="78" t="s">
        <v>97</v>
      </c>
      <c r="F1212" s="76" t="s">
        <v>1851</v>
      </c>
      <c r="G1212" s="75" t="s">
        <v>1274</v>
      </c>
      <c r="H1212" s="70"/>
      <c r="P1212" s="70">
        <f t="shared" si="18"/>
        <v>0</v>
      </c>
      <c r="Q1212" s="70" cm="1">
        <f t="array" ref="Q1212">IF(P1212=1,IF(SUMPRODUCT(($P$2:P1212)*(--($G$2:G1212=$G1212)))=1,1,0),0)</f>
        <v>0</v>
      </c>
      <c r="R1212" s="70" t="str">
        <f>IF(Q1212=1,SUM($Q$2:Q1212),"")</f>
        <v/>
      </c>
    </row>
    <row r="1213" spans="1:18" x14ac:dyDescent="0.2">
      <c r="A1213" s="73" t="s">
        <v>407</v>
      </c>
      <c r="B1213" s="77" t="s">
        <v>1541</v>
      </c>
      <c r="C1213" s="74" t="s">
        <v>1865</v>
      </c>
      <c r="D1213" s="74" t="s">
        <v>991</v>
      </c>
      <c r="E1213" s="78" t="s">
        <v>97</v>
      </c>
      <c r="F1213" s="76" t="s">
        <v>1785</v>
      </c>
      <c r="G1213" s="76" t="s">
        <v>1255</v>
      </c>
      <c r="H1213" s="70"/>
      <c r="P1213" s="70">
        <f t="shared" si="18"/>
        <v>0</v>
      </c>
      <c r="Q1213" s="70" cm="1">
        <f t="array" ref="Q1213">IF(P1213=1,IF(SUMPRODUCT(($P$2:P1213)*(--($G$2:G1213=$G1213)))=1,1,0),0)</f>
        <v>0</v>
      </c>
      <c r="R1213" s="70" t="str">
        <f>IF(Q1213=1,SUM($Q$2:Q1213),"")</f>
        <v/>
      </c>
    </row>
    <row r="1214" spans="1:18" x14ac:dyDescent="0.2">
      <c r="A1214" s="73" t="s">
        <v>407</v>
      </c>
      <c r="B1214" s="77" t="s">
        <v>1541</v>
      </c>
      <c r="C1214" s="74" t="s">
        <v>1865</v>
      </c>
      <c r="D1214" s="74" t="s">
        <v>991</v>
      </c>
      <c r="E1214" s="78" t="s">
        <v>97</v>
      </c>
      <c r="F1214" s="76" t="s">
        <v>1788</v>
      </c>
      <c r="G1214" s="76" t="s">
        <v>1255</v>
      </c>
      <c r="H1214" s="70"/>
      <c r="P1214" s="70">
        <f t="shared" si="18"/>
        <v>0</v>
      </c>
      <c r="Q1214" s="70" cm="1">
        <f t="array" ref="Q1214">IF(P1214=1,IF(SUMPRODUCT(($P$2:P1214)*(--($G$2:G1214=$G1214)))=1,1,0),0)</f>
        <v>0</v>
      </c>
      <c r="R1214" s="70" t="str">
        <f>IF(Q1214=1,SUM($Q$2:Q1214),"")</f>
        <v/>
      </c>
    </row>
    <row r="1215" spans="1:18" x14ac:dyDescent="0.2">
      <c r="A1215" s="73" t="s">
        <v>407</v>
      </c>
      <c r="B1215" s="77" t="s">
        <v>1541</v>
      </c>
      <c r="C1215" s="74" t="s">
        <v>1865</v>
      </c>
      <c r="D1215" s="74" t="s">
        <v>991</v>
      </c>
      <c r="E1215" s="78" t="s">
        <v>97</v>
      </c>
      <c r="F1215" s="76" t="s">
        <v>1789</v>
      </c>
      <c r="G1215" s="76" t="s">
        <v>1255</v>
      </c>
      <c r="H1215" s="70"/>
      <c r="P1215" s="70">
        <f t="shared" si="18"/>
        <v>0</v>
      </c>
      <c r="Q1215" s="70" cm="1">
        <f t="array" ref="Q1215">IF(P1215=1,IF(SUMPRODUCT(($P$2:P1215)*(--($G$2:G1215=$G1215)))=1,1,0),0)</f>
        <v>0</v>
      </c>
      <c r="R1215" s="70" t="str">
        <f>IF(Q1215=1,SUM($Q$2:Q1215),"")</f>
        <v/>
      </c>
    </row>
    <row r="1216" spans="1:18" x14ac:dyDescent="0.2">
      <c r="A1216" s="73" t="s">
        <v>407</v>
      </c>
      <c r="B1216" s="77" t="s">
        <v>1541</v>
      </c>
      <c r="C1216" s="74" t="s">
        <v>1865</v>
      </c>
      <c r="D1216" s="74" t="s">
        <v>991</v>
      </c>
      <c r="E1216" s="78" t="s">
        <v>97</v>
      </c>
      <c r="F1216" s="76" t="s">
        <v>1790</v>
      </c>
      <c r="G1216" s="76" t="s">
        <v>1255</v>
      </c>
      <c r="H1216" s="70"/>
      <c r="P1216" s="70">
        <f t="shared" si="18"/>
        <v>0</v>
      </c>
      <c r="Q1216" s="70" cm="1">
        <f t="array" ref="Q1216">IF(P1216=1,IF(SUMPRODUCT(($P$2:P1216)*(--($G$2:G1216=$G1216)))=1,1,0),0)</f>
        <v>0</v>
      </c>
      <c r="R1216" s="70" t="str">
        <f>IF(Q1216=1,SUM($Q$2:Q1216),"")</f>
        <v/>
      </c>
    </row>
    <row r="1217" spans="1:18" x14ac:dyDescent="0.2">
      <c r="A1217" s="73" t="s">
        <v>407</v>
      </c>
      <c r="B1217" s="77" t="s">
        <v>1541</v>
      </c>
      <c r="C1217" s="74" t="s">
        <v>1865</v>
      </c>
      <c r="D1217" s="74" t="s">
        <v>991</v>
      </c>
      <c r="E1217" s="78" t="s">
        <v>97</v>
      </c>
      <c r="F1217" s="76" t="s">
        <v>1847</v>
      </c>
      <c r="G1217" s="76" t="s">
        <v>1255</v>
      </c>
      <c r="H1217" s="70"/>
      <c r="P1217" s="70">
        <f t="shared" si="18"/>
        <v>0</v>
      </c>
      <c r="Q1217" s="70" cm="1">
        <f t="array" ref="Q1217">IF(P1217=1,IF(SUMPRODUCT(($P$2:P1217)*(--($G$2:G1217=$G1217)))=1,1,0),0)</f>
        <v>0</v>
      </c>
      <c r="R1217" s="70" t="str">
        <f>IF(Q1217=1,SUM($Q$2:Q1217),"")</f>
        <v/>
      </c>
    </row>
    <row r="1218" spans="1:18" x14ac:dyDescent="0.2">
      <c r="A1218" s="73" t="s">
        <v>407</v>
      </c>
      <c r="B1218" s="77" t="s">
        <v>1541</v>
      </c>
      <c r="C1218" s="74" t="s">
        <v>1865</v>
      </c>
      <c r="D1218" s="74" t="s">
        <v>991</v>
      </c>
      <c r="E1218" s="78" t="s">
        <v>97</v>
      </c>
      <c r="F1218" s="76" t="s">
        <v>1786</v>
      </c>
      <c r="G1218" s="76" t="s">
        <v>1255</v>
      </c>
      <c r="H1218" s="70"/>
      <c r="P1218" s="70">
        <f t="shared" si="18"/>
        <v>0</v>
      </c>
      <c r="Q1218" s="70" cm="1">
        <f t="array" ref="Q1218">IF(P1218=1,IF(SUMPRODUCT(($P$2:P1218)*(--($G$2:G1218=$G1218)))=1,1,0),0)</f>
        <v>0</v>
      </c>
      <c r="R1218" s="70" t="str">
        <f>IF(Q1218=1,SUM($Q$2:Q1218),"")</f>
        <v/>
      </c>
    </row>
    <row r="1219" spans="1:18" x14ac:dyDescent="0.2">
      <c r="A1219" s="73" t="s">
        <v>407</v>
      </c>
      <c r="B1219" s="77" t="s">
        <v>1541</v>
      </c>
      <c r="C1219" s="74" t="s">
        <v>1865</v>
      </c>
      <c r="D1219" s="74" t="s">
        <v>991</v>
      </c>
      <c r="E1219" s="78" t="s">
        <v>97</v>
      </c>
      <c r="F1219" s="76" t="s">
        <v>1787</v>
      </c>
      <c r="G1219" s="76" t="s">
        <v>1255</v>
      </c>
      <c r="H1219" s="70"/>
      <c r="P1219" s="70">
        <f t="shared" ref="P1219:P1282" si="19">IF(AND(IF(TRIM($J$2&amp;"")="",TRUE,LEFT($D1219,LEN($J$2))=$J$2),IF(TRIM($K$2&amp;"")="",TRUE,$E1219=$K$2),IF($L$2="",TRUE,$F1219=$L$2)),1,0)</f>
        <v>0</v>
      </c>
      <c r="Q1219" s="70" cm="1">
        <f t="array" ref="Q1219">IF(P1219=1,IF(SUMPRODUCT(($P$2:P1219)*(--($G$2:G1219=$G1219)))=1,1,0),0)</f>
        <v>0</v>
      </c>
      <c r="R1219" s="70" t="str">
        <f>IF(Q1219=1,SUM($Q$2:Q1219),"")</f>
        <v/>
      </c>
    </row>
    <row r="1220" spans="1:18" x14ac:dyDescent="0.2">
      <c r="A1220" s="73" t="s">
        <v>407</v>
      </c>
      <c r="B1220" s="77" t="s">
        <v>1541</v>
      </c>
      <c r="C1220" s="74" t="s">
        <v>1865</v>
      </c>
      <c r="D1220" s="74" t="s">
        <v>991</v>
      </c>
      <c r="E1220" s="78" t="s">
        <v>97</v>
      </c>
      <c r="F1220" s="76" t="s">
        <v>1848</v>
      </c>
      <c r="G1220" s="76" t="s">
        <v>1255</v>
      </c>
      <c r="H1220" s="70"/>
      <c r="P1220" s="70">
        <f t="shared" si="19"/>
        <v>0</v>
      </c>
      <c r="Q1220" s="70" cm="1">
        <f t="array" ref="Q1220">IF(P1220=1,IF(SUMPRODUCT(($P$2:P1220)*(--($G$2:G1220=$G1220)))=1,1,0),0)</f>
        <v>0</v>
      </c>
      <c r="R1220" s="70" t="str">
        <f>IF(Q1220=1,SUM($Q$2:Q1220),"")</f>
        <v/>
      </c>
    </row>
    <row r="1221" spans="1:18" x14ac:dyDescent="0.2">
      <c r="A1221" s="73" t="s">
        <v>407</v>
      </c>
      <c r="B1221" s="77" t="s">
        <v>1541</v>
      </c>
      <c r="C1221" s="74" t="s">
        <v>1865</v>
      </c>
      <c r="D1221" s="74" t="s">
        <v>991</v>
      </c>
      <c r="E1221" s="78" t="s">
        <v>97</v>
      </c>
      <c r="F1221" s="76" t="s">
        <v>1849</v>
      </c>
      <c r="G1221" s="76" t="s">
        <v>1255</v>
      </c>
      <c r="H1221" s="70"/>
      <c r="P1221" s="70">
        <f t="shared" si="19"/>
        <v>0</v>
      </c>
      <c r="Q1221" s="70" cm="1">
        <f t="array" ref="Q1221">IF(P1221=1,IF(SUMPRODUCT(($P$2:P1221)*(--($G$2:G1221=$G1221)))=1,1,0),0)</f>
        <v>0</v>
      </c>
      <c r="R1221" s="70" t="str">
        <f>IF(Q1221=1,SUM($Q$2:Q1221),"")</f>
        <v/>
      </c>
    </row>
    <row r="1222" spans="1:18" x14ac:dyDescent="0.2">
      <c r="A1222" s="73" t="s">
        <v>407</v>
      </c>
      <c r="B1222" s="77" t="s">
        <v>1541</v>
      </c>
      <c r="C1222" s="74" t="s">
        <v>1865</v>
      </c>
      <c r="D1222" s="74" t="s">
        <v>991</v>
      </c>
      <c r="E1222" s="78" t="s">
        <v>97</v>
      </c>
      <c r="F1222" s="76" t="s">
        <v>1850</v>
      </c>
      <c r="G1222" s="76" t="s">
        <v>1255</v>
      </c>
      <c r="H1222" s="70"/>
      <c r="P1222" s="70">
        <f t="shared" si="19"/>
        <v>0</v>
      </c>
      <c r="Q1222" s="70" cm="1">
        <f t="array" ref="Q1222">IF(P1222=1,IF(SUMPRODUCT(($P$2:P1222)*(--($G$2:G1222=$G1222)))=1,1,0),0)</f>
        <v>0</v>
      </c>
      <c r="R1222" s="70" t="str">
        <f>IF(Q1222=1,SUM($Q$2:Q1222),"")</f>
        <v/>
      </c>
    </row>
    <row r="1223" spans="1:18" x14ac:dyDescent="0.2">
      <c r="A1223" s="73" t="s">
        <v>407</v>
      </c>
      <c r="B1223" s="77" t="s">
        <v>1541</v>
      </c>
      <c r="C1223" s="74" t="s">
        <v>1865</v>
      </c>
      <c r="D1223" s="74" t="s">
        <v>991</v>
      </c>
      <c r="E1223" s="78" t="s">
        <v>97</v>
      </c>
      <c r="F1223" s="76" t="s">
        <v>1851</v>
      </c>
      <c r="G1223" s="76" t="s">
        <v>1255</v>
      </c>
      <c r="H1223" s="70"/>
      <c r="P1223" s="70">
        <f t="shared" si="19"/>
        <v>0</v>
      </c>
      <c r="Q1223" s="70" cm="1">
        <f t="array" ref="Q1223">IF(P1223=1,IF(SUMPRODUCT(($P$2:P1223)*(--($G$2:G1223=$G1223)))=1,1,0),0)</f>
        <v>0</v>
      </c>
      <c r="R1223" s="70" t="str">
        <f>IF(Q1223=1,SUM($Q$2:Q1223),"")</f>
        <v/>
      </c>
    </row>
    <row r="1224" spans="1:18" x14ac:dyDescent="0.2">
      <c r="A1224" s="73" t="s">
        <v>407</v>
      </c>
      <c r="B1224" s="77" t="s">
        <v>1541</v>
      </c>
      <c r="C1224" s="74" t="s">
        <v>1865</v>
      </c>
      <c r="D1224" s="74" t="s">
        <v>991</v>
      </c>
      <c r="E1224" s="78" t="s">
        <v>97</v>
      </c>
      <c r="F1224" s="76" t="s">
        <v>411</v>
      </c>
      <c r="G1224" s="76" t="s">
        <v>1256</v>
      </c>
      <c r="H1224" s="70"/>
      <c r="P1224" s="70">
        <f t="shared" si="19"/>
        <v>0</v>
      </c>
      <c r="Q1224" s="70" cm="1">
        <f t="array" ref="Q1224">IF(P1224=1,IF(SUMPRODUCT(($P$2:P1224)*(--($G$2:G1224=$G1224)))=1,1,0),0)</f>
        <v>0</v>
      </c>
      <c r="R1224" s="70" t="str">
        <f>IF(Q1224=1,SUM($Q$2:Q1224),"")</f>
        <v/>
      </c>
    </row>
    <row r="1225" spans="1:18" x14ac:dyDescent="0.2">
      <c r="A1225" s="73" t="s">
        <v>407</v>
      </c>
      <c r="B1225" s="77" t="s">
        <v>1541</v>
      </c>
      <c r="C1225" s="74" t="s">
        <v>1865</v>
      </c>
      <c r="D1225" s="74" t="s">
        <v>991</v>
      </c>
      <c r="E1225" s="78" t="s">
        <v>97</v>
      </c>
      <c r="F1225" s="76" t="s">
        <v>1792</v>
      </c>
      <c r="G1225" s="76" t="s">
        <v>1256</v>
      </c>
      <c r="H1225" s="70"/>
      <c r="P1225" s="70">
        <f t="shared" si="19"/>
        <v>0</v>
      </c>
      <c r="Q1225" s="70" cm="1">
        <f t="array" ref="Q1225">IF(P1225=1,IF(SUMPRODUCT(($P$2:P1225)*(--($G$2:G1225=$G1225)))=1,1,0),0)</f>
        <v>0</v>
      </c>
      <c r="R1225" s="70" t="str">
        <f>IF(Q1225=1,SUM($Q$2:Q1225),"")</f>
        <v/>
      </c>
    </row>
    <row r="1226" spans="1:18" x14ac:dyDescent="0.2">
      <c r="A1226" s="73" t="s">
        <v>407</v>
      </c>
      <c r="B1226" s="77" t="s">
        <v>1541</v>
      </c>
      <c r="C1226" s="74" t="s">
        <v>1865</v>
      </c>
      <c r="D1226" s="74" t="s">
        <v>991</v>
      </c>
      <c r="E1226" s="78" t="s">
        <v>97</v>
      </c>
      <c r="F1226" s="76" t="s">
        <v>1793</v>
      </c>
      <c r="G1226" s="76" t="s">
        <v>1256</v>
      </c>
      <c r="H1226" s="70"/>
      <c r="P1226" s="70">
        <f t="shared" si="19"/>
        <v>0</v>
      </c>
      <c r="Q1226" s="70" cm="1">
        <f t="array" ref="Q1226">IF(P1226=1,IF(SUMPRODUCT(($P$2:P1226)*(--($G$2:G1226=$G1226)))=1,1,0),0)</f>
        <v>0</v>
      </c>
      <c r="R1226" s="70" t="str">
        <f>IF(Q1226=1,SUM($Q$2:Q1226),"")</f>
        <v/>
      </c>
    </row>
    <row r="1227" spans="1:18" x14ac:dyDescent="0.2">
      <c r="A1227" s="73" t="s">
        <v>407</v>
      </c>
      <c r="B1227" s="77" t="s">
        <v>1541</v>
      </c>
      <c r="C1227" s="74" t="s">
        <v>1865</v>
      </c>
      <c r="D1227" s="74" t="s">
        <v>991</v>
      </c>
      <c r="E1227" s="78" t="s">
        <v>97</v>
      </c>
      <c r="F1227" s="76" t="s">
        <v>1794</v>
      </c>
      <c r="G1227" s="76" t="s">
        <v>1256</v>
      </c>
      <c r="H1227" s="70"/>
      <c r="P1227" s="70">
        <f t="shared" si="19"/>
        <v>0</v>
      </c>
      <c r="Q1227" s="70" cm="1">
        <f t="array" ref="Q1227">IF(P1227=1,IF(SUMPRODUCT(($P$2:P1227)*(--($G$2:G1227=$G1227)))=1,1,0),0)</f>
        <v>0</v>
      </c>
      <c r="R1227" s="70" t="str">
        <f>IF(Q1227=1,SUM($Q$2:Q1227),"")</f>
        <v/>
      </c>
    </row>
    <row r="1228" spans="1:18" x14ac:dyDescent="0.2">
      <c r="A1228" s="73" t="s">
        <v>407</v>
      </c>
      <c r="B1228" s="77" t="s">
        <v>1541</v>
      </c>
      <c r="C1228" s="74" t="s">
        <v>1865</v>
      </c>
      <c r="D1228" s="74" t="s">
        <v>991</v>
      </c>
      <c r="E1228" s="78" t="s">
        <v>97</v>
      </c>
      <c r="F1228" s="76" t="s">
        <v>1795</v>
      </c>
      <c r="G1228" s="76" t="s">
        <v>1256</v>
      </c>
      <c r="H1228" s="70"/>
      <c r="P1228" s="70">
        <f t="shared" si="19"/>
        <v>0</v>
      </c>
      <c r="Q1228" s="70" cm="1">
        <f t="array" ref="Q1228">IF(P1228=1,IF(SUMPRODUCT(($P$2:P1228)*(--($G$2:G1228=$G1228)))=1,1,0),0)</f>
        <v>0</v>
      </c>
      <c r="R1228" s="70" t="str">
        <f>IF(Q1228=1,SUM($Q$2:Q1228),"")</f>
        <v/>
      </c>
    </row>
    <row r="1229" spans="1:18" x14ac:dyDescent="0.2">
      <c r="A1229" s="73" t="s">
        <v>407</v>
      </c>
      <c r="B1229" s="77" t="s">
        <v>1541</v>
      </c>
      <c r="C1229" s="74" t="s">
        <v>1865</v>
      </c>
      <c r="D1229" s="74" t="s">
        <v>991</v>
      </c>
      <c r="E1229" s="78" t="s">
        <v>97</v>
      </c>
      <c r="F1229" s="76" t="s">
        <v>1797</v>
      </c>
      <c r="G1229" s="76" t="s">
        <v>1256</v>
      </c>
      <c r="H1229" s="70"/>
      <c r="P1229" s="70">
        <f t="shared" si="19"/>
        <v>0</v>
      </c>
      <c r="Q1229" s="70" cm="1">
        <f t="array" ref="Q1229">IF(P1229=1,IF(SUMPRODUCT(($P$2:P1229)*(--($G$2:G1229=$G1229)))=1,1,0),0)</f>
        <v>0</v>
      </c>
      <c r="R1229" s="70" t="str">
        <f>IF(Q1229=1,SUM($Q$2:Q1229),"")</f>
        <v/>
      </c>
    </row>
    <row r="1230" spans="1:18" x14ac:dyDescent="0.2">
      <c r="A1230" s="73" t="s">
        <v>407</v>
      </c>
      <c r="B1230" s="77" t="s">
        <v>1541</v>
      </c>
      <c r="C1230" s="74" t="s">
        <v>1865</v>
      </c>
      <c r="D1230" s="74" t="s">
        <v>991</v>
      </c>
      <c r="E1230" s="78" t="s">
        <v>97</v>
      </c>
      <c r="F1230" s="76" t="s">
        <v>1852</v>
      </c>
      <c r="G1230" s="76" t="s">
        <v>1256</v>
      </c>
      <c r="H1230" s="70"/>
      <c r="P1230" s="70">
        <f t="shared" si="19"/>
        <v>0</v>
      </c>
      <c r="Q1230" s="70" cm="1">
        <f t="array" ref="Q1230">IF(P1230=1,IF(SUMPRODUCT(($P$2:P1230)*(--($G$2:G1230=$G1230)))=1,1,0),0)</f>
        <v>0</v>
      </c>
      <c r="R1230" s="70" t="str">
        <f>IF(Q1230=1,SUM($Q$2:Q1230),"")</f>
        <v/>
      </c>
    </row>
    <row r="1231" spans="1:18" x14ac:dyDescent="0.2">
      <c r="A1231" s="73" t="s">
        <v>407</v>
      </c>
      <c r="B1231" s="77" t="s">
        <v>1541</v>
      </c>
      <c r="C1231" s="74" t="s">
        <v>1865</v>
      </c>
      <c r="D1231" s="74" t="s">
        <v>991</v>
      </c>
      <c r="E1231" s="78" t="s">
        <v>97</v>
      </c>
      <c r="F1231" s="76" t="s">
        <v>1798</v>
      </c>
      <c r="G1231" s="76" t="s">
        <v>1256</v>
      </c>
      <c r="H1231" s="70"/>
      <c r="P1231" s="70">
        <f t="shared" si="19"/>
        <v>0</v>
      </c>
      <c r="Q1231" s="70" cm="1">
        <f t="array" ref="Q1231">IF(P1231=1,IF(SUMPRODUCT(($P$2:P1231)*(--($G$2:G1231=$G1231)))=1,1,0),0)</f>
        <v>0</v>
      </c>
      <c r="R1231" s="70" t="str">
        <f>IF(Q1231=1,SUM($Q$2:Q1231),"")</f>
        <v/>
      </c>
    </row>
    <row r="1232" spans="1:18" x14ac:dyDescent="0.2">
      <c r="A1232" s="73" t="s">
        <v>407</v>
      </c>
      <c r="B1232" s="77" t="s">
        <v>1541</v>
      </c>
      <c r="C1232" s="74" t="s">
        <v>1865</v>
      </c>
      <c r="D1232" s="74" t="s">
        <v>991</v>
      </c>
      <c r="E1232" s="78" t="s">
        <v>97</v>
      </c>
      <c r="F1232" s="76" t="s">
        <v>1853</v>
      </c>
      <c r="G1232" s="76" t="s">
        <v>1256</v>
      </c>
      <c r="H1232" s="70"/>
      <c r="P1232" s="70">
        <f t="shared" si="19"/>
        <v>0</v>
      </c>
      <c r="Q1232" s="70" cm="1">
        <f t="array" ref="Q1232">IF(P1232=1,IF(SUMPRODUCT(($P$2:P1232)*(--($G$2:G1232=$G1232)))=1,1,0),0)</f>
        <v>0</v>
      </c>
      <c r="R1232" s="70" t="str">
        <f>IF(Q1232=1,SUM($Q$2:Q1232),"")</f>
        <v/>
      </c>
    </row>
    <row r="1233" spans="1:18" x14ac:dyDescent="0.2">
      <c r="A1233" s="73" t="s">
        <v>407</v>
      </c>
      <c r="B1233" s="77" t="s">
        <v>1541</v>
      </c>
      <c r="C1233" s="74" t="s">
        <v>1865</v>
      </c>
      <c r="D1233" s="74" t="s">
        <v>991</v>
      </c>
      <c r="E1233" s="78" t="s">
        <v>97</v>
      </c>
      <c r="F1233" s="76" t="s">
        <v>1854</v>
      </c>
      <c r="G1233" s="76" t="s">
        <v>1256</v>
      </c>
      <c r="H1233" s="70"/>
      <c r="P1233" s="70">
        <f t="shared" si="19"/>
        <v>0</v>
      </c>
      <c r="Q1233" s="70" cm="1">
        <f t="array" ref="Q1233">IF(P1233=1,IF(SUMPRODUCT(($P$2:P1233)*(--($G$2:G1233=$G1233)))=1,1,0),0)</f>
        <v>0</v>
      </c>
      <c r="R1233" s="70" t="str">
        <f>IF(Q1233=1,SUM($Q$2:Q1233),"")</f>
        <v/>
      </c>
    </row>
    <row r="1234" spans="1:18" x14ac:dyDescent="0.2">
      <c r="A1234" s="73" t="s">
        <v>407</v>
      </c>
      <c r="B1234" s="77" t="s">
        <v>1541</v>
      </c>
      <c r="C1234" s="74" t="s">
        <v>1865</v>
      </c>
      <c r="D1234" s="74" t="s">
        <v>991</v>
      </c>
      <c r="E1234" s="78" t="s">
        <v>97</v>
      </c>
      <c r="F1234" s="76" t="s">
        <v>1855</v>
      </c>
      <c r="G1234" s="76" t="s">
        <v>1256</v>
      </c>
      <c r="H1234" s="70"/>
      <c r="P1234" s="70">
        <f t="shared" si="19"/>
        <v>0</v>
      </c>
      <c r="Q1234" s="70" cm="1">
        <f t="array" ref="Q1234">IF(P1234=1,IF(SUMPRODUCT(($P$2:P1234)*(--($G$2:G1234=$G1234)))=1,1,0),0)</f>
        <v>0</v>
      </c>
      <c r="R1234" s="70" t="str">
        <f>IF(Q1234=1,SUM($Q$2:Q1234),"")</f>
        <v/>
      </c>
    </row>
    <row r="1235" spans="1:18" x14ac:dyDescent="0.2">
      <c r="A1235" s="73" t="s">
        <v>407</v>
      </c>
      <c r="B1235" s="77" t="s">
        <v>1541</v>
      </c>
      <c r="C1235" s="74" t="s">
        <v>1865</v>
      </c>
      <c r="D1235" s="74" t="s">
        <v>991</v>
      </c>
      <c r="E1235" s="78" t="s">
        <v>97</v>
      </c>
      <c r="F1235" s="76" t="s">
        <v>1856</v>
      </c>
      <c r="G1235" s="76" t="s">
        <v>1256</v>
      </c>
      <c r="H1235" s="70"/>
      <c r="P1235" s="70">
        <f t="shared" si="19"/>
        <v>0</v>
      </c>
      <c r="Q1235" s="70" cm="1">
        <f t="array" ref="Q1235">IF(P1235=1,IF(SUMPRODUCT(($P$2:P1235)*(--($G$2:G1235=$G1235)))=1,1,0),0)</f>
        <v>0</v>
      </c>
      <c r="R1235" s="70" t="str">
        <f>IF(Q1235=1,SUM($Q$2:Q1235),"")</f>
        <v/>
      </c>
    </row>
    <row r="1236" spans="1:18" x14ac:dyDescent="0.2">
      <c r="A1236" s="73" t="s">
        <v>407</v>
      </c>
      <c r="B1236" s="77" t="s">
        <v>1541</v>
      </c>
      <c r="C1236" s="74" t="s">
        <v>1865</v>
      </c>
      <c r="D1236" s="74" t="s">
        <v>991</v>
      </c>
      <c r="E1236" s="78" t="s">
        <v>97</v>
      </c>
      <c r="F1236" s="76" t="s">
        <v>1799</v>
      </c>
      <c r="G1236" s="76" t="s">
        <v>1258</v>
      </c>
      <c r="H1236" s="70"/>
      <c r="P1236" s="70">
        <f t="shared" si="19"/>
        <v>0</v>
      </c>
      <c r="Q1236" s="70" cm="1">
        <f t="array" ref="Q1236">IF(P1236=1,IF(SUMPRODUCT(($P$2:P1236)*(--($G$2:G1236=$G1236)))=1,1,0),0)</f>
        <v>0</v>
      </c>
      <c r="R1236" s="70" t="str">
        <f>IF(Q1236=1,SUM($Q$2:Q1236),"")</f>
        <v/>
      </c>
    </row>
    <row r="1237" spans="1:18" x14ac:dyDescent="0.2">
      <c r="A1237" s="73" t="s">
        <v>407</v>
      </c>
      <c r="B1237" s="77" t="s">
        <v>1541</v>
      </c>
      <c r="C1237" s="74" t="s">
        <v>1865</v>
      </c>
      <c r="D1237" s="74" t="s">
        <v>991</v>
      </c>
      <c r="E1237" s="78" t="s">
        <v>97</v>
      </c>
      <c r="F1237" s="76" t="s">
        <v>1802</v>
      </c>
      <c r="G1237" s="76" t="s">
        <v>1258</v>
      </c>
      <c r="H1237" s="70"/>
      <c r="P1237" s="70">
        <f t="shared" si="19"/>
        <v>0</v>
      </c>
      <c r="Q1237" s="70" cm="1">
        <f t="array" ref="Q1237">IF(P1237=1,IF(SUMPRODUCT(($P$2:P1237)*(--($G$2:G1237=$G1237)))=1,1,0),0)</f>
        <v>0</v>
      </c>
      <c r="R1237" s="70" t="str">
        <f>IF(Q1237=1,SUM($Q$2:Q1237),"")</f>
        <v/>
      </c>
    </row>
    <row r="1238" spans="1:18" x14ac:dyDescent="0.2">
      <c r="A1238" s="73" t="s">
        <v>407</v>
      </c>
      <c r="B1238" s="77" t="s">
        <v>1541</v>
      </c>
      <c r="C1238" s="74" t="s">
        <v>1865</v>
      </c>
      <c r="D1238" s="74" t="s">
        <v>991</v>
      </c>
      <c r="E1238" s="78" t="s">
        <v>97</v>
      </c>
      <c r="F1238" s="76" t="s">
        <v>1803</v>
      </c>
      <c r="G1238" s="76" t="s">
        <v>1258</v>
      </c>
      <c r="H1238" s="70"/>
      <c r="P1238" s="70">
        <f t="shared" si="19"/>
        <v>0</v>
      </c>
      <c r="Q1238" s="70" cm="1">
        <f t="array" ref="Q1238">IF(P1238=1,IF(SUMPRODUCT(($P$2:P1238)*(--($G$2:G1238=$G1238)))=1,1,0),0)</f>
        <v>0</v>
      </c>
      <c r="R1238" s="70" t="str">
        <f>IF(Q1238=1,SUM($Q$2:Q1238),"")</f>
        <v/>
      </c>
    </row>
    <row r="1239" spans="1:18" x14ac:dyDescent="0.2">
      <c r="A1239" s="73" t="s">
        <v>407</v>
      </c>
      <c r="B1239" s="77" t="s">
        <v>1541</v>
      </c>
      <c r="C1239" s="74" t="s">
        <v>1865</v>
      </c>
      <c r="D1239" s="74" t="s">
        <v>991</v>
      </c>
      <c r="E1239" s="78" t="s">
        <v>97</v>
      </c>
      <c r="F1239" s="76" t="s">
        <v>1804</v>
      </c>
      <c r="G1239" s="76" t="s">
        <v>1258</v>
      </c>
      <c r="H1239" s="70"/>
      <c r="P1239" s="70">
        <f t="shared" si="19"/>
        <v>0</v>
      </c>
      <c r="Q1239" s="70" cm="1">
        <f t="array" ref="Q1239">IF(P1239=1,IF(SUMPRODUCT(($P$2:P1239)*(--($G$2:G1239=$G1239)))=1,1,0),0)</f>
        <v>0</v>
      </c>
      <c r="R1239" s="70" t="str">
        <f>IF(Q1239=1,SUM($Q$2:Q1239),"")</f>
        <v/>
      </c>
    </row>
    <row r="1240" spans="1:18" x14ac:dyDescent="0.2">
      <c r="A1240" s="73" t="s">
        <v>407</v>
      </c>
      <c r="B1240" s="77" t="s">
        <v>1541</v>
      </c>
      <c r="C1240" s="74" t="s">
        <v>1865</v>
      </c>
      <c r="D1240" s="74" t="s">
        <v>991</v>
      </c>
      <c r="E1240" s="78" t="s">
        <v>97</v>
      </c>
      <c r="F1240" s="76" t="s">
        <v>1857</v>
      </c>
      <c r="G1240" s="76" t="s">
        <v>1258</v>
      </c>
      <c r="H1240" s="70"/>
      <c r="P1240" s="70">
        <f t="shared" si="19"/>
        <v>0</v>
      </c>
      <c r="Q1240" s="70" cm="1">
        <f t="array" ref="Q1240">IF(P1240=1,IF(SUMPRODUCT(($P$2:P1240)*(--($G$2:G1240=$G1240)))=1,1,0),0)</f>
        <v>0</v>
      </c>
      <c r="R1240" s="70" t="str">
        <f>IF(Q1240=1,SUM($Q$2:Q1240),"")</f>
        <v/>
      </c>
    </row>
    <row r="1241" spans="1:18" x14ac:dyDescent="0.2">
      <c r="A1241" s="73" t="s">
        <v>407</v>
      </c>
      <c r="B1241" s="77" t="s">
        <v>1541</v>
      </c>
      <c r="C1241" s="74" t="s">
        <v>1865</v>
      </c>
      <c r="D1241" s="74" t="s">
        <v>991</v>
      </c>
      <c r="E1241" s="78" t="s">
        <v>97</v>
      </c>
      <c r="F1241" s="76" t="s">
        <v>1800</v>
      </c>
      <c r="G1241" s="76" t="s">
        <v>1258</v>
      </c>
      <c r="H1241" s="70"/>
      <c r="P1241" s="70">
        <f t="shared" si="19"/>
        <v>0</v>
      </c>
      <c r="Q1241" s="70" cm="1">
        <f t="array" ref="Q1241">IF(P1241=1,IF(SUMPRODUCT(($P$2:P1241)*(--($G$2:G1241=$G1241)))=1,1,0),0)</f>
        <v>0</v>
      </c>
      <c r="R1241" s="70" t="str">
        <f>IF(Q1241=1,SUM($Q$2:Q1241),"")</f>
        <v/>
      </c>
    </row>
    <row r="1242" spans="1:18" x14ac:dyDescent="0.2">
      <c r="A1242" s="73" t="s">
        <v>407</v>
      </c>
      <c r="B1242" s="77" t="s">
        <v>1541</v>
      </c>
      <c r="C1242" s="74" t="s">
        <v>1865</v>
      </c>
      <c r="D1242" s="74" t="s">
        <v>991</v>
      </c>
      <c r="E1242" s="78" t="s">
        <v>97</v>
      </c>
      <c r="F1242" s="76" t="s">
        <v>1801</v>
      </c>
      <c r="G1242" s="76" t="s">
        <v>1258</v>
      </c>
      <c r="H1242" s="70"/>
      <c r="P1242" s="70">
        <f t="shared" si="19"/>
        <v>0</v>
      </c>
      <c r="Q1242" s="70" cm="1">
        <f t="array" ref="Q1242">IF(P1242=1,IF(SUMPRODUCT(($P$2:P1242)*(--($G$2:G1242=$G1242)))=1,1,0),0)</f>
        <v>0</v>
      </c>
      <c r="R1242" s="70" t="str">
        <f>IF(Q1242=1,SUM($Q$2:Q1242),"")</f>
        <v/>
      </c>
    </row>
    <row r="1243" spans="1:18" x14ac:dyDescent="0.2">
      <c r="A1243" s="73" t="s">
        <v>407</v>
      </c>
      <c r="B1243" s="77" t="s">
        <v>1541</v>
      </c>
      <c r="C1243" s="74" t="s">
        <v>1865</v>
      </c>
      <c r="D1243" s="74" t="s">
        <v>991</v>
      </c>
      <c r="E1243" s="78" t="s">
        <v>97</v>
      </c>
      <c r="F1243" s="76" t="s">
        <v>1858</v>
      </c>
      <c r="G1243" s="76" t="s">
        <v>1258</v>
      </c>
      <c r="H1243" s="70"/>
      <c r="P1243" s="70">
        <f t="shared" si="19"/>
        <v>0</v>
      </c>
      <c r="Q1243" s="70" cm="1">
        <f t="array" ref="Q1243">IF(P1243=1,IF(SUMPRODUCT(($P$2:P1243)*(--($G$2:G1243=$G1243)))=1,1,0),0)</f>
        <v>0</v>
      </c>
      <c r="R1243" s="70" t="str">
        <f>IF(Q1243=1,SUM($Q$2:Q1243),"")</f>
        <v/>
      </c>
    </row>
    <row r="1244" spans="1:18" x14ac:dyDescent="0.2">
      <c r="A1244" s="73" t="s">
        <v>407</v>
      </c>
      <c r="B1244" s="77" t="s">
        <v>1541</v>
      </c>
      <c r="C1244" s="74" t="s">
        <v>1865</v>
      </c>
      <c r="D1244" s="74" t="s">
        <v>991</v>
      </c>
      <c r="E1244" s="78" t="s">
        <v>97</v>
      </c>
      <c r="F1244" s="76" t="s">
        <v>1859</v>
      </c>
      <c r="G1244" s="76" t="s">
        <v>1258</v>
      </c>
      <c r="H1244" s="70"/>
      <c r="P1244" s="70">
        <f t="shared" si="19"/>
        <v>0</v>
      </c>
      <c r="Q1244" s="70" cm="1">
        <f t="array" ref="Q1244">IF(P1244=1,IF(SUMPRODUCT(($P$2:P1244)*(--($G$2:G1244=$G1244)))=1,1,0),0)</f>
        <v>0</v>
      </c>
      <c r="R1244" s="70" t="str">
        <f>IF(Q1244=1,SUM($Q$2:Q1244),"")</f>
        <v/>
      </c>
    </row>
    <row r="1245" spans="1:18" x14ac:dyDescent="0.2">
      <c r="A1245" s="73" t="s">
        <v>407</v>
      </c>
      <c r="B1245" s="77" t="s">
        <v>1541</v>
      </c>
      <c r="C1245" s="74" t="s">
        <v>1865</v>
      </c>
      <c r="D1245" s="74" t="s">
        <v>991</v>
      </c>
      <c r="E1245" s="78" t="s">
        <v>97</v>
      </c>
      <c r="F1245" s="76" t="s">
        <v>1860</v>
      </c>
      <c r="G1245" s="76" t="s">
        <v>1258</v>
      </c>
      <c r="H1245" s="70"/>
      <c r="P1245" s="70">
        <f t="shared" si="19"/>
        <v>0</v>
      </c>
      <c r="Q1245" s="70" cm="1">
        <f t="array" ref="Q1245">IF(P1245=1,IF(SUMPRODUCT(($P$2:P1245)*(--($G$2:G1245=$G1245)))=1,1,0),0)</f>
        <v>0</v>
      </c>
      <c r="R1245" s="70" t="str">
        <f>IF(Q1245=1,SUM($Q$2:Q1245),"")</f>
        <v/>
      </c>
    </row>
    <row r="1246" spans="1:18" x14ac:dyDescent="0.2">
      <c r="A1246" s="73" t="s">
        <v>407</v>
      </c>
      <c r="B1246" s="77" t="s">
        <v>1541</v>
      </c>
      <c r="C1246" s="74" t="s">
        <v>1865</v>
      </c>
      <c r="D1246" s="74" t="s">
        <v>991</v>
      </c>
      <c r="E1246" s="78" t="s">
        <v>97</v>
      </c>
      <c r="F1246" s="76" t="s">
        <v>1861</v>
      </c>
      <c r="G1246" s="76" t="s">
        <v>1258</v>
      </c>
      <c r="H1246" s="70"/>
      <c r="P1246" s="70">
        <f t="shared" si="19"/>
        <v>0</v>
      </c>
      <c r="Q1246" s="70" cm="1">
        <f t="array" ref="Q1246">IF(P1246=1,IF(SUMPRODUCT(($P$2:P1246)*(--($G$2:G1246=$G1246)))=1,1,0),0)</f>
        <v>0</v>
      </c>
      <c r="R1246" s="70" t="str">
        <f>IF(Q1246=1,SUM($Q$2:Q1246),"")</f>
        <v/>
      </c>
    </row>
    <row r="1247" spans="1:18" x14ac:dyDescent="0.2">
      <c r="A1247" s="73" t="s">
        <v>407</v>
      </c>
      <c r="B1247" s="85" t="s">
        <v>1877</v>
      </c>
      <c r="C1247" s="74" t="s">
        <v>1865</v>
      </c>
      <c r="D1247" s="74" t="s">
        <v>991</v>
      </c>
      <c r="E1247" s="78" t="s">
        <v>97</v>
      </c>
      <c r="F1247" s="76" t="s">
        <v>1799</v>
      </c>
      <c r="G1247" s="76" t="s">
        <v>1257</v>
      </c>
      <c r="H1247" s="70"/>
      <c r="P1247" s="70">
        <f t="shared" si="19"/>
        <v>0</v>
      </c>
      <c r="Q1247" s="70" cm="1">
        <f t="array" ref="Q1247">IF(P1247=1,IF(SUMPRODUCT(($P$2:P1247)*(--($G$2:G1247=$G1247)))=1,1,0),0)</f>
        <v>0</v>
      </c>
      <c r="R1247" s="70" t="str">
        <f>IF(Q1247=1,SUM($Q$2:Q1247),"")</f>
        <v/>
      </c>
    </row>
    <row r="1248" spans="1:18" x14ac:dyDescent="0.2">
      <c r="A1248" s="73" t="s">
        <v>407</v>
      </c>
      <c r="B1248" s="85" t="s">
        <v>1877</v>
      </c>
      <c r="C1248" s="74" t="s">
        <v>1865</v>
      </c>
      <c r="D1248" s="74" t="s">
        <v>991</v>
      </c>
      <c r="E1248" s="78" t="s">
        <v>97</v>
      </c>
      <c r="F1248" s="76" t="s">
        <v>1802</v>
      </c>
      <c r="G1248" s="76" t="s">
        <v>1257</v>
      </c>
      <c r="H1248" s="70"/>
      <c r="P1248" s="70">
        <f t="shared" si="19"/>
        <v>0</v>
      </c>
      <c r="Q1248" s="70" cm="1">
        <f t="array" ref="Q1248">IF(P1248=1,IF(SUMPRODUCT(($P$2:P1248)*(--($G$2:G1248=$G1248)))=1,1,0),0)</f>
        <v>0</v>
      </c>
      <c r="R1248" s="70" t="str">
        <f>IF(Q1248=1,SUM($Q$2:Q1248),"")</f>
        <v/>
      </c>
    </row>
    <row r="1249" spans="1:18" x14ac:dyDescent="0.2">
      <c r="A1249" s="73" t="s">
        <v>407</v>
      </c>
      <c r="B1249" s="85" t="s">
        <v>1877</v>
      </c>
      <c r="C1249" s="74" t="s">
        <v>1865</v>
      </c>
      <c r="D1249" s="74" t="s">
        <v>991</v>
      </c>
      <c r="E1249" s="78" t="s">
        <v>97</v>
      </c>
      <c r="F1249" s="76" t="s">
        <v>1803</v>
      </c>
      <c r="G1249" s="76" t="s">
        <v>1257</v>
      </c>
      <c r="H1249" s="70"/>
      <c r="P1249" s="70">
        <f t="shared" si="19"/>
        <v>0</v>
      </c>
      <c r="Q1249" s="70" cm="1">
        <f t="array" ref="Q1249">IF(P1249=1,IF(SUMPRODUCT(($P$2:P1249)*(--($G$2:G1249=$G1249)))=1,1,0),0)</f>
        <v>0</v>
      </c>
      <c r="R1249" s="70" t="str">
        <f>IF(Q1249=1,SUM($Q$2:Q1249),"")</f>
        <v/>
      </c>
    </row>
    <row r="1250" spans="1:18" x14ac:dyDescent="0.2">
      <c r="A1250" s="73" t="s">
        <v>407</v>
      </c>
      <c r="B1250" s="85" t="s">
        <v>1877</v>
      </c>
      <c r="C1250" s="74" t="s">
        <v>1865</v>
      </c>
      <c r="D1250" s="74" t="s">
        <v>991</v>
      </c>
      <c r="E1250" s="78" t="s">
        <v>97</v>
      </c>
      <c r="F1250" s="76" t="s">
        <v>1804</v>
      </c>
      <c r="G1250" s="76" t="s">
        <v>1257</v>
      </c>
      <c r="H1250" s="70"/>
      <c r="P1250" s="70">
        <f t="shared" si="19"/>
        <v>0</v>
      </c>
      <c r="Q1250" s="70" cm="1">
        <f t="array" ref="Q1250">IF(P1250=1,IF(SUMPRODUCT(($P$2:P1250)*(--($G$2:G1250=$G1250)))=1,1,0),0)</f>
        <v>0</v>
      </c>
      <c r="R1250" s="70" t="str">
        <f>IF(Q1250=1,SUM($Q$2:Q1250),"")</f>
        <v/>
      </c>
    </row>
    <row r="1251" spans="1:18" x14ac:dyDescent="0.2">
      <c r="A1251" s="73" t="s">
        <v>407</v>
      </c>
      <c r="B1251" s="85" t="s">
        <v>1877</v>
      </c>
      <c r="C1251" s="74" t="s">
        <v>1865</v>
      </c>
      <c r="D1251" s="74" t="s">
        <v>991</v>
      </c>
      <c r="E1251" s="78" t="s">
        <v>97</v>
      </c>
      <c r="F1251" s="76" t="s">
        <v>1857</v>
      </c>
      <c r="G1251" s="76" t="s">
        <v>1257</v>
      </c>
      <c r="H1251" s="70"/>
      <c r="P1251" s="70">
        <f t="shared" si="19"/>
        <v>0</v>
      </c>
      <c r="Q1251" s="70" cm="1">
        <f t="array" ref="Q1251">IF(P1251=1,IF(SUMPRODUCT(($P$2:P1251)*(--($G$2:G1251=$G1251)))=1,1,0),0)</f>
        <v>0</v>
      </c>
      <c r="R1251" s="70" t="str">
        <f>IF(Q1251=1,SUM($Q$2:Q1251),"")</f>
        <v/>
      </c>
    </row>
    <row r="1252" spans="1:18" x14ac:dyDescent="0.2">
      <c r="A1252" s="73" t="s">
        <v>407</v>
      </c>
      <c r="B1252" s="85" t="s">
        <v>1877</v>
      </c>
      <c r="C1252" s="74" t="s">
        <v>1865</v>
      </c>
      <c r="D1252" s="74" t="s">
        <v>991</v>
      </c>
      <c r="E1252" s="78" t="s">
        <v>97</v>
      </c>
      <c r="F1252" s="76" t="s">
        <v>1800</v>
      </c>
      <c r="G1252" s="76" t="s">
        <v>1257</v>
      </c>
      <c r="H1252" s="70"/>
      <c r="P1252" s="70">
        <f t="shared" si="19"/>
        <v>0</v>
      </c>
      <c r="Q1252" s="70" cm="1">
        <f t="array" ref="Q1252">IF(P1252=1,IF(SUMPRODUCT(($P$2:P1252)*(--($G$2:G1252=$G1252)))=1,1,0),0)</f>
        <v>0</v>
      </c>
      <c r="R1252" s="70" t="str">
        <f>IF(Q1252=1,SUM($Q$2:Q1252),"")</f>
        <v/>
      </c>
    </row>
    <row r="1253" spans="1:18" x14ac:dyDescent="0.2">
      <c r="A1253" s="73" t="s">
        <v>407</v>
      </c>
      <c r="B1253" s="85" t="s">
        <v>1877</v>
      </c>
      <c r="C1253" s="74" t="s">
        <v>1865</v>
      </c>
      <c r="D1253" s="74" t="s">
        <v>991</v>
      </c>
      <c r="E1253" s="78" t="s">
        <v>97</v>
      </c>
      <c r="F1253" s="76" t="s">
        <v>1801</v>
      </c>
      <c r="G1253" s="76" t="s">
        <v>1257</v>
      </c>
      <c r="H1253" s="70"/>
      <c r="P1253" s="70">
        <f t="shared" si="19"/>
        <v>0</v>
      </c>
      <c r="Q1253" s="70" cm="1">
        <f t="array" ref="Q1253">IF(P1253=1,IF(SUMPRODUCT(($P$2:P1253)*(--($G$2:G1253=$G1253)))=1,1,0),0)</f>
        <v>0</v>
      </c>
      <c r="R1253" s="70" t="str">
        <f>IF(Q1253=1,SUM($Q$2:Q1253),"")</f>
        <v/>
      </c>
    </row>
    <row r="1254" spans="1:18" x14ac:dyDescent="0.2">
      <c r="A1254" s="73" t="s">
        <v>407</v>
      </c>
      <c r="B1254" s="85" t="s">
        <v>1877</v>
      </c>
      <c r="C1254" s="74" t="s">
        <v>1865</v>
      </c>
      <c r="D1254" s="74" t="s">
        <v>991</v>
      </c>
      <c r="E1254" s="78" t="s">
        <v>97</v>
      </c>
      <c r="F1254" s="76" t="s">
        <v>1858</v>
      </c>
      <c r="G1254" s="76" t="s">
        <v>1257</v>
      </c>
      <c r="H1254" s="70"/>
      <c r="P1254" s="70">
        <f t="shared" si="19"/>
        <v>0</v>
      </c>
      <c r="Q1254" s="70" cm="1">
        <f t="array" ref="Q1254">IF(P1254=1,IF(SUMPRODUCT(($P$2:P1254)*(--($G$2:G1254=$G1254)))=1,1,0),0)</f>
        <v>0</v>
      </c>
      <c r="R1254" s="70" t="str">
        <f>IF(Q1254=1,SUM($Q$2:Q1254),"")</f>
        <v/>
      </c>
    </row>
    <row r="1255" spans="1:18" x14ac:dyDescent="0.2">
      <c r="A1255" s="73" t="s">
        <v>407</v>
      </c>
      <c r="B1255" s="85" t="s">
        <v>1877</v>
      </c>
      <c r="C1255" s="74" t="s">
        <v>1865</v>
      </c>
      <c r="D1255" s="74" t="s">
        <v>991</v>
      </c>
      <c r="E1255" s="78" t="s">
        <v>97</v>
      </c>
      <c r="F1255" s="76" t="s">
        <v>1859</v>
      </c>
      <c r="G1255" s="76" t="s">
        <v>1257</v>
      </c>
      <c r="H1255" s="70"/>
      <c r="P1255" s="70">
        <f t="shared" si="19"/>
        <v>0</v>
      </c>
      <c r="Q1255" s="70" cm="1">
        <f t="array" ref="Q1255">IF(P1255=1,IF(SUMPRODUCT(($P$2:P1255)*(--($G$2:G1255=$G1255)))=1,1,0),0)</f>
        <v>0</v>
      </c>
      <c r="R1255" s="70" t="str">
        <f>IF(Q1255=1,SUM($Q$2:Q1255),"")</f>
        <v/>
      </c>
    </row>
    <row r="1256" spans="1:18" x14ac:dyDescent="0.2">
      <c r="A1256" s="73" t="s">
        <v>407</v>
      </c>
      <c r="B1256" s="85" t="s">
        <v>1877</v>
      </c>
      <c r="C1256" s="74" t="s">
        <v>1865</v>
      </c>
      <c r="D1256" s="74" t="s">
        <v>991</v>
      </c>
      <c r="E1256" s="78" t="s">
        <v>97</v>
      </c>
      <c r="F1256" s="76" t="s">
        <v>1860</v>
      </c>
      <c r="G1256" s="76" t="s">
        <v>1257</v>
      </c>
      <c r="H1256" s="70"/>
      <c r="P1256" s="70">
        <f t="shared" si="19"/>
        <v>0</v>
      </c>
      <c r="Q1256" s="70" cm="1">
        <f t="array" ref="Q1256">IF(P1256=1,IF(SUMPRODUCT(($P$2:P1256)*(--($G$2:G1256=$G1256)))=1,1,0),0)</f>
        <v>0</v>
      </c>
      <c r="R1256" s="70" t="str">
        <f>IF(Q1256=1,SUM($Q$2:Q1256),"")</f>
        <v/>
      </c>
    </row>
    <row r="1257" spans="1:18" x14ac:dyDescent="0.2">
      <c r="A1257" s="73" t="s">
        <v>407</v>
      </c>
      <c r="B1257" s="85" t="s">
        <v>1877</v>
      </c>
      <c r="C1257" s="74" t="s">
        <v>1865</v>
      </c>
      <c r="D1257" s="74" t="s">
        <v>991</v>
      </c>
      <c r="E1257" s="78" t="s">
        <v>97</v>
      </c>
      <c r="F1257" s="76" t="s">
        <v>1861</v>
      </c>
      <c r="G1257" s="76" t="s">
        <v>1257</v>
      </c>
      <c r="H1257" s="70"/>
      <c r="P1257" s="70">
        <f t="shared" si="19"/>
        <v>0</v>
      </c>
      <c r="Q1257" s="70" cm="1">
        <f t="array" ref="Q1257">IF(P1257=1,IF(SUMPRODUCT(($P$2:P1257)*(--($G$2:G1257=$G1257)))=1,1,0),0)</f>
        <v>0</v>
      </c>
      <c r="R1257" s="70" t="str">
        <f>IF(Q1257=1,SUM($Q$2:Q1257),"")</f>
        <v/>
      </c>
    </row>
    <row r="1258" spans="1:18" x14ac:dyDescent="0.2">
      <c r="A1258" s="73" t="s">
        <v>407</v>
      </c>
      <c r="B1258" s="85" t="s">
        <v>1878</v>
      </c>
      <c r="C1258" s="74" t="s">
        <v>1865</v>
      </c>
      <c r="D1258" s="74" t="s">
        <v>991</v>
      </c>
      <c r="E1258" s="78" t="s">
        <v>97</v>
      </c>
      <c r="F1258" s="76" t="s">
        <v>1799</v>
      </c>
      <c r="G1258" s="76" t="s">
        <v>1276</v>
      </c>
      <c r="H1258" s="70"/>
      <c r="P1258" s="70">
        <f t="shared" si="19"/>
        <v>0</v>
      </c>
      <c r="Q1258" s="70" cm="1">
        <f t="array" ref="Q1258">IF(P1258=1,IF(SUMPRODUCT(($P$2:P1258)*(--($G$2:G1258=$G1258)))=1,1,0),0)</f>
        <v>0</v>
      </c>
      <c r="R1258" s="70" t="str">
        <f>IF(Q1258=1,SUM($Q$2:Q1258),"")</f>
        <v/>
      </c>
    </row>
    <row r="1259" spans="1:18" x14ac:dyDescent="0.2">
      <c r="A1259" s="73" t="s">
        <v>407</v>
      </c>
      <c r="B1259" s="85" t="s">
        <v>1878</v>
      </c>
      <c r="C1259" s="74" t="s">
        <v>1865</v>
      </c>
      <c r="D1259" s="74" t="s">
        <v>991</v>
      </c>
      <c r="E1259" s="78" t="s">
        <v>97</v>
      </c>
      <c r="F1259" s="76" t="s">
        <v>1802</v>
      </c>
      <c r="G1259" s="76" t="s">
        <v>1276</v>
      </c>
      <c r="H1259" s="70"/>
      <c r="P1259" s="70">
        <f t="shared" si="19"/>
        <v>0</v>
      </c>
      <c r="Q1259" s="70" cm="1">
        <f t="array" ref="Q1259">IF(P1259=1,IF(SUMPRODUCT(($P$2:P1259)*(--($G$2:G1259=$G1259)))=1,1,0),0)</f>
        <v>0</v>
      </c>
      <c r="R1259" s="70" t="str">
        <f>IF(Q1259=1,SUM($Q$2:Q1259),"")</f>
        <v/>
      </c>
    </row>
    <row r="1260" spans="1:18" x14ac:dyDescent="0.2">
      <c r="A1260" s="73" t="s">
        <v>407</v>
      </c>
      <c r="B1260" s="85" t="s">
        <v>1878</v>
      </c>
      <c r="C1260" s="74" t="s">
        <v>1865</v>
      </c>
      <c r="D1260" s="74" t="s">
        <v>991</v>
      </c>
      <c r="E1260" s="78" t="s">
        <v>97</v>
      </c>
      <c r="F1260" s="76" t="s">
        <v>1803</v>
      </c>
      <c r="G1260" s="76" t="s">
        <v>1276</v>
      </c>
      <c r="H1260" s="70"/>
      <c r="P1260" s="70">
        <f t="shared" si="19"/>
        <v>0</v>
      </c>
      <c r="Q1260" s="70" cm="1">
        <f t="array" ref="Q1260">IF(P1260=1,IF(SUMPRODUCT(($P$2:P1260)*(--($G$2:G1260=$G1260)))=1,1,0),0)</f>
        <v>0</v>
      </c>
      <c r="R1260" s="70" t="str">
        <f>IF(Q1260=1,SUM($Q$2:Q1260),"")</f>
        <v/>
      </c>
    </row>
    <row r="1261" spans="1:18" x14ac:dyDescent="0.2">
      <c r="A1261" s="73" t="s">
        <v>407</v>
      </c>
      <c r="B1261" s="85" t="s">
        <v>1878</v>
      </c>
      <c r="C1261" s="74" t="s">
        <v>1865</v>
      </c>
      <c r="D1261" s="74" t="s">
        <v>991</v>
      </c>
      <c r="E1261" s="78" t="s">
        <v>97</v>
      </c>
      <c r="F1261" s="76" t="s">
        <v>1804</v>
      </c>
      <c r="G1261" s="76" t="s">
        <v>1276</v>
      </c>
      <c r="H1261" s="70"/>
      <c r="P1261" s="70">
        <f t="shared" si="19"/>
        <v>0</v>
      </c>
      <c r="Q1261" s="70" cm="1">
        <f t="array" ref="Q1261">IF(P1261=1,IF(SUMPRODUCT(($P$2:P1261)*(--($G$2:G1261=$G1261)))=1,1,0),0)</f>
        <v>0</v>
      </c>
      <c r="R1261" s="70" t="str">
        <f>IF(Q1261=1,SUM($Q$2:Q1261),"")</f>
        <v/>
      </c>
    </row>
    <row r="1262" spans="1:18" x14ac:dyDescent="0.2">
      <c r="A1262" s="73" t="s">
        <v>407</v>
      </c>
      <c r="B1262" s="85" t="s">
        <v>1878</v>
      </c>
      <c r="C1262" s="74" t="s">
        <v>1865</v>
      </c>
      <c r="D1262" s="74" t="s">
        <v>991</v>
      </c>
      <c r="E1262" s="78" t="s">
        <v>97</v>
      </c>
      <c r="F1262" s="76" t="s">
        <v>1805</v>
      </c>
      <c r="G1262" s="76" t="s">
        <v>1276</v>
      </c>
      <c r="H1262" s="70"/>
      <c r="P1262" s="70">
        <f t="shared" si="19"/>
        <v>0</v>
      </c>
      <c r="Q1262" s="70" cm="1">
        <f t="array" ref="Q1262">IF(P1262=1,IF(SUMPRODUCT(($P$2:P1262)*(--($G$2:G1262=$G1262)))=1,1,0),0)</f>
        <v>0</v>
      </c>
      <c r="R1262" s="70" t="str">
        <f>IF(Q1262=1,SUM($Q$2:Q1262),"")</f>
        <v/>
      </c>
    </row>
    <row r="1263" spans="1:18" x14ac:dyDescent="0.2">
      <c r="A1263" s="73" t="s">
        <v>407</v>
      </c>
      <c r="B1263" s="85" t="s">
        <v>1878</v>
      </c>
      <c r="C1263" s="74" t="s">
        <v>1865</v>
      </c>
      <c r="D1263" s="74" t="s">
        <v>991</v>
      </c>
      <c r="E1263" s="78" t="s">
        <v>97</v>
      </c>
      <c r="F1263" s="76" t="s">
        <v>1857</v>
      </c>
      <c r="G1263" s="76" t="s">
        <v>1276</v>
      </c>
      <c r="H1263" s="70"/>
      <c r="P1263" s="70">
        <f t="shared" si="19"/>
        <v>0</v>
      </c>
      <c r="Q1263" s="70" cm="1">
        <f t="array" ref="Q1263">IF(P1263=1,IF(SUMPRODUCT(($P$2:P1263)*(--($G$2:G1263=$G1263)))=1,1,0),0)</f>
        <v>0</v>
      </c>
      <c r="R1263" s="70" t="str">
        <f>IF(Q1263=1,SUM($Q$2:Q1263),"")</f>
        <v/>
      </c>
    </row>
    <row r="1264" spans="1:18" x14ac:dyDescent="0.2">
      <c r="A1264" s="73" t="s">
        <v>407</v>
      </c>
      <c r="B1264" s="85" t="s">
        <v>1878</v>
      </c>
      <c r="C1264" s="74" t="s">
        <v>1865</v>
      </c>
      <c r="D1264" s="74" t="s">
        <v>991</v>
      </c>
      <c r="E1264" s="78" t="s">
        <v>97</v>
      </c>
      <c r="F1264" s="76" t="s">
        <v>1800</v>
      </c>
      <c r="G1264" s="76" t="s">
        <v>1276</v>
      </c>
      <c r="H1264" s="70"/>
      <c r="P1264" s="70">
        <f t="shared" si="19"/>
        <v>0</v>
      </c>
      <c r="Q1264" s="70" cm="1">
        <f t="array" ref="Q1264">IF(P1264=1,IF(SUMPRODUCT(($P$2:P1264)*(--($G$2:G1264=$G1264)))=1,1,0),0)</f>
        <v>0</v>
      </c>
      <c r="R1264" s="70" t="str">
        <f>IF(Q1264=1,SUM($Q$2:Q1264),"")</f>
        <v/>
      </c>
    </row>
    <row r="1265" spans="1:18" x14ac:dyDescent="0.2">
      <c r="A1265" s="73" t="s">
        <v>407</v>
      </c>
      <c r="B1265" s="85" t="s">
        <v>1878</v>
      </c>
      <c r="C1265" s="74" t="s">
        <v>1865</v>
      </c>
      <c r="D1265" s="74" t="s">
        <v>991</v>
      </c>
      <c r="E1265" s="78" t="s">
        <v>97</v>
      </c>
      <c r="F1265" s="76" t="s">
        <v>1801</v>
      </c>
      <c r="G1265" s="76" t="s">
        <v>1276</v>
      </c>
      <c r="H1265" s="70"/>
      <c r="P1265" s="70">
        <f t="shared" si="19"/>
        <v>0</v>
      </c>
      <c r="Q1265" s="70" cm="1">
        <f t="array" ref="Q1265">IF(P1265=1,IF(SUMPRODUCT(($P$2:P1265)*(--($G$2:G1265=$G1265)))=1,1,0),0)</f>
        <v>0</v>
      </c>
      <c r="R1265" s="70" t="str">
        <f>IF(Q1265=1,SUM($Q$2:Q1265),"")</f>
        <v/>
      </c>
    </row>
    <row r="1266" spans="1:18" x14ac:dyDescent="0.2">
      <c r="A1266" s="73" t="s">
        <v>407</v>
      </c>
      <c r="B1266" s="85" t="s">
        <v>1878</v>
      </c>
      <c r="C1266" s="74" t="s">
        <v>1865</v>
      </c>
      <c r="D1266" s="74" t="s">
        <v>991</v>
      </c>
      <c r="E1266" s="78" t="s">
        <v>97</v>
      </c>
      <c r="F1266" s="76" t="s">
        <v>1858</v>
      </c>
      <c r="G1266" s="76" t="s">
        <v>1276</v>
      </c>
      <c r="H1266" s="70"/>
      <c r="P1266" s="70">
        <f t="shared" si="19"/>
        <v>0</v>
      </c>
      <c r="Q1266" s="70" cm="1">
        <f t="array" ref="Q1266">IF(P1266=1,IF(SUMPRODUCT(($P$2:P1266)*(--($G$2:G1266=$G1266)))=1,1,0),0)</f>
        <v>0</v>
      </c>
      <c r="R1266" s="70" t="str">
        <f>IF(Q1266=1,SUM($Q$2:Q1266),"")</f>
        <v/>
      </c>
    </row>
    <row r="1267" spans="1:18" x14ac:dyDescent="0.2">
      <c r="A1267" s="73" t="s">
        <v>407</v>
      </c>
      <c r="B1267" s="85" t="s">
        <v>1878</v>
      </c>
      <c r="C1267" s="74" t="s">
        <v>1865</v>
      </c>
      <c r="D1267" s="74" t="s">
        <v>991</v>
      </c>
      <c r="E1267" s="78" t="s">
        <v>97</v>
      </c>
      <c r="F1267" s="76" t="s">
        <v>1859</v>
      </c>
      <c r="G1267" s="76" t="s">
        <v>1276</v>
      </c>
      <c r="H1267" s="70"/>
      <c r="P1267" s="70">
        <f t="shared" si="19"/>
        <v>0</v>
      </c>
      <c r="Q1267" s="70" cm="1">
        <f t="array" ref="Q1267">IF(P1267=1,IF(SUMPRODUCT(($P$2:P1267)*(--($G$2:G1267=$G1267)))=1,1,0),0)</f>
        <v>0</v>
      </c>
      <c r="R1267" s="70" t="str">
        <f>IF(Q1267=1,SUM($Q$2:Q1267),"")</f>
        <v/>
      </c>
    </row>
    <row r="1268" spans="1:18" x14ac:dyDescent="0.2">
      <c r="A1268" s="73" t="s">
        <v>407</v>
      </c>
      <c r="B1268" s="85" t="s">
        <v>1878</v>
      </c>
      <c r="C1268" s="74" t="s">
        <v>1865</v>
      </c>
      <c r="D1268" s="74" t="s">
        <v>991</v>
      </c>
      <c r="E1268" s="78" t="s">
        <v>97</v>
      </c>
      <c r="F1268" s="76" t="s">
        <v>1860</v>
      </c>
      <c r="G1268" s="76" t="s">
        <v>1276</v>
      </c>
      <c r="H1268" s="70"/>
      <c r="P1268" s="70">
        <f t="shared" si="19"/>
        <v>0</v>
      </c>
      <c r="Q1268" s="70" cm="1">
        <f t="array" ref="Q1268">IF(P1268=1,IF(SUMPRODUCT(($P$2:P1268)*(--($G$2:G1268=$G1268)))=1,1,0),0)</f>
        <v>0</v>
      </c>
      <c r="R1268" s="70" t="str">
        <f>IF(Q1268=1,SUM($Q$2:Q1268),"")</f>
        <v/>
      </c>
    </row>
    <row r="1269" spans="1:18" x14ac:dyDescent="0.2">
      <c r="A1269" s="73" t="s">
        <v>407</v>
      </c>
      <c r="B1269" s="85" t="s">
        <v>1878</v>
      </c>
      <c r="C1269" s="74" t="s">
        <v>1865</v>
      </c>
      <c r="D1269" s="74" t="s">
        <v>991</v>
      </c>
      <c r="E1269" s="78" t="s">
        <v>97</v>
      </c>
      <c r="F1269" s="76" t="s">
        <v>1861</v>
      </c>
      <c r="G1269" s="76" t="s">
        <v>1276</v>
      </c>
      <c r="H1269" s="70"/>
      <c r="P1269" s="70">
        <f t="shared" si="19"/>
        <v>0</v>
      </c>
      <c r="Q1269" s="70" cm="1">
        <f t="array" ref="Q1269">IF(P1269=1,IF(SUMPRODUCT(($P$2:P1269)*(--($G$2:G1269=$G1269)))=1,1,0),0)</f>
        <v>0</v>
      </c>
      <c r="R1269" s="70" t="str">
        <f>IF(Q1269=1,SUM($Q$2:Q1269),"")</f>
        <v/>
      </c>
    </row>
    <row r="1270" spans="1:18" x14ac:dyDescent="0.2">
      <c r="A1270" s="73" t="s">
        <v>407</v>
      </c>
      <c r="B1270" s="85" t="s">
        <v>1876</v>
      </c>
      <c r="C1270" s="74" t="s">
        <v>1865</v>
      </c>
      <c r="D1270" s="74" t="s">
        <v>991</v>
      </c>
      <c r="E1270" s="78" t="s">
        <v>97</v>
      </c>
      <c r="F1270" s="76" t="s">
        <v>411</v>
      </c>
      <c r="G1270" s="76" t="s">
        <v>1275</v>
      </c>
      <c r="H1270" s="70"/>
      <c r="P1270" s="70">
        <f t="shared" si="19"/>
        <v>0</v>
      </c>
      <c r="Q1270" s="70" cm="1">
        <f t="array" ref="Q1270">IF(P1270=1,IF(SUMPRODUCT(($P$2:P1270)*(--($G$2:G1270=$G1270)))=1,1,0),0)</f>
        <v>0</v>
      </c>
      <c r="R1270" s="70" t="str">
        <f>IF(Q1270=1,SUM($Q$2:Q1270),"")</f>
        <v/>
      </c>
    </row>
    <row r="1271" spans="1:18" x14ac:dyDescent="0.2">
      <c r="A1271" s="73" t="s">
        <v>407</v>
      </c>
      <c r="B1271" s="85" t="s">
        <v>1876</v>
      </c>
      <c r="C1271" s="74" t="s">
        <v>1865</v>
      </c>
      <c r="D1271" s="74" t="s">
        <v>991</v>
      </c>
      <c r="E1271" s="78" t="s">
        <v>97</v>
      </c>
      <c r="F1271" s="76" t="s">
        <v>1792</v>
      </c>
      <c r="G1271" s="76" t="s">
        <v>1275</v>
      </c>
      <c r="H1271" s="70"/>
      <c r="P1271" s="70">
        <f t="shared" si="19"/>
        <v>0</v>
      </c>
      <c r="Q1271" s="70" cm="1">
        <f t="array" ref="Q1271">IF(P1271=1,IF(SUMPRODUCT(($P$2:P1271)*(--($G$2:G1271=$G1271)))=1,1,0),0)</f>
        <v>0</v>
      </c>
      <c r="R1271" s="70" t="str">
        <f>IF(Q1271=1,SUM($Q$2:Q1271),"")</f>
        <v/>
      </c>
    </row>
    <row r="1272" spans="1:18" x14ac:dyDescent="0.2">
      <c r="A1272" s="73" t="s">
        <v>407</v>
      </c>
      <c r="B1272" s="85" t="s">
        <v>1876</v>
      </c>
      <c r="C1272" s="74" t="s">
        <v>1865</v>
      </c>
      <c r="D1272" s="74" t="s">
        <v>991</v>
      </c>
      <c r="E1272" s="78" t="s">
        <v>97</v>
      </c>
      <c r="F1272" s="76" t="s">
        <v>1793</v>
      </c>
      <c r="G1272" s="76" t="s">
        <v>1275</v>
      </c>
      <c r="H1272" s="70"/>
      <c r="P1272" s="70">
        <f t="shared" si="19"/>
        <v>0</v>
      </c>
      <c r="Q1272" s="70" cm="1">
        <f t="array" ref="Q1272">IF(P1272=1,IF(SUMPRODUCT(($P$2:P1272)*(--($G$2:G1272=$G1272)))=1,1,0),0)</f>
        <v>0</v>
      </c>
      <c r="R1272" s="70" t="str">
        <f>IF(Q1272=1,SUM($Q$2:Q1272),"")</f>
        <v/>
      </c>
    </row>
    <row r="1273" spans="1:18" x14ac:dyDescent="0.2">
      <c r="A1273" s="73" t="s">
        <v>407</v>
      </c>
      <c r="B1273" s="85" t="s">
        <v>1876</v>
      </c>
      <c r="C1273" s="74" t="s">
        <v>1865</v>
      </c>
      <c r="D1273" s="74" t="s">
        <v>991</v>
      </c>
      <c r="E1273" s="78" t="s">
        <v>97</v>
      </c>
      <c r="F1273" s="76" t="s">
        <v>1794</v>
      </c>
      <c r="G1273" s="76" t="s">
        <v>1275</v>
      </c>
      <c r="H1273" s="70"/>
      <c r="P1273" s="70">
        <f t="shared" si="19"/>
        <v>0</v>
      </c>
      <c r="Q1273" s="70" cm="1">
        <f t="array" ref="Q1273">IF(P1273=1,IF(SUMPRODUCT(($P$2:P1273)*(--($G$2:G1273=$G1273)))=1,1,0),0)</f>
        <v>0</v>
      </c>
      <c r="R1273" s="70" t="str">
        <f>IF(Q1273=1,SUM($Q$2:Q1273),"")</f>
        <v/>
      </c>
    </row>
    <row r="1274" spans="1:18" x14ac:dyDescent="0.2">
      <c r="A1274" s="73" t="s">
        <v>407</v>
      </c>
      <c r="B1274" s="85" t="s">
        <v>1876</v>
      </c>
      <c r="C1274" s="74" t="s">
        <v>1865</v>
      </c>
      <c r="D1274" s="74" t="s">
        <v>991</v>
      </c>
      <c r="E1274" s="78" t="s">
        <v>97</v>
      </c>
      <c r="F1274" s="76" t="s">
        <v>1795</v>
      </c>
      <c r="G1274" s="76" t="s">
        <v>1275</v>
      </c>
      <c r="H1274" s="70"/>
      <c r="P1274" s="70">
        <f t="shared" si="19"/>
        <v>0</v>
      </c>
      <c r="Q1274" s="70" cm="1">
        <f t="array" ref="Q1274">IF(P1274=1,IF(SUMPRODUCT(($P$2:P1274)*(--($G$2:G1274=$G1274)))=1,1,0),0)</f>
        <v>0</v>
      </c>
      <c r="R1274" s="70" t="str">
        <f>IF(Q1274=1,SUM($Q$2:Q1274),"")</f>
        <v/>
      </c>
    </row>
    <row r="1275" spans="1:18" x14ac:dyDescent="0.2">
      <c r="A1275" s="73" t="s">
        <v>407</v>
      </c>
      <c r="B1275" s="85" t="s">
        <v>1876</v>
      </c>
      <c r="C1275" s="74" t="s">
        <v>1865</v>
      </c>
      <c r="D1275" s="74" t="s">
        <v>991</v>
      </c>
      <c r="E1275" s="78" t="s">
        <v>97</v>
      </c>
      <c r="F1275" s="76" t="s">
        <v>1796</v>
      </c>
      <c r="G1275" s="76" t="s">
        <v>1275</v>
      </c>
      <c r="H1275" s="70"/>
      <c r="P1275" s="70">
        <f t="shared" si="19"/>
        <v>0</v>
      </c>
      <c r="Q1275" s="70" cm="1">
        <f t="array" ref="Q1275">IF(P1275=1,IF(SUMPRODUCT(($P$2:P1275)*(--($G$2:G1275=$G1275)))=1,1,0),0)</f>
        <v>0</v>
      </c>
      <c r="R1275" s="70" t="str">
        <f>IF(Q1275=1,SUM($Q$2:Q1275),"")</f>
        <v/>
      </c>
    </row>
    <row r="1276" spans="1:18" x14ac:dyDescent="0.2">
      <c r="A1276" s="73" t="s">
        <v>407</v>
      </c>
      <c r="B1276" s="85" t="s">
        <v>1876</v>
      </c>
      <c r="C1276" s="74" t="s">
        <v>1865</v>
      </c>
      <c r="D1276" s="74" t="s">
        <v>991</v>
      </c>
      <c r="E1276" s="78" t="s">
        <v>97</v>
      </c>
      <c r="F1276" s="76" t="s">
        <v>1797</v>
      </c>
      <c r="G1276" s="76" t="s">
        <v>1275</v>
      </c>
      <c r="H1276" s="70"/>
      <c r="P1276" s="70">
        <f t="shared" si="19"/>
        <v>0</v>
      </c>
      <c r="Q1276" s="70" cm="1">
        <f t="array" ref="Q1276">IF(P1276=1,IF(SUMPRODUCT(($P$2:P1276)*(--($G$2:G1276=$G1276)))=1,1,0),0)</f>
        <v>0</v>
      </c>
      <c r="R1276" s="70" t="str">
        <f>IF(Q1276=1,SUM($Q$2:Q1276),"")</f>
        <v/>
      </c>
    </row>
    <row r="1277" spans="1:18" x14ac:dyDescent="0.2">
      <c r="A1277" s="73" t="s">
        <v>407</v>
      </c>
      <c r="B1277" s="85" t="s">
        <v>1876</v>
      </c>
      <c r="C1277" s="74" t="s">
        <v>1865</v>
      </c>
      <c r="D1277" s="74" t="s">
        <v>991</v>
      </c>
      <c r="E1277" s="78" t="s">
        <v>97</v>
      </c>
      <c r="F1277" s="76" t="s">
        <v>1852</v>
      </c>
      <c r="G1277" s="76" t="s">
        <v>1275</v>
      </c>
      <c r="H1277" s="70"/>
      <c r="P1277" s="70">
        <f t="shared" si="19"/>
        <v>0</v>
      </c>
      <c r="Q1277" s="70" cm="1">
        <f t="array" ref="Q1277">IF(P1277=1,IF(SUMPRODUCT(($P$2:P1277)*(--($G$2:G1277=$G1277)))=1,1,0),0)</f>
        <v>0</v>
      </c>
      <c r="R1277" s="70" t="str">
        <f>IF(Q1277=1,SUM($Q$2:Q1277),"")</f>
        <v/>
      </c>
    </row>
    <row r="1278" spans="1:18" x14ac:dyDescent="0.2">
      <c r="A1278" s="73" t="s">
        <v>407</v>
      </c>
      <c r="B1278" s="85" t="s">
        <v>1876</v>
      </c>
      <c r="C1278" s="74" t="s">
        <v>1865</v>
      </c>
      <c r="D1278" s="74" t="s">
        <v>991</v>
      </c>
      <c r="E1278" s="78" t="s">
        <v>97</v>
      </c>
      <c r="F1278" s="76" t="s">
        <v>1798</v>
      </c>
      <c r="G1278" s="76" t="s">
        <v>1275</v>
      </c>
      <c r="H1278" s="70"/>
      <c r="P1278" s="70">
        <f t="shared" si="19"/>
        <v>0</v>
      </c>
      <c r="Q1278" s="70" cm="1">
        <f t="array" ref="Q1278">IF(P1278=1,IF(SUMPRODUCT(($P$2:P1278)*(--($G$2:G1278=$G1278)))=1,1,0),0)</f>
        <v>0</v>
      </c>
      <c r="R1278" s="70" t="str">
        <f>IF(Q1278=1,SUM($Q$2:Q1278),"")</f>
        <v/>
      </c>
    </row>
    <row r="1279" spans="1:18" x14ac:dyDescent="0.2">
      <c r="A1279" s="73" t="s">
        <v>407</v>
      </c>
      <c r="B1279" s="85" t="s">
        <v>1876</v>
      </c>
      <c r="C1279" s="74" t="s">
        <v>1865</v>
      </c>
      <c r="D1279" s="74" t="s">
        <v>991</v>
      </c>
      <c r="E1279" s="78" t="s">
        <v>97</v>
      </c>
      <c r="F1279" s="76" t="s">
        <v>1853</v>
      </c>
      <c r="G1279" s="76" t="s">
        <v>1275</v>
      </c>
      <c r="H1279" s="70"/>
      <c r="P1279" s="70">
        <f t="shared" si="19"/>
        <v>0</v>
      </c>
      <c r="Q1279" s="70" cm="1">
        <f t="array" ref="Q1279">IF(P1279=1,IF(SUMPRODUCT(($P$2:P1279)*(--($G$2:G1279=$G1279)))=1,1,0),0)</f>
        <v>0</v>
      </c>
      <c r="R1279" s="70" t="str">
        <f>IF(Q1279=1,SUM($Q$2:Q1279),"")</f>
        <v/>
      </c>
    </row>
    <row r="1280" spans="1:18" x14ac:dyDescent="0.2">
      <c r="A1280" s="73" t="s">
        <v>407</v>
      </c>
      <c r="B1280" s="85" t="s">
        <v>1876</v>
      </c>
      <c r="C1280" s="74" t="s">
        <v>1865</v>
      </c>
      <c r="D1280" s="74" t="s">
        <v>991</v>
      </c>
      <c r="E1280" s="78" t="s">
        <v>97</v>
      </c>
      <c r="F1280" s="76" t="s">
        <v>1854</v>
      </c>
      <c r="G1280" s="76" t="s">
        <v>1275</v>
      </c>
      <c r="H1280" s="70"/>
      <c r="P1280" s="70">
        <f t="shared" si="19"/>
        <v>0</v>
      </c>
      <c r="Q1280" s="70" cm="1">
        <f t="array" ref="Q1280">IF(P1280=1,IF(SUMPRODUCT(($P$2:P1280)*(--($G$2:G1280=$G1280)))=1,1,0),0)</f>
        <v>0</v>
      </c>
      <c r="R1280" s="70" t="str">
        <f>IF(Q1280=1,SUM($Q$2:Q1280),"")</f>
        <v/>
      </c>
    </row>
    <row r="1281" spans="1:18" x14ac:dyDescent="0.2">
      <c r="A1281" s="73" t="s">
        <v>407</v>
      </c>
      <c r="B1281" s="85" t="s">
        <v>1876</v>
      </c>
      <c r="C1281" s="74" t="s">
        <v>1865</v>
      </c>
      <c r="D1281" s="74" t="s">
        <v>991</v>
      </c>
      <c r="E1281" s="78" t="s">
        <v>97</v>
      </c>
      <c r="F1281" s="76" t="s">
        <v>1855</v>
      </c>
      <c r="G1281" s="76" t="s">
        <v>1275</v>
      </c>
      <c r="H1281" s="70"/>
      <c r="P1281" s="70">
        <f t="shared" si="19"/>
        <v>0</v>
      </c>
      <c r="Q1281" s="70" cm="1">
        <f t="array" ref="Q1281">IF(P1281=1,IF(SUMPRODUCT(($P$2:P1281)*(--($G$2:G1281=$G1281)))=1,1,0),0)</f>
        <v>0</v>
      </c>
      <c r="R1281" s="70" t="str">
        <f>IF(Q1281=1,SUM($Q$2:Q1281),"")</f>
        <v/>
      </c>
    </row>
    <row r="1282" spans="1:18" x14ac:dyDescent="0.2">
      <c r="A1282" s="73" t="s">
        <v>407</v>
      </c>
      <c r="B1282" s="85" t="s">
        <v>1876</v>
      </c>
      <c r="C1282" s="74" t="s">
        <v>1865</v>
      </c>
      <c r="D1282" s="74" t="s">
        <v>991</v>
      </c>
      <c r="E1282" s="78" t="s">
        <v>97</v>
      </c>
      <c r="F1282" s="76" t="s">
        <v>1856</v>
      </c>
      <c r="G1282" s="76" t="s">
        <v>1275</v>
      </c>
      <c r="H1282" s="70"/>
      <c r="P1282" s="70">
        <f t="shared" si="19"/>
        <v>0</v>
      </c>
      <c r="Q1282" s="70" cm="1">
        <f t="array" ref="Q1282">IF(P1282=1,IF(SUMPRODUCT(($P$2:P1282)*(--($G$2:G1282=$G1282)))=1,1,0),0)</f>
        <v>0</v>
      </c>
      <c r="R1282" s="70" t="str">
        <f>IF(Q1282=1,SUM($Q$2:Q1282),"")</f>
        <v/>
      </c>
    </row>
    <row r="1283" spans="1:18" x14ac:dyDescent="0.2">
      <c r="A1283" s="73" t="s">
        <v>1301</v>
      </c>
      <c r="B1283" s="77" t="s">
        <v>1541</v>
      </c>
      <c r="C1283" s="74" t="s">
        <v>1879</v>
      </c>
      <c r="D1283" s="74" t="s">
        <v>993</v>
      </c>
      <c r="E1283" s="78" t="s">
        <v>106</v>
      </c>
      <c r="F1283" s="76" t="s">
        <v>1880</v>
      </c>
      <c r="G1283" s="76" t="s">
        <v>1259</v>
      </c>
      <c r="H1283" s="70"/>
      <c r="P1283" s="70">
        <f t="shared" ref="P1283:P1346" si="20">IF(AND(IF(TRIM($J$2&amp;"")="",TRUE,LEFT($D1283,LEN($J$2))=$J$2),IF(TRIM($K$2&amp;"")="",TRUE,$E1283=$K$2),IF($L$2="",TRUE,$F1283=$L$2)),1,0)</f>
        <v>0</v>
      </c>
      <c r="Q1283" s="70" cm="1">
        <f t="array" ref="Q1283">IF(P1283=1,IF(SUMPRODUCT(($P$2:P1283)*(--($G$2:G1283=$G1283)))=1,1,0),0)</f>
        <v>0</v>
      </c>
      <c r="R1283" s="70" t="str">
        <f>IF(Q1283=1,SUM($Q$2:Q1283),"")</f>
        <v/>
      </c>
    </row>
    <row r="1284" spans="1:18" x14ac:dyDescent="0.2">
      <c r="A1284" s="73" t="s">
        <v>1301</v>
      </c>
      <c r="B1284" s="77" t="s">
        <v>1541</v>
      </c>
      <c r="C1284" s="74" t="s">
        <v>1879</v>
      </c>
      <c r="D1284" s="74" t="s">
        <v>993</v>
      </c>
      <c r="E1284" s="78" t="s">
        <v>106</v>
      </c>
      <c r="F1284" s="76" t="s">
        <v>1881</v>
      </c>
      <c r="G1284" s="76" t="s">
        <v>1259</v>
      </c>
      <c r="H1284" s="70"/>
      <c r="P1284" s="70">
        <f t="shared" si="20"/>
        <v>0</v>
      </c>
      <c r="Q1284" s="70" cm="1">
        <f t="array" ref="Q1284">IF(P1284=1,IF(SUMPRODUCT(($P$2:P1284)*(--($G$2:G1284=$G1284)))=1,1,0),0)</f>
        <v>0</v>
      </c>
      <c r="R1284" s="70" t="str">
        <f>IF(Q1284=1,SUM($Q$2:Q1284),"")</f>
        <v/>
      </c>
    </row>
    <row r="1285" spans="1:18" ht="16" x14ac:dyDescent="0.2">
      <c r="A1285" s="73" t="s">
        <v>1301</v>
      </c>
      <c r="B1285" s="77" t="s">
        <v>1541</v>
      </c>
      <c r="C1285" s="74" t="s">
        <v>1879</v>
      </c>
      <c r="D1285" s="74" t="s">
        <v>993</v>
      </c>
      <c r="E1285" s="78" t="s">
        <v>106</v>
      </c>
      <c r="F1285" s="76" t="s">
        <v>1882</v>
      </c>
      <c r="G1285" s="75" t="s">
        <v>603</v>
      </c>
      <c r="H1285" s="70"/>
      <c r="P1285" s="70">
        <f t="shared" si="20"/>
        <v>0</v>
      </c>
      <c r="Q1285" s="70" cm="1">
        <f t="array" ref="Q1285">IF(P1285=1,IF(SUMPRODUCT(($P$2:P1285)*(--($G$2:G1285=$G1285)))=1,1,0),0)</f>
        <v>0</v>
      </c>
      <c r="R1285" s="70" t="str">
        <f>IF(Q1285=1,SUM($Q$2:Q1285),"")</f>
        <v/>
      </c>
    </row>
    <row r="1286" spans="1:18" ht="16" x14ac:dyDescent="0.2">
      <c r="A1286" s="73" t="s">
        <v>1301</v>
      </c>
      <c r="B1286" s="77" t="s">
        <v>1541</v>
      </c>
      <c r="C1286" s="74" t="s">
        <v>1879</v>
      </c>
      <c r="D1286" s="74" t="s">
        <v>993</v>
      </c>
      <c r="E1286" s="78" t="s">
        <v>106</v>
      </c>
      <c r="F1286" s="76" t="s">
        <v>117</v>
      </c>
      <c r="G1286" s="75" t="s">
        <v>603</v>
      </c>
      <c r="H1286" s="70"/>
      <c r="P1286" s="70">
        <f t="shared" si="20"/>
        <v>0</v>
      </c>
      <c r="Q1286" s="70" cm="1">
        <f t="array" ref="Q1286">IF(P1286=1,IF(SUMPRODUCT(($P$2:P1286)*(--($G$2:G1286=$G1286)))=1,1,0),0)</f>
        <v>0</v>
      </c>
      <c r="R1286" s="70" t="str">
        <f>IF(Q1286=1,SUM($Q$2:Q1286),"")</f>
        <v/>
      </c>
    </row>
    <row r="1287" spans="1:18" ht="16" x14ac:dyDescent="0.2">
      <c r="A1287" s="73" t="s">
        <v>1301</v>
      </c>
      <c r="B1287" s="77" t="s">
        <v>1541</v>
      </c>
      <c r="C1287" s="74" t="s">
        <v>1879</v>
      </c>
      <c r="D1287" s="74" t="s">
        <v>993</v>
      </c>
      <c r="E1287" s="78" t="s">
        <v>106</v>
      </c>
      <c r="F1287" s="76" t="s">
        <v>1301</v>
      </c>
      <c r="G1287" s="75" t="s">
        <v>601</v>
      </c>
      <c r="H1287" s="70"/>
      <c r="P1287" s="70">
        <f t="shared" si="20"/>
        <v>0</v>
      </c>
      <c r="Q1287" s="70" cm="1">
        <f t="array" ref="Q1287">IF(P1287=1,IF(SUMPRODUCT(($P$2:P1287)*(--($G$2:G1287=$G1287)))=1,1,0),0)</f>
        <v>0</v>
      </c>
      <c r="R1287" s="70" t="str">
        <f>IF(Q1287=1,SUM($Q$2:Q1287),"")</f>
        <v/>
      </c>
    </row>
    <row r="1288" spans="1:18" ht="16" x14ac:dyDescent="0.2">
      <c r="A1288" s="73" t="s">
        <v>1301</v>
      </c>
      <c r="B1288" s="77" t="s">
        <v>1541</v>
      </c>
      <c r="C1288" s="74" t="s">
        <v>1879</v>
      </c>
      <c r="D1288" s="74" t="s">
        <v>993</v>
      </c>
      <c r="E1288" s="78" t="s">
        <v>106</v>
      </c>
      <c r="F1288" s="76" t="s">
        <v>1301</v>
      </c>
      <c r="G1288" s="75" t="s">
        <v>601</v>
      </c>
      <c r="H1288" s="70"/>
      <c r="P1288" s="70">
        <f t="shared" si="20"/>
        <v>0</v>
      </c>
      <c r="Q1288" s="70" cm="1">
        <f t="array" ref="Q1288">IF(P1288=1,IF(SUMPRODUCT(($P$2:P1288)*(--($G$2:G1288=$G1288)))=1,1,0),0)</f>
        <v>0</v>
      </c>
      <c r="R1288" s="70" t="str">
        <f>IF(Q1288=1,SUM($Q$2:Q1288),"")</f>
        <v/>
      </c>
    </row>
    <row r="1289" spans="1:18" ht="16" x14ac:dyDescent="0.2">
      <c r="A1289" s="73" t="s">
        <v>248</v>
      </c>
      <c r="B1289" s="85" t="s">
        <v>1660</v>
      </c>
      <c r="C1289" s="74" t="s">
        <v>1879</v>
      </c>
      <c r="D1289" s="74" t="s">
        <v>993</v>
      </c>
      <c r="E1289" s="78" t="s">
        <v>113</v>
      </c>
      <c r="F1289" s="76" t="s">
        <v>248</v>
      </c>
      <c r="G1289" s="75" t="s">
        <v>1260</v>
      </c>
      <c r="H1289" s="70"/>
      <c r="P1289" s="70">
        <f t="shared" si="20"/>
        <v>0</v>
      </c>
      <c r="Q1289" s="70" cm="1">
        <f t="array" ref="Q1289">IF(P1289=1,IF(SUMPRODUCT(($P$2:P1289)*(--($G$2:G1289=$G1289)))=1,1,0),0)</f>
        <v>0</v>
      </c>
      <c r="R1289" s="70" t="str">
        <f>IF(Q1289=1,SUM($Q$2:Q1289),"")</f>
        <v/>
      </c>
    </row>
    <row r="1290" spans="1:18" ht="16" x14ac:dyDescent="0.2">
      <c r="A1290" s="73" t="s">
        <v>248</v>
      </c>
      <c r="B1290" s="85" t="s">
        <v>1660</v>
      </c>
      <c r="C1290" s="74" t="s">
        <v>1879</v>
      </c>
      <c r="D1290" s="74" t="s">
        <v>993</v>
      </c>
      <c r="E1290" s="78" t="s">
        <v>1002</v>
      </c>
      <c r="F1290" s="76" t="s">
        <v>248</v>
      </c>
      <c r="G1290" s="75" t="s">
        <v>1260</v>
      </c>
      <c r="H1290" s="70"/>
      <c r="P1290" s="70">
        <f t="shared" si="20"/>
        <v>0</v>
      </c>
      <c r="Q1290" s="70" cm="1">
        <f t="array" ref="Q1290">IF(P1290=1,IF(SUMPRODUCT(($P$2:P1290)*(--($G$2:G1290=$G1290)))=1,1,0),0)</f>
        <v>0</v>
      </c>
      <c r="R1290" s="70" t="str">
        <f>IF(Q1290=1,SUM($Q$2:Q1290),"")</f>
        <v/>
      </c>
    </row>
    <row r="1291" spans="1:18" ht="16" x14ac:dyDescent="0.2">
      <c r="A1291" s="73" t="s">
        <v>248</v>
      </c>
      <c r="B1291" s="85" t="s">
        <v>1660</v>
      </c>
      <c r="C1291" s="74" t="s">
        <v>1879</v>
      </c>
      <c r="D1291" s="74" t="s">
        <v>993</v>
      </c>
      <c r="E1291" s="78" t="s">
        <v>129</v>
      </c>
      <c r="F1291" s="76" t="s">
        <v>248</v>
      </c>
      <c r="G1291" s="75" t="s">
        <v>1260</v>
      </c>
      <c r="H1291" s="70"/>
      <c r="P1291" s="70">
        <f t="shared" si="20"/>
        <v>0</v>
      </c>
      <c r="Q1291" s="70" cm="1">
        <f t="array" ref="Q1291">IF(P1291=1,IF(SUMPRODUCT(($P$2:P1291)*(--($G$2:G1291=$G1291)))=1,1,0),0)</f>
        <v>0</v>
      </c>
      <c r="R1291" s="70" t="str">
        <f>IF(Q1291=1,SUM($Q$2:Q1291),"")</f>
        <v/>
      </c>
    </row>
    <row r="1292" spans="1:18" ht="16" x14ac:dyDescent="0.2">
      <c r="A1292" s="80" t="s">
        <v>491</v>
      </c>
      <c r="B1292" s="83" t="s">
        <v>1541</v>
      </c>
      <c r="C1292" s="74" t="s">
        <v>1883</v>
      </c>
      <c r="D1292" s="74" t="s">
        <v>982</v>
      </c>
      <c r="E1292" s="84" t="s">
        <v>113</v>
      </c>
      <c r="F1292" s="82" t="s">
        <v>1566</v>
      </c>
      <c r="G1292" s="81" t="s">
        <v>547</v>
      </c>
      <c r="H1292" s="70"/>
      <c r="P1292" s="70">
        <f t="shared" si="20"/>
        <v>0</v>
      </c>
      <c r="Q1292" s="70" cm="1">
        <f t="array" ref="Q1292">IF(P1292=1,IF(SUMPRODUCT(($P$2:P1292)*(--($G$2:G1292=$G1292)))=1,1,0),0)</f>
        <v>0</v>
      </c>
      <c r="R1292" s="70" t="str">
        <f>IF(Q1292=1,SUM($Q$2:Q1292),"")</f>
        <v/>
      </c>
    </row>
    <row r="1293" spans="1:18" ht="16" x14ac:dyDescent="0.2">
      <c r="A1293" s="80" t="s">
        <v>491</v>
      </c>
      <c r="B1293" s="83" t="s">
        <v>1541</v>
      </c>
      <c r="C1293" s="74" t="s">
        <v>1883</v>
      </c>
      <c r="D1293" s="74" t="s">
        <v>982</v>
      </c>
      <c r="E1293" s="84" t="s">
        <v>113</v>
      </c>
      <c r="F1293" s="82" t="s">
        <v>1576</v>
      </c>
      <c r="G1293" s="81" t="s">
        <v>545</v>
      </c>
      <c r="H1293" s="70"/>
      <c r="P1293" s="70">
        <f t="shared" si="20"/>
        <v>0</v>
      </c>
      <c r="Q1293" s="70" cm="1">
        <f t="array" ref="Q1293">IF(P1293=1,IF(SUMPRODUCT(($P$2:P1293)*(--($G$2:G1293=$G1293)))=1,1,0),0)</f>
        <v>0</v>
      </c>
      <c r="R1293" s="70" t="str">
        <f>IF(Q1293=1,SUM($Q$2:Q1293),"")</f>
        <v/>
      </c>
    </row>
    <row r="1294" spans="1:18" ht="16" x14ac:dyDescent="0.2">
      <c r="A1294" s="80" t="s">
        <v>491</v>
      </c>
      <c r="B1294" s="83" t="s">
        <v>1541</v>
      </c>
      <c r="C1294" s="74" t="s">
        <v>1883</v>
      </c>
      <c r="D1294" s="74" t="s">
        <v>982</v>
      </c>
      <c r="E1294" s="84" t="s">
        <v>113</v>
      </c>
      <c r="F1294" s="82" t="s">
        <v>1578</v>
      </c>
      <c r="G1294" s="81" t="s">
        <v>545</v>
      </c>
      <c r="H1294" s="70"/>
      <c r="P1294" s="70">
        <f t="shared" si="20"/>
        <v>0</v>
      </c>
      <c r="Q1294" s="70" cm="1">
        <f t="array" ref="Q1294">IF(P1294=1,IF(SUMPRODUCT(($P$2:P1294)*(--($G$2:G1294=$G1294)))=1,1,0),0)</f>
        <v>0</v>
      </c>
      <c r="R1294" s="70" t="str">
        <f>IF(Q1294=1,SUM($Q$2:Q1294),"")</f>
        <v/>
      </c>
    </row>
    <row r="1295" spans="1:18" ht="16" x14ac:dyDescent="0.2">
      <c r="A1295" s="73" t="s">
        <v>100</v>
      </c>
      <c r="B1295" s="85" t="s">
        <v>100</v>
      </c>
      <c r="C1295" s="74" t="s">
        <v>1884</v>
      </c>
      <c r="D1295" s="74" t="s">
        <v>992</v>
      </c>
      <c r="E1295" s="78" t="s">
        <v>100</v>
      </c>
      <c r="F1295" s="76" t="s">
        <v>1885</v>
      </c>
      <c r="G1295" s="75" t="s">
        <v>966</v>
      </c>
      <c r="H1295" s="70"/>
      <c r="P1295" s="70">
        <f t="shared" si="20"/>
        <v>0</v>
      </c>
      <c r="Q1295" s="70" cm="1">
        <f t="array" ref="Q1295">IF(P1295=1,IF(SUMPRODUCT(($P$2:P1295)*(--($G$2:G1295=$G1295)))=1,1,0),0)</f>
        <v>0</v>
      </c>
      <c r="R1295" s="70" t="str">
        <f>IF(Q1295=1,SUM($Q$2:Q1295),"")</f>
        <v/>
      </c>
    </row>
    <row r="1296" spans="1:18" ht="16" x14ac:dyDescent="0.2">
      <c r="A1296" s="73" t="s">
        <v>125</v>
      </c>
      <c r="B1296" s="77" t="s">
        <v>1541</v>
      </c>
      <c r="C1296" s="74" t="s">
        <v>1886</v>
      </c>
      <c r="D1296" s="74" t="s">
        <v>1494</v>
      </c>
      <c r="E1296" s="78" t="s">
        <v>97</v>
      </c>
      <c r="F1296" s="76" t="s">
        <v>125</v>
      </c>
      <c r="G1296" s="75" t="s">
        <v>1261</v>
      </c>
      <c r="H1296" s="70"/>
      <c r="P1296" s="70">
        <f t="shared" si="20"/>
        <v>0</v>
      </c>
      <c r="Q1296" s="70" cm="1">
        <f t="array" ref="Q1296">IF(P1296=1,IF(SUMPRODUCT(($P$2:P1296)*(--($G$2:G1296=$G1296)))=1,1,0),0)</f>
        <v>0</v>
      </c>
      <c r="R1296" s="70" t="str">
        <f>IF(Q1296=1,SUM($Q$2:Q1296),"")</f>
        <v/>
      </c>
    </row>
    <row r="1297" spans="1:18" ht="16" x14ac:dyDescent="0.2">
      <c r="A1297" s="73" t="s">
        <v>125</v>
      </c>
      <c r="B1297" s="77" t="s">
        <v>1541</v>
      </c>
      <c r="C1297" s="74" t="s">
        <v>1886</v>
      </c>
      <c r="D1297" s="74" t="s">
        <v>1494</v>
      </c>
      <c r="E1297" s="78" t="s">
        <v>97</v>
      </c>
      <c r="F1297" s="76" t="s">
        <v>125</v>
      </c>
      <c r="G1297" s="75" t="s">
        <v>1283</v>
      </c>
      <c r="H1297" s="70"/>
      <c r="P1297" s="70">
        <f t="shared" si="20"/>
        <v>0</v>
      </c>
      <c r="Q1297" s="70" cm="1">
        <f t="array" ref="Q1297">IF(P1297=1,IF(SUMPRODUCT(($P$2:P1297)*(--($G$2:G1297=$G1297)))=1,1,0),0)</f>
        <v>0</v>
      </c>
      <c r="R1297" s="70" t="str">
        <f>IF(Q1297=1,SUM($Q$2:Q1297),"")</f>
        <v/>
      </c>
    </row>
    <row r="1298" spans="1:18" x14ac:dyDescent="0.2">
      <c r="A1298" s="73" t="s">
        <v>125</v>
      </c>
      <c r="B1298" s="77" t="s">
        <v>1541</v>
      </c>
      <c r="C1298" s="74" t="s">
        <v>1886</v>
      </c>
      <c r="D1298" s="74" t="s">
        <v>1494</v>
      </c>
      <c r="E1298" s="78" t="s">
        <v>97</v>
      </c>
      <c r="F1298" s="76" t="s">
        <v>1552</v>
      </c>
      <c r="G1298" s="76" t="s">
        <v>1120</v>
      </c>
      <c r="H1298" s="70"/>
      <c r="P1298" s="70">
        <f t="shared" si="20"/>
        <v>0</v>
      </c>
      <c r="Q1298" s="70" cm="1">
        <f t="array" ref="Q1298">IF(P1298=1,IF(SUMPRODUCT(($P$2:P1298)*(--($G$2:G1298=$G1298)))=1,1,0),0)</f>
        <v>0</v>
      </c>
      <c r="R1298" s="70" t="str">
        <f>IF(Q1298=1,SUM($Q$2:Q1298),"")</f>
        <v/>
      </c>
    </row>
    <row r="1299" spans="1:18" x14ac:dyDescent="0.2">
      <c r="A1299" s="73" t="s">
        <v>125</v>
      </c>
      <c r="B1299" s="77" t="s">
        <v>1541</v>
      </c>
      <c r="C1299" s="74" t="s">
        <v>1886</v>
      </c>
      <c r="D1299" s="74" t="s">
        <v>1494</v>
      </c>
      <c r="E1299" s="78" t="s">
        <v>97</v>
      </c>
      <c r="F1299" s="76" t="s">
        <v>125</v>
      </c>
      <c r="G1299" s="76" t="s">
        <v>1120</v>
      </c>
      <c r="H1299" s="70"/>
      <c r="P1299" s="70">
        <f t="shared" si="20"/>
        <v>0</v>
      </c>
      <c r="Q1299" s="70" cm="1">
        <f t="array" ref="Q1299">IF(P1299=1,IF(SUMPRODUCT(($P$2:P1299)*(--($G$2:G1299=$G1299)))=1,1,0),0)</f>
        <v>0</v>
      </c>
      <c r="R1299" s="70" t="str">
        <f>IF(Q1299=1,SUM($Q$2:Q1299),"")</f>
        <v/>
      </c>
    </row>
    <row r="1300" spans="1:18" x14ac:dyDescent="0.2">
      <c r="A1300" s="73" t="s">
        <v>125</v>
      </c>
      <c r="B1300" s="77" t="s">
        <v>1541</v>
      </c>
      <c r="C1300" s="74" t="s">
        <v>1886</v>
      </c>
      <c r="D1300" s="74" t="s">
        <v>1494</v>
      </c>
      <c r="E1300" s="78" t="s">
        <v>97</v>
      </c>
      <c r="F1300" s="76" t="s">
        <v>1552</v>
      </c>
      <c r="G1300" s="76" t="s">
        <v>1124</v>
      </c>
      <c r="H1300" s="70"/>
      <c r="P1300" s="70">
        <f t="shared" si="20"/>
        <v>0</v>
      </c>
      <c r="Q1300" s="70" cm="1">
        <f t="array" ref="Q1300">IF(P1300=1,IF(SUMPRODUCT(($P$2:P1300)*(--($G$2:G1300=$G1300)))=1,1,0),0)</f>
        <v>0</v>
      </c>
      <c r="R1300" s="70" t="str">
        <f>IF(Q1300=1,SUM($Q$2:Q1300),"")</f>
        <v/>
      </c>
    </row>
    <row r="1301" spans="1:18" x14ac:dyDescent="0.2">
      <c r="A1301" s="73" t="s">
        <v>125</v>
      </c>
      <c r="B1301" s="77" t="s">
        <v>1541</v>
      </c>
      <c r="C1301" s="74" t="s">
        <v>1886</v>
      </c>
      <c r="D1301" s="74" t="s">
        <v>1494</v>
      </c>
      <c r="E1301" s="78" t="s">
        <v>97</v>
      </c>
      <c r="F1301" s="76" t="s">
        <v>125</v>
      </c>
      <c r="G1301" s="76" t="s">
        <v>1124</v>
      </c>
      <c r="H1301" s="70"/>
      <c r="P1301" s="70">
        <f t="shared" si="20"/>
        <v>0</v>
      </c>
      <c r="Q1301" s="70" cm="1">
        <f t="array" ref="Q1301">IF(P1301=1,IF(SUMPRODUCT(($P$2:P1301)*(--($G$2:G1301=$G1301)))=1,1,0),0)</f>
        <v>0</v>
      </c>
      <c r="R1301" s="70" t="str">
        <f>IF(Q1301=1,SUM($Q$2:Q1301),"")</f>
        <v/>
      </c>
    </row>
    <row r="1302" spans="1:18" x14ac:dyDescent="0.2">
      <c r="A1302" s="73" t="s">
        <v>125</v>
      </c>
      <c r="B1302" s="77" t="s">
        <v>1541</v>
      </c>
      <c r="C1302" s="74" t="s">
        <v>1886</v>
      </c>
      <c r="D1302" s="74" t="s">
        <v>1494</v>
      </c>
      <c r="E1302" s="78" t="s">
        <v>106</v>
      </c>
      <c r="F1302" s="76" t="s">
        <v>1552</v>
      </c>
      <c r="G1302" s="76" t="s">
        <v>1118</v>
      </c>
      <c r="H1302" s="70"/>
      <c r="P1302" s="70">
        <f t="shared" si="20"/>
        <v>0</v>
      </c>
      <c r="Q1302" s="70" cm="1">
        <f t="array" ref="Q1302">IF(P1302=1,IF(SUMPRODUCT(($P$2:P1302)*(--($G$2:G1302=$G1302)))=1,1,0),0)</f>
        <v>0</v>
      </c>
      <c r="R1302" s="70" t="str">
        <f>IF(Q1302=1,SUM($Q$2:Q1302),"")</f>
        <v/>
      </c>
    </row>
    <row r="1303" spans="1:18" x14ac:dyDescent="0.2">
      <c r="A1303" s="73" t="s">
        <v>125</v>
      </c>
      <c r="B1303" s="77" t="s">
        <v>1541</v>
      </c>
      <c r="C1303" s="74" t="s">
        <v>1886</v>
      </c>
      <c r="D1303" s="74" t="s">
        <v>1494</v>
      </c>
      <c r="E1303" s="78" t="s">
        <v>106</v>
      </c>
      <c r="F1303" s="76" t="s">
        <v>125</v>
      </c>
      <c r="G1303" s="76" t="s">
        <v>1118</v>
      </c>
      <c r="H1303" s="70"/>
      <c r="P1303" s="70">
        <f t="shared" si="20"/>
        <v>0</v>
      </c>
      <c r="Q1303" s="70" cm="1">
        <f t="array" ref="Q1303">IF(P1303=1,IF(SUMPRODUCT(($P$2:P1303)*(--($G$2:G1303=$G1303)))=1,1,0),0)</f>
        <v>0</v>
      </c>
      <c r="R1303" s="70" t="str">
        <f>IF(Q1303=1,SUM($Q$2:Q1303),"")</f>
        <v/>
      </c>
    </row>
    <row r="1304" spans="1:18" x14ac:dyDescent="0.2">
      <c r="A1304" s="73" t="s">
        <v>125</v>
      </c>
      <c r="B1304" s="77" t="s">
        <v>1541</v>
      </c>
      <c r="C1304" s="74" t="s">
        <v>1886</v>
      </c>
      <c r="D1304" s="74" t="s">
        <v>1494</v>
      </c>
      <c r="E1304" s="78" t="s">
        <v>106</v>
      </c>
      <c r="F1304" s="76" t="s">
        <v>1552</v>
      </c>
      <c r="G1304" s="76" t="s">
        <v>1122</v>
      </c>
      <c r="H1304" s="70"/>
      <c r="P1304" s="70">
        <f t="shared" si="20"/>
        <v>0</v>
      </c>
      <c r="Q1304" s="70" cm="1">
        <f t="array" ref="Q1304">IF(P1304=1,IF(SUMPRODUCT(($P$2:P1304)*(--($G$2:G1304=$G1304)))=1,1,0),0)</f>
        <v>0</v>
      </c>
      <c r="R1304" s="70" t="str">
        <f>IF(Q1304=1,SUM($Q$2:Q1304),"")</f>
        <v/>
      </c>
    </row>
    <row r="1305" spans="1:18" x14ac:dyDescent="0.2">
      <c r="A1305" s="73" t="s">
        <v>125</v>
      </c>
      <c r="B1305" s="77" t="s">
        <v>1541</v>
      </c>
      <c r="C1305" s="74" t="s">
        <v>1886</v>
      </c>
      <c r="D1305" s="74" t="s">
        <v>1494</v>
      </c>
      <c r="E1305" s="78" t="s">
        <v>106</v>
      </c>
      <c r="F1305" s="76" t="s">
        <v>125</v>
      </c>
      <c r="G1305" s="76" t="s">
        <v>1122</v>
      </c>
      <c r="H1305" s="70"/>
      <c r="P1305" s="70">
        <f t="shared" si="20"/>
        <v>0</v>
      </c>
      <c r="Q1305" s="70" cm="1">
        <f t="array" ref="Q1305">IF(P1305=1,IF(SUMPRODUCT(($P$2:P1305)*(--($G$2:G1305=$G1305)))=1,1,0),0)</f>
        <v>0</v>
      </c>
      <c r="R1305" s="70" t="str">
        <f>IF(Q1305=1,SUM($Q$2:Q1305),"")</f>
        <v/>
      </c>
    </row>
    <row r="1306" spans="1:18" x14ac:dyDescent="0.2">
      <c r="A1306" s="73" t="s">
        <v>125</v>
      </c>
      <c r="B1306" s="77" t="s">
        <v>1541</v>
      </c>
      <c r="C1306" s="74" t="s">
        <v>1886</v>
      </c>
      <c r="D1306" s="74" t="s">
        <v>1494</v>
      </c>
      <c r="E1306" s="78" t="s">
        <v>113</v>
      </c>
      <c r="F1306" s="76" t="s">
        <v>1887</v>
      </c>
      <c r="G1306" s="76" t="s">
        <v>1277</v>
      </c>
      <c r="H1306" s="70"/>
      <c r="P1306" s="70">
        <f t="shared" si="20"/>
        <v>0</v>
      </c>
      <c r="Q1306" s="70" cm="1">
        <f t="array" ref="Q1306">IF(P1306=1,IF(SUMPRODUCT(($P$2:P1306)*(--($G$2:G1306=$G1306)))=1,1,0),0)</f>
        <v>0</v>
      </c>
      <c r="R1306" s="70" t="str">
        <f>IF(Q1306=1,SUM($Q$2:Q1306),"")</f>
        <v/>
      </c>
    </row>
    <row r="1307" spans="1:18" x14ac:dyDescent="0.2">
      <c r="A1307" s="73" t="s">
        <v>125</v>
      </c>
      <c r="B1307" s="77" t="s">
        <v>1541</v>
      </c>
      <c r="C1307" s="74" t="s">
        <v>1886</v>
      </c>
      <c r="D1307" s="74" t="s">
        <v>1494</v>
      </c>
      <c r="E1307" s="78" t="s">
        <v>113</v>
      </c>
      <c r="F1307" s="76" t="s">
        <v>125</v>
      </c>
      <c r="G1307" s="76" t="s">
        <v>1277</v>
      </c>
      <c r="H1307" s="70"/>
      <c r="P1307" s="70">
        <f t="shared" si="20"/>
        <v>0</v>
      </c>
      <c r="Q1307" s="70" cm="1">
        <f t="array" ref="Q1307">IF(P1307=1,IF(SUMPRODUCT(($P$2:P1307)*(--($G$2:G1307=$G1307)))=1,1,0),0)</f>
        <v>0</v>
      </c>
      <c r="R1307" s="70" t="str">
        <f>IF(Q1307=1,SUM($Q$2:Q1307),"")</f>
        <v/>
      </c>
    </row>
    <row r="1308" spans="1:18" x14ac:dyDescent="0.2">
      <c r="A1308" s="73" t="s">
        <v>125</v>
      </c>
      <c r="B1308" s="77" t="s">
        <v>1541</v>
      </c>
      <c r="C1308" s="74" t="s">
        <v>1886</v>
      </c>
      <c r="D1308" s="74" t="s">
        <v>1494</v>
      </c>
      <c r="E1308" s="78" t="s">
        <v>113</v>
      </c>
      <c r="F1308" s="76" t="s">
        <v>1887</v>
      </c>
      <c r="G1308" s="76" t="s">
        <v>1278</v>
      </c>
      <c r="H1308" s="70"/>
      <c r="P1308" s="70">
        <f t="shared" si="20"/>
        <v>0</v>
      </c>
      <c r="Q1308" s="70" cm="1">
        <f t="array" ref="Q1308">IF(P1308=1,IF(SUMPRODUCT(($P$2:P1308)*(--($G$2:G1308=$G1308)))=1,1,0),0)</f>
        <v>0</v>
      </c>
      <c r="R1308" s="70" t="str">
        <f>IF(Q1308=1,SUM($Q$2:Q1308),"")</f>
        <v/>
      </c>
    </row>
    <row r="1309" spans="1:18" x14ac:dyDescent="0.2">
      <c r="A1309" s="73" t="s">
        <v>125</v>
      </c>
      <c r="B1309" s="77" t="s">
        <v>1541</v>
      </c>
      <c r="C1309" s="74" t="s">
        <v>1886</v>
      </c>
      <c r="D1309" s="74" t="s">
        <v>1494</v>
      </c>
      <c r="E1309" s="78" t="s">
        <v>113</v>
      </c>
      <c r="F1309" s="76" t="s">
        <v>125</v>
      </c>
      <c r="G1309" s="76" t="s">
        <v>1278</v>
      </c>
      <c r="H1309" s="70"/>
      <c r="P1309" s="70">
        <f t="shared" si="20"/>
        <v>0</v>
      </c>
      <c r="Q1309" s="70" cm="1">
        <f t="array" ref="Q1309">IF(P1309=1,IF(SUMPRODUCT(($P$2:P1309)*(--($G$2:G1309=$G1309)))=1,1,0),0)</f>
        <v>0</v>
      </c>
      <c r="R1309" s="70" t="str">
        <f>IF(Q1309=1,SUM($Q$2:Q1309),"")</f>
        <v/>
      </c>
    </row>
    <row r="1310" spans="1:18" x14ac:dyDescent="0.2">
      <c r="A1310" s="80" t="s">
        <v>1309</v>
      </c>
      <c r="B1310" s="83" t="s">
        <v>1541</v>
      </c>
      <c r="C1310" s="74" t="s">
        <v>1888</v>
      </c>
      <c r="D1310" s="74" t="s">
        <v>984</v>
      </c>
      <c r="E1310" s="84" t="s">
        <v>113</v>
      </c>
      <c r="F1310" s="82" t="s">
        <v>1309</v>
      </c>
      <c r="G1310" s="90" t="s">
        <v>1213</v>
      </c>
      <c r="H1310" s="70"/>
      <c r="P1310" s="70">
        <f t="shared" si="20"/>
        <v>0</v>
      </c>
      <c r="Q1310" s="70" cm="1">
        <f t="array" ref="Q1310">IF(P1310=1,IF(SUMPRODUCT(($P$2:P1310)*(--($G$2:G1310=$G1310)))=1,1,0),0)</f>
        <v>0</v>
      </c>
      <c r="R1310" s="70" t="str">
        <f>IF(Q1310=1,SUM($Q$2:Q1310),"")</f>
        <v/>
      </c>
    </row>
    <row r="1311" spans="1:18" x14ac:dyDescent="0.2">
      <c r="A1311" s="80" t="s">
        <v>1309</v>
      </c>
      <c r="B1311" s="83" t="s">
        <v>1541</v>
      </c>
      <c r="C1311" s="74" t="s">
        <v>1888</v>
      </c>
      <c r="D1311" s="74" t="s">
        <v>984</v>
      </c>
      <c r="E1311" s="84" t="s">
        <v>1002</v>
      </c>
      <c r="F1311" s="82" t="s">
        <v>1309</v>
      </c>
      <c r="G1311" s="90" t="s">
        <v>1213</v>
      </c>
      <c r="H1311" s="70"/>
      <c r="P1311" s="70">
        <f t="shared" si="20"/>
        <v>0</v>
      </c>
      <c r="Q1311" s="70" cm="1">
        <f t="array" ref="Q1311">IF(P1311=1,IF(SUMPRODUCT(($P$2:P1311)*(--($G$2:G1311=$G1311)))=1,1,0),0)</f>
        <v>0</v>
      </c>
      <c r="R1311" s="70" t="str">
        <f>IF(Q1311=1,SUM($Q$2:Q1311),"")</f>
        <v/>
      </c>
    </row>
    <row r="1312" spans="1:18" ht="16" x14ac:dyDescent="0.2">
      <c r="A1312" s="73" t="s">
        <v>285</v>
      </c>
      <c r="B1312" s="77" t="s">
        <v>1541</v>
      </c>
      <c r="C1312" s="74" t="s">
        <v>1889</v>
      </c>
      <c r="D1312" s="74" t="s">
        <v>994</v>
      </c>
      <c r="E1312" s="78" t="s">
        <v>97</v>
      </c>
      <c r="F1312" s="76" t="s">
        <v>1811</v>
      </c>
      <c r="G1312" s="75" t="s">
        <v>543</v>
      </c>
      <c r="H1312" s="70"/>
      <c r="P1312" s="70">
        <f t="shared" si="20"/>
        <v>0</v>
      </c>
      <c r="Q1312" s="70" cm="1">
        <f t="array" ref="Q1312">IF(P1312=1,IF(SUMPRODUCT(($P$2:P1312)*(--($G$2:G1312=$G1312)))=1,1,0),0)</f>
        <v>0</v>
      </c>
      <c r="R1312" s="70" t="str">
        <f>IF(Q1312=1,SUM($Q$2:Q1312),"")</f>
        <v/>
      </c>
    </row>
    <row r="1313" spans="1:18" ht="16" x14ac:dyDescent="0.2">
      <c r="A1313" s="73" t="s">
        <v>285</v>
      </c>
      <c r="B1313" s="77" t="s">
        <v>1541</v>
      </c>
      <c r="C1313" s="74" t="s">
        <v>1889</v>
      </c>
      <c r="D1313" s="74" t="s">
        <v>994</v>
      </c>
      <c r="E1313" s="78" t="s">
        <v>113</v>
      </c>
      <c r="F1313" s="76" t="s">
        <v>1811</v>
      </c>
      <c r="G1313" s="75" t="s">
        <v>543</v>
      </c>
      <c r="H1313" s="70"/>
      <c r="P1313" s="70">
        <f t="shared" si="20"/>
        <v>0</v>
      </c>
      <c r="Q1313" s="70" cm="1">
        <f t="array" ref="Q1313">IF(P1313=1,IF(SUMPRODUCT(($P$2:P1313)*(--($G$2:G1313=$G1313)))=1,1,0),0)</f>
        <v>0</v>
      </c>
      <c r="R1313" s="70" t="str">
        <f>IF(Q1313=1,SUM($Q$2:Q1313),"")</f>
        <v/>
      </c>
    </row>
    <row r="1314" spans="1:18" ht="16" x14ac:dyDescent="0.2">
      <c r="A1314" s="73" t="s">
        <v>285</v>
      </c>
      <c r="B1314" s="77" t="s">
        <v>1541</v>
      </c>
      <c r="C1314" s="74" t="s">
        <v>1889</v>
      </c>
      <c r="D1314" s="74" t="s">
        <v>994</v>
      </c>
      <c r="E1314" s="78" t="s">
        <v>120</v>
      </c>
      <c r="F1314" s="76" t="s">
        <v>1811</v>
      </c>
      <c r="G1314" s="75" t="s">
        <v>543</v>
      </c>
      <c r="H1314" s="70"/>
      <c r="P1314" s="70">
        <f t="shared" si="20"/>
        <v>0</v>
      </c>
      <c r="Q1314" s="70" cm="1">
        <f t="array" ref="Q1314">IF(P1314=1,IF(SUMPRODUCT(($P$2:P1314)*(--($G$2:G1314=$G1314)))=1,1,0),0)</f>
        <v>0</v>
      </c>
      <c r="R1314" s="70" t="str">
        <f>IF(Q1314=1,SUM($Q$2:Q1314),"")</f>
        <v/>
      </c>
    </row>
    <row r="1315" spans="1:18" ht="16" x14ac:dyDescent="0.2">
      <c r="A1315" s="73" t="s">
        <v>285</v>
      </c>
      <c r="B1315" s="77" t="s">
        <v>1541</v>
      </c>
      <c r="C1315" s="74" t="s">
        <v>1889</v>
      </c>
      <c r="D1315" s="74" t="s">
        <v>994</v>
      </c>
      <c r="E1315" s="78" t="s">
        <v>97</v>
      </c>
      <c r="F1315" s="76" t="s">
        <v>1812</v>
      </c>
      <c r="G1315" s="75" t="s">
        <v>543</v>
      </c>
      <c r="H1315" s="70"/>
      <c r="P1315" s="70">
        <f t="shared" si="20"/>
        <v>0</v>
      </c>
      <c r="Q1315" s="70" cm="1">
        <f t="array" ref="Q1315">IF(P1315=1,IF(SUMPRODUCT(($P$2:P1315)*(--($G$2:G1315=$G1315)))=1,1,0),0)</f>
        <v>0</v>
      </c>
      <c r="R1315" s="70" t="str">
        <f>IF(Q1315=1,SUM($Q$2:Q1315),"")</f>
        <v/>
      </c>
    </row>
    <row r="1316" spans="1:18" ht="16" x14ac:dyDescent="0.2">
      <c r="A1316" s="73" t="s">
        <v>285</v>
      </c>
      <c r="B1316" s="77" t="s">
        <v>1541</v>
      </c>
      <c r="C1316" s="74" t="s">
        <v>1889</v>
      </c>
      <c r="D1316" s="74" t="s">
        <v>994</v>
      </c>
      <c r="E1316" s="78" t="s">
        <v>113</v>
      </c>
      <c r="F1316" s="76" t="s">
        <v>1812</v>
      </c>
      <c r="G1316" s="75" t="s">
        <v>543</v>
      </c>
      <c r="H1316" s="70"/>
      <c r="P1316" s="70">
        <f t="shared" si="20"/>
        <v>0</v>
      </c>
      <c r="Q1316" s="70" cm="1">
        <f t="array" ref="Q1316">IF(P1316=1,IF(SUMPRODUCT(($P$2:P1316)*(--($G$2:G1316=$G1316)))=1,1,0),0)</f>
        <v>0</v>
      </c>
      <c r="R1316" s="70" t="str">
        <f>IF(Q1316=1,SUM($Q$2:Q1316),"")</f>
        <v/>
      </c>
    </row>
    <row r="1317" spans="1:18" ht="16" x14ac:dyDescent="0.2">
      <c r="A1317" s="73" t="s">
        <v>285</v>
      </c>
      <c r="B1317" s="77" t="s">
        <v>1541</v>
      </c>
      <c r="C1317" s="74" t="s">
        <v>1889</v>
      </c>
      <c r="D1317" s="74" t="s">
        <v>994</v>
      </c>
      <c r="E1317" s="78" t="s">
        <v>120</v>
      </c>
      <c r="F1317" s="76" t="s">
        <v>1812</v>
      </c>
      <c r="G1317" s="75" t="s">
        <v>543</v>
      </c>
      <c r="H1317" s="70"/>
      <c r="P1317" s="70">
        <f t="shared" si="20"/>
        <v>0</v>
      </c>
      <c r="Q1317" s="70" cm="1">
        <f t="array" ref="Q1317">IF(P1317=1,IF(SUMPRODUCT(($P$2:P1317)*(--($G$2:G1317=$G1317)))=1,1,0),0)</f>
        <v>0</v>
      </c>
      <c r="R1317" s="70" t="str">
        <f>IF(Q1317=1,SUM($Q$2:Q1317),"")</f>
        <v/>
      </c>
    </row>
    <row r="1318" spans="1:18" ht="16" x14ac:dyDescent="0.2">
      <c r="A1318" s="73" t="s">
        <v>285</v>
      </c>
      <c r="B1318" s="77" t="s">
        <v>1541</v>
      </c>
      <c r="C1318" s="74" t="s">
        <v>1889</v>
      </c>
      <c r="D1318" s="74" t="s">
        <v>994</v>
      </c>
      <c r="E1318" s="78" t="s">
        <v>106</v>
      </c>
      <c r="F1318" s="76" t="s">
        <v>1812</v>
      </c>
      <c r="G1318" s="75" t="s">
        <v>543</v>
      </c>
      <c r="H1318" s="70"/>
      <c r="P1318" s="70">
        <f t="shared" si="20"/>
        <v>0</v>
      </c>
      <c r="Q1318" s="70" cm="1">
        <f t="array" ref="Q1318">IF(P1318=1,IF(SUMPRODUCT(($P$2:P1318)*(--($G$2:G1318=$G1318)))=1,1,0),0)</f>
        <v>0</v>
      </c>
      <c r="R1318" s="70" t="str">
        <f>IF(Q1318=1,SUM($Q$2:Q1318),"")</f>
        <v/>
      </c>
    </row>
    <row r="1319" spans="1:18" ht="16" x14ac:dyDescent="0.2">
      <c r="A1319" s="73" t="s">
        <v>285</v>
      </c>
      <c r="B1319" s="77" t="s">
        <v>1541</v>
      </c>
      <c r="C1319" s="74" t="s">
        <v>1889</v>
      </c>
      <c r="D1319" s="74" t="s">
        <v>994</v>
      </c>
      <c r="E1319" s="78" t="s">
        <v>97</v>
      </c>
      <c r="F1319" s="76" t="s">
        <v>1815</v>
      </c>
      <c r="G1319" s="75" t="s">
        <v>1094</v>
      </c>
      <c r="H1319" s="70"/>
      <c r="P1319" s="70">
        <f t="shared" si="20"/>
        <v>0</v>
      </c>
      <c r="Q1319" s="70" cm="1">
        <f t="array" ref="Q1319">IF(P1319=1,IF(SUMPRODUCT(($P$2:P1319)*(--($G$2:G1319=$G1319)))=1,1,0),0)</f>
        <v>0</v>
      </c>
      <c r="R1319" s="70" t="str">
        <f>IF(Q1319=1,SUM($Q$2:Q1319),"")</f>
        <v/>
      </c>
    </row>
    <row r="1320" spans="1:18" ht="16" x14ac:dyDescent="0.2">
      <c r="A1320" s="73" t="s">
        <v>285</v>
      </c>
      <c r="B1320" s="77" t="s">
        <v>1541</v>
      </c>
      <c r="C1320" s="74" t="s">
        <v>1889</v>
      </c>
      <c r="D1320" s="74" t="s">
        <v>994</v>
      </c>
      <c r="E1320" s="78" t="s">
        <v>113</v>
      </c>
      <c r="F1320" s="76" t="s">
        <v>1815</v>
      </c>
      <c r="G1320" s="75" t="s">
        <v>1094</v>
      </c>
      <c r="H1320" s="70"/>
      <c r="P1320" s="70">
        <f t="shared" si="20"/>
        <v>0</v>
      </c>
      <c r="Q1320" s="70" cm="1">
        <f t="array" ref="Q1320">IF(P1320=1,IF(SUMPRODUCT(($P$2:P1320)*(--($G$2:G1320=$G1320)))=1,1,0),0)</f>
        <v>0</v>
      </c>
      <c r="R1320" s="70" t="str">
        <f>IF(Q1320=1,SUM($Q$2:Q1320),"")</f>
        <v/>
      </c>
    </row>
    <row r="1321" spans="1:18" ht="16" x14ac:dyDescent="0.2">
      <c r="A1321" s="73" t="s">
        <v>285</v>
      </c>
      <c r="B1321" s="77" t="s">
        <v>1541</v>
      </c>
      <c r="C1321" s="74" t="s">
        <v>1889</v>
      </c>
      <c r="D1321" s="74" t="s">
        <v>994</v>
      </c>
      <c r="E1321" s="78" t="s">
        <v>120</v>
      </c>
      <c r="F1321" s="76" t="s">
        <v>1815</v>
      </c>
      <c r="G1321" s="75" t="s">
        <v>1094</v>
      </c>
      <c r="H1321" s="70"/>
      <c r="P1321" s="70">
        <f t="shared" si="20"/>
        <v>0</v>
      </c>
      <c r="Q1321" s="70" cm="1">
        <f t="array" ref="Q1321">IF(P1321=1,IF(SUMPRODUCT(($P$2:P1321)*(--($G$2:G1321=$G1321)))=1,1,0),0)</f>
        <v>0</v>
      </c>
      <c r="R1321" s="70" t="str">
        <f>IF(Q1321=1,SUM($Q$2:Q1321),"")</f>
        <v/>
      </c>
    </row>
    <row r="1322" spans="1:18" ht="16" x14ac:dyDescent="0.2">
      <c r="A1322" s="73" t="s">
        <v>285</v>
      </c>
      <c r="B1322" s="77" t="s">
        <v>1541</v>
      </c>
      <c r="C1322" s="74" t="s">
        <v>1889</v>
      </c>
      <c r="D1322" s="74" t="s">
        <v>994</v>
      </c>
      <c r="E1322" s="78" t="s">
        <v>97</v>
      </c>
      <c r="F1322" s="76" t="s">
        <v>1816</v>
      </c>
      <c r="G1322" s="75" t="s">
        <v>1094</v>
      </c>
      <c r="H1322" s="70"/>
      <c r="P1322" s="70">
        <f t="shared" si="20"/>
        <v>0</v>
      </c>
      <c r="Q1322" s="70" cm="1">
        <f t="array" ref="Q1322">IF(P1322=1,IF(SUMPRODUCT(($P$2:P1322)*(--($G$2:G1322=$G1322)))=1,1,0),0)</f>
        <v>0</v>
      </c>
      <c r="R1322" s="70" t="str">
        <f>IF(Q1322=1,SUM($Q$2:Q1322),"")</f>
        <v/>
      </c>
    </row>
    <row r="1323" spans="1:18" ht="16" x14ac:dyDescent="0.2">
      <c r="A1323" s="73" t="s">
        <v>285</v>
      </c>
      <c r="B1323" s="77" t="s">
        <v>1541</v>
      </c>
      <c r="C1323" s="74" t="s">
        <v>1889</v>
      </c>
      <c r="D1323" s="74" t="s">
        <v>994</v>
      </c>
      <c r="E1323" s="78" t="s">
        <v>113</v>
      </c>
      <c r="F1323" s="76" t="s">
        <v>1816</v>
      </c>
      <c r="G1323" s="75" t="s">
        <v>1094</v>
      </c>
      <c r="H1323" s="70"/>
      <c r="P1323" s="70">
        <f t="shared" si="20"/>
        <v>0</v>
      </c>
      <c r="Q1323" s="70" cm="1">
        <f t="array" ref="Q1323">IF(P1323=1,IF(SUMPRODUCT(($P$2:P1323)*(--($G$2:G1323=$G1323)))=1,1,0),0)</f>
        <v>0</v>
      </c>
      <c r="R1323" s="70" t="str">
        <f>IF(Q1323=1,SUM($Q$2:Q1323),"")</f>
        <v/>
      </c>
    </row>
    <row r="1324" spans="1:18" ht="16" x14ac:dyDescent="0.2">
      <c r="A1324" s="73" t="s">
        <v>285</v>
      </c>
      <c r="B1324" s="77" t="s">
        <v>1541</v>
      </c>
      <c r="C1324" s="74" t="s">
        <v>1889</v>
      </c>
      <c r="D1324" s="74" t="s">
        <v>994</v>
      </c>
      <c r="E1324" s="78" t="s">
        <v>120</v>
      </c>
      <c r="F1324" s="76" t="s">
        <v>1816</v>
      </c>
      <c r="G1324" s="75" t="s">
        <v>1094</v>
      </c>
      <c r="H1324" s="70"/>
      <c r="P1324" s="70">
        <f t="shared" si="20"/>
        <v>0</v>
      </c>
      <c r="Q1324" s="70" cm="1">
        <f t="array" ref="Q1324">IF(P1324=1,IF(SUMPRODUCT(($P$2:P1324)*(--($G$2:G1324=$G1324)))=1,1,0),0)</f>
        <v>0</v>
      </c>
      <c r="R1324" s="70" t="str">
        <f>IF(Q1324=1,SUM($Q$2:Q1324),"")</f>
        <v/>
      </c>
    </row>
    <row r="1325" spans="1:18" ht="16" x14ac:dyDescent="0.2">
      <c r="A1325" s="73" t="s">
        <v>285</v>
      </c>
      <c r="B1325" s="77" t="s">
        <v>1541</v>
      </c>
      <c r="C1325" s="74" t="s">
        <v>1889</v>
      </c>
      <c r="D1325" s="74" t="s">
        <v>994</v>
      </c>
      <c r="E1325" s="78" t="s">
        <v>97</v>
      </c>
      <c r="F1325" s="76" t="s">
        <v>285</v>
      </c>
      <c r="G1325" s="75" t="s">
        <v>1281</v>
      </c>
      <c r="H1325" s="70"/>
      <c r="P1325" s="70">
        <f t="shared" si="20"/>
        <v>0</v>
      </c>
      <c r="Q1325" s="70" cm="1">
        <f t="array" ref="Q1325">IF(P1325=1,IF(SUMPRODUCT(($P$2:P1325)*(--($G$2:G1325=$G1325)))=1,1,0),0)</f>
        <v>0</v>
      </c>
      <c r="R1325" s="70" t="str">
        <f>IF(Q1325=1,SUM($Q$2:Q1325),"")</f>
        <v/>
      </c>
    </row>
    <row r="1326" spans="1:18" ht="16" x14ac:dyDescent="0.2">
      <c r="A1326" s="73" t="s">
        <v>285</v>
      </c>
      <c r="B1326" s="77" t="s">
        <v>1541</v>
      </c>
      <c r="C1326" s="74" t="s">
        <v>1889</v>
      </c>
      <c r="D1326" s="74" t="s">
        <v>994</v>
      </c>
      <c r="E1326" s="78" t="s">
        <v>113</v>
      </c>
      <c r="F1326" s="76" t="s">
        <v>285</v>
      </c>
      <c r="G1326" s="75" t="s">
        <v>1281</v>
      </c>
      <c r="H1326" s="70"/>
      <c r="P1326" s="70">
        <f t="shared" si="20"/>
        <v>0</v>
      </c>
      <c r="Q1326" s="70" cm="1">
        <f t="array" ref="Q1326">IF(P1326=1,IF(SUMPRODUCT(($P$2:P1326)*(--($G$2:G1326=$G1326)))=1,1,0),0)</f>
        <v>0</v>
      </c>
      <c r="R1326" s="70" t="str">
        <f>IF(Q1326=1,SUM($Q$2:Q1326),"")</f>
        <v/>
      </c>
    </row>
    <row r="1327" spans="1:18" ht="16" x14ac:dyDescent="0.2">
      <c r="A1327" s="73" t="s">
        <v>285</v>
      </c>
      <c r="B1327" s="77" t="s">
        <v>1541</v>
      </c>
      <c r="C1327" s="74" t="s">
        <v>1889</v>
      </c>
      <c r="D1327" s="74" t="s">
        <v>994</v>
      </c>
      <c r="E1327" s="78" t="s">
        <v>138</v>
      </c>
      <c r="F1327" s="76" t="s">
        <v>285</v>
      </c>
      <c r="G1327" s="75" t="s">
        <v>1281</v>
      </c>
      <c r="H1327" s="70"/>
      <c r="P1327" s="70">
        <f t="shared" si="20"/>
        <v>0</v>
      </c>
      <c r="Q1327" s="70" cm="1">
        <f t="array" ref="Q1327">IF(P1327=1,IF(SUMPRODUCT(($P$2:P1327)*(--($G$2:G1327=$G1327)))=1,1,0),0)</f>
        <v>0</v>
      </c>
      <c r="R1327" s="70" t="str">
        <f>IF(Q1327=1,SUM($Q$2:Q1327),"")</f>
        <v/>
      </c>
    </row>
    <row r="1328" spans="1:18" ht="16" x14ac:dyDescent="0.2">
      <c r="A1328" s="73" t="s">
        <v>285</v>
      </c>
      <c r="B1328" s="77" t="s">
        <v>1541</v>
      </c>
      <c r="C1328" s="74" t="s">
        <v>1889</v>
      </c>
      <c r="D1328" s="74" t="s">
        <v>994</v>
      </c>
      <c r="E1328" s="78" t="s">
        <v>97</v>
      </c>
      <c r="F1328" s="76" t="s">
        <v>289</v>
      </c>
      <c r="G1328" s="75" t="s">
        <v>1281</v>
      </c>
      <c r="H1328" s="70"/>
      <c r="P1328" s="70">
        <f t="shared" si="20"/>
        <v>0</v>
      </c>
      <c r="Q1328" s="70" cm="1">
        <f t="array" ref="Q1328">IF(P1328=1,IF(SUMPRODUCT(($P$2:P1328)*(--($G$2:G1328=$G1328)))=1,1,0),0)</f>
        <v>0</v>
      </c>
      <c r="R1328" s="70" t="str">
        <f>IF(Q1328=1,SUM($Q$2:Q1328),"")</f>
        <v/>
      </c>
    </row>
    <row r="1329" spans="1:18" ht="16" x14ac:dyDescent="0.2">
      <c r="A1329" s="73" t="s">
        <v>285</v>
      </c>
      <c r="B1329" s="77" t="s">
        <v>1541</v>
      </c>
      <c r="C1329" s="74" t="s">
        <v>1889</v>
      </c>
      <c r="D1329" s="74" t="s">
        <v>994</v>
      </c>
      <c r="E1329" s="78" t="s">
        <v>113</v>
      </c>
      <c r="F1329" s="76" t="s">
        <v>289</v>
      </c>
      <c r="G1329" s="75" t="s">
        <v>1281</v>
      </c>
      <c r="H1329" s="70"/>
      <c r="P1329" s="70">
        <f t="shared" si="20"/>
        <v>0</v>
      </c>
      <c r="Q1329" s="70" cm="1">
        <f t="array" ref="Q1329">IF(P1329=1,IF(SUMPRODUCT(($P$2:P1329)*(--($G$2:G1329=$G1329)))=1,1,0),0)</f>
        <v>0</v>
      </c>
      <c r="R1329" s="70" t="str">
        <f>IF(Q1329=1,SUM($Q$2:Q1329),"")</f>
        <v/>
      </c>
    </row>
    <row r="1330" spans="1:18" ht="16" x14ac:dyDescent="0.2">
      <c r="A1330" s="73" t="s">
        <v>285</v>
      </c>
      <c r="B1330" s="77" t="s">
        <v>1541</v>
      </c>
      <c r="C1330" s="74" t="s">
        <v>1889</v>
      </c>
      <c r="D1330" s="74" t="s">
        <v>994</v>
      </c>
      <c r="E1330" s="78" t="s">
        <v>138</v>
      </c>
      <c r="F1330" s="76" t="s">
        <v>289</v>
      </c>
      <c r="G1330" s="75" t="s">
        <v>1281</v>
      </c>
      <c r="H1330" s="70"/>
      <c r="P1330" s="70">
        <f t="shared" si="20"/>
        <v>0</v>
      </c>
      <c r="Q1330" s="70" cm="1">
        <f t="array" ref="Q1330">IF(P1330=1,IF(SUMPRODUCT(($P$2:P1330)*(--($G$2:G1330=$G1330)))=1,1,0),0)</f>
        <v>0</v>
      </c>
      <c r="R1330" s="70" t="str">
        <f>IF(Q1330=1,SUM($Q$2:Q1330),"")</f>
        <v/>
      </c>
    </row>
    <row r="1331" spans="1:18" ht="16" x14ac:dyDescent="0.2">
      <c r="A1331" s="73" t="s">
        <v>285</v>
      </c>
      <c r="B1331" s="77" t="s">
        <v>1541</v>
      </c>
      <c r="C1331" s="74" t="s">
        <v>1889</v>
      </c>
      <c r="D1331" s="74" t="s">
        <v>994</v>
      </c>
      <c r="E1331" s="78" t="s">
        <v>97</v>
      </c>
      <c r="F1331" s="76" t="s">
        <v>1595</v>
      </c>
      <c r="G1331" s="75" t="s">
        <v>1281</v>
      </c>
      <c r="H1331" s="70"/>
      <c r="P1331" s="70">
        <f t="shared" si="20"/>
        <v>0</v>
      </c>
      <c r="Q1331" s="70" cm="1">
        <f t="array" ref="Q1331">IF(P1331=1,IF(SUMPRODUCT(($P$2:P1331)*(--($G$2:G1331=$G1331)))=1,1,0),0)</f>
        <v>0</v>
      </c>
      <c r="R1331" s="70" t="str">
        <f>IF(Q1331=1,SUM($Q$2:Q1331),"")</f>
        <v/>
      </c>
    </row>
    <row r="1332" spans="1:18" ht="16" x14ac:dyDescent="0.2">
      <c r="A1332" s="73" t="s">
        <v>285</v>
      </c>
      <c r="B1332" s="77" t="s">
        <v>1541</v>
      </c>
      <c r="C1332" s="74" t="s">
        <v>1889</v>
      </c>
      <c r="D1332" s="74" t="s">
        <v>994</v>
      </c>
      <c r="E1332" s="78" t="s">
        <v>113</v>
      </c>
      <c r="F1332" s="76" t="s">
        <v>1595</v>
      </c>
      <c r="G1332" s="75" t="s">
        <v>1281</v>
      </c>
      <c r="H1332" s="70"/>
      <c r="P1332" s="70">
        <f t="shared" si="20"/>
        <v>0</v>
      </c>
      <c r="Q1332" s="70" cm="1">
        <f t="array" ref="Q1332">IF(P1332=1,IF(SUMPRODUCT(($P$2:P1332)*(--($G$2:G1332=$G1332)))=1,1,0),0)</f>
        <v>0</v>
      </c>
      <c r="R1332" s="70" t="str">
        <f>IF(Q1332=1,SUM($Q$2:Q1332),"")</f>
        <v/>
      </c>
    </row>
    <row r="1333" spans="1:18" ht="16" x14ac:dyDescent="0.2">
      <c r="A1333" s="73" t="s">
        <v>285</v>
      </c>
      <c r="B1333" s="77" t="s">
        <v>1541</v>
      </c>
      <c r="C1333" s="74" t="s">
        <v>1889</v>
      </c>
      <c r="D1333" s="74" t="s">
        <v>994</v>
      </c>
      <c r="E1333" s="78" t="s">
        <v>138</v>
      </c>
      <c r="F1333" s="76" t="s">
        <v>1595</v>
      </c>
      <c r="G1333" s="75" t="s">
        <v>1281</v>
      </c>
      <c r="H1333" s="70"/>
      <c r="P1333" s="70">
        <f t="shared" si="20"/>
        <v>0</v>
      </c>
      <c r="Q1333" s="70" cm="1">
        <f t="array" ref="Q1333">IF(P1333=1,IF(SUMPRODUCT(($P$2:P1333)*(--($G$2:G1333=$G1333)))=1,1,0),0)</f>
        <v>0</v>
      </c>
      <c r="R1333" s="70" t="str">
        <f>IF(Q1333=1,SUM($Q$2:Q1333),"")</f>
        <v/>
      </c>
    </row>
    <row r="1334" spans="1:18" ht="16" x14ac:dyDescent="0.2">
      <c r="A1334" s="73" t="s">
        <v>285</v>
      </c>
      <c r="B1334" s="77" t="s">
        <v>1541</v>
      </c>
      <c r="C1334" s="74" t="s">
        <v>1889</v>
      </c>
      <c r="D1334" s="74" t="s">
        <v>994</v>
      </c>
      <c r="E1334" s="78" t="s">
        <v>97</v>
      </c>
      <c r="F1334" s="76" t="s">
        <v>1593</v>
      </c>
      <c r="G1334" s="75" t="s">
        <v>1281</v>
      </c>
      <c r="H1334" s="70"/>
      <c r="P1334" s="70">
        <f t="shared" si="20"/>
        <v>0</v>
      </c>
      <c r="Q1334" s="70" cm="1">
        <f t="array" ref="Q1334">IF(P1334=1,IF(SUMPRODUCT(($P$2:P1334)*(--($G$2:G1334=$G1334)))=1,1,0),0)</f>
        <v>0</v>
      </c>
      <c r="R1334" s="70" t="str">
        <f>IF(Q1334=1,SUM($Q$2:Q1334),"")</f>
        <v/>
      </c>
    </row>
    <row r="1335" spans="1:18" ht="16" x14ac:dyDescent="0.2">
      <c r="A1335" s="73" t="s">
        <v>285</v>
      </c>
      <c r="B1335" s="77" t="s">
        <v>1541</v>
      </c>
      <c r="C1335" s="74" t="s">
        <v>1889</v>
      </c>
      <c r="D1335" s="74" t="s">
        <v>994</v>
      </c>
      <c r="E1335" s="78" t="s">
        <v>113</v>
      </c>
      <c r="F1335" s="76" t="s">
        <v>1593</v>
      </c>
      <c r="G1335" s="75" t="s">
        <v>1281</v>
      </c>
      <c r="H1335" s="70"/>
      <c r="P1335" s="70">
        <f t="shared" si="20"/>
        <v>0</v>
      </c>
      <c r="Q1335" s="70" cm="1">
        <f t="array" ref="Q1335">IF(P1335=1,IF(SUMPRODUCT(($P$2:P1335)*(--($G$2:G1335=$G1335)))=1,1,0),0)</f>
        <v>0</v>
      </c>
      <c r="R1335" s="70" t="str">
        <f>IF(Q1335=1,SUM($Q$2:Q1335),"")</f>
        <v/>
      </c>
    </row>
    <row r="1336" spans="1:18" ht="16" x14ac:dyDescent="0.2">
      <c r="A1336" s="73" t="s">
        <v>285</v>
      </c>
      <c r="B1336" s="77" t="s">
        <v>1541</v>
      </c>
      <c r="C1336" s="74" t="s">
        <v>1889</v>
      </c>
      <c r="D1336" s="74" t="s">
        <v>994</v>
      </c>
      <c r="E1336" s="78" t="s">
        <v>138</v>
      </c>
      <c r="F1336" s="76" t="s">
        <v>1593</v>
      </c>
      <c r="G1336" s="75" t="s">
        <v>1281</v>
      </c>
      <c r="H1336" s="70"/>
      <c r="P1336" s="70">
        <f t="shared" si="20"/>
        <v>0</v>
      </c>
      <c r="Q1336" s="70" cm="1">
        <f t="array" ref="Q1336">IF(P1336=1,IF(SUMPRODUCT(($P$2:P1336)*(--($G$2:G1336=$G1336)))=1,1,0),0)</f>
        <v>0</v>
      </c>
      <c r="R1336" s="70" t="str">
        <f>IF(Q1336=1,SUM($Q$2:Q1336),"")</f>
        <v/>
      </c>
    </row>
    <row r="1337" spans="1:18" ht="16" x14ac:dyDescent="0.2">
      <c r="A1337" s="73" t="s">
        <v>285</v>
      </c>
      <c r="B1337" s="77" t="s">
        <v>1541</v>
      </c>
      <c r="C1337" s="74" t="s">
        <v>1889</v>
      </c>
      <c r="D1337" s="74" t="s">
        <v>994</v>
      </c>
      <c r="E1337" s="78" t="s">
        <v>97</v>
      </c>
      <c r="F1337" s="76" t="s">
        <v>1594</v>
      </c>
      <c r="G1337" s="75" t="s">
        <v>1281</v>
      </c>
      <c r="H1337" s="70"/>
      <c r="P1337" s="70">
        <f t="shared" si="20"/>
        <v>0</v>
      </c>
      <c r="Q1337" s="70" cm="1">
        <f t="array" ref="Q1337">IF(P1337=1,IF(SUMPRODUCT(($P$2:P1337)*(--($G$2:G1337=$G1337)))=1,1,0),0)</f>
        <v>0</v>
      </c>
      <c r="R1337" s="70" t="str">
        <f>IF(Q1337=1,SUM($Q$2:Q1337),"")</f>
        <v/>
      </c>
    </row>
    <row r="1338" spans="1:18" ht="16" x14ac:dyDescent="0.2">
      <c r="A1338" s="73" t="s">
        <v>285</v>
      </c>
      <c r="B1338" s="77" t="s">
        <v>1541</v>
      </c>
      <c r="C1338" s="74" t="s">
        <v>1889</v>
      </c>
      <c r="D1338" s="74" t="s">
        <v>994</v>
      </c>
      <c r="E1338" s="78" t="s">
        <v>113</v>
      </c>
      <c r="F1338" s="76" t="s">
        <v>1594</v>
      </c>
      <c r="G1338" s="75" t="s">
        <v>1281</v>
      </c>
      <c r="H1338" s="70"/>
      <c r="P1338" s="70">
        <f t="shared" si="20"/>
        <v>0</v>
      </c>
      <c r="Q1338" s="70" cm="1">
        <f t="array" ref="Q1338">IF(P1338=1,IF(SUMPRODUCT(($P$2:P1338)*(--($G$2:G1338=$G1338)))=1,1,0),0)</f>
        <v>0</v>
      </c>
      <c r="R1338" s="70" t="str">
        <f>IF(Q1338=1,SUM($Q$2:Q1338),"")</f>
        <v/>
      </c>
    </row>
    <row r="1339" spans="1:18" ht="16" x14ac:dyDescent="0.2">
      <c r="A1339" s="73" t="s">
        <v>285</v>
      </c>
      <c r="B1339" s="77" t="s">
        <v>1541</v>
      </c>
      <c r="C1339" s="74" t="s">
        <v>1889</v>
      </c>
      <c r="D1339" s="74" t="s">
        <v>994</v>
      </c>
      <c r="E1339" s="78" t="s">
        <v>138</v>
      </c>
      <c r="F1339" s="76" t="s">
        <v>1594</v>
      </c>
      <c r="G1339" s="75" t="s">
        <v>1281</v>
      </c>
      <c r="H1339" s="70"/>
      <c r="P1339" s="70">
        <f t="shared" si="20"/>
        <v>0</v>
      </c>
      <c r="Q1339" s="70" cm="1">
        <f t="array" ref="Q1339">IF(P1339=1,IF(SUMPRODUCT(($P$2:P1339)*(--($G$2:G1339=$G1339)))=1,1,0),0)</f>
        <v>0</v>
      </c>
      <c r="R1339" s="70" t="str">
        <f>IF(Q1339=1,SUM($Q$2:Q1339),"")</f>
        <v/>
      </c>
    </row>
    <row r="1340" spans="1:18" ht="16" x14ac:dyDescent="0.2">
      <c r="A1340" s="73" t="s">
        <v>285</v>
      </c>
      <c r="B1340" s="77" t="s">
        <v>1541</v>
      </c>
      <c r="C1340" s="74" t="s">
        <v>1889</v>
      </c>
      <c r="D1340" s="74" t="s">
        <v>994</v>
      </c>
      <c r="E1340" s="78" t="s">
        <v>97</v>
      </c>
      <c r="F1340" s="76" t="s">
        <v>1596</v>
      </c>
      <c r="G1340" s="75" t="s">
        <v>1279</v>
      </c>
      <c r="H1340" s="70"/>
      <c r="P1340" s="70">
        <f t="shared" si="20"/>
        <v>0</v>
      </c>
      <c r="Q1340" s="70" cm="1">
        <f t="array" ref="Q1340">IF(P1340=1,IF(SUMPRODUCT(($P$2:P1340)*(--($G$2:G1340=$G1340)))=1,1,0),0)</f>
        <v>0</v>
      </c>
      <c r="R1340" s="70" t="str">
        <f>IF(Q1340=1,SUM($Q$2:Q1340),"")</f>
        <v/>
      </c>
    </row>
    <row r="1341" spans="1:18" ht="16" x14ac:dyDescent="0.2">
      <c r="A1341" s="73" t="s">
        <v>285</v>
      </c>
      <c r="B1341" s="77" t="s">
        <v>1541</v>
      </c>
      <c r="C1341" s="74" t="s">
        <v>1889</v>
      </c>
      <c r="D1341" s="74" t="s">
        <v>994</v>
      </c>
      <c r="E1341" s="78" t="s">
        <v>113</v>
      </c>
      <c r="F1341" s="76" t="s">
        <v>1596</v>
      </c>
      <c r="G1341" s="75" t="s">
        <v>1279</v>
      </c>
      <c r="H1341" s="70"/>
      <c r="P1341" s="70">
        <f t="shared" si="20"/>
        <v>0</v>
      </c>
      <c r="Q1341" s="70" cm="1">
        <f t="array" ref="Q1341">IF(P1341=1,IF(SUMPRODUCT(($P$2:P1341)*(--($G$2:G1341=$G1341)))=1,1,0),0)</f>
        <v>0</v>
      </c>
      <c r="R1341" s="70" t="str">
        <f>IF(Q1341=1,SUM($Q$2:Q1341),"")</f>
        <v/>
      </c>
    </row>
    <row r="1342" spans="1:18" ht="16" x14ac:dyDescent="0.2">
      <c r="A1342" s="73" t="s">
        <v>285</v>
      </c>
      <c r="B1342" s="77" t="s">
        <v>1541</v>
      </c>
      <c r="C1342" s="74" t="s">
        <v>1889</v>
      </c>
      <c r="D1342" s="74" t="s">
        <v>994</v>
      </c>
      <c r="E1342" s="78" t="s">
        <v>138</v>
      </c>
      <c r="F1342" s="76" t="s">
        <v>1596</v>
      </c>
      <c r="G1342" s="75" t="s">
        <v>1279</v>
      </c>
      <c r="H1342" s="70"/>
      <c r="P1342" s="70">
        <f t="shared" si="20"/>
        <v>0</v>
      </c>
      <c r="Q1342" s="70" cm="1">
        <f t="array" ref="Q1342">IF(P1342=1,IF(SUMPRODUCT(($P$2:P1342)*(--($G$2:G1342=$G1342)))=1,1,0),0)</f>
        <v>0</v>
      </c>
      <c r="R1342" s="70" t="str">
        <f>IF(Q1342=1,SUM($Q$2:Q1342),"")</f>
        <v/>
      </c>
    </row>
    <row r="1343" spans="1:18" ht="16" x14ac:dyDescent="0.2">
      <c r="A1343" s="73" t="s">
        <v>285</v>
      </c>
      <c r="B1343" s="77" t="s">
        <v>1541</v>
      </c>
      <c r="C1343" s="74" t="s">
        <v>1889</v>
      </c>
      <c r="D1343" s="74" t="s">
        <v>994</v>
      </c>
      <c r="E1343" s="78" t="s">
        <v>97</v>
      </c>
      <c r="F1343" s="76" t="s">
        <v>1730</v>
      </c>
      <c r="G1343" s="75" t="s">
        <v>1279</v>
      </c>
      <c r="H1343" s="70"/>
      <c r="P1343" s="70">
        <f t="shared" si="20"/>
        <v>0</v>
      </c>
      <c r="Q1343" s="70" cm="1">
        <f t="array" ref="Q1343">IF(P1343=1,IF(SUMPRODUCT(($P$2:P1343)*(--($G$2:G1343=$G1343)))=1,1,0),0)</f>
        <v>0</v>
      </c>
      <c r="R1343" s="70" t="str">
        <f>IF(Q1343=1,SUM($Q$2:Q1343),"")</f>
        <v/>
      </c>
    </row>
    <row r="1344" spans="1:18" ht="16" x14ac:dyDescent="0.2">
      <c r="A1344" s="73" t="s">
        <v>285</v>
      </c>
      <c r="B1344" s="77" t="s">
        <v>1541</v>
      </c>
      <c r="C1344" s="74" t="s">
        <v>1889</v>
      </c>
      <c r="D1344" s="74" t="s">
        <v>994</v>
      </c>
      <c r="E1344" s="78" t="s">
        <v>113</v>
      </c>
      <c r="F1344" s="76" t="s">
        <v>1730</v>
      </c>
      <c r="G1344" s="75" t="s">
        <v>1279</v>
      </c>
      <c r="H1344" s="70"/>
      <c r="P1344" s="70">
        <f t="shared" si="20"/>
        <v>0</v>
      </c>
      <c r="Q1344" s="70" cm="1">
        <f t="array" ref="Q1344">IF(P1344=1,IF(SUMPRODUCT(($P$2:P1344)*(--($G$2:G1344=$G1344)))=1,1,0),0)</f>
        <v>0</v>
      </c>
      <c r="R1344" s="70" t="str">
        <f>IF(Q1344=1,SUM($Q$2:Q1344),"")</f>
        <v/>
      </c>
    </row>
    <row r="1345" spans="1:18" ht="16" x14ac:dyDescent="0.2">
      <c r="A1345" s="73" t="s">
        <v>285</v>
      </c>
      <c r="B1345" s="77" t="s">
        <v>1541</v>
      </c>
      <c r="C1345" s="74" t="s">
        <v>1889</v>
      </c>
      <c r="D1345" s="74" t="s">
        <v>994</v>
      </c>
      <c r="E1345" s="78" t="s">
        <v>138</v>
      </c>
      <c r="F1345" s="76" t="s">
        <v>1730</v>
      </c>
      <c r="G1345" s="75" t="s">
        <v>1279</v>
      </c>
      <c r="H1345" s="70"/>
      <c r="P1345" s="70">
        <f t="shared" si="20"/>
        <v>0</v>
      </c>
      <c r="Q1345" s="70" cm="1">
        <f t="array" ref="Q1345">IF(P1345=1,IF(SUMPRODUCT(($P$2:P1345)*(--($G$2:G1345=$G1345)))=1,1,0),0)</f>
        <v>0</v>
      </c>
      <c r="R1345" s="70" t="str">
        <f>IF(Q1345=1,SUM($Q$2:Q1345),"")</f>
        <v/>
      </c>
    </row>
    <row r="1346" spans="1:18" ht="16" x14ac:dyDescent="0.2">
      <c r="A1346" s="73" t="s">
        <v>285</v>
      </c>
      <c r="B1346" s="77" t="s">
        <v>1541</v>
      </c>
      <c r="C1346" s="74" t="s">
        <v>1889</v>
      </c>
      <c r="D1346" s="74" t="s">
        <v>994</v>
      </c>
      <c r="E1346" s="78" t="s">
        <v>97</v>
      </c>
      <c r="F1346" s="76" t="s">
        <v>1673</v>
      </c>
      <c r="G1346" s="75" t="s">
        <v>1279</v>
      </c>
      <c r="H1346" s="70"/>
      <c r="P1346" s="70">
        <f t="shared" si="20"/>
        <v>0</v>
      </c>
      <c r="Q1346" s="70" cm="1">
        <f t="array" ref="Q1346">IF(P1346=1,IF(SUMPRODUCT(($P$2:P1346)*(--($G$2:G1346=$G1346)))=1,1,0),0)</f>
        <v>0</v>
      </c>
      <c r="R1346" s="70" t="str">
        <f>IF(Q1346=1,SUM($Q$2:Q1346),"")</f>
        <v/>
      </c>
    </row>
    <row r="1347" spans="1:18" ht="16" x14ac:dyDescent="0.2">
      <c r="A1347" s="73" t="s">
        <v>285</v>
      </c>
      <c r="B1347" s="77" t="s">
        <v>1541</v>
      </c>
      <c r="C1347" s="74" t="s">
        <v>1889</v>
      </c>
      <c r="D1347" s="74" t="s">
        <v>994</v>
      </c>
      <c r="E1347" s="78" t="s">
        <v>113</v>
      </c>
      <c r="F1347" s="76" t="s">
        <v>1673</v>
      </c>
      <c r="G1347" s="75" t="s">
        <v>1279</v>
      </c>
      <c r="H1347" s="70"/>
      <c r="P1347" s="70">
        <f t="shared" ref="P1347:P1410" si="21">IF(AND(IF(TRIM($J$2&amp;"")="",TRUE,LEFT($D1347,LEN($J$2))=$J$2),IF(TRIM($K$2&amp;"")="",TRUE,$E1347=$K$2),IF($L$2="",TRUE,$F1347=$L$2)),1,0)</f>
        <v>0</v>
      </c>
      <c r="Q1347" s="70" cm="1">
        <f t="array" ref="Q1347">IF(P1347=1,IF(SUMPRODUCT(($P$2:P1347)*(--($G$2:G1347=$G1347)))=1,1,0),0)</f>
        <v>0</v>
      </c>
      <c r="R1347" s="70" t="str">
        <f>IF(Q1347=1,SUM($Q$2:Q1347),"")</f>
        <v/>
      </c>
    </row>
    <row r="1348" spans="1:18" ht="16" x14ac:dyDescent="0.2">
      <c r="A1348" s="73" t="s">
        <v>285</v>
      </c>
      <c r="B1348" s="77" t="s">
        <v>1541</v>
      </c>
      <c r="C1348" s="74" t="s">
        <v>1889</v>
      </c>
      <c r="D1348" s="74" t="s">
        <v>994</v>
      </c>
      <c r="E1348" s="78" t="s">
        <v>138</v>
      </c>
      <c r="F1348" s="76" t="s">
        <v>1673</v>
      </c>
      <c r="G1348" s="75" t="s">
        <v>1279</v>
      </c>
      <c r="H1348" s="70"/>
      <c r="P1348" s="70">
        <f t="shared" si="21"/>
        <v>0</v>
      </c>
      <c r="Q1348" s="70" cm="1">
        <f t="array" ref="Q1348">IF(P1348=1,IF(SUMPRODUCT(($P$2:P1348)*(--($G$2:G1348=$G1348)))=1,1,0),0)</f>
        <v>0</v>
      </c>
      <c r="R1348" s="70" t="str">
        <f>IF(Q1348=1,SUM($Q$2:Q1348),"")</f>
        <v/>
      </c>
    </row>
    <row r="1349" spans="1:18" ht="16" x14ac:dyDescent="0.2">
      <c r="A1349" s="73" t="s">
        <v>285</v>
      </c>
      <c r="B1349" s="77" t="s">
        <v>1541</v>
      </c>
      <c r="C1349" s="74" t="s">
        <v>1889</v>
      </c>
      <c r="D1349" s="74" t="s">
        <v>994</v>
      </c>
      <c r="E1349" s="78" t="s">
        <v>97</v>
      </c>
      <c r="F1349" s="76" t="s">
        <v>1597</v>
      </c>
      <c r="G1349" s="75" t="s">
        <v>1279</v>
      </c>
      <c r="H1349" s="70"/>
      <c r="P1349" s="70">
        <f t="shared" si="21"/>
        <v>0</v>
      </c>
      <c r="Q1349" s="70" cm="1">
        <f t="array" ref="Q1349">IF(P1349=1,IF(SUMPRODUCT(($P$2:P1349)*(--($G$2:G1349=$G1349)))=1,1,0),0)</f>
        <v>0</v>
      </c>
      <c r="R1349" s="70" t="str">
        <f>IF(Q1349=1,SUM($Q$2:Q1349),"")</f>
        <v/>
      </c>
    </row>
    <row r="1350" spans="1:18" ht="16" x14ac:dyDescent="0.2">
      <c r="A1350" s="73" t="s">
        <v>285</v>
      </c>
      <c r="B1350" s="77" t="s">
        <v>1541</v>
      </c>
      <c r="C1350" s="74" t="s">
        <v>1889</v>
      </c>
      <c r="D1350" s="74" t="s">
        <v>994</v>
      </c>
      <c r="E1350" s="78" t="s">
        <v>113</v>
      </c>
      <c r="F1350" s="76" t="s">
        <v>1597</v>
      </c>
      <c r="G1350" s="75" t="s">
        <v>1279</v>
      </c>
      <c r="H1350" s="70"/>
      <c r="P1350" s="70">
        <f t="shared" si="21"/>
        <v>0</v>
      </c>
      <c r="Q1350" s="70" cm="1">
        <f t="array" ref="Q1350">IF(P1350=1,IF(SUMPRODUCT(($P$2:P1350)*(--($G$2:G1350=$G1350)))=1,1,0),0)</f>
        <v>0</v>
      </c>
      <c r="R1350" s="70" t="str">
        <f>IF(Q1350=1,SUM($Q$2:Q1350),"")</f>
        <v/>
      </c>
    </row>
    <row r="1351" spans="1:18" ht="16" x14ac:dyDescent="0.2">
      <c r="A1351" s="73" t="s">
        <v>285</v>
      </c>
      <c r="B1351" s="77" t="s">
        <v>1541</v>
      </c>
      <c r="C1351" s="74" t="s">
        <v>1889</v>
      </c>
      <c r="D1351" s="74" t="s">
        <v>994</v>
      </c>
      <c r="E1351" s="78" t="s">
        <v>138</v>
      </c>
      <c r="F1351" s="76" t="s">
        <v>1597</v>
      </c>
      <c r="G1351" s="75" t="s">
        <v>1279</v>
      </c>
      <c r="H1351" s="70"/>
      <c r="P1351" s="70">
        <f t="shared" si="21"/>
        <v>0</v>
      </c>
      <c r="Q1351" s="70" cm="1">
        <f t="array" ref="Q1351">IF(P1351=1,IF(SUMPRODUCT(($P$2:P1351)*(--($G$2:G1351=$G1351)))=1,1,0),0)</f>
        <v>0</v>
      </c>
      <c r="R1351" s="70" t="str">
        <f>IF(Q1351=1,SUM($Q$2:Q1351),"")</f>
        <v/>
      </c>
    </row>
    <row r="1352" spans="1:18" ht="16" x14ac:dyDescent="0.2">
      <c r="A1352" s="73" t="s">
        <v>285</v>
      </c>
      <c r="B1352" s="77" t="s">
        <v>1541</v>
      </c>
      <c r="C1352" s="74" t="s">
        <v>1889</v>
      </c>
      <c r="D1352" s="74" t="s">
        <v>994</v>
      </c>
      <c r="E1352" s="78" t="s">
        <v>97</v>
      </c>
      <c r="F1352" s="76" t="s">
        <v>1890</v>
      </c>
      <c r="G1352" s="75" t="s">
        <v>1279</v>
      </c>
      <c r="H1352" s="70"/>
      <c r="P1352" s="70">
        <f t="shared" si="21"/>
        <v>0</v>
      </c>
      <c r="Q1352" s="70" cm="1">
        <f t="array" ref="Q1352">IF(P1352=1,IF(SUMPRODUCT(($P$2:P1352)*(--($G$2:G1352=$G1352)))=1,1,0),0)</f>
        <v>0</v>
      </c>
      <c r="R1352" s="70" t="str">
        <f>IF(Q1352=1,SUM($Q$2:Q1352),"")</f>
        <v/>
      </c>
    </row>
    <row r="1353" spans="1:18" ht="16" x14ac:dyDescent="0.2">
      <c r="A1353" s="73" t="s">
        <v>285</v>
      </c>
      <c r="B1353" s="77" t="s">
        <v>1541</v>
      </c>
      <c r="C1353" s="74" t="s">
        <v>1889</v>
      </c>
      <c r="D1353" s="74" t="s">
        <v>994</v>
      </c>
      <c r="E1353" s="78" t="s">
        <v>113</v>
      </c>
      <c r="F1353" s="76" t="s">
        <v>1890</v>
      </c>
      <c r="G1353" s="75" t="s">
        <v>1279</v>
      </c>
      <c r="H1353" s="70"/>
      <c r="P1353" s="70">
        <f t="shared" si="21"/>
        <v>0</v>
      </c>
      <c r="Q1353" s="70" cm="1">
        <f t="array" ref="Q1353">IF(P1353=1,IF(SUMPRODUCT(($P$2:P1353)*(--($G$2:G1353=$G1353)))=1,1,0),0)</f>
        <v>0</v>
      </c>
      <c r="R1353" s="70" t="str">
        <f>IF(Q1353=1,SUM($Q$2:Q1353),"")</f>
        <v/>
      </c>
    </row>
    <row r="1354" spans="1:18" ht="16" x14ac:dyDescent="0.2">
      <c r="A1354" s="73" t="s">
        <v>285</v>
      </c>
      <c r="B1354" s="77" t="s">
        <v>1541</v>
      </c>
      <c r="C1354" s="74" t="s">
        <v>1889</v>
      </c>
      <c r="D1354" s="74" t="s">
        <v>994</v>
      </c>
      <c r="E1354" s="78" t="s">
        <v>138</v>
      </c>
      <c r="F1354" s="76" t="s">
        <v>1890</v>
      </c>
      <c r="G1354" s="75" t="s">
        <v>1279</v>
      </c>
      <c r="H1354" s="70"/>
      <c r="P1354" s="70">
        <f t="shared" si="21"/>
        <v>0</v>
      </c>
      <c r="Q1354" s="70" cm="1">
        <f t="array" ref="Q1354">IF(P1354=1,IF(SUMPRODUCT(($P$2:P1354)*(--($G$2:G1354=$G1354)))=1,1,0),0)</f>
        <v>0</v>
      </c>
      <c r="R1354" s="70" t="str">
        <f>IF(Q1354=1,SUM($Q$2:Q1354),"")</f>
        <v/>
      </c>
    </row>
    <row r="1355" spans="1:18" x14ac:dyDescent="0.2">
      <c r="A1355" s="73" t="s">
        <v>285</v>
      </c>
      <c r="B1355" s="77" t="s">
        <v>1541</v>
      </c>
      <c r="C1355" s="74" t="s">
        <v>1889</v>
      </c>
      <c r="D1355" s="74" t="s">
        <v>994</v>
      </c>
      <c r="E1355" s="78" t="s">
        <v>120</v>
      </c>
      <c r="F1355" s="76" t="s">
        <v>285</v>
      </c>
      <c r="G1355" s="76" t="s">
        <v>1282</v>
      </c>
      <c r="H1355" s="70"/>
      <c r="P1355" s="70">
        <f t="shared" si="21"/>
        <v>0</v>
      </c>
      <c r="Q1355" s="70" cm="1">
        <f t="array" ref="Q1355">IF(P1355=1,IF(SUMPRODUCT(($P$2:P1355)*(--($G$2:G1355=$G1355)))=1,1,0),0)</f>
        <v>0</v>
      </c>
      <c r="R1355" s="70" t="str">
        <f>IF(Q1355=1,SUM($Q$2:Q1355),"")</f>
        <v/>
      </c>
    </row>
    <row r="1356" spans="1:18" x14ac:dyDescent="0.2">
      <c r="A1356" s="73" t="s">
        <v>285</v>
      </c>
      <c r="B1356" s="77" t="s">
        <v>1541</v>
      </c>
      <c r="C1356" s="74" t="s">
        <v>1889</v>
      </c>
      <c r="D1356" s="74" t="s">
        <v>994</v>
      </c>
      <c r="E1356" s="78" t="s">
        <v>1002</v>
      </c>
      <c r="F1356" s="76" t="s">
        <v>285</v>
      </c>
      <c r="G1356" s="76" t="s">
        <v>1282</v>
      </c>
      <c r="H1356" s="70"/>
      <c r="P1356" s="70">
        <f t="shared" si="21"/>
        <v>0</v>
      </c>
      <c r="Q1356" s="70" cm="1">
        <f t="array" ref="Q1356">IF(P1356=1,IF(SUMPRODUCT(($P$2:P1356)*(--($G$2:G1356=$G1356)))=1,1,0),0)</f>
        <v>0</v>
      </c>
      <c r="R1356" s="70" t="str">
        <f>IF(Q1356=1,SUM($Q$2:Q1356),"")</f>
        <v/>
      </c>
    </row>
    <row r="1357" spans="1:18" x14ac:dyDescent="0.2">
      <c r="A1357" s="73" t="s">
        <v>285</v>
      </c>
      <c r="B1357" s="77" t="s">
        <v>1541</v>
      </c>
      <c r="C1357" s="74" t="s">
        <v>1889</v>
      </c>
      <c r="D1357" s="74" t="s">
        <v>994</v>
      </c>
      <c r="E1357" s="78" t="s">
        <v>120</v>
      </c>
      <c r="F1357" s="76" t="s">
        <v>289</v>
      </c>
      <c r="G1357" s="76" t="s">
        <v>1282</v>
      </c>
      <c r="H1357" s="70"/>
      <c r="P1357" s="70">
        <f t="shared" si="21"/>
        <v>0</v>
      </c>
      <c r="Q1357" s="70" cm="1">
        <f t="array" ref="Q1357">IF(P1357=1,IF(SUMPRODUCT(($P$2:P1357)*(--($G$2:G1357=$G1357)))=1,1,0),0)</f>
        <v>0</v>
      </c>
      <c r="R1357" s="70" t="str">
        <f>IF(Q1357=1,SUM($Q$2:Q1357),"")</f>
        <v/>
      </c>
    </row>
    <row r="1358" spans="1:18" x14ac:dyDescent="0.2">
      <c r="A1358" s="73" t="s">
        <v>285</v>
      </c>
      <c r="B1358" s="77" t="s">
        <v>1541</v>
      </c>
      <c r="C1358" s="74" t="s">
        <v>1889</v>
      </c>
      <c r="D1358" s="74" t="s">
        <v>994</v>
      </c>
      <c r="E1358" s="78" t="s">
        <v>1002</v>
      </c>
      <c r="F1358" s="76" t="s">
        <v>289</v>
      </c>
      <c r="G1358" s="76" t="s">
        <v>1282</v>
      </c>
      <c r="H1358" s="70"/>
      <c r="P1358" s="70">
        <f t="shared" si="21"/>
        <v>0</v>
      </c>
      <c r="Q1358" s="70" cm="1">
        <f t="array" ref="Q1358">IF(P1358=1,IF(SUMPRODUCT(($P$2:P1358)*(--($G$2:G1358=$G1358)))=1,1,0),0)</f>
        <v>0</v>
      </c>
      <c r="R1358" s="70" t="str">
        <f>IF(Q1358=1,SUM($Q$2:Q1358),"")</f>
        <v/>
      </c>
    </row>
    <row r="1359" spans="1:18" x14ac:dyDescent="0.2">
      <c r="A1359" s="73" t="s">
        <v>285</v>
      </c>
      <c r="B1359" s="77" t="s">
        <v>1541</v>
      </c>
      <c r="C1359" s="74" t="s">
        <v>1889</v>
      </c>
      <c r="D1359" s="74" t="s">
        <v>994</v>
      </c>
      <c r="E1359" s="78" t="s">
        <v>120</v>
      </c>
      <c r="F1359" s="76" t="s">
        <v>1595</v>
      </c>
      <c r="G1359" s="76" t="s">
        <v>1282</v>
      </c>
      <c r="H1359" s="70"/>
      <c r="P1359" s="70">
        <f t="shared" si="21"/>
        <v>0</v>
      </c>
      <c r="Q1359" s="70" cm="1">
        <f t="array" ref="Q1359">IF(P1359=1,IF(SUMPRODUCT(($P$2:P1359)*(--($G$2:G1359=$G1359)))=1,1,0),0)</f>
        <v>0</v>
      </c>
      <c r="R1359" s="70" t="str">
        <f>IF(Q1359=1,SUM($Q$2:Q1359),"")</f>
        <v/>
      </c>
    </row>
    <row r="1360" spans="1:18" x14ac:dyDescent="0.2">
      <c r="A1360" s="73" t="s">
        <v>285</v>
      </c>
      <c r="B1360" s="77" t="s">
        <v>1541</v>
      </c>
      <c r="C1360" s="74" t="s">
        <v>1889</v>
      </c>
      <c r="D1360" s="74" t="s">
        <v>994</v>
      </c>
      <c r="E1360" s="78" t="s">
        <v>1002</v>
      </c>
      <c r="F1360" s="76" t="s">
        <v>1595</v>
      </c>
      <c r="G1360" s="76" t="s">
        <v>1282</v>
      </c>
      <c r="H1360" s="70"/>
      <c r="P1360" s="70">
        <f t="shared" si="21"/>
        <v>0</v>
      </c>
      <c r="Q1360" s="70" cm="1">
        <f t="array" ref="Q1360">IF(P1360=1,IF(SUMPRODUCT(($P$2:P1360)*(--($G$2:G1360=$G1360)))=1,1,0),0)</f>
        <v>0</v>
      </c>
      <c r="R1360" s="70" t="str">
        <f>IF(Q1360=1,SUM($Q$2:Q1360),"")</f>
        <v/>
      </c>
    </row>
    <row r="1361" spans="1:18" x14ac:dyDescent="0.2">
      <c r="A1361" s="73" t="s">
        <v>285</v>
      </c>
      <c r="B1361" s="77" t="s">
        <v>1541</v>
      </c>
      <c r="C1361" s="74" t="s">
        <v>1889</v>
      </c>
      <c r="D1361" s="74" t="s">
        <v>994</v>
      </c>
      <c r="E1361" s="78" t="s">
        <v>120</v>
      </c>
      <c r="F1361" s="76" t="s">
        <v>1593</v>
      </c>
      <c r="G1361" s="76" t="s">
        <v>1282</v>
      </c>
      <c r="H1361" s="70"/>
      <c r="P1361" s="70">
        <f t="shared" si="21"/>
        <v>0</v>
      </c>
      <c r="Q1361" s="70" cm="1">
        <f t="array" ref="Q1361">IF(P1361=1,IF(SUMPRODUCT(($P$2:P1361)*(--($G$2:G1361=$G1361)))=1,1,0),0)</f>
        <v>0</v>
      </c>
      <c r="R1361" s="70" t="str">
        <f>IF(Q1361=1,SUM($Q$2:Q1361),"")</f>
        <v/>
      </c>
    </row>
    <row r="1362" spans="1:18" x14ac:dyDescent="0.2">
      <c r="A1362" s="73" t="s">
        <v>285</v>
      </c>
      <c r="B1362" s="77" t="s">
        <v>1541</v>
      </c>
      <c r="C1362" s="74" t="s">
        <v>1889</v>
      </c>
      <c r="D1362" s="74" t="s">
        <v>994</v>
      </c>
      <c r="E1362" s="78" t="s">
        <v>1002</v>
      </c>
      <c r="F1362" s="76" t="s">
        <v>1593</v>
      </c>
      <c r="G1362" s="76" t="s">
        <v>1282</v>
      </c>
      <c r="H1362" s="70"/>
      <c r="P1362" s="70">
        <f t="shared" si="21"/>
        <v>0</v>
      </c>
      <c r="Q1362" s="70" cm="1">
        <f t="array" ref="Q1362">IF(P1362=1,IF(SUMPRODUCT(($P$2:P1362)*(--($G$2:G1362=$G1362)))=1,1,0),0)</f>
        <v>0</v>
      </c>
      <c r="R1362" s="70" t="str">
        <f>IF(Q1362=1,SUM($Q$2:Q1362),"")</f>
        <v/>
      </c>
    </row>
    <row r="1363" spans="1:18" x14ac:dyDescent="0.2">
      <c r="A1363" s="73" t="s">
        <v>285</v>
      </c>
      <c r="B1363" s="77" t="s">
        <v>1541</v>
      </c>
      <c r="C1363" s="74" t="s">
        <v>1889</v>
      </c>
      <c r="D1363" s="74" t="s">
        <v>994</v>
      </c>
      <c r="E1363" s="78" t="s">
        <v>120</v>
      </c>
      <c r="F1363" s="76" t="s">
        <v>1594</v>
      </c>
      <c r="G1363" s="76" t="s">
        <v>1282</v>
      </c>
      <c r="H1363" s="70"/>
      <c r="P1363" s="70">
        <f t="shared" si="21"/>
        <v>0</v>
      </c>
      <c r="Q1363" s="70" cm="1">
        <f t="array" ref="Q1363">IF(P1363=1,IF(SUMPRODUCT(($P$2:P1363)*(--($G$2:G1363=$G1363)))=1,1,0),0)</f>
        <v>0</v>
      </c>
      <c r="R1363" s="70" t="str">
        <f>IF(Q1363=1,SUM($Q$2:Q1363),"")</f>
        <v/>
      </c>
    </row>
    <row r="1364" spans="1:18" x14ac:dyDescent="0.2">
      <c r="A1364" s="73" t="s">
        <v>285</v>
      </c>
      <c r="B1364" s="77" t="s">
        <v>1541</v>
      </c>
      <c r="C1364" s="74" t="s">
        <v>1889</v>
      </c>
      <c r="D1364" s="74" t="s">
        <v>994</v>
      </c>
      <c r="E1364" s="78" t="s">
        <v>1002</v>
      </c>
      <c r="F1364" s="76" t="s">
        <v>1594</v>
      </c>
      <c r="G1364" s="76" t="s">
        <v>1282</v>
      </c>
      <c r="H1364" s="70"/>
      <c r="P1364" s="70">
        <f t="shared" si="21"/>
        <v>0</v>
      </c>
      <c r="Q1364" s="70" cm="1">
        <f t="array" ref="Q1364">IF(P1364=1,IF(SUMPRODUCT(($P$2:P1364)*(--($G$2:G1364=$G1364)))=1,1,0),0)</f>
        <v>0</v>
      </c>
      <c r="R1364" s="70" t="str">
        <f>IF(Q1364=1,SUM($Q$2:Q1364),"")</f>
        <v/>
      </c>
    </row>
    <row r="1365" spans="1:18" x14ac:dyDescent="0.2">
      <c r="A1365" s="73" t="s">
        <v>285</v>
      </c>
      <c r="B1365" s="77" t="s">
        <v>1541</v>
      </c>
      <c r="C1365" s="74" t="s">
        <v>1889</v>
      </c>
      <c r="D1365" s="74" t="s">
        <v>994</v>
      </c>
      <c r="E1365" s="78" t="s">
        <v>120</v>
      </c>
      <c r="F1365" s="76" t="s">
        <v>1596</v>
      </c>
      <c r="G1365" s="76" t="s">
        <v>1280</v>
      </c>
      <c r="H1365" s="70"/>
      <c r="P1365" s="70">
        <f t="shared" si="21"/>
        <v>0</v>
      </c>
      <c r="Q1365" s="70" cm="1">
        <f t="array" ref="Q1365">IF(P1365=1,IF(SUMPRODUCT(($P$2:P1365)*(--($G$2:G1365=$G1365)))=1,1,0),0)</f>
        <v>0</v>
      </c>
      <c r="R1365" s="70" t="str">
        <f>IF(Q1365=1,SUM($Q$2:Q1365),"")</f>
        <v/>
      </c>
    </row>
    <row r="1366" spans="1:18" x14ac:dyDescent="0.2">
      <c r="A1366" s="73" t="s">
        <v>285</v>
      </c>
      <c r="B1366" s="77" t="s">
        <v>1541</v>
      </c>
      <c r="C1366" s="74" t="s">
        <v>1889</v>
      </c>
      <c r="D1366" s="74" t="s">
        <v>994</v>
      </c>
      <c r="E1366" s="78" t="s">
        <v>1002</v>
      </c>
      <c r="F1366" s="76" t="s">
        <v>1596</v>
      </c>
      <c r="G1366" s="76" t="s">
        <v>1280</v>
      </c>
      <c r="H1366" s="70"/>
      <c r="P1366" s="70">
        <f t="shared" si="21"/>
        <v>0</v>
      </c>
      <c r="Q1366" s="70" cm="1">
        <f t="array" ref="Q1366">IF(P1366=1,IF(SUMPRODUCT(($P$2:P1366)*(--($G$2:G1366=$G1366)))=1,1,0),0)</f>
        <v>0</v>
      </c>
      <c r="R1366" s="70" t="str">
        <f>IF(Q1366=1,SUM($Q$2:Q1366),"")</f>
        <v/>
      </c>
    </row>
    <row r="1367" spans="1:18" x14ac:dyDescent="0.2">
      <c r="A1367" s="73" t="s">
        <v>285</v>
      </c>
      <c r="B1367" s="77" t="s">
        <v>1541</v>
      </c>
      <c r="C1367" s="74" t="s">
        <v>1889</v>
      </c>
      <c r="D1367" s="74" t="s">
        <v>994</v>
      </c>
      <c r="E1367" s="78" t="s">
        <v>120</v>
      </c>
      <c r="F1367" s="76" t="s">
        <v>1730</v>
      </c>
      <c r="G1367" s="76" t="s">
        <v>1280</v>
      </c>
      <c r="H1367" s="70"/>
      <c r="P1367" s="70">
        <f t="shared" si="21"/>
        <v>0</v>
      </c>
      <c r="Q1367" s="70" cm="1">
        <f t="array" ref="Q1367">IF(P1367=1,IF(SUMPRODUCT(($P$2:P1367)*(--($G$2:G1367=$G1367)))=1,1,0),0)</f>
        <v>0</v>
      </c>
      <c r="R1367" s="70" t="str">
        <f>IF(Q1367=1,SUM($Q$2:Q1367),"")</f>
        <v/>
      </c>
    </row>
    <row r="1368" spans="1:18" x14ac:dyDescent="0.2">
      <c r="A1368" s="73" t="s">
        <v>285</v>
      </c>
      <c r="B1368" s="77" t="s">
        <v>1541</v>
      </c>
      <c r="C1368" s="74" t="s">
        <v>1889</v>
      </c>
      <c r="D1368" s="74" t="s">
        <v>994</v>
      </c>
      <c r="E1368" s="78" t="s">
        <v>1002</v>
      </c>
      <c r="F1368" s="76" t="s">
        <v>1730</v>
      </c>
      <c r="G1368" s="76" t="s">
        <v>1280</v>
      </c>
      <c r="H1368" s="70"/>
      <c r="P1368" s="70">
        <f t="shared" si="21"/>
        <v>0</v>
      </c>
      <c r="Q1368" s="70" cm="1">
        <f t="array" ref="Q1368">IF(P1368=1,IF(SUMPRODUCT(($P$2:P1368)*(--($G$2:G1368=$G1368)))=1,1,0),0)</f>
        <v>0</v>
      </c>
      <c r="R1368" s="70" t="str">
        <f>IF(Q1368=1,SUM($Q$2:Q1368),"")</f>
        <v/>
      </c>
    </row>
    <row r="1369" spans="1:18" x14ac:dyDescent="0.2">
      <c r="A1369" s="73" t="s">
        <v>285</v>
      </c>
      <c r="B1369" s="77" t="s">
        <v>1541</v>
      </c>
      <c r="C1369" s="74" t="s">
        <v>1889</v>
      </c>
      <c r="D1369" s="74" t="s">
        <v>994</v>
      </c>
      <c r="E1369" s="78" t="s">
        <v>120</v>
      </c>
      <c r="F1369" s="76" t="s">
        <v>1673</v>
      </c>
      <c r="G1369" s="76" t="s">
        <v>1280</v>
      </c>
      <c r="H1369" s="70"/>
      <c r="P1369" s="70">
        <f t="shared" si="21"/>
        <v>0</v>
      </c>
      <c r="Q1369" s="70" cm="1">
        <f t="array" ref="Q1369">IF(P1369=1,IF(SUMPRODUCT(($P$2:P1369)*(--($G$2:G1369=$G1369)))=1,1,0),0)</f>
        <v>0</v>
      </c>
      <c r="R1369" s="70" t="str">
        <f>IF(Q1369=1,SUM($Q$2:Q1369),"")</f>
        <v/>
      </c>
    </row>
    <row r="1370" spans="1:18" x14ac:dyDescent="0.2">
      <c r="A1370" s="73" t="s">
        <v>285</v>
      </c>
      <c r="B1370" s="77" t="s">
        <v>1541</v>
      </c>
      <c r="C1370" s="74" t="s">
        <v>1889</v>
      </c>
      <c r="D1370" s="74" t="s">
        <v>994</v>
      </c>
      <c r="E1370" s="78" t="s">
        <v>1002</v>
      </c>
      <c r="F1370" s="76" t="s">
        <v>1673</v>
      </c>
      <c r="G1370" s="76" t="s">
        <v>1280</v>
      </c>
      <c r="H1370" s="70"/>
      <c r="P1370" s="70">
        <f t="shared" si="21"/>
        <v>0</v>
      </c>
      <c r="Q1370" s="70" cm="1">
        <f t="array" ref="Q1370">IF(P1370=1,IF(SUMPRODUCT(($P$2:P1370)*(--($G$2:G1370=$G1370)))=1,1,0),0)</f>
        <v>0</v>
      </c>
      <c r="R1370" s="70" t="str">
        <f>IF(Q1370=1,SUM($Q$2:Q1370),"")</f>
        <v/>
      </c>
    </row>
    <row r="1371" spans="1:18" x14ac:dyDescent="0.2">
      <c r="A1371" s="73" t="s">
        <v>285</v>
      </c>
      <c r="B1371" s="77" t="s">
        <v>1541</v>
      </c>
      <c r="C1371" s="74" t="s">
        <v>1889</v>
      </c>
      <c r="D1371" s="74" t="s">
        <v>994</v>
      </c>
      <c r="E1371" s="78" t="s">
        <v>120</v>
      </c>
      <c r="F1371" s="76" t="s">
        <v>1597</v>
      </c>
      <c r="G1371" s="76" t="s">
        <v>1280</v>
      </c>
      <c r="H1371" s="70"/>
      <c r="P1371" s="70">
        <f t="shared" si="21"/>
        <v>0</v>
      </c>
      <c r="Q1371" s="70" cm="1">
        <f t="array" ref="Q1371">IF(P1371=1,IF(SUMPRODUCT(($P$2:P1371)*(--($G$2:G1371=$G1371)))=1,1,0),0)</f>
        <v>0</v>
      </c>
      <c r="R1371" s="70" t="str">
        <f>IF(Q1371=1,SUM($Q$2:Q1371),"")</f>
        <v/>
      </c>
    </row>
    <row r="1372" spans="1:18" x14ac:dyDescent="0.2">
      <c r="A1372" s="73" t="s">
        <v>285</v>
      </c>
      <c r="B1372" s="77" t="s">
        <v>1541</v>
      </c>
      <c r="C1372" s="74" t="s">
        <v>1889</v>
      </c>
      <c r="D1372" s="74" t="s">
        <v>994</v>
      </c>
      <c r="E1372" s="78" t="s">
        <v>1002</v>
      </c>
      <c r="F1372" s="76" t="s">
        <v>1597</v>
      </c>
      <c r="G1372" s="76" t="s">
        <v>1280</v>
      </c>
      <c r="H1372" s="70"/>
      <c r="P1372" s="70">
        <f t="shared" si="21"/>
        <v>0</v>
      </c>
      <c r="Q1372" s="70" cm="1">
        <f t="array" ref="Q1372">IF(P1372=1,IF(SUMPRODUCT(($P$2:P1372)*(--($G$2:G1372=$G1372)))=1,1,0),0)</f>
        <v>0</v>
      </c>
      <c r="R1372" s="70" t="str">
        <f>IF(Q1372=1,SUM($Q$2:Q1372),"")</f>
        <v/>
      </c>
    </row>
    <row r="1373" spans="1:18" x14ac:dyDescent="0.2">
      <c r="A1373" s="73" t="s">
        <v>285</v>
      </c>
      <c r="B1373" s="77" t="s">
        <v>1541</v>
      </c>
      <c r="C1373" s="74" t="s">
        <v>1889</v>
      </c>
      <c r="D1373" s="74" t="s">
        <v>994</v>
      </c>
      <c r="E1373" s="78" t="s">
        <v>120</v>
      </c>
      <c r="F1373" s="76" t="s">
        <v>1890</v>
      </c>
      <c r="G1373" s="76" t="s">
        <v>1280</v>
      </c>
      <c r="H1373" s="70"/>
      <c r="P1373" s="70">
        <f t="shared" si="21"/>
        <v>0</v>
      </c>
      <c r="Q1373" s="70" cm="1">
        <f t="array" ref="Q1373">IF(P1373=1,IF(SUMPRODUCT(($P$2:P1373)*(--($G$2:G1373=$G1373)))=1,1,0),0)</f>
        <v>0</v>
      </c>
      <c r="R1373" s="70" t="str">
        <f>IF(Q1373=1,SUM($Q$2:Q1373),"")</f>
        <v/>
      </c>
    </row>
    <row r="1374" spans="1:18" x14ac:dyDescent="0.2">
      <c r="A1374" s="73" t="s">
        <v>285</v>
      </c>
      <c r="B1374" s="77" t="s">
        <v>1541</v>
      </c>
      <c r="C1374" s="74" t="s">
        <v>1889</v>
      </c>
      <c r="D1374" s="74" t="s">
        <v>994</v>
      </c>
      <c r="E1374" s="78" t="s">
        <v>1002</v>
      </c>
      <c r="F1374" s="76" t="s">
        <v>1890</v>
      </c>
      <c r="G1374" s="76" t="s">
        <v>1280</v>
      </c>
      <c r="H1374" s="70"/>
      <c r="P1374" s="70">
        <f t="shared" si="21"/>
        <v>0</v>
      </c>
      <c r="Q1374" s="70" cm="1">
        <f t="array" ref="Q1374">IF(P1374=1,IF(SUMPRODUCT(($P$2:P1374)*(--($G$2:G1374=$G1374)))=1,1,0),0)</f>
        <v>0</v>
      </c>
      <c r="R1374" s="70" t="str">
        <f>IF(Q1374=1,SUM($Q$2:Q1374),"")</f>
        <v/>
      </c>
    </row>
    <row r="1375" spans="1:18" ht="16" x14ac:dyDescent="0.2">
      <c r="A1375" s="73" t="s">
        <v>285</v>
      </c>
      <c r="B1375" s="85" t="s">
        <v>1891</v>
      </c>
      <c r="C1375" s="74" t="s">
        <v>1889</v>
      </c>
      <c r="D1375" s="74" t="s">
        <v>994</v>
      </c>
      <c r="E1375" s="78" t="s">
        <v>97</v>
      </c>
      <c r="F1375" s="76" t="s">
        <v>1823</v>
      </c>
      <c r="G1375" s="75" t="s">
        <v>623</v>
      </c>
      <c r="H1375" s="70"/>
      <c r="P1375" s="70">
        <f t="shared" si="21"/>
        <v>0</v>
      </c>
      <c r="Q1375" s="70" cm="1">
        <f t="array" ref="Q1375">IF(P1375=1,IF(SUMPRODUCT(($P$2:P1375)*(--($G$2:G1375=$G1375)))=1,1,0),0)</f>
        <v>0</v>
      </c>
      <c r="R1375" s="70" t="str">
        <f>IF(Q1375=1,SUM($Q$2:Q1375),"")</f>
        <v/>
      </c>
    </row>
    <row r="1376" spans="1:18" ht="16" x14ac:dyDescent="0.2">
      <c r="A1376" s="73" t="s">
        <v>285</v>
      </c>
      <c r="B1376" s="85" t="s">
        <v>1891</v>
      </c>
      <c r="C1376" s="74" t="s">
        <v>1889</v>
      </c>
      <c r="D1376" s="74" t="s">
        <v>994</v>
      </c>
      <c r="E1376" s="78" t="s">
        <v>97</v>
      </c>
      <c r="F1376" s="76" t="s">
        <v>285</v>
      </c>
      <c r="G1376" s="75" t="s">
        <v>623</v>
      </c>
      <c r="H1376" s="70"/>
      <c r="P1376" s="70">
        <f t="shared" si="21"/>
        <v>0</v>
      </c>
      <c r="Q1376" s="70" cm="1">
        <f t="array" ref="Q1376">IF(P1376=1,IF(SUMPRODUCT(($P$2:P1376)*(--($G$2:G1376=$G1376)))=1,1,0),0)</f>
        <v>0</v>
      </c>
      <c r="R1376" s="70" t="str">
        <f>IF(Q1376=1,SUM($Q$2:Q1376),"")</f>
        <v/>
      </c>
    </row>
    <row r="1377" spans="1:18" ht="16" x14ac:dyDescent="0.2">
      <c r="A1377" s="73" t="s">
        <v>285</v>
      </c>
      <c r="B1377" s="85" t="s">
        <v>1891</v>
      </c>
      <c r="C1377" s="74" t="s">
        <v>1889</v>
      </c>
      <c r="D1377" s="74" t="s">
        <v>994</v>
      </c>
      <c r="E1377" s="78" t="s">
        <v>97</v>
      </c>
      <c r="F1377" s="76" t="s">
        <v>1595</v>
      </c>
      <c r="G1377" s="75" t="s">
        <v>623</v>
      </c>
      <c r="H1377" s="70"/>
      <c r="P1377" s="70">
        <f t="shared" si="21"/>
        <v>0</v>
      </c>
      <c r="Q1377" s="70" cm="1">
        <f t="array" ref="Q1377">IF(P1377=1,IF(SUMPRODUCT(($P$2:P1377)*(--($G$2:G1377=$G1377)))=1,1,0),0)</f>
        <v>0</v>
      </c>
      <c r="R1377" s="70" t="str">
        <f>IF(Q1377=1,SUM($Q$2:Q1377),"")</f>
        <v/>
      </c>
    </row>
    <row r="1378" spans="1:18" ht="16" x14ac:dyDescent="0.2">
      <c r="A1378" s="73" t="s">
        <v>285</v>
      </c>
      <c r="B1378" s="85" t="s">
        <v>1891</v>
      </c>
      <c r="C1378" s="74" t="s">
        <v>1889</v>
      </c>
      <c r="D1378" s="74" t="s">
        <v>994</v>
      </c>
      <c r="E1378" s="78" t="s">
        <v>97</v>
      </c>
      <c r="F1378" s="76" t="s">
        <v>1593</v>
      </c>
      <c r="G1378" s="75" t="s">
        <v>623</v>
      </c>
      <c r="H1378" s="70"/>
      <c r="P1378" s="70">
        <f t="shared" si="21"/>
        <v>0</v>
      </c>
      <c r="Q1378" s="70" cm="1">
        <f t="array" ref="Q1378">IF(P1378=1,IF(SUMPRODUCT(($P$2:P1378)*(--($G$2:G1378=$G1378)))=1,1,0),0)</f>
        <v>0</v>
      </c>
      <c r="R1378" s="70" t="str">
        <f>IF(Q1378=1,SUM($Q$2:Q1378),"")</f>
        <v/>
      </c>
    </row>
    <row r="1379" spans="1:18" ht="16" x14ac:dyDescent="0.2">
      <c r="A1379" s="73" t="s">
        <v>285</v>
      </c>
      <c r="B1379" s="85" t="s">
        <v>1891</v>
      </c>
      <c r="C1379" s="74" t="s">
        <v>1889</v>
      </c>
      <c r="D1379" s="74" t="s">
        <v>994</v>
      </c>
      <c r="E1379" s="78" t="s">
        <v>97</v>
      </c>
      <c r="F1379" s="76" t="s">
        <v>1594</v>
      </c>
      <c r="G1379" s="75" t="s">
        <v>623</v>
      </c>
      <c r="H1379" s="70"/>
      <c r="P1379" s="70">
        <f t="shared" si="21"/>
        <v>0</v>
      </c>
      <c r="Q1379" s="70" cm="1">
        <f t="array" ref="Q1379">IF(P1379=1,IF(SUMPRODUCT(($P$2:P1379)*(--($G$2:G1379=$G1379)))=1,1,0),0)</f>
        <v>0</v>
      </c>
      <c r="R1379" s="70" t="str">
        <f>IF(Q1379=1,SUM($Q$2:Q1379),"")</f>
        <v/>
      </c>
    </row>
    <row r="1380" spans="1:18" x14ac:dyDescent="0.2">
      <c r="A1380" s="73" t="s">
        <v>285</v>
      </c>
      <c r="B1380" s="77" t="s">
        <v>1541</v>
      </c>
      <c r="C1380" s="74" t="s">
        <v>1889</v>
      </c>
      <c r="D1380" s="74" t="s">
        <v>994</v>
      </c>
      <c r="E1380" s="78" t="s">
        <v>113</v>
      </c>
      <c r="F1380" s="76" t="s">
        <v>1666</v>
      </c>
      <c r="G1380" s="76" t="s">
        <v>1137</v>
      </c>
      <c r="H1380" s="70"/>
      <c r="P1380" s="70">
        <f t="shared" si="21"/>
        <v>0</v>
      </c>
      <c r="Q1380" s="70" cm="1">
        <f t="array" ref="Q1380">IF(P1380=1,IF(SUMPRODUCT(($P$2:P1380)*(--($G$2:G1380=$G1380)))=1,1,0),0)</f>
        <v>0</v>
      </c>
      <c r="R1380" s="70" t="str">
        <f>IF(Q1380=1,SUM($Q$2:Q1380),"")</f>
        <v/>
      </c>
    </row>
    <row r="1381" spans="1:18" x14ac:dyDescent="0.2">
      <c r="A1381" s="73" t="s">
        <v>285</v>
      </c>
      <c r="B1381" s="77" t="s">
        <v>1541</v>
      </c>
      <c r="C1381" s="74" t="s">
        <v>1889</v>
      </c>
      <c r="D1381" s="74" t="s">
        <v>994</v>
      </c>
      <c r="E1381" s="78" t="s">
        <v>1002</v>
      </c>
      <c r="F1381" s="76" t="s">
        <v>1666</v>
      </c>
      <c r="G1381" s="76" t="s">
        <v>1137</v>
      </c>
      <c r="H1381" s="70"/>
      <c r="P1381" s="70">
        <f t="shared" si="21"/>
        <v>0</v>
      </c>
      <c r="Q1381" s="70" cm="1">
        <f t="array" ref="Q1381">IF(P1381=1,IF(SUMPRODUCT(($P$2:P1381)*(--($G$2:G1381=$G1381)))=1,1,0),0)</f>
        <v>0</v>
      </c>
      <c r="R1381" s="70" t="str">
        <f>IF(Q1381=1,SUM($Q$2:Q1381),"")</f>
        <v/>
      </c>
    </row>
    <row r="1382" spans="1:18" x14ac:dyDescent="0.2">
      <c r="A1382" s="73" t="s">
        <v>285</v>
      </c>
      <c r="B1382" s="77" t="s">
        <v>1541</v>
      </c>
      <c r="C1382" s="74" t="s">
        <v>1889</v>
      </c>
      <c r="D1382" s="74" t="s">
        <v>994</v>
      </c>
      <c r="E1382" s="78" t="s">
        <v>113</v>
      </c>
      <c r="F1382" s="76" t="s">
        <v>1670</v>
      </c>
      <c r="G1382" s="76" t="s">
        <v>1137</v>
      </c>
      <c r="H1382" s="70"/>
      <c r="P1382" s="70">
        <f t="shared" si="21"/>
        <v>0</v>
      </c>
      <c r="Q1382" s="70" cm="1">
        <f t="array" ref="Q1382">IF(P1382=1,IF(SUMPRODUCT(($P$2:P1382)*(--($G$2:G1382=$G1382)))=1,1,0),0)</f>
        <v>0</v>
      </c>
      <c r="R1382" s="70" t="str">
        <f>IF(Q1382=1,SUM($Q$2:Q1382),"")</f>
        <v/>
      </c>
    </row>
    <row r="1383" spans="1:18" x14ac:dyDescent="0.2">
      <c r="A1383" s="73" t="s">
        <v>285</v>
      </c>
      <c r="B1383" s="77" t="s">
        <v>1541</v>
      </c>
      <c r="C1383" s="74" t="s">
        <v>1889</v>
      </c>
      <c r="D1383" s="74" t="s">
        <v>994</v>
      </c>
      <c r="E1383" s="78" t="s">
        <v>1002</v>
      </c>
      <c r="F1383" s="76" t="s">
        <v>1670</v>
      </c>
      <c r="G1383" s="76" t="s">
        <v>1137</v>
      </c>
      <c r="H1383" s="70"/>
      <c r="P1383" s="70">
        <f t="shared" si="21"/>
        <v>0</v>
      </c>
      <c r="Q1383" s="70" cm="1">
        <f t="array" ref="Q1383">IF(P1383=1,IF(SUMPRODUCT(($P$2:P1383)*(--($G$2:G1383=$G1383)))=1,1,0),0)</f>
        <v>0</v>
      </c>
      <c r="R1383" s="70" t="str">
        <f>IF(Q1383=1,SUM($Q$2:Q1383),"")</f>
        <v/>
      </c>
    </row>
    <row r="1384" spans="1:18" x14ac:dyDescent="0.2">
      <c r="A1384" s="73" t="s">
        <v>285</v>
      </c>
      <c r="B1384" s="77" t="s">
        <v>1541</v>
      </c>
      <c r="C1384" s="74" t="s">
        <v>1889</v>
      </c>
      <c r="D1384" s="74" t="s">
        <v>994</v>
      </c>
      <c r="E1384" s="78" t="s">
        <v>113</v>
      </c>
      <c r="F1384" s="76" t="s">
        <v>1666</v>
      </c>
      <c r="G1384" s="76" t="s">
        <v>1137</v>
      </c>
      <c r="H1384" s="70"/>
      <c r="P1384" s="70">
        <f t="shared" si="21"/>
        <v>0</v>
      </c>
      <c r="Q1384" s="70" cm="1">
        <f t="array" ref="Q1384">IF(P1384=1,IF(SUMPRODUCT(($P$2:P1384)*(--($G$2:G1384=$G1384)))=1,1,0),0)</f>
        <v>0</v>
      </c>
      <c r="R1384" s="70" t="str">
        <f>IF(Q1384=1,SUM($Q$2:Q1384),"")</f>
        <v/>
      </c>
    </row>
    <row r="1385" spans="1:18" x14ac:dyDescent="0.2">
      <c r="A1385" s="73" t="s">
        <v>285</v>
      </c>
      <c r="B1385" s="77" t="s">
        <v>1541</v>
      </c>
      <c r="C1385" s="74" t="s">
        <v>1889</v>
      </c>
      <c r="D1385" s="74" t="s">
        <v>994</v>
      </c>
      <c r="E1385" s="78" t="s">
        <v>1002</v>
      </c>
      <c r="F1385" s="76" t="s">
        <v>1666</v>
      </c>
      <c r="G1385" s="76" t="s">
        <v>1137</v>
      </c>
      <c r="H1385" s="70"/>
      <c r="P1385" s="70">
        <f t="shared" si="21"/>
        <v>0</v>
      </c>
      <c r="Q1385" s="70" cm="1">
        <f t="array" ref="Q1385">IF(P1385=1,IF(SUMPRODUCT(($P$2:P1385)*(--($G$2:G1385=$G1385)))=1,1,0),0)</f>
        <v>0</v>
      </c>
      <c r="R1385" s="70" t="str">
        <f>IF(Q1385=1,SUM($Q$2:Q1385),"")</f>
        <v/>
      </c>
    </row>
    <row r="1386" spans="1:18" x14ac:dyDescent="0.2">
      <c r="A1386" s="73" t="s">
        <v>285</v>
      </c>
      <c r="B1386" s="77" t="s">
        <v>1541</v>
      </c>
      <c r="C1386" s="74" t="s">
        <v>1889</v>
      </c>
      <c r="D1386" s="74" t="s">
        <v>994</v>
      </c>
      <c r="E1386" s="78" t="s">
        <v>113</v>
      </c>
      <c r="F1386" s="76" t="s">
        <v>1670</v>
      </c>
      <c r="G1386" s="76" t="s">
        <v>1137</v>
      </c>
      <c r="H1386" s="70"/>
      <c r="P1386" s="70">
        <f t="shared" si="21"/>
        <v>0</v>
      </c>
      <c r="Q1386" s="70" cm="1">
        <f t="array" ref="Q1386">IF(P1386=1,IF(SUMPRODUCT(($P$2:P1386)*(--($G$2:G1386=$G1386)))=1,1,0),0)</f>
        <v>0</v>
      </c>
      <c r="R1386" s="70" t="str">
        <f>IF(Q1386=1,SUM($Q$2:Q1386),"")</f>
        <v/>
      </c>
    </row>
    <row r="1387" spans="1:18" x14ac:dyDescent="0.2">
      <c r="A1387" s="73" t="s">
        <v>285</v>
      </c>
      <c r="B1387" s="77" t="s">
        <v>1541</v>
      </c>
      <c r="C1387" s="74" t="s">
        <v>1889</v>
      </c>
      <c r="D1387" s="74" t="s">
        <v>994</v>
      </c>
      <c r="E1387" s="78" t="s">
        <v>1002</v>
      </c>
      <c r="F1387" s="76" t="s">
        <v>1670</v>
      </c>
      <c r="G1387" s="76" t="s">
        <v>1137</v>
      </c>
      <c r="H1387" s="70"/>
      <c r="P1387" s="70">
        <f t="shared" si="21"/>
        <v>0</v>
      </c>
      <c r="Q1387" s="70" cm="1">
        <f t="array" ref="Q1387">IF(P1387=1,IF(SUMPRODUCT(($P$2:P1387)*(--($G$2:G1387=$G1387)))=1,1,0),0)</f>
        <v>0</v>
      </c>
      <c r="R1387" s="70" t="str">
        <f>IF(Q1387=1,SUM($Q$2:Q1387),"")</f>
        <v/>
      </c>
    </row>
    <row r="1388" spans="1:18" x14ac:dyDescent="0.2">
      <c r="A1388" s="73" t="s">
        <v>285</v>
      </c>
      <c r="B1388" s="77" t="s">
        <v>1541</v>
      </c>
      <c r="C1388" s="74" t="s">
        <v>1889</v>
      </c>
      <c r="D1388" s="74" t="s">
        <v>994</v>
      </c>
      <c r="E1388" s="78" t="s">
        <v>97</v>
      </c>
      <c r="F1388" s="76" t="s">
        <v>1598</v>
      </c>
      <c r="G1388" s="76" t="s">
        <v>1069</v>
      </c>
      <c r="H1388" s="70"/>
      <c r="P1388" s="70">
        <f t="shared" si="21"/>
        <v>0</v>
      </c>
      <c r="Q1388" s="70" cm="1">
        <f t="array" ref="Q1388">IF(P1388=1,IF(SUMPRODUCT(($P$2:P1388)*(--($G$2:G1388=$G1388)))=1,1,0),0)</f>
        <v>0</v>
      </c>
      <c r="R1388" s="70" t="str">
        <f>IF(Q1388=1,SUM($Q$2:Q1388),"")</f>
        <v/>
      </c>
    </row>
    <row r="1389" spans="1:18" x14ac:dyDescent="0.2">
      <c r="A1389" s="73" t="s">
        <v>285</v>
      </c>
      <c r="B1389" s="77" t="s">
        <v>1541</v>
      </c>
      <c r="C1389" s="74" t="s">
        <v>1889</v>
      </c>
      <c r="D1389" s="74" t="s">
        <v>994</v>
      </c>
      <c r="E1389" s="78" t="s">
        <v>138</v>
      </c>
      <c r="F1389" s="76" t="s">
        <v>1598</v>
      </c>
      <c r="G1389" s="76" t="s">
        <v>1069</v>
      </c>
      <c r="H1389" s="70"/>
      <c r="P1389" s="70">
        <f t="shared" si="21"/>
        <v>0</v>
      </c>
      <c r="Q1389" s="70" cm="1">
        <f t="array" ref="Q1389">IF(P1389=1,IF(SUMPRODUCT(($P$2:P1389)*(--($G$2:G1389=$G1389)))=1,1,0),0)</f>
        <v>0</v>
      </c>
      <c r="R1389" s="70" t="str">
        <f>IF(Q1389=1,SUM($Q$2:Q1389),"")</f>
        <v/>
      </c>
    </row>
    <row r="1390" spans="1:18" ht="16" x14ac:dyDescent="0.2">
      <c r="A1390" s="73" t="s">
        <v>97</v>
      </c>
      <c r="B1390" s="77" t="s">
        <v>1541</v>
      </c>
      <c r="C1390" s="74" t="s">
        <v>1892</v>
      </c>
      <c r="D1390" s="74" t="s">
        <v>987</v>
      </c>
      <c r="E1390" s="78" t="s">
        <v>106</v>
      </c>
      <c r="F1390" s="76" t="s">
        <v>97</v>
      </c>
      <c r="G1390" s="75" t="s">
        <v>573</v>
      </c>
      <c r="H1390" s="70"/>
      <c r="P1390" s="70">
        <f t="shared" si="21"/>
        <v>0</v>
      </c>
      <c r="Q1390" s="70" cm="1">
        <f t="array" ref="Q1390">IF(P1390=1,IF(SUMPRODUCT(($P$2:P1390)*(--($G$2:G1390=$G1390)))=1,1,0),0)</f>
        <v>0</v>
      </c>
      <c r="R1390" s="70" t="str">
        <f>IF(Q1390=1,SUM($Q$2:Q1390),"")</f>
        <v/>
      </c>
    </row>
    <row r="1391" spans="1:18" ht="16" x14ac:dyDescent="0.2">
      <c r="A1391" s="73" t="s">
        <v>97</v>
      </c>
      <c r="B1391" s="77" t="s">
        <v>1541</v>
      </c>
      <c r="C1391" s="74" t="s">
        <v>1892</v>
      </c>
      <c r="D1391" s="74" t="s">
        <v>987</v>
      </c>
      <c r="E1391" s="78" t="s">
        <v>106</v>
      </c>
      <c r="F1391" s="76" t="s">
        <v>97</v>
      </c>
      <c r="G1391" s="75" t="s">
        <v>573</v>
      </c>
      <c r="H1391" s="70"/>
      <c r="P1391" s="70">
        <f t="shared" si="21"/>
        <v>0</v>
      </c>
      <c r="Q1391" s="70" cm="1">
        <f t="array" ref="Q1391">IF(P1391=1,IF(SUMPRODUCT(($P$2:P1391)*(--($G$2:G1391=$G1391)))=1,1,0),0)</f>
        <v>0</v>
      </c>
      <c r="R1391" s="70" t="str">
        <f>IF(Q1391=1,SUM($Q$2:Q1391),"")</f>
        <v/>
      </c>
    </row>
    <row r="1392" spans="1:18" ht="16" x14ac:dyDescent="0.2">
      <c r="A1392" s="73" t="s">
        <v>378</v>
      </c>
      <c r="B1392" s="77" t="s">
        <v>1541</v>
      </c>
      <c r="C1392" s="74" t="s">
        <v>1892</v>
      </c>
      <c r="D1392" s="74" t="s">
        <v>987</v>
      </c>
      <c r="E1392" s="78" t="s">
        <v>97</v>
      </c>
      <c r="F1392" s="76" t="s">
        <v>378</v>
      </c>
      <c r="G1392" s="75" t="s">
        <v>583</v>
      </c>
      <c r="H1392" s="70"/>
      <c r="P1392" s="70">
        <f t="shared" si="21"/>
        <v>0</v>
      </c>
      <c r="Q1392" s="70" cm="1">
        <f t="array" ref="Q1392">IF(P1392=1,IF(SUMPRODUCT(($P$2:P1392)*(--($G$2:G1392=$G1392)))=1,1,0),0)</f>
        <v>0</v>
      </c>
      <c r="R1392" s="70" t="str">
        <f>IF(Q1392=1,SUM($Q$2:Q1392),"")</f>
        <v/>
      </c>
    </row>
    <row r="1393" spans="1:18" ht="16" x14ac:dyDescent="0.2">
      <c r="A1393" s="73" t="s">
        <v>378</v>
      </c>
      <c r="B1393" s="77" t="s">
        <v>1541</v>
      </c>
      <c r="C1393" s="74" t="s">
        <v>1892</v>
      </c>
      <c r="D1393" s="74" t="s">
        <v>987</v>
      </c>
      <c r="E1393" s="78" t="s">
        <v>97</v>
      </c>
      <c r="F1393" s="76" t="s">
        <v>1771</v>
      </c>
      <c r="G1393" s="75" t="s">
        <v>965</v>
      </c>
      <c r="H1393" s="70"/>
      <c r="P1393" s="70">
        <f t="shared" si="21"/>
        <v>0</v>
      </c>
      <c r="Q1393" s="70" cm="1">
        <f t="array" ref="Q1393">IF(P1393=1,IF(SUMPRODUCT(($P$2:P1393)*(--($G$2:G1393=$G1393)))=1,1,0),0)</f>
        <v>0</v>
      </c>
      <c r="R1393" s="70" t="str">
        <f>IF(Q1393=1,SUM($Q$2:Q1393),"")</f>
        <v/>
      </c>
    </row>
    <row r="1394" spans="1:18" ht="16" x14ac:dyDescent="0.2">
      <c r="A1394" s="73" t="s">
        <v>285</v>
      </c>
      <c r="B1394" s="77" t="s">
        <v>1541</v>
      </c>
      <c r="C1394" s="74" t="s">
        <v>1892</v>
      </c>
      <c r="D1394" s="74" t="s">
        <v>987</v>
      </c>
      <c r="E1394" s="78" t="s">
        <v>97</v>
      </c>
      <c r="F1394" s="76" t="s">
        <v>289</v>
      </c>
      <c r="G1394" s="75" t="s">
        <v>577</v>
      </c>
      <c r="H1394" s="70"/>
      <c r="P1394" s="70">
        <f t="shared" si="21"/>
        <v>0</v>
      </c>
      <c r="Q1394" s="70" cm="1">
        <f t="array" ref="Q1394">IF(P1394=1,IF(SUMPRODUCT(($P$2:P1394)*(--($G$2:G1394=$G1394)))=1,1,0),0)</f>
        <v>0</v>
      </c>
      <c r="R1394" s="70" t="str">
        <f>IF(Q1394=1,SUM($Q$2:Q1394),"")</f>
        <v/>
      </c>
    </row>
    <row r="1395" spans="1:18" ht="16" x14ac:dyDescent="0.2">
      <c r="A1395" s="73" t="s">
        <v>285</v>
      </c>
      <c r="B1395" s="77" t="s">
        <v>1541</v>
      </c>
      <c r="C1395" s="74" t="s">
        <v>1892</v>
      </c>
      <c r="D1395" s="74" t="s">
        <v>987</v>
      </c>
      <c r="E1395" s="78" t="s">
        <v>97</v>
      </c>
      <c r="F1395" s="76" t="s">
        <v>1736</v>
      </c>
      <c r="G1395" s="75" t="s">
        <v>577</v>
      </c>
      <c r="H1395" s="70"/>
      <c r="P1395" s="70">
        <f t="shared" si="21"/>
        <v>0</v>
      </c>
      <c r="Q1395" s="70" cm="1">
        <f t="array" ref="Q1395">IF(P1395=1,IF(SUMPRODUCT(($P$2:P1395)*(--($G$2:G1395=$G1395)))=1,1,0),0)</f>
        <v>0</v>
      </c>
      <c r="R1395" s="70" t="str">
        <f>IF(Q1395=1,SUM($Q$2:Q1395),"")</f>
        <v/>
      </c>
    </row>
    <row r="1396" spans="1:18" ht="16" x14ac:dyDescent="0.2">
      <c r="A1396" s="73" t="s">
        <v>285</v>
      </c>
      <c r="B1396" s="77" t="s">
        <v>1541</v>
      </c>
      <c r="C1396" s="74" t="s">
        <v>1892</v>
      </c>
      <c r="D1396" s="74" t="s">
        <v>987</v>
      </c>
      <c r="E1396" s="78" t="s">
        <v>97</v>
      </c>
      <c r="F1396" s="76" t="s">
        <v>1734</v>
      </c>
      <c r="G1396" s="75" t="s">
        <v>577</v>
      </c>
      <c r="H1396" s="70"/>
      <c r="P1396" s="70">
        <f t="shared" si="21"/>
        <v>0</v>
      </c>
      <c r="Q1396" s="70" cm="1">
        <f t="array" ref="Q1396">IF(P1396=1,IF(SUMPRODUCT(($P$2:P1396)*(--($G$2:G1396=$G1396)))=1,1,0),0)</f>
        <v>0</v>
      </c>
      <c r="R1396" s="70" t="str">
        <f>IF(Q1396=1,SUM($Q$2:Q1396),"")</f>
        <v/>
      </c>
    </row>
    <row r="1397" spans="1:18" ht="16" x14ac:dyDescent="0.2">
      <c r="A1397" s="73" t="s">
        <v>285</v>
      </c>
      <c r="B1397" s="77" t="s">
        <v>1541</v>
      </c>
      <c r="C1397" s="74" t="s">
        <v>1892</v>
      </c>
      <c r="D1397" s="74" t="s">
        <v>987</v>
      </c>
      <c r="E1397" s="78" t="s">
        <v>97</v>
      </c>
      <c r="F1397" s="76" t="s">
        <v>1735</v>
      </c>
      <c r="G1397" s="75" t="s">
        <v>577</v>
      </c>
      <c r="H1397" s="70"/>
      <c r="P1397" s="70">
        <f t="shared" si="21"/>
        <v>0</v>
      </c>
      <c r="Q1397" s="70" cm="1">
        <f t="array" ref="Q1397">IF(P1397=1,IF(SUMPRODUCT(($P$2:P1397)*(--($G$2:G1397=$G1397)))=1,1,0),0)</f>
        <v>0</v>
      </c>
      <c r="R1397" s="70" t="str">
        <f>IF(Q1397=1,SUM($Q$2:Q1397),"")</f>
        <v/>
      </c>
    </row>
    <row r="1398" spans="1:18" ht="16" x14ac:dyDescent="0.2">
      <c r="A1398" s="73" t="s">
        <v>285</v>
      </c>
      <c r="B1398" s="77" t="s">
        <v>1541</v>
      </c>
      <c r="C1398" s="74" t="s">
        <v>1892</v>
      </c>
      <c r="D1398" s="74" t="s">
        <v>987</v>
      </c>
      <c r="E1398" s="78" t="s">
        <v>106</v>
      </c>
      <c r="F1398" s="76" t="s">
        <v>289</v>
      </c>
      <c r="G1398" s="75" t="s">
        <v>576</v>
      </c>
      <c r="H1398" s="70"/>
      <c r="P1398" s="70">
        <f t="shared" si="21"/>
        <v>0</v>
      </c>
      <c r="Q1398" s="70" cm="1">
        <f t="array" ref="Q1398">IF(P1398=1,IF(SUMPRODUCT(($P$2:P1398)*(--($G$2:G1398=$G1398)))=1,1,0),0)</f>
        <v>0</v>
      </c>
      <c r="R1398" s="70" t="str">
        <f>IF(Q1398=1,SUM($Q$2:Q1398),"")</f>
        <v/>
      </c>
    </row>
    <row r="1399" spans="1:18" ht="16" x14ac:dyDescent="0.2">
      <c r="A1399" s="73" t="s">
        <v>285</v>
      </c>
      <c r="B1399" s="77" t="s">
        <v>1541</v>
      </c>
      <c r="C1399" s="74" t="s">
        <v>1892</v>
      </c>
      <c r="D1399" s="74" t="s">
        <v>987</v>
      </c>
      <c r="E1399" s="78" t="s">
        <v>106</v>
      </c>
      <c r="F1399" s="76" t="s">
        <v>1734</v>
      </c>
      <c r="G1399" s="75" t="s">
        <v>576</v>
      </c>
      <c r="H1399" s="70"/>
      <c r="P1399" s="70">
        <f t="shared" si="21"/>
        <v>0</v>
      </c>
      <c r="Q1399" s="70" cm="1">
        <f t="array" ref="Q1399">IF(P1399=1,IF(SUMPRODUCT(($P$2:P1399)*(--($G$2:G1399=$G1399)))=1,1,0),0)</f>
        <v>0</v>
      </c>
      <c r="R1399" s="70" t="str">
        <f>IF(Q1399=1,SUM($Q$2:Q1399),"")</f>
        <v/>
      </c>
    </row>
    <row r="1400" spans="1:18" ht="16" x14ac:dyDescent="0.2">
      <c r="A1400" s="73" t="s">
        <v>285</v>
      </c>
      <c r="B1400" s="77" t="s">
        <v>1541</v>
      </c>
      <c r="C1400" s="74" t="s">
        <v>1892</v>
      </c>
      <c r="D1400" s="74" t="s">
        <v>987</v>
      </c>
      <c r="E1400" s="78" t="s">
        <v>106</v>
      </c>
      <c r="F1400" s="76" t="s">
        <v>1735</v>
      </c>
      <c r="G1400" s="75" t="s">
        <v>576</v>
      </c>
      <c r="H1400" s="70"/>
      <c r="P1400" s="70">
        <f t="shared" si="21"/>
        <v>0</v>
      </c>
      <c r="Q1400" s="70" cm="1">
        <f t="array" ref="Q1400">IF(P1400=1,IF(SUMPRODUCT(($P$2:P1400)*(--($G$2:G1400=$G1400)))=1,1,0),0)</f>
        <v>0</v>
      </c>
      <c r="R1400" s="70" t="str">
        <f>IF(Q1400=1,SUM($Q$2:Q1400),"")</f>
        <v/>
      </c>
    </row>
    <row r="1401" spans="1:18" ht="16" x14ac:dyDescent="0.2">
      <c r="A1401" s="73" t="s">
        <v>285</v>
      </c>
      <c r="B1401" s="77" t="s">
        <v>1541</v>
      </c>
      <c r="C1401" s="74" t="s">
        <v>1892</v>
      </c>
      <c r="D1401" s="74" t="s">
        <v>987</v>
      </c>
      <c r="E1401" s="78" t="s">
        <v>106</v>
      </c>
      <c r="F1401" s="76" t="s">
        <v>1736</v>
      </c>
      <c r="G1401" s="75" t="s">
        <v>576</v>
      </c>
      <c r="H1401" s="70"/>
      <c r="P1401" s="70">
        <f t="shared" si="21"/>
        <v>0</v>
      </c>
      <c r="Q1401" s="70" cm="1">
        <f t="array" ref="Q1401">IF(P1401=1,IF(SUMPRODUCT(($P$2:P1401)*(--($G$2:G1401=$G1401)))=1,1,0),0)</f>
        <v>0</v>
      </c>
      <c r="R1401" s="70" t="str">
        <f>IF(Q1401=1,SUM($Q$2:Q1401),"")</f>
        <v/>
      </c>
    </row>
    <row r="1402" spans="1:18" ht="16" x14ac:dyDescent="0.2">
      <c r="A1402" s="73" t="s">
        <v>285</v>
      </c>
      <c r="B1402" s="77" t="s">
        <v>1541</v>
      </c>
      <c r="C1402" s="74" t="s">
        <v>1892</v>
      </c>
      <c r="D1402" s="74" t="s">
        <v>987</v>
      </c>
      <c r="E1402" s="78" t="s">
        <v>106</v>
      </c>
      <c r="F1402" s="76" t="s">
        <v>1670</v>
      </c>
      <c r="G1402" s="75" t="s">
        <v>576</v>
      </c>
      <c r="H1402" s="70"/>
      <c r="P1402" s="70">
        <f t="shared" si="21"/>
        <v>0</v>
      </c>
      <c r="Q1402" s="70" cm="1">
        <f t="array" ref="Q1402">IF(P1402=1,IF(SUMPRODUCT(($P$2:P1402)*(--($G$2:G1402=$G1402)))=1,1,0),0)</f>
        <v>0</v>
      </c>
      <c r="R1402" s="70" t="str">
        <f>IF(Q1402=1,SUM($Q$2:Q1402),"")</f>
        <v/>
      </c>
    </row>
    <row r="1403" spans="1:18" ht="16" x14ac:dyDescent="0.2">
      <c r="A1403" s="73" t="s">
        <v>285</v>
      </c>
      <c r="B1403" s="77" t="s">
        <v>1541</v>
      </c>
      <c r="C1403" s="74" t="s">
        <v>1892</v>
      </c>
      <c r="D1403" s="74" t="s">
        <v>987</v>
      </c>
      <c r="E1403" s="78" t="s">
        <v>106</v>
      </c>
      <c r="F1403" s="76" t="s">
        <v>1737</v>
      </c>
      <c r="G1403" s="75" t="s">
        <v>576</v>
      </c>
      <c r="H1403" s="70"/>
      <c r="P1403" s="70">
        <f t="shared" si="21"/>
        <v>0</v>
      </c>
      <c r="Q1403" s="70" cm="1">
        <f t="array" ref="Q1403">IF(P1403=1,IF(SUMPRODUCT(($P$2:P1403)*(--($G$2:G1403=$G1403)))=1,1,0),0)</f>
        <v>0</v>
      </c>
      <c r="R1403" s="70" t="str">
        <f>IF(Q1403=1,SUM($Q$2:Q1403),"")</f>
        <v/>
      </c>
    </row>
    <row r="1404" spans="1:18" ht="16" x14ac:dyDescent="0.2">
      <c r="A1404" s="73" t="s">
        <v>285</v>
      </c>
      <c r="B1404" s="77" t="s">
        <v>1541</v>
      </c>
      <c r="C1404" s="74" t="s">
        <v>1892</v>
      </c>
      <c r="D1404" s="74" t="s">
        <v>987</v>
      </c>
      <c r="E1404" s="78" t="s">
        <v>106</v>
      </c>
      <c r="F1404" s="76" t="s">
        <v>1738</v>
      </c>
      <c r="G1404" s="75" t="s">
        <v>576</v>
      </c>
      <c r="H1404" s="70"/>
      <c r="P1404" s="70">
        <f t="shared" si="21"/>
        <v>0</v>
      </c>
      <c r="Q1404" s="70" cm="1">
        <f t="array" ref="Q1404">IF(P1404=1,IF(SUMPRODUCT(($P$2:P1404)*(--($G$2:G1404=$G1404)))=1,1,0),0)</f>
        <v>0</v>
      </c>
      <c r="R1404" s="70" t="str">
        <f>IF(Q1404=1,SUM($Q$2:Q1404),"")</f>
        <v/>
      </c>
    </row>
    <row r="1405" spans="1:18" ht="16" x14ac:dyDescent="0.2">
      <c r="A1405" s="73" t="s">
        <v>285</v>
      </c>
      <c r="B1405" s="77" t="s">
        <v>1541</v>
      </c>
      <c r="C1405" s="74" t="s">
        <v>1892</v>
      </c>
      <c r="D1405" s="74" t="s">
        <v>987</v>
      </c>
      <c r="E1405" s="78" t="s">
        <v>106</v>
      </c>
      <c r="F1405" s="76" t="s">
        <v>1739</v>
      </c>
      <c r="G1405" s="75" t="s">
        <v>576</v>
      </c>
      <c r="H1405" s="70"/>
      <c r="P1405" s="70">
        <f t="shared" si="21"/>
        <v>0</v>
      </c>
      <c r="Q1405" s="70" cm="1">
        <f t="array" ref="Q1405">IF(P1405=1,IF(SUMPRODUCT(($P$2:P1405)*(--($G$2:G1405=$G1405)))=1,1,0),0)</f>
        <v>0</v>
      </c>
      <c r="R1405" s="70" t="str">
        <f>IF(Q1405=1,SUM($Q$2:Q1405),"")</f>
        <v/>
      </c>
    </row>
    <row r="1406" spans="1:18" ht="16" x14ac:dyDescent="0.2">
      <c r="A1406" s="73" t="s">
        <v>285</v>
      </c>
      <c r="B1406" s="77" t="s">
        <v>1541</v>
      </c>
      <c r="C1406" s="74" t="s">
        <v>1892</v>
      </c>
      <c r="D1406" s="74" t="s">
        <v>987</v>
      </c>
      <c r="E1406" s="78" t="s">
        <v>106</v>
      </c>
      <c r="F1406" s="76" t="s">
        <v>285</v>
      </c>
      <c r="G1406" s="75" t="s">
        <v>579</v>
      </c>
      <c r="H1406" s="70"/>
      <c r="P1406" s="70">
        <f t="shared" si="21"/>
        <v>0</v>
      </c>
      <c r="Q1406" s="70" cm="1">
        <f t="array" ref="Q1406">IF(P1406=1,IF(SUMPRODUCT(($P$2:P1406)*(--($G$2:G1406=$G1406)))=1,1,0),0)</f>
        <v>0</v>
      </c>
      <c r="R1406" s="70" t="str">
        <f>IF(Q1406=1,SUM($Q$2:Q1406),"")</f>
        <v/>
      </c>
    </row>
    <row r="1407" spans="1:18" ht="16" x14ac:dyDescent="0.2">
      <c r="A1407" s="73" t="s">
        <v>285</v>
      </c>
      <c r="B1407" s="77" t="s">
        <v>1541</v>
      </c>
      <c r="C1407" s="74" t="s">
        <v>1892</v>
      </c>
      <c r="D1407" s="74" t="s">
        <v>987</v>
      </c>
      <c r="E1407" s="78" t="s">
        <v>106</v>
      </c>
      <c r="F1407" s="76" t="s">
        <v>1593</v>
      </c>
      <c r="G1407" s="75" t="s">
        <v>579</v>
      </c>
      <c r="H1407" s="70"/>
      <c r="P1407" s="70">
        <f t="shared" si="21"/>
        <v>0</v>
      </c>
      <c r="Q1407" s="70" cm="1">
        <f t="array" ref="Q1407">IF(P1407=1,IF(SUMPRODUCT(($P$2:P1407)*(--($G$2:G1407=$G1407)))=1,1,0),0)</f>
        <v>0</v>
      </c>
      <c r="R1407" s="70" t="str">
        <f>IF(Q1407=1,SUM($Q$2:Q1407),"")</f>
        <v/>
      </c>
    </row>
    <row r="1408" spans="1:18" ht="16" x14ac:dyDescent="0.2">
      <c r="A1408" s="73" t="s">
        <v>285</v>
      </c>
      <c r="B1408" s="77" t="s">
        <v>1541</v>
      </c>
      <c r="C1408" s="74" t="s">
        <v>1892</v>
      </c>
      <c r="D1408" s="74" t="s">
        <v>987</v>
      </c>
      <c r="E1408" s="78" t="s">
        <v>106</v>
      </c>
      <c r="F1408" s="76" t="s">
        <v>1594</v>
      </c>
      <c r="G1408" s="75" t="s">
        <v>579</v>
      </c>
      <c r="H1408" s="70"/>
      <c r="P1408" s="70">
        <f t="shared" si="21"/>
        <v>0</v>
      </c>
      <c r="Q1408" s="70" cm="1">
        <f t="array" ref="Q1408">IF(P1408=1,IF(SUMPRODUCT(($P$2:P1408)*(--($G$2:G1408=$G1408)))=1,1,0),0)</f>
        <v>0</v>
      </c>
      <c r="R1408" s="70" t="str">
        <f>IF(Q1408=1,SUM($Q$2:Q1408),"")</f>
        <v/>
      </c>
    </row>
    <row r="1409" spans="1:18" ht="16" x14ac:dyDescent="0.2">
      <c r="A1409" s="73" t="s">
        <v>285</v>
      </c>
      <c r="B1409" s="77" t="s">
        <v>1541</v>
      </c>
      <c r="C1409" s="74" t="s">
        <v>1892</v>
      </c>
      <c r="D1409" s="74" t="s">
        <v>987</v>
      </c>
      <c r="E1409" s="78" t="s">
        <v>106</v>
      </c>
      <c r="F1409" s="76" t="s">
        <v>1595</v>
      </c>
      <c r="G1409" s="75" t="s">
        <v>579</v>
      </c>
      <c r="H1409" s="70"/>
      <c r="P1409" s="70">
        <f t="shared" si="21"/>
        <v>0</v>
      </c>
      <c r="Q1409" s="70" cm="1">
        <f t="array" ref="Q1409">IF(P1409=1,IF(SUMPRODUCT(($P$2:P1409)*(--($G$2:G1409=$G1409)))=1,1,0),0)</f>
        <v>0</v>
      </c>
      <c r="R1409" s="70" t="str">
        <f>IF(Q1409=1,SUM($Q$2:Q1409),"")</f>
        <v/>
      </c>
    </row>
    <row r="1410" spans="1:18" ht="16" x14ac:dyDescent="0.2">
      <c r="A1410" s="73" t="s">
        <v>285</v>
      </c>
      <c r="B1410" s="77" t="s">
        <v>1541</v>
      </c>
      <c r="C1410" s="74" t="s">
        <v>1892</v>
      </c>
      <c r="D1410" s="74" t="s">
        <v>987</v>
      </c>
      <c r="E1410" s="78" t="s">
        <v>106</v>
      </c>
      <c r="F1410" s="76" t="s">
        <v>1666</v>
      </c>
      <c r="G1410" s="75" t="s">
        <v>579</v>
      </c>
      <c r="H1410" s="70"/>
      <c r="P1410" s="70">
        <f t="shared" si="21"/>
        <v>0</v>
      </c>
      <c r="Q1410" s="70" cm="1">
        <f t="array" ref="Q1410">IF(P1410=1,IF(SUMPRODUCT(($P$2:P1410)*(--($G$2:G1410=$G1410)))=1,1,0),0)</f>
        <v>0</v>
      </c>
      <c r="R1410" s="70" t="str">
        <f>IF(Q1410=1,SUM($Q$2:Q1410),"")</f>
        <v/>
      </c>
    </row>
    <row r="1411" spans="1:18" ht="16" x14ac:dyDescent="0.2">
      <c r="A1411" s="73" t="s">
        <v>285</v>
      </c>
      <c r="B1411" s="77" t="s">
        <v>1541</v>
      </c>
      <c r="C1411" s="74" t="s">
        <v>1892</v>
      </c>
      <c r="D1411" s="74" t="s">
        <v>987</v>
      </c>
      <c r="E1411" s="78" t="s">
        <v>106</v>
      </c>
      <c r="F1411" s="76" t="s">
        <v>1667</v>
      </c>
      <c r="G1411" s="75" t="s">
        <v>579</v>
      </c>
      <c r="H1411" s="70"/>
      <c r="P1411" s="70">
        <f t="shared" ref="P1411:P1474" si="22">IF(AND(IF(TRIM($J$2&amp;"")="",TRUE,LEFT($D1411,LEN($J$2))=$J$2),IF(TRIM($K$2&amp;"")="",TRUE,$E1411=$K$2),IF($L$2="",TRUE,$F1411=$L$2)),1,0)</f>
        <v>0</v>
      </c>
      <c r="Q1411" s="70" cm="1">
        <f t="array" ref="Q1411">IF(P1411=1,IF(SUMPRODUCT(($P$2:P1411)*(--($G$2:G1411=$G1411)))=1,1,0),0)</f>
        <v>0</v>
      </c>
      <c r="R1411" s="70" t="str">
        <f>IF(Q1411=1,SUM($Q$2:Q1411),"")</f>
        <v/>
      </c>
    </row>
    <row r="1412" spans="1:18" ht="16" x14ac:dyDescent="0.2">
      <c r="A1412" s="73" t="s">
        <v>285</v>
      </c>
      <c r="B1412" s="77" t="s">
        <v>1541</v>
      </c>
      <c r="C1412" s="74" t="s">
        <v>1892</v>
      </c>
      <c r="D1412" s="74" t="s">
        <v>987</v>
      </c>
      <c r="E1412" s="78" t="s">
        <v>106</v>
      </c>
      <c r="F1412" s="76" t="s">
        <v>1668</v>
      </c>
      <c r="G1412" s="75" t="s">
        <v>579</v>
      </c>
      <c r="H1412" s="70"/>
      <c r="P1412" s="70">
        <f t="shared" si="22"/>
        <v>0</v>
      </c>
      <c r="Q1412" s="70" cm="1">
        <f t="array" ref="Q1412">IF(P1412=1,IF(SUMPRODUCT(($P$2:P1412)*(--($G$2:G1412=$G1412)))=1,1,0),0)</f>
        <v>0</v>
      </c>
      <c r="R1412" s="70" t="str">
        <f>IF(Q1412=1,SUM($Q$2:Q1412),"")</f>
        <v/>
      </c>
    </row>
    <row r="1413" spans="1:18" ht="16" x14ac:dyDescent="0.2">
      <c r="A1413" s="73" t="s">
        <v>285</v>
      </c>
      <c r="B1413" s="77" t="s">
        <v>1541</v>
      </c>
      <c r="C1413" s="74" t="s">
        <v>1892</v>
      </c>
      <c r="D1413" s="74" t="s">
        <v>987</v>
      </c>
      <c r="E1413" s="78" t="s">
        <v>106</v>
      </c>
      <c r="F1413" s="76" t="s">
        <v>1669</v>
      </c>
      <c r="G1413" s="75" t="s">
        <v>579</v>
      </c>
      <c r="H1413" s="70"/>
      <c r="P1413" s="70">
        <f t="shared" si="22"/>
        <v>0</v>
      </c>
      <c r="Q1413" s="70" cm="1">
        <f t="array" ref="Q1413">IF(P1413=1,IF(SUMPRODUCT(($P$2:P1413)*(--($G$2:G1413=$G1413)))=1,1,0),0)</f>
        <v>0</v>
      </c>
      <c r="R1413" s="70" t="str">
        <f>IF(Q1413=1,SUM($Q$2:Q1413),"")</f>
        <v/>
      </c>
    </row>
    <row r="1414" spans="1:18" ht="16" x14ac:dyDescent="0.2">
      <c r="A1414" s="73" t="s">
        <v>285</v>
      </c>
      <c r="B1414" s="77" t="s">
        <v>1541</v>
      </c>
      <c r="C1414" s="74" t="s">
        <v>1892</v>
      </c>
      <c r="D1414" s="74" t="s">
        <v>987</v>
      </c>
      <c r="E1414" s="78" t="s">
        <v>97</v>
      </c>
      <c r="F1414" s="76" t="s">
        <v>285</v>
      </c>
      <c r="G1414" s="75" t="s">
        <v>581</v>
      </c>
      <c r="H1414" s="70"/>
      <c r="P1414" s="70">
        <f t="shared" si="22"/>
        <v>0</v>
      </c>
      <c r="Q1414" s="70" cm="1">
        <f t="array" ref="Q1414">IF(P1414=1,IF(SUMPRODUCT(($P$2:P1414)*(--($G$2:G1414=$G1414)))=1,1,0),0)</f>
        <v>0</v>
      </c>
      <c r="R1414" s="70" t="str">
        <f>IF(Q1414=1,SUM($Q$2:Q1414),"")</f>
        <v/>
      </c>
    </row>
    <row r="1415" spans="1:18" ht="16" x14ac:dyDescent="0.2">
      <c r="A1415" s="73" t="s">
        <v>285</v>
      </c>
      <c r="B1415" s="77" t="s">
        <v>1541</v>
      </c>
      <c r="C1415" s="74" t="s">
        <v>1892</v>
      </c>
      <c r="D1415" s="74" t="s">
        <v>987</v>
      </c>
      <c r="E1415" s="78" t="s">
        <v>97</v>
      </c>
      <c r="F1415" s="76" t="s">
        <v>1595</v>
      </c>
      <c r="G1415" s="75" t="s">
        <v>581</v>
      </c>
      <c r="H1415" s="70"/>
      <c r="P1415" s="70">
        <f t="shared" si="22"/>
        <v>0</v>
      </c>
      <c r="Q1415" s="70" cm="1">
        <f t="array" ref="Q1415">IF(P1415=1,IF(SUMPRODUCT(($P$2:P1415)*(--($G$2:G1415=$G1415)))=1,1,0),0)</f>
        <v>0</v>
      </c>
      <c r="R1415" s="70" t="str">
        <f>IF(Q1415=1,SUM($Q$2:Q1415),"")</f>
        <v/>
      </c>
    </row>
    <row r="1416" spans="1:18" ht="16" x14ac:dyDescent="0.2">
      <c r="A1416" s="73" t="s">
        <v>285</v>
      </c>
      <c r="B1416" s="77" t="s">
        <v>1541</v>
      </c>
      <c r="C1416" s="74" t="s">
        <v>1892</v>
      </c>
      <c r="D1416" s="74" t="s">
        <v>987</v>
      </c>
      <c r="E1416" s="78" t="s">
        <v>97</v>
      </c>
      <c r="F1416" s="76" t="s">
        <v>1593</v>
      </c>
      <c r="G1416" s="75" t="s">
        <v>581</v>
      </c>
      <c r="H1416" s="70"/>
      <c r="P1416" s="70">
        <f t="shared" si="22"/>
        <v>0</v>
      </c>
      <c r="Q1416" s="70" cm="1">
        <f t="array" ref="Q1416">IF(P1416=1,IF(SUMPRODUCT(($P$2:P1416)*(--($G$2:G1416=$G1416)))=1,1,0),0)</f>
        <v>0</v>
      </c>
      <c r="R1416" s="70" t="str">
        <f>IF(Q1416=1,SUM($Q$2:Q1416),"")</f>
        <v/>
      </c>
    </row>
    <row r="1417" spans="1:18" ht="16" x14ac:dyDescent="0.2">
      <c r="A1417" s="73" t="s">
        <v>285</v>
      </c>
      <c r="B1417" s="77" t="s">
        <v>1541</v>
      </c>
      <c r="C1417" s="74" t="s">
        <v>1892</v>
      </c>
      <c r="D1417" s="74" t="s">
        <v>987</v>
      </c>
      <c r="E1417" s="78" t="s">
        <v>97</v>
      </c>
      <c r="F1417" s="76" t="s">
        <v>1594</v>
      </c>
      <c r="G1417" s="75" t="s">
        <v>581</v>
      </c>
      <c r="H1417" s="70"/>
      <c r="P1417" s="70">
        <f t="shared" si="22"/>
        <v>0</v>
      </c>
      <c r="Q1417" s="70" cm="1">
        <f t="array" ref="Q1417">IF(P1417=1,IF(SUMPRODUCT(($P$2:P1417)*(--($G$2:G1417=$G1417)))=1,1,0),0)</f>
        <v>0</v>
      </c>
      <c r="R1417" s="70" t="str">
        <f>IF(Q1417=1,SUM($Q$2:Q1417),"")</f>
        <v/>
      </c>
    </row>
    <row r="1418" spans="1:18" ht="16" x14ac:dyDescent="0.2">
      <c r="A1418" s="73" t="s">
        <v>285</v>
      </c>
      <c r="B1418" s="77" t="s">
        <v>1541</v>
      </c>
      <c r="C1418" s="74" t="s">
        <v>1892</v>
      </c>
      <c r="D1418" s="74" t="s">
        <v>987</v>
      </c>
      <c r="E1418" s="78" t="s">
        <v>97</v>
      </c>
      <c r="F1418" s="76" t="s">
        <v>1819</v>
      </c>
      <c r="G1418" s="75" t="s">
        <v>1223</v>
      </c>
      <c r="H1418" s="70"/>
      <c r="P1418" s="70">
        <f t="shared" si="22"/>
        <v>0</v>
      </c>
      <c r="Q1418" s="70" cm="1">
        <f t="array" ref="Q1418">IF(P1418=1,IF(SUMPRODUCT(($P$2:P1418)*(--($G$2:G1418=$G1418)))=1,1,0),0)</f>
        <v>0</v>
      </c>
      <c r="R1418" s="70" t="str">
        <f>IF(Q1418=1,SUM($Q$2:Q1418),"")</f>
        <v/>
      </c>
    </row>
    <row r="1419" spans="1:18" ht="16" x14ac:dyDescent="0.2">
      <c r="A1419" s="73" t="s">
        <v>285</v>
      </c>
      <c r="B1419" s="77" t="s">
        <v>1541</v>
      </c>
      <c r="C1419" s="74" t="s">
        <v>1892</v>
      </c>
      <c r="D1419" s="74" t="s">
        <v>987</v>
      </c>
      <c r="E1419" s="78" t="s">
        <v>97</v>
      </c>
      <c r="F1419" s="76" t="s">
        <v>1820</v>
      </c>
      <c r="G1419" s="75" t="s">
        <v>1223</v>
      </c>
      <c r="H1419" s="70"/>
      <c r="P1419" s="70">
        <f t="shared" si="22"/>
        <v>0</v>
      </c>
      <c r="Q1419" s="70" cm="1">
        <f t="array" ref="Q1419">IF(P1419=1,IF(SUMPRODUCT(($P$2:P1419)*(--($G$2:G1419=$G1419)))=1,1,0),0)</f>
        <v>0</v>
      </c>
      <c r="R1419" s="70" t="str">
        <f>IF(Q1419=1,SUM($Q$2:Q1419),"")</f>
        <v/>
      </c>
    </row>
    <row r="1420" spans="1:18" ht="16" x14ac:dyDescent="0.2">
      <c r="A1420" s="73" t="s">
        <v>285</v>
      </c>
      <c r="B1420" s="77" t="s">
        <v>1541</v>
      </c>
      <c r="C1420" s="74" t="s">
        <v>1892</v>
      </c>
      <c r="D1420" s="74" t="s">
        <v>987</v>
      </c>
      <c r="E1420" s="78" t="s">
        <v>97</v>
      </c>
      <c r="F1420" s="76" t="s">
        <v>1821</v>
      </c>
      <c r="G1420" s="75" t="s">
        <v>1293</v>
      </c>
      <c r="H1420" s="70"/>
      <c r="P1420" s="70">
        <f t="shared" si="22"/>
        <v>0</v>
      </c>
      <c r="Q1420" s="70" cm="1">
        <f t="array" ref="Q1420">IF(P1420=1,IF(SUMPRODUCT(($P$2:P1420)*(--($G$2:G1420=$G1420)))=1,1,0),0)</f>
        <v>0</v>
      </c>
      <c r="R1420" s="70" t="str">
        <f>IF(Q1420=1,SUM($Q$2:Q1420),"")</f>
        <v/>
      </c>
    </row>
    <row r="1421" spans="1:18" ht="16" x14ac:dyDescent="0.2">
      <c r="A1421" s="73" t="s">
        <v>285</v>
      </c>
      <c r="B1421" s="77" t="s">
        <v>1541</v>
      </c>
      <c r="C1421" s="74" t="s">
        <v>1892</v>
      </c>
      <c r="D1421" s="74" t="s">
        <v>987</v>
      </c>
      <c r="E1421" s="78" t="s">
        <v>97</v>
      </c>
      <c r="F1421" s="76" t="s">
        <v>1822</v>
      </c>
      <c r="G1421" s="75" t="s">
        <v>1293</v>
      </c>
      <c r="H1421" s="70"/>
      <c r="P1421" s="70">
        <f t="shared" si="22"/>
        <v>0</v>
      </c>
      <c r="Q1421" s="70" cm="1">
        <f t="array" ref="Q1421">IF(P1421=1,IF(SUMPRODUCT(($P$2:P1421)*(--($G$2:G1421=$G1421)))=1,1,0),0)</f>
        <v>0</v>
      </c>
      <c r="R1421" s="70" t="str">
        <f>IF(Q1421=1,SUM($Q$2:Q1421),"")</f>
        <v/>
      </c>
    </row>
    <row r="1422" spans="1:18" ht="16" x14ac:dyDescent="0.2">
      <c r="A1422" s="73" t="s">
        <v>285</v>
      </c>
      <c r="B1422" s="77" t="s">
        <v>1541</v>
      </c>
      <c r="C1422" s="74" t="s">
        <v>1892</v>
      </c>
      <c r="D1422" s="74" t="s">
        <v>987</v>
      </c>
      <c r="E1422" s="78" t="s">
        <v>97</v>
      </c>
      <c r="F1422" s="76" t="s">
        <v>1596</v>
      </c>
      <c r="G1422" s="75" t="s">
        <v>964</v>
      </c>
      <c r="H1422" s="70"/>
      <c r="P1422" s="70">
        <f t="shared" si="22"/>
        <v>0</v>
      </c>
      <c r="Q1422" s="70" cm="1">
        <f t="array" ref="Q1422">IF(P1422=1,IF(SUMPRODUCT(($P$2:P1422)*(--($G$2:G1422=$G1422)))=1,1,0),0)</f>
        <v>0</v>
      </c>
      <c r="R1422" s="70" t="str">
        <f>IF(Q1422=1,SUM($Q$2:Q1422),"")</f>
        <v/>
      </c>
    </row>
    <row r="1423" spans="1:18" ht="16" x14ac:dyDescent="0.2">
      <c r="A1423" s="73" t="s">
        <v>285</v>
      </c>
      <c r="B1423" s="77" t="s">
        <v>1541</v>
      </c>
      <c r="C1423" s="74" t="s">
        <v>1892</v>
      </c>
      <c r="D1423" s="74" t="s">
        <v>987</v>
      </c>
      <c r="E1423" s="78" t="s">
        <v>97</v>
      </c>
      <c r="F1423" s="76" t="s">
        <v>1730</v>
      </c>
      <c r="G1423" s="75" t="s">
        <v>963</v>
      </c>
      <c r="H1423" s="70"/>
      <c r="P1423" s="70">
        <f t="shared" si="22"/>
        <v>0</v>
      </c>
      <c r="Q1423" s="70" cm="1">
        <f t="array" ref="Q1423">IF(P1423=1,IF(SUMPRODUCT(($P$2:P1423)*(--($G$2:G1423=$G1423)))=1,1,0),0)</f>
        <v>0</v>
      </c>
      <c r="R1423" s="70" t="str">
        <f>IF(Q1423=1,SUM($Q$2:Q1423),"")</f>
        <v/>
      </c>
    </row>
    <row r="1424" spans="1:18" ht="16" x14ac:dyDescent="0.2">
      <c r="A1424" s="73" t="s">
        <v>285</v>
      </c>
      <c r="B1424" s="77" t="s">
        <v>1541</v>
      </c>
      <c r="C1424" s="74" t="s">
        <v>1892</v>
      </c>
      <c r="D1424" s="74" t="s">
        <v>987</v>
      </c>
      <c r="E1424" s="78" t="s">
        <v>97</v>
      </c>
      <c r="F1424" s="76" t="s">
        <v>1597</v>
      </c>
      <c r="G1424" s="75" t="s">
        <v>964</v>
      </c>
      <c r="H1424" s="70"/>
      <c r="P1424" s="70">
        <f t="shared" si="22"/>
        <v>0</v>
      </c>
      <c r="Q1424" s="70" cm="1">
        <f t="array" ref="Q1424">IF(P1424=1,IF(SUMPRODUCT(($P$2:P1424)*(--($G$2:G1424=$G1424)))=1,1,0),0)</f>
        <v>0</v>
      </c>
      <c r="R1424" s="70" t="str">
        <f>IF(Q1424=1,SUM($Q$2:Q1424),"")</f>
        <v/>
      </c>
    </row>
    <row r="1425" spans="1:18" ht="16" x14ac:dyDescent="0.2">
      <c r="A1425" s="73" t="s">
        <v>285</v>
      </c>
      <c r="B1425" s="77" t="s">
        <v>1541</v>
      </c>
      <c r="C1425" s="74" t="s">
        <v>1892</v>
      </c>
      <c r="D1425" s="74" t="s">
        <v>987</v>
      </c>
      <c r="E1425" s="78" t="s">
        <v>97</v>
      </c>
      <c r="F1425" s="76" t="s">
        <v>1731</v>
      </c>
      <c r="G1425" s="75" t="s">
        <v>963</v>
      </c>
      <c r="H1425" s="70"/>
      <c r="P1425" s="70">
        <f t="shared" si="22"/>
        <v>0</v>
      </c>
      <c r="Q1425" s="70" cm="1">
        <f t="array" ref="Q1425">IF(P1425=1,IF(SUMPRODUCT(($P$2:P1425)*(--($G$2:G1425=$G1425)))=1,1,0),0)</f>
        <v>0</v>
      </c>
      <c r="R1425" s="70" t="str">
        <f>IF(Q1425=1,SUM($Q$2:Q1425),"")</f>
        <v/>
      </c>
    </row>
    <row r="1426" spans="1:18" x14ac:dyDescent="0.2">
      <c r="A1426" s="73" t="s">
        <v>1539</v>
      </c>
      <c r="B1426" s="85" t="s">
        <v>1544</v>
      </c>
      <c r="C1426" s="74" t="s">
        <v>1892</v>
      </c>
      <c r="D1426" s="74" t="s">
        <v>987</v>
      </c>
      <c r="E1426" s="78" t="s">
        <v>97</v>
      </c>
      <c r="F1426" s="76" t="s">
        <v>231</v>
      </c>
      <c r="G1426" s="76" t="s">
        <v>1222</v>
      </c>
      <c r="H1426" s="70"/>
      <c r="P1426" s="70">
        <f t="shared" si="22"/>
        <v>0</v>
      </c>
      <c r="Q1426" s="70" cm="1">
        <f t="array" ref="Q1426">IF(P1426=1,IF(SUMPRODUCT(($P$2:P1426)*(--($G$2:G1426=$G1426)))=1,1,0),0)</f>
        <v>0</v>
      </c>
      <c r="R1426" s="70" t="str">
        <f>IF(Q1426=1,SUM($Q$2:Q1426),"")</f>
        <v/>
      </c>
    </row>
    <row r="1427" spans="1:18" ht="16" x14ac:dyDescent="0.2">
      <c r="A1427" s="73" t="s">
        <v>407</v>
      </c>
      <c r="B1427" s="85" t="s">
        <v>1824</v>
      </c>
      <c r="C1427" s="74" t="s">
        <v>1893</v>
      </c>
      <c r="D1427" s="74" t="s">
        <v>979</v>
      </c>
      <c r="E1427" s="78" t="s">
        <v>97</v>
      </c>
      <c r="F1427" s="76" t="s">
        <v>407</v>
      </c>
      <c r="G1427" s="75" t="s">
        <v>611</v>
      </c>
      <c r="H1427" s="70"/>
      <c r="P1427" s="70">
        <f t="shared" si="22"/>
        <v>0</v>
      </c>
      <c r="Q1427" s="70" cm="1">
        <f t="array" ref="Q1427">IF(P1427=1,IF(SUMPRODUCT(($P$2:P1427)*(--($G$2:G1427=$G1427)))=1,1,0),0)</f>
        <v>0</v>
      </c>
      <c r="R1427" s="70" t="str">
        <f>IF(Q1427=1,SUM($Q$2:Q1427),"")</f>
        <v/>
      </c>
    </row>
    <row r="1428" spans="1:18" ht="16" x14ac:dyDescent="0.2">
      <c r="A1428" s="73" t="s">
        <v>407</v>
      </c>
      <c r="B1428" s="85" t="s">
        <v>1824</v>
      </c>
      <c r="C1428" s="74" t="s">
        <v>1893</v>
      </c>
      <c r="D1428" s="74" t="s">
        <v>979</v>
      </c>
      <c r="E1428" s="78" t="s">
        <v>97</v>
      </c>
      <c r="F1428" s="76" t="s">
        <v>1780</v>
      </c>
      <c r="G1428" s="75" t="s">
        <v>611</v>
      </c>
      <c r="H1428" s="70"/>
      <c r="P1428" s="70">
        <f t="shared" si="22"/>
        <v>0</v>
      </c>
      <c r="Q1428" s="70" cm="1">
        <f t="array" ref="Q1428">IF(P1428=1,IF(SUMPRODUCT(($P$2:P1428)*(--($G$2:G1428=$G1428)))=1,1,0),0)</f>
        <v>0</v>
      </c>
      <c r="R1428" s="70" t="str">
        <f>IF(Q1428=1,SUM($Q$2:Q1428),"")</f>
        <v/>
      </c>
    </row>
    <row r="1429" spans="1:18" ht="16" x14ac:dyDescent="0.2">
      <c r="A1429" s="73" t="s">
        <v>407</v>
      </c>
      <c r="B1429" s="85" t="s">
        <v>1824</v>
      </c>
      <c r="C1429" s="74" t="s">
        <v>1893</v>
      </c>
      <c r="D1429" s="74" t="s">
        <v>979</v>
      </c>
      <c r="E1429" s="78" t="s">
        <v>97</v>
      </c>
      <c r="F1429" s="76" t="s">
        <v>1781</v>
      </c>
      <c r="G1429" s="75" t="s">
        <v>611</v>
      </c>
      <c r="H1429" s="70"/>
      <c r="P1429" s="70">
        <f t="shared" si="22"/>
        <v>0</v>
      </c>
      <c r="Q1429" s="70" cm="1">
        <f t="array" ref="Q1429">IF(P1429=1,IF(SUMPRODUCT(($P$2:P1429)*(--($G$2:G1429=$G1429)))=1,1,0),0)</f>
        <v>0</v>
      </c>
      <c r="R1429" s="70" t="str">
        <f>IF(Q1429=1,SUM($Q$2:Q1429),"")</f>
        <v/>
      </c>
    </row>
    <row r="1430" spans="1:18" ht="16" x14ac:dyDescent="0.2">
      <c r="A1430" s="73" t="s">
        <v>407</v>
      </c>
      <c r="B1430" s="85" t="s">
        <v>1824</v>
      </c>
      <c r="C1430" s="74" t="s">
        <v>1893</v>
      </c>
      <c r="D1430" s="74" t="s">
        <v>979</v>
      </c>
      <c r="E1430" s="78" t="s">
        <v>97</v>
      </c>
      <c r="F1430" s="76" t="s">
        <v>1841</v>
      </c>
      <c r="G1430" s="75" t="s">
        <v>611</v>
      </c>
      <c r="H1430" s="70"/>
      <c r="P1430" s="70">
        <f t="shared" si="22"/>
        <v>0</v>
      </c>
      <c r="Q1430" s="70" cm="1">
        <f t="array" ref="Q1430">IF(P1430=1,IF(SUMPRODUCT(($P$2:P1430)*(--($G$2:G1430=$G1430)))=1,1,0),0)</f>
        <v>0</v>
      </c>
      <c r="R1430" s="70" t="str">
        <f>IF(Q1430=1,SUM($Q$2:Q1430),"")</f>
        <v/>
      </c>
    </row>
    <row r="1431" spans="1:18" ht="16" x14ac:dyDescent="0.2">
      <c r="A1431" s="73" t="s">
        <v>407</v>
      </c>
      <c r="B1431" s="85" t="s">
        <v>1824</v>
      </c>
      <c r="C1431" s="74" t="s">
        <v>1893</v>
      </c>
      <c r="D1431" s="74" t="s">
        <v>979</v>
      </c>
      <c r="E1431" s="78" t="s">
        <v>97</v>
      </c>
      <c r="F1431" s="76" t="s">
        <v>1842</v>
      </c>
      <c r="G1431" s="75" t="s">
        <v>611</v>
      </c>
      <c r="H1431" s="70"/>
      <c r="P1431" s="70">
        <f t="shared" si="22"/>
        <v>0</v>
      </c>
      <c r="Q1431" s="70" cm="1">
        <f t="array" ref="Q1431">IF(P1431=1,IF(SUMPRODUCT(($P$2:P1431)*(--($G$2:G1431=$G1431)))=1,1,0),0)</f>
        <v>0</v>
      </c>
      <c r="R1431" s="70" t="str">
        <f>IF(Q1431=1,SUM($Q$2:Q1431),"")</f>
        <v/>
      </c>
    </row>
    <row r="1432" spans="1:18" ht="16" x14ac:dyDescent="0.2">
      <c r="A1432" s="73" t="s">
        <v>407</v>
      </c>
      <c r="B1432" s="85" t="s">
        <v>1824</v>
      </c>
      <c r="C1432" s="74" t="s">
        <v>1893</v>
      </c>
      <c r="D1432" s="74" t="s">
        <v>979</v>
      </c>
      <c r="E1432" s="78" t="s">
        <v>97</v>
      </c>
      <c r="F1432" s="76" t="s">
        <v>1782</v>
      </c>
      <c r="G1432" s="75" t="s">
        <v>611</v>
      </c>
      <c r="H1432" s="70"/>
      <c r="P1432" s="70">
        <f t="shared" si="22"/>
        <v>0</v>
      </c>
      <c r="Q1432" s="70" cm="1">
        <f t="array" ref="Q1432">IF(P1432=1,IF(SUMPRODUCT(($P$2:P1432)*(--($G$2:G1432=$G1432)))=1,1,0),0)</f>
        <v>0</v>
      </c>
      <c r="R1432" s="70" t="str">
        <f>IF(Q1432=1,SUM($Q$2:Q1432),"")</f>
        <v/>
      </c>
    </row>
    <row r="1433" spans="1:18" ht="16" x14ac:dyDescent="0.2">
      <c r="A1433" s="73" t="s">
        <v>407</v>
      </c>
      <c r="B1433" s="85" t="s">
        <v>1824</v>
      </c>
      <c r="C1433" s="74" t="s">
        <v>1893</v>
      </c>
      <c r="D1433" s="74" t="s">
        <v>979</v>
      </c>
      <c r="E1433" s="78" t="s">
        <v>97</v>
      </c>
      <c r="F1433" s="76" t="s">
        <v>1783</v>
      </c>
      <c r="G1433" s="75" t="s">
        <v>611</v>
      </c>
      <c r="H1433" s="70"/>
      <c r="P1433" s="70">
        <f t="shared" si="22"/>
        <v>0</v>
      </c>
      <c r="Q1433" s="70" cm="1">
        <f t="array" ref="Q1433">IF(P1433=1,IF(SUMPRODUCT(($P$2:P1433)*(--($G$2:G1433=$G1433)))=1,1,0),0)</f>
        <v>0</v>
      </c>
      <c r="R1433" s="70" t="str">
        <f>IF(Q1433=1,SUM($Q$2:Q1433),"")</f>
        <v/>
      </c>
    </row>
    <row r="1434" spans="1:18" ht="16" x14ac:dyDescent="0.2">
      <c r="A1434" s="73" t="s">
        <v>407</v>
      </c>
      <c r="B1434" s="85" t="s">
        <v>1824</v>
      </c>
      <c r="C1434" s="74" t="s">
        <v>1893</v>
      </c>
      <c r="D1434" s="74" t="s">
        <v>979</v>
      </c>
      <c r="E1434" s="78" t="s">
        <v>97</v>
      </c>
      <c r="F1434" s="76" t="s">
        <v>1843</v>
      </c>
      <c r="G1434" s="75" t="s">
        <v>611</v>
      </c>
      <c r="H1434" s="70"/>
      <c r="P1434" s="70">
        <f t="shared" si="22"/>
        <v>0</v>
      </c>
      <c r="Q1434" s="70" cm="1">
        <f t="array" ref="Q1434">IF(P1434=1,IF(SUMPRODUCT(($P$2:P1434)*(--($G$2:G1434=$G1434)))=1,1,0),0)</f>
        <v>0</v>
      </c>
      <c r="R1434" s="70" t="str">
        <f>IF(Q1434=1,SUM($Q$2:Q1434),"")</f>
        <v/>
      </c>
    </row>
    <row r="1435" spans="1:18" ht="16" x14ac:dyDescent="0.2">
      <c r="A1435" s="73" t="s">
        <v>407</v>
      </c>
      <c r="B1435" s="85" t="s">
        <v>1824</v>
      </c>
      <c r="C1435" s="74" t="s">
        <v>1893</v>
      </c>
      <c r="D1435" s="74" t="s">
        <v>979</v>
      </c>
      <c r="E1435" s="78" t="s">
        <v>97</v>
      </c>
      <c r="F1435" s="76" t="s">
        <v>1784</v>
      </c>
      <c r="G1435" s="75" t="s">
        <v>611</v>
      </c>
      <c r="H1435" s="70"/>
      <c r="P1435" s="70">
        <f t="shared" si="22"/>
        <v>0</v>
      </c>
      <c r="Q1435" s="70" cm="1">
        <f t="array" ref="Q1435">IF(P1435=1,IF(SUMPRODUCT(($P$2:P1435)*(--($G$2:G1435=$G1435)))=1,1,0),0)</f>
        <v>0</v>
      </c>
      <c r="R1435" s="70" t="str">
        <f>IF(Q1435=1,SUM($Q$2:Q1435),"")</f>
        <v/>
      </c>
    </row>
    <row r="1436" spans="1:18" ht="16" x14ac:dyDescent="0.2">
      <c r="A1436" s="73" t="s">
        <v>407</v>
      </c>
      <c r="B1436" s="85" t="s">
        <v>1824</v>
      </c>
      <c r="C1436" s="74" t="s">
        <v>1893</v>
      </c>
      <c r="D1436" s="74" t="s">
        <v>979</v>
      </c>
      <c r="E1436" s="78" t="s">
        <v>97</v>
      </c>
      <c r="F1436" s="76" t="s">
        <v>416</v>
      </c>
      <c r="G1436" s="75" t="s">
        <v>611</v>
      </c>
      <c r="H1436" s="70"/>
      <c r="P1436" s="70">
        <f t="shared" si="22"/>
        <v>0</v>
      </c>
      <c r="Q1436" s="70" cm="1">
        <f t="array" ref="Q1436">IF(P1436=1,IF(SUMPRODUCT(($P$2:P1436)*(--($G$2:G1436=$G1436)))=1,1,0),0)</f>
        <v>0</v>
      </c>
      <c r="R1436" s="70" t="str">
        <f>IF(Q1436=1,SUM($Q$2:Q1436),"")</f>
        <v/>
      </c>
    </row>
    <row r="1437" spans="1:18" ht="16" x14ac:dyDescent="0.2">
      <c r="A1437" s="73" t="s">
        <v>407</v>
      </c>
      <c r="B1437" s="85" t="s">
        <v>1824</v>
      </c>
      <c r="C1437" s="74" t="s">
        <v>1893</v>
      </c>
      <c r="D1437" s="74" t="s">
        <v>979</v>
      </c>
      <c r="E1437" s="78" t="s">
        <v>97</v>
      </c>
      <c r="F1437" s="76" t="s">
        <v>1844</v>
      </c>
      <c r="G1437" s="75" t="s">
        <v>611</v>
      </c>
      <c r="H1437" s="70"/>
      <c r="P1437" s="70">
        <f t="shared" si="22"/>
        <v>0</v>
      </c>
      <c r="Q1437" s="70" cm="1">
        <f t="array" ref="Q1437">IF(P1437=1,IF(SUMPRODUCT(($P$2:P1437)*(--($G$2:G1437=$G1437)))=1,1,0),0)</f>
        <v>0</v>
      </c>
      <c r="R1437" s="70" t="str">
        <f>IF(Q1437=1,SUM($Q$2:Q1437),"")</f>
        <v/>
      </c>
    </row>
    <row r="1438" spans="1:18" ht="16" x14ac:dyDescent="0.2">
      <c r="A1438" s="73" t="s">
        <v>407</v>
      </c>
      <c r="B1438" s="85" t="s">
        <v>1824</v>
      </c>
      <c r="C1438" s="74" t="s">
        <v>1893</v>
      </c>
      <c r="D1438" s="74" t="s">
        <v>979</v>
      </c>
      <c r="E1438" s="78" t="s">
        <v>97</v>
      </c>
      <c r="F1438" s="76" t="s">
        <v>421</v>
      </c>
      <c r="G1438" s="75" t="s">
        <v>611</v>
      </c>
      <c r="H1438" s="70"/>
      <c r="P1438" s="70">
        <f t="shared" si="22"/>
        <v>0</v>
      </c>
      <c r="Q1438" s="70" cm="1">
        <f t="array" ref="Q1438">IF(P1438=1,IF(SUMPRODUCT(($P$2:P1438)*(--($G$2:G1438=$G1438)))=1,1,0),0)</f>
        <v>0</v>
      </c>
      <c r="R1438" s="70" t="str">
        <f>IF(Q1438=1,SUM($Q$2:Q1438),"")</f>
        <v/>
      </c>
    </row>
    <row r="1439" spans="1:18" ht="16" x14ac:dyDescent="0.2">
      <c r="A1439" s="73" t="s">
        <v>407</v>
      </c>
      <c r="B1439" s="85" t="s">
        <v>1824</v>
      </c>
      <c r="C1439" s="74" t="s">
        <v>1893</v>
      </c>
      <c r="D1439" s="74" t="s">
        <v>979</v>
      </c>
      <c r="E1439" s="78" t="s">
        <v>97</v>
      </c>
      <c r="F1439" s="76" t="s">
        <v>1845</v>
      </c>
      <c r="G1439" s="75" t="s">
        <v>611</v>
      </c>
      <c r="H1439" s="70"/>
      <c r="P1439" s="70">
        <f t="shared" si="22"/>
        <v>0</v>
      </c>
      <c r="Q1439" s="70" cm="1">
        <f t="array" ref="Q1439">IF(P1439=1,IF(SUMPRODUCT(($P$2:P1439)*(--($G$2:G1439=$G1439)))=1,1,0),0)</f>
        <v>0</v>
      </c>
      <c r="R1439" s="70" t="str">
        <f>IF(Q1439=1,SUM($Q$2:Q1439),"")</f>
        <v/>
      </c>
    </row>
    <row r="1440" spans="1:18" ht="16" x14ac:dyDescent="0.2">
      <c r="A1440" s="73" t="s">
        <v>407</v>
      </c>
      <c r="B1440" s="85" t="s">
        <v>1824</v>
      </c>
      <c r="C1440" s="74" t="s">
        <v>1893</v>
      </c>
      <c r="D1440" s="74" t="s">
        <v>979</v>
      </c>
      <c r="E1440" s="78" t="s">
        <v>97</v>
      </c>
      <c r="F1440" s="76" t="s">
        <v>1785</v>
      </c>
      <c r="G1440" s="75" t="s">
        <v>613</v>
      </c>
      <c r="H1440" s="70"/>
      <c r="P1440" s="70">
        <f t="shared" si="22"/>
        <v>0</v>
      </c>
      <c r="Q1440" s="70" cm="1">
        <f t="array" ref="Q1440">IF(P1440=1,IF(SUMPRODUCT(($P$2:P1440)*(--($G$2:G1440=$G1440)))=1,1,0),0)</f>
        <v>0</v>
      </c>
      <c r="R1440" s="70" t="str">
        <f>IF(Q1440=1,SUM($Q$2:Q1440),"")</f>
        <v/>
      </c>
    </row>
    <row r="1441" spans="1:18" ht="16" x14ac:dyDescent="0.2">
      <c r="A1441" s="73" t="s">
        <v>407</v>
      </c>
      <c r="B1441" s="85" t="s">
        <v>1824</v>
      </c>
      <c r="C1441" s="74" t="s">
        <v>1893</v>
      </c>
      <c r="D1441" s="74" t="s">
        <v>979</v>
      </c>
      <c r="E1441" s="78" t="s">
        <v>97</v>
      </c>
      <c r="F1441" s="76" t="s">
        <v>1788</v>
      </c>
      <c r="G1441" s="75" t="s">
        <v>613</v>
      </c>
      <c r="H1441" s="70"/>
      <c r="P1441" s="70">
        <f t="shared" si="22"/>
        <v>0</v>
      </c>
      <c r="Q1441" s="70" cm="1">
        <f t="array" ref="Q1441">IF(P1441=1,IF(SUMPRODUCT(($P$2:P1441)*(--($G$2:G1441=$G1441)))=1,1,0),0)</f>
        <v>0</v>
      </c>
      <c r="R1441" s="70" t="str">
        <f>IF(Q1441=1,SUM($Q$2:Q1441),"")</f>
        <v/>
      </c>
    </row>
    <row r="1442" spans="1:18" ht="16" x14ac:dyDescent="0.2">
      <c r="A1442" s="73" t="s">
        <v>407</v>
      </c>
      <c r="B1442" s="85" t="s">
        <v>1824</v>
      </c>
      <c r="C1442" s="74" t="s">
        <v>1893</v>
      </c>
      <c r="D1442" s="74" t="s">
        <v>979</v>
      </c>
      <c r="E1442" s="78" t="s">
        <v>97</v>
      </c>
      <c r="F1442" s="76" t="s">
        <v>1789</v>
      </c>
      <c r="G1442" s="75" t="s">
        <v>613</v>
      </c>
      <c r="H1442" s="70"/>
      <c r="P1442" s="70">
        <f t="shared" si="22"/>
        <v>0</v>
      </c>
      <c r="Q1442" s="70" cm="1">
        <f t="array" ref="Q1442">IF(P1442=1,IF(SUMPRODUCT(($P$2:P1442)*(--($G$2:G1442=$G1442)))=1,1,0),0)</f>
        <v>0</v>
      </c>
      <c r="R1442" s="70" t="str">
        <f>IF(Q1442=1,SUM($Q$2:Q1442),"")</f>
        <v/>
      </c>
    </row>
    <row r="1443" spans="1:18" ht="16" x14ac:dyDescent="0.2">
      <c r="A1443" s="73" t="s">
        <v>407</v>
      </c>
      <c r="B1443" s="85" t="s">
        <v>1824</v>
      </c>
      <c r="C1443" s="74" t="s">
        <v>1893</v>
      </c>
      <c r="D1443" s="74" t="s">
        <v>979</v>
      </c>
      <c r="E1443" s="78" t="s">
        <v>97</v>
      </c>
      <c r="F1443" s="76" t="s">
        <v>1790</v>
      </c>
      <c r="G1443" s="75" t="s">
        <v>613</v>
      </c>
      <c r="H1443" s="70"/>
      <c r="P1443" s="70">
        <f t="shared" si="22"/>
        <v>0</v>
      </c>
      <c r="Q1443" s="70" cm="1">
        <f t="array" ref="Q1443">IF(P1443=1,IF(SUMPRODUCT(($P$2:P1443)*(--($G$2:G1443=$G1443)))=1,1,0),0)</f>
        <v>0</v>
      </c>
      <c r="R1443" s="70" t="str">
        <f>IF(Q1443=1,SUM($Q$2:Q1443),"")</f>
        <v/>
      </c>
    </row>
    <row r="1444" spans="1:18" ht="16" x14ac:dyDescent="0.2">
      <c r="A1444" s="73" t="s">
        <v>407</v>
      </c>
      <c r="B1444" s="85" t="s">
        <v>1824</v>
      </c>
      <c r="C1444" s="74" t="s">
        <v>1893</v>
      </c>
      <c r="D1444" s="74" t="s">
        <v>979</v>
      </c>
      <c r="E1444" s="78" t="s">
        <v>97</v>
      </c>
      <c r="F1444" s="76" t="s">
        <v>1846</v>
      </c>
      <c r="G1444" s="75" t="s">
        <v>613</v>
      </c>
      <c r="H1444" s="70"/>
      <c r="P1444" s="70">
        <f t="shared" si="22"/>
        <v>0</v>
      </c>
      <c r="Q1444" s="70" cm="1">
        <f t="array" ref="Q1444">IF(P1444=1,IF(SUMPRODUCT(($P$2:P1444)*(--($G$2:G1444=$G1444)))=1,1,0),0)</f>
        <v>0</v>
      </c>
      <c r="R1444" s="70" t="str">
        <f>IF(Q1444=1,SUM($Q$2:Q1444),"")</f>
        <v/>
      </c>
    </row>
    <row r="1445" spans="1:18" ht="16" x14ac:dyDescent="0.2">
      <c r="A1445" s="73" t="s">
        <v>407</v>
      </c>
      <c r="B1445" s="85" t="s">
        <v>1824</v>
      </c>
      <c r="C1445" s="74" t="s">
        <v>1893</v>
      </c>
      <c r="D1445" s="74" t="s">
        <v>979</v>
      </c>
      <c r="E1445" s="78" t="s">
        <v>97</v>
      </c>
      <c r="F1445" s="76" t="s">
        <v>1847</v>
      </c>
      <c r="G1445" s="75" t="s">
        <v>613</v>
      </c>
      <c r="H1445" s="70"/>
      <c r="P1445" s="70">
        <f t="shared" si="22"/>
        <v>0</v>
      </c>
      <c r="Q1445" s="70" cm="1">
        <f t="array" ref="Q1445">IF(P1445=1,IF(SUMPRODUCT(($P$2:P1445)*(--($G$2:G1445=$G1445)))=1,1,0),0)</f>
        <v>0</v>
      </c>
      <c r="R1445" s="70" t="str">
        <f>IF(Q1445=1,SUM($Q$2:Q1445),"")</f>
        <v/>
      </c>
    </row>
    <row r="1446" spans="1:18" ht="16" x14ac:dyDescent="0.2">
      <c r="A1446" s="73" t="s">
        <v>407</v>
      </c>
      <c r="B1446" s="85" t="s">
        <v>1824</v>
      </c>
      <c r="C1446" s="74" t="s">
        <v>1893</v>
      </c>
      <c r="D1446" s="74" t="s">
        <v>979</v>
      </c>
      <c r="E1446" s="78" t="s">
        <v>97</v>
      </c>
      <c r="F1446" s="76" t="s">
        <v>1786</v>
      </c>
      <c r="G1446" s="75" t="s">
        <v>613</v>
      </c>
      <c r="H1446" s="70"/>
      <c r="P1446" s="70">
        <f t="shared" si="22"/>
        <v>0</v>
      </c>
      <c r="Q1446" s="70" cm="1">
        <f t="array" ref="Q1446">IF(P1446=1,IF(SUMPRODUCT(($P$2:P1446)*(--($G$2:G1446=$G1446)))=1,1,0),0)</f>
        <v>0</v>
      </c>
      <c r="R1446" s="70" t="str">
        <f>IF(Q1446=1,SUM($Q$2:Q1446),"")</f>
        <v/>
      </c>
    </row>
    <row r="1447" spans="1:18" ht="16" x14ac:dyDescent="0.2">
      <c r="A1447" s="73" t="s">
        <v>407</v>
      </c>
      <c r="B1447" s="85" t="s">
        <v>1824</v>
      </c>
      <c r="C1447" s="74" t="s">
        <v>1893</v>
      </c>
      <c r="D1447" s="74" t="s">
        <v>979</v>
      </c>
      <c r="E1447" s="78" t="s">
        <v>97</v>
      </c>
      <c r="F1447" s="76" t="s">
        <v>1787</v>
      </c>
      <c r="G1447" s="75" t="s">
        <v>613</v>
      </c>
      <c r="H1447" s="70"/>
      <c r="P1447" s="70">
        <f t="shared" si="22"/>
        <v>0</v>
      </c>
      <c r="Q1447" s="70" cm="1">
        <f t="array" ref="Q1447">IF(P1447=1,IF(SUMPRODUCT(($P$2:P1447)*(--($G$2:G1447=$G1447)))=1,1,0),0)</f>
        <v>0</v>
      </c>
      <c r="R1447" s="70" t="str">
        <f>IF(Q1447=1,SUM($Q$2:Q1447),"")</f>
        <v/>
      </c>
    </row>
    <row r="1448" spans="1:18" ht="16" x14ac:dyDescent="0.2">
      <c r="A1448" s="73" t="s">
        <v>407</v>
      </c>
      <c r="B1448" s="85" t="s">
        <v>1824</v>
      </c>
      <c r="C1448" s="74" t="s">
        <v>1893</v>
      </c>
      <c r="D1448" s="74" t="s">
        <v>979</v>
      </c>
      <c r="E1448" s="78" t="s">
        <v>97</v>
      </c>
      <c r="F1448" s="76" t="s">
        <v>1848</v>
      </c>
      <c r="G1448" s="75" t="s">
        <v>613</v>
      </c>
      <c r="H1448" s="70"/>
      <c r="P1448" s="70">
        <f t="shared" si="22"/>
        <v>0</v>
      </c>
      <c r="Q1448" s="70" cm="1">
        <f t="array" ref="Q1448">IF(P1448=1,IF(SUMPRODUCT(($P$2:P1448)*(--($G$2:G1448=$G1448)))=1,1,0),0)</f>
        <v>0</v>
      </c>
      <c r="R1448" s="70" t="str">
        <f>IF(Q1448=1,SUM($Q$2:Q1448),"")</f>
        <v/>
      </c>
    </row>
    <row r="1449" spans="1:18" ht="16" x14ac:dyDescent="0.2">
      <c r="A1449" s="73" t="s">
        <v>407</v>
      </c>
      <c r="B1449" s="85" t="s">
        <v>1824</v>
      </c>
      <c r="C1449" s="74" t="s">
        <v>1893</v>
      </c>
      <c r="D1449" s="74" t="s">
        <v>979</v>
      </c>
      <c r="E1449" s="78" t="s">
        <v>97</v>
      </c>
      <c r="F1449" s="76" t="s">
        <v>1849</v>
      </c>
      <c r="G1449" s="75" t="s">
        <v>613</v>
      </c>
      <c r="H1449" s="70"/>
      <c r="P1449" s="70">
        <f t="shared" si="22"/>
        <v>0</v>
      </c>
      <c r="Q1449" s="70" cm="1">
        <f t="array" ref="Q1449">IF(P1449=1,IF(SUMPRODUCT(($P$2:P1449)*(--($G$2:G1449=$G1449)))=1,1,0),0)</f>
        <v>0</v>
      </c>
      <c r="R1449" s="70" t="str">
        <f>IF(Q1449=1,SUM($Q$2:Q1449),"")</f>
        <v/>
      </c>
    </row>
    <row r="1450" spans="1:18" ht="16" x14ac:dyDescent="0.2">
      <c r="A1450" s="73" t="s">
        <v>407</v>
      </c>
      <c r="B1450" s="85" t="s">
        <v>1824</v>
      </c>
      <c r="C1450" s="74" t="s">
        <v>1893</v>
      </c>
      <c r="D1450" s="74" t="s">
        <v>979</v>
      </c>
      <c r="E1450" s="78" t="s">
        <v>97</v>
      </c>
      <c r="F1450" s="76" t="s">
        <v>1850</v>
      </c>
      <c r="G1450" s="75" t="s">
        <v>613</v>
      </c>
      <c r="H1450" s="70"/>
      <c r="P1450" s="70">
        <f t="shared" si="22"/>
        <v>0</v>
      </c>
      <c r="Q1450" s="70" cm="1">
        <f t="array" ref="Q1450">IF(P1450=1,IF(SUMPRODUCT(($P$2:P1450)*(--($G$2:G1450=$G1450)))=1,1,0),0)</f>
        <v>0</v>
      </c>
      <c r="R1450" s="70" t="str">
        <f>IF(Q1450=1,SUM($Q$2:Q1450),"")</f>
        <v/>
      </c>
    </row>
    <row r="1451" spans="1:18" ht="16" x14ac:dyDescent="0.2">
      <c r="A1451" s="73" t="s">
        <v>407</v>
      </c>
      <c r="B1451" s="85" t="s">
        <v>1824</v>
      </c>
      <c r="C1451" s="74" t="s">
        <v>1893</v>
      </c>
      <c r="D1451" s="74" t="s">
        <v>979</v>
      </c>
      <c r="E1451" s="78" t="s">
        <v>97</v>
      </c>
      <c r="F1451" s="76" t="s">
        <v>1851</v>
      </c>
      <c r="G1451" s="75" t="s">
        <v>613</v>
      </c>
      <c r="H1451" s="70"/>
      <c r="P1451" s="70">
        <f t="shared" si="22"/>
        <v>0</v>
      </c>
      <c r="Q1451" s="70" cm="1">
        <f t="array" ref="Q1451">IF(P1451=1,IF(SUMPRODUCT(($P$2:P1451)*(--($G$2:G1451=$G1451)))=1,1,0),0)</f>
        <v>0</v>
      </c>
      <c r="R1451" s="70" t="str">
        <f>IF(Q1451=1,SUM($Q$2:Q1451),"")</f>
        <v/>
      </c>
    </row>
    <row r="1452" spans="1:18" x14ac:dyDescent="0.2">
      <c r="A1452" s="73" t="s">
        <v>1539</v>
      </c>
      <c r="B1452" s="77" t="s">
        <v>1541</v>
      </c>
      <c r="C1452" s="74" t="s">
        <v>1893</v>
      </c>
      <c r="D1452" s="74" t="s">
        <v>979</v>
      </c>
      <c r="E1452" s="78" t="s">
        <v>97</v>
      </c>
      <c r="F1452" s="76" t="s">
        <v>231</v>
      </c>
      <c r="G1452" s="86" t="s">
        <v>526</v>
      </c>
      <c r="H1452" s="70"/>
      <c r="P1452" s="70">
        <f t="shared" si="22"/>
        <v>0</v>
      </c>
      <c r="Q1452" s="70" cm="1">
        <f t="array" ref="Q1452">IF(P1452=1,IF(SUMPRODUCT(($P$2:P1452)*(--($G$2:G1452=$G1452)))=1,1,0),0)</f>
        <v>0</v>
      </c>
      <c r="R1452" s="70" t="str">
        <f>IF(Q1452=1,SUM($Q$2:Q1452),"")</f>
        <v/>
      </c>
    </row>
    <row r="1453" spans="1:18" ht="16" x14ac:dyDescent="0.2">
      <c r="A1453" s="73" t="s">
        <v>407</v>
      </c>
      <c r="B1453" s="77" t="s">
        <v>1541</v>
      </c>
      <c r="C1453" s="74" t="s">
        <v>1893</v>
      </c>
      <c r="D1453" s="74" t="s">
        <v>979</v>
      </c>
      <c r="E1453" s="78" t="s">
        <v>106</v>
      </c>
      <c r="F1453" s="76" t="s">
        <v>1773</v>
      </c>
      <c r="G1453" s="75" t="s">
        <v>530</v>
      </c>
      <c r="H1453" s="70"/>
      <c r="P1453" s="70">
        <f t="shared" si="22"/>
        <v>0</v>
      </c>
      <c r="Q1453" s="70" cm="1">
        <f t="array" ref="Q1453">IF(P1453=1,IF(SUMPRODUCT(($P$2:P1453)*(--($G$2:G1453=$G1453)))=1,1,0),0)</f>
        <v>0</v>
      </c>
      <c r="R1453" s="70" t="str">
        <f>IF(Q1453=1,SUM($Q$2:Q1453),"")</f>
        <v/>
      </c>
    </row>
    <row r="1454" spans="1:18" ht="16" x14ac:dyDescent="0.2">
      <c r="A1454" s="73" t="s">
        <v>407</v>
      </c>
      <c r="B1454" s="77" t="s">
        <v>1541</v>
      </c>
      <c r="C1454" s="74" t="s">
        <v>1893</v>
      </c>
      <c r="D1454" s="74" t="s">
        <v>979</v>
      </c>
      <c r="E1454" s="78" t="s">
        <v>106</v>
      </c>
      <c r="F1454" s="76" t="s">
        <v>1775</v>
      </c>
      <c r="G1454" s="75" t="s">
        <v>530</v>
      </c>
      <c r="H1454" s="70"/>
      <c r="P1454" s="70">
        <f t="shared" si="22"/>
        <v>0</v>
      </c>
      <c r="Q1454" s="70" cm="1">
        <f t="array" ref="Q1454">IF(P1454=1,IF(SUMPRODUCT(($P$2:P1454)*(--($G$2:G1454=$G1454)))=1,1,0),0)</f>
        <v>0</v>
      </c>
      <c r="R1454" s="70" t="str">
        <f>IF(Q1454=1,SUM($Q$2:Q1454),"")</f>
        <v/>
      </c>
    </row>
    <row r="1455" spans="1:18" ht="16" x14ac:dyDescent="0.2">
      <c r="A1455" s="73" t="s">
        <v>407</v>
      </c>
      <c r="B1455" s="77" t="s">
        <v>1541</v>
      </c>
      <c r="C1455" s="74" t="s">
        <v>1893</v>
      </c>
      <c r="D1455" s="74" t="s">
        <v>979</v>
      </c>
      <c r="E1455" s="78" t="s">
        <v>106</v>
      </c>
      <c r="F1455" s="76" t="s">
        <v>1774</v>
      </c>
      <c r="G1455" s="75" t="s">
        <v>530</v>
      </c>
      <c r="H1455" s="70"/>
      <c r="P1455" s="70">
        <f t="shared" si="22"/>
        <v>0</v>
      </c>
      <c r="Q1455" s="70" cm="1">
        <f t="array" ref="Q1455">IF(P1455=1,IF(SUMPRODUCT(($P$2:P1455)*(--($G$2:G1455=$G1455)))=1,1,0),0)</f>
        <v>0</v>
      </c>
      <c r="R1455" s="70" t="str">
        <f>IF(Q1455=1,SUM($Q$2:Q1455),"")</f>
        <v/>
      </c>
    </row>
    <row r="1456" spans="1:18" ht="16" x14ac:dyDescent="0.2">
      <c r="A1456" s="73" t="s">
        <v>407</v>
      </c>
      <c r="B1456" s="77" t="s">
        <v>1541</v>
      </c>
      <c r="C1456" s="74" t="s">
        <v>1893</v>
      </c>
      <c r="D1456" s="74" t="s">
        <v>979</v>
      </c>
      <c r="E1456" s="78" t="s">
        <v>106</v>
      </c>
      <c r="F1456" s="76" t="s">
        <v>1868</v>
      </c>
      <c r="G1456" s="75" t="s">
        <v>530</v>
      </c>
      <c r="H1456" s="70"/>
      <c r="P1456" s="70">
        <f t="shared" si="22"/>
        <v>0</v>
      </c>
      <c r="Q1456" s="70" cm="1">
        <f t="array" ref="Q1456">IF(P1456=1,IF(SUMPRODUCT(($P$2:P1456)*(--($G$2:G1456=$G1456)))=1,1,0),0)</f>
        <v>0</v>
      </c>
      <c r="R1456" s="70" t="str">
        <f>IF(Q1456=1,SUM($Q$2:Q1456),"")</f>
        <v/>
      </c>
    </row>
    <row r="1457" spans="1:18" ht="16" x14ac:dyDescent="0.2">
      <c r="A1457" s="73" t="s">
        <v>407</v>
      </c>
      <c r="B1457" s="77" t="s">
        <v>1541</v>
      </c>
      <c r="C1457" s="74" t="s">
        <v>1893</v>
      </c>
      <c r="D1457" s="74" t="s">
        <v>979</v>
      </c>
      <c r="E1457" s="78" t="s">
        <v>106</v>
      </c>
      <c r="F1457" s="76" t="s">
        <v>1776</v>
      </c>
      <c r="G1457" s="75" t="s">
        <v>530</v>
      </c>
      <c r="H1457" s="70"/>
      <c r="P1457" s="70">
        <f t="shared" si="22"/>
        <v>0</v>
      </c>
      <c r="Q1457" s="70" cm="1">
        <f t="array" ref="Q1457">IF(P1457=1,IF(SUMPRODUCT(($P$2:P1457)*(--($G$2:G1457=$G1457)))=1,1,0),0)</f>
        <v>0</v>
      </c>
      <c r="R1457" s="70" t="str">
        <f>IF(Q1457=1,SUM($Q$2:Q1457),"")</f>
        <v/>
      </c>
    </row>
    <row r="1458" spans="1:18" ht="16" x14ac:dyDescent="0.2">
      <c r="A1458" s="73" t="s">
        <v>407</v>
      </c>
      <c r="B1458" s="77" t="s">
        <v>1541</v>
      </c>
      <c r="C1458" s="74" t="s">
        <v>1893</v>
      </c>
      <c r="D1458" s="74" t="s">
        <v>979</v>
      </c>
      <c r="E1458" s="78" t="s">
        <v>106</v>
      </c>
      <c r="F1458" s="76" t="s">
        <v>1777</v>
      </c>
      <c r="G1458" s="75" t="s">
        <v>530</v>
      </c>
      <c r="H1458" s="70"/>
      <c r="P1458" s="70">
        <f t="shared" si="22"/>
        <v>0</v>
      </c>
      <c r="Q1458" s="70" cm="1">
        <f t="array" ref="Q1458">IF(P1458=1,IF(SUMPRODUCT(($P$2:P1458)*(--($G$2:G1458=$G1458)))=1,1,0),0)</f>
        <v>0</v>
      </c>
      <c r="R1458" s="70" t="str">
        <f>IF(Q1458=1,SUM($Q$2:Q1458),"")</f>
        <v/>
      </c>
    </row>
    <row r="1459" spans="1:18" ht="16" x14ac:dyDescent="0.2">
      <c r="A1459" s="73" t="s">
        <v>407</v>
      </c>
      <c r="B1459" s="77" t="s">
        <v>1541</v>
      </c>
      <c r="C1459" s="74" t="s">
        <v>1893</v>
      </c>
      <c r="D1459" s="74" t="s">
        <v>979</v>
      </c>
      <c r="E1459" s="78" t="s">
        <v>106</v>
      </c>
      <c r="F1459" s="76" t="s">
        <v>1778</v>
      </c>
      <c r="G1459" s="75" t="s">
        <v>530</v>
      </c>
      <c r="H1459" s="70"/>
      <c r="P1459" s="70">
        <f t="shared" si="22"/>
        <v>0</v>
      </c>
      <c r="Q1459" s="70" cm="1">
        <f t="array" ref="Q1459">IF(P1459=1,IF(SUMPRODUCT(($P$2:P1459)*(--($G$2:G1459=$G1459)))=1,1,0),0)</f>
        <v>0</v>
      </c>
      <c r="R1459" s="70" t="str">
        <f>IF(Q1459=1,SUM($Q$2:Q1459),"")</f>
        <v/>
      </c>
    </row>
    <row r="1460" spans="1:18" ht="16" x14ac:dyDescent="0.2">
      <c r="A1460" s="73" t="s">
        <v>407</v>
      </c>
      <c r="B1460" s="77" t="s">
        <v>1541</v>
      </c>
      <c r="C1460" s="74" t="s">
        <v>1893</v>
      </c>
      <c r="D1460" s="74" t="s">
        <v>979</v>
      </c>
      <c r="E1460" s="78" t="s">
        <v>106</v>
      </c>
      <c r="F1460" s="76" t="s">
        <v>1779</v>
      </c>
      <c r="G1460" s="75" t="s">
        <v>530</v>
      </c>
      <c r="H1460" s="70"/>
      <c r="P1460" s="70">
        <f t="shared" si="22"/>
        <v>0</v>
      </c>
      <c r="Q1460" s="70" cm="1">
        <f t="array" ref="Q1460">IF(P1460=1,IF(SUMPRODUCT(($P$2:P1460)*(--($G$2:G1460=$G1460)))=1,1,0),0)</f>
        <v>0</v>
      </c>
      <c r="R1460" s="70" t="str">
        <f>IF(Q1460=1,SUM($Q$2:Q1460),"")</f>
        <v/>
      </c>
    </row>
    <row r="1461" spans="1:18" ht="16" x14ac:dyDescent="0.2">
      <c r="A1461" s="73" t="s">
        <v>407</v>
      </c>
      <c r="B1461" s="77" t="s">
        <v>1541</v>
      </c>
      <c r="C1461" s="74" t="s">
        <v>1893</v>
      </c>
      <c r="D1461" s="74" t="s">
        <v>979</v>
      </c>
      <c r="E1461" s="78" t="s">
        <v>106</v>
      </c>
      <c r="F1461" s="76" t="s">
        <v>1773</v>
      </c>
      <c r="G1461" s="75" t="s">
        <v>530</v>
      </c>
      <c r="H1461" s="70"/>
      <c r="P1461" s="70">
        <f t="shared" si="22"/>
        <v>0</v>
      </c>
      <c r="Q1461" s="70" cm="1">
        <f t="array" ref="Q1461">IF(P1461=1,IF(SUMPRODUCT(($P$2:P1461)*(--($G$2:G1461=$G1461)))=1,1,0),0)</f>
        <v>0</v>
      </c>
      <c r="R1461" s="70" t="str">
        <f>IF(Q1461=1,SUM($Q$2:Q1461),"")</f>
        <v/>
      </c>
    </row>
    <row r="1462" spans="1:18" ht="16" x14ac:dyDescent="0.2">
      <c r="A1462" s="73" t="s">
        <v>407</v>
      </c>
      <c r="B1462" s="77" t="s">
        <v>1541</v>
      </c>
      <c r="C1462" s="74" t="s">
        <v>1893</v>
      </c>
      <c r="D1462" s="74" t="s">
        <v>979</v>
      </c>
      <c r="E1462" s="78" t="s">
        <v>106</v>
      </c>
      <c r="F1462" s="76" t="s">
        <v>1775</v>
      </c>
      <c r="G1462" s="75" t="s">
        <v>530</v>
      </c>
      <c r="H1462" s="70"/>
      <c r="P1462" s="70">
        <f t="shared" si="22"/>
        <v>0</v>
      </c>
      <c r="Q1462" s="70" cm="1">
        <f t="array" ref="Q1462">IF(P1462=1,IF(SUMPRODUCT(($P$2:P1462)*(--($G$2:G1462=$G1462)))=1,1,0),0)</f>
        <v>0</v>
      </c>
      <c r="R1462" s="70" t="str">
        <f>IF(Q1462=1,SUM($Q$2:Q1462),"")</f>
        <v/>
      </c>
    </row>
    <row r="1463" spans="1:18" ht="16" x14ac:dyDescent="0.2">
      <c r="A1463" s="73" t="s">
        <v>407</v>
      </c>
      <c r="B1463" s="77" t="s">
        <v>1541</v>
      </c>
      <c r="C1463" s="74" t="s">
        <v>1893</v>
      </c>
      <c r="D1463" s="74" t="s">
        <v>979</v>
      </c>
      <c r="E1463" s="78" t="s">
        <v>106</v>
      </c>
      <c r="F1463" s="76" t="s">
        <v>1774</v>
      </c>
      <c r="G1463" s="75" t="s">
        <v>530</v>
      </c>
      <c r="H1463" s="70"/>
      <c r="P1463" s="70">
        <f t="shared" si="22"/>
        <v>0</v>
      </c>
      <c r="Q1463" s="70" cm="1">
        <f t="array" ref="Q1463">IF(P1463=1,IF(SUMPRODUCT(($P$2:P1463)*(--($G$2:G1463=$G1463)))=1,1,0),0)</f>
        <v>0</v>
      </c>
      <c r="R1463" s="70" t="str">
        <f>IF(Q1463=1,SUM($Q$2:Q1463),"")</f>
        <v/>
      </c>
    </row>
    <row r="1464" spans="1:18" ht="16" x14ac:dyDescent="0.2">
      <c r="A1464" s="73" t="s">
        <v>407</v>
      </c>
      <c r="B1464" s="77" t="s">
        <v>1541</v>
      </c>
      <c r="C1464" s="74" t="s">
        <v>1893</v>
      </c>
      <c r="D1464" s="74" t="s">
        <v>979</v>
      </c>
      <c r="E1464" s="78" t="s">
        <v>106</v>
      </c>
      <c r="F1464" s="76" t="s">
        <v>1868</v>
      </c>
      <c r="G1464" s="75" t="s">
        <v>530</v>
      </c>
      <c r="H1464" s="70"/>
      <c r="P1464" s="70">
        <f t="shared" si="22"/>
        <v>0</v>
      </c>
      <c r="Q1464" s="70" cm="1">
        <f t="array" ref="Q1464">IF(P1464=1,IF(SUMPRODUCT(($P$2:P1464)*(--($G$2:G1464=$G1464)))=1,1,0),0)</f>
        <v>0</v>
      </c>
      <c r="R1464" s="70" t="str">
        <f>IF(Q1464=1,SUM($Q$2:Q1464),"")</f>
        <v/>
      </c>
    </row>
    <row r="1465" spans="1:18" ht="16" x14ac:dyDescent="0.2">
      <c r="A1465" s="73" t="s">
        <v>407</v>
      </c>
      <c r="B1465" s="77" t="s">
        <v>1541</v>
      </c>
      <c r="C1465" s="74" t="s">
        <v>1893</v>
      </c>
      <c r="D1465" s="74" t="s">
        <v>979</v>
      </c>
      <c r="E1465" s="78" t="s">
        <v>106</v>
      </c>
      <c r="F1465" s="76" t="s">
        <v>1776</v>
      </c>
      <c r="G1465" s="75" t="s">
        <v>530</v>
      </c>
      <c r="H1465" s="70"/>
      <c r="P1465" s="70">
        <f t="shared" si="22"/>
        <v>0</v>
      </c>
      <c r="Q1465" s="70" cm="1">
        <f t="array" ref="Q1465">IF(P1465=1,IF(SUMPRODUCT(($P$2:P1465)*(--($G$2:G1465=$G1465)))=1,1,0),0)</f>
        <v>0</v>
      </c>
      <c r="R1465" s="70" t="str">
        <f>IF(Q1465=1,SUM($Q$2:Q1465),"")</f>
        <v/>
      </c>
    </row>
    <row r="1466" spans="1:18" ht="16" x14ac:dyDescent="0.2">
      <c r="A1466" s="73" t="s">
        <v>407</v>
      </c>
      <c r="B1466" s="77" t="s">
        <v>1541</v>
      </c>
      <c r="C1466" s="74" t="s">
        <v>1893</v>
      </c>
      <c r="D1466" s="74" t="s">
        <v>979</v>
      </c>
      <c r="E1466" s="78" t="s">
        <v>106</v>
      </c>
      <c r="F1466" s="76" t="s">
        <v>1777</v>
      </c>
      <c r="G1466" s="75" t="s">
        <v>530</v>
      </c>
      <c r="H1466" s="70"/>
      <c r="P1466" s="70">
        <f t="shared" si="22"/>
        <v>0</v>
      </c>
      <c r="Q1466" s="70" cm="1">
        <f t="array" ref="Q1466">IF(P1466=1,IF(SUMPRODUCT(($P$2:P1466)*(--($G$2:G1466=$G1466)))=1,1,0),0)</f>
        <v>0</v>
      </c>
      <c r="R1466" s="70" t="str">
        <f>IF(Q1466=1,SUM($Q$2:Q1466),"")</f>
        <v/>
      </c>
    </row>
    <row r="1467" spans="1:18" ht="16" x14ac:dyDescent="0.2">
      <c r="A1467" s="73" t="s">
        <v>407</v>
      </c>
      <c r="B1467" s="77" t="s">
        <v>1541</v>
      </c>
      <c r="C1467" s="74" t="s">
        <v>1893</v>
      </c>
      <c r="D1467" s="74" t="s">
        <v>979</v>
      </c>
      <c r="E1467" s="78" t="s">
        <v>106</v>
      </c>
      <c r="F1467" s="76" t="s">
        <v>1778</v>
      </c>
      <c r="G1467" s="75" t="s">
        <v>530</v>
      </c>
      <c r="H1467" s="70"/>
      <c r="P1467" s="70">
        <f t="shared" si="22"/>
        <v>0</v>
      </c>
      <c r="Q1467" s="70" cm="1">
        <f t="array" ref="Q1467">IF(P1467=1,IF(SUMPRODUCT(($P$2:P1467)*(--($G$2:G1467=$G1467)))=1,1,0),0)</f>
        <v>0</v>
      </c>
      <c r="R1467" s="70" t="str">
        <f>IF(Q1467=1,SUM($Q$2:Q1467),"")</f>
        <v/>
      </c>
    </row>
    <row r="1468" spans="1:18" ht="16" x14ac:dyDescent="0.2">
      <c r="A1468" s="73" t="s">
        <v>407</v>
      </c>
      <c r="B1468" s="77" t="s">
        <v>1541</v>
      </c>
      <c r="C1468" s="74" t="s">
        <v>1893</v>
      </c>
      <c r="D1468" s="74" t="s">
        <v>979</v>
      </c>
      <c r="E1468" s="78" t="s">
        <v>106</v>
      </c>
      <c r="F1468" s="76" t="s">
        <v>1779</v>
      </c>
      <c r="G1468" s="75" t="s">
        <v>530</v>
      </c>
      <c r="H1468" s="70"/>
      <c r="P1468" s="70">
        <f t="shared" si="22"/>
        <v>0</v>
      </c>
      <c r="Q1468" s="70" cm="1">
        <f t="array" ref="Q1468">IF(P1468=1,IF(SUMPRODUCT(($P$2:P1468)*(--($G$2:G1468=$G1468)))=1,1,0),0)</f>
        <v>0</v>
      </c>
      <c r="R1468" s="70" t="str">
        <f>IF(Q1468=1,SUM($Q$2:Q1468),"")</f>
        <v/>
      </c>
    </row>
    <row r="1469" spans="1:18" ht="16" x14ac:dyDescent="0.2">
      <c r="A1469" s="73" t="s">
        <v>407</v>
      </c>
      <c r="B1469" s="77" t="s">
        <v>1541</v>
      </c>
      <c r="C1469" s="74" t="s">
        <v>1893</v>
      </c>
      <c r="D1469" s="74" t="s">
        <v>979</v>
      </c>
      <c r="E1469" s="78" t="s">
        <v>97</v>
      </c>
      <c r="F1469" s="76" t="s">
        <v>1825</v>
      </c>
      <c r="G1469" s="75" t="s">
        <v>1285</v>
      </c>
      <c r="H1469" s="70"/>
      <c r="P1469" s="70">
        <f t="shared" si="22"/>
        <v>0</v>
      </c>
      <c r="Q1469" s="70" cm="1">
        <f t="array" ref="Q1469">IF(P1469=1,IF(SUMPRODUCT(($P$2:P1469)*(--($G$2:G1469=$G1469)))=1,1,0),0)</f>
        <v>0</v>
      </c>
      <c r="R1469" s="70" t="str">
        <f>IF(Q1469=1,SUM($Q$2:Q1469),"")</f>
        <v/>
      </c>
    </row>
    <row r="1470" spans="1:18" ht="16" x14ac:dyDescent="0.2">
      <c r="A1470" s="73" t="s">
        <v>407</v>
      </c>
      <c r="B1470" s="77" t="s">
        <v>1541</v>
      </c>
      <c r="C1470" s="74" t="s">
        <v>1893</v>
      </c>
      <c r="D1470" s="74" t="s">
        <v>979</v>
      </c>
      <c r="E1470" s="78" t="s">
        <v>97</v>
      </c>
      <c r="F1470" s="76" t="s">
        <v>1827</v>
      </c>
      <c r="G1470" s="75" t="s">
        <v>1285</v>
      </c>
      <c r="H1470" s="70"/>
      <c r="P1470" s="70">
        <f t="shared" si="22"/>
        <v>0</v>
      </c>
      <c r="Q1470" s="70" cm="1">
        <f t="array" ref="Q1470">IF(P1470=1,IF(SUMPRODUCT(($P$2:P1470)*(--($G$2:G1470=$G1470)))=1,1,0),0)</f>
        <v>0</v>
      </c>
      <c r="R1470" s="70" t="str">
        <f>IF(Q1470=1,SUM($Q$2:Q1470),"")</f>
        <v/>
      </c>
    </row>
    <row r="1471" spans="1:18" ht="16" x14ac:dyDescent="0.2">
      <c r="A1471" s="73" t="s">
        <v>407</v>
      </c>
      <c r="B1471" s="77" t="s">
        <v>1541</v>
      </c>
      <c r="C1471" s="74" t="s">
        <v>1893</v>
      </c>
      <c r="D1471" s="74" t="s">
        <v>979</v>
      </c>
      <c r="E1471" s="78" t="s">
        <v>97</v>
      </c>
      <c r="F1471" s="76" t="s">
        <v>1826</v>
      </c>
      <c r="G1471" s="75" t="s">
        <v>1285</v>
      </c>
      <c r="H1471" s="70"/>
      <c r="P1471" s="70">
        <f t="shared" si="22"/>
        <v>0</v>
      </c>
      <c r="Q1471" s="70" cm="1">
        <f t="array" ref="Q1471">IF(P1471=1,IF(SUMPRODUCT(($P$2:P1471)*(--($G$2:G1471=$G1471)))=1,1,0),0)</f>
        <v>0</v>
      </c>
      <c r="R1471" s="70" t="str">
        <f>IF(Q1471=1,SUM($Q$2:Q1471),"")</f>
        <v/>
      </c>
    </row>
    <row r="1472" spans="1:18" ht="16" x14ac:dyDescent="0.2">
      <c r="A1472" s="73" t="s">
        <v>407</v>
      </c>
      <c r="B1472" s="77" t="s">
        <v>1541</v>
      </c>
      <c r="C1472" s="74" t="s">
        <v>1893</v>
      </c>
      <c r="D1472" s="74" t="s">
        <v>979</v>
      </c>
      <c r="E1472" s="78" t="s">
        <v>97</v>
      </c>
      <c r="F1472" s="76" t="s">
        <v>1829</v>
      </c>
      <c r="G1472" s="75" t="s">
        <v>1286</v>
      </c>
      <c r="H1472" s="70"/>
      <c r="P1472" s="70">
        <f t="shared" si="22"/>
        <v>0</v>
      </c>
      <c r="Q1472" s="70" cm="1">
        <f t="array" ref="Q1472">IF(P1472=1,IF(SUMPRODUCT(($P$2:P1472)*(--($G$2:G1472=$G1472)))=1,1,0),0)</f>
        <v>0</v>
      </c>
      <c r="R1472" s="70" t="str">
        <f>IF(Q1472=1,SUM($Q$2:Q1472),"")</f>
        <v/>
      </c>
    </row>
    <row r="1473" spans="1:18" ht="16" x14ac:dyDescent="0.2">
      <c r="A1473" s="73" t="s">
        <v>407</v>
      </c>
      <c r="B1473" s="77" t="s">
        <v>1541</v>
      </c>
      <c r="C1473" s="74" t="s">
        <v>1893</v>
      </c>
      <c r="D1473" s="74" t="s">
        <v>979</v>
      </c>
      <c r="E1473" s="78" t="s">
        <v>97</v>
      </c>
      <c r="F1473" s="76" t="s">
        <v>1830</v>
      </c>
      <c r="G1473" s="75" t="s">
        <v>1286</v>
      </c>
      <c r="H1473" s="70"/>
      <c r="P1473" s="70">
        <f t="shared" si="22"/>
        <v>0</v>
      </c>
      <c r="Q1473" s="70" cm="1">
        <f t="array" ref="Q1473">IF(P1473=1,IF(SUMPRODUCT(($P$2:P1473)*(--($G$2:G1473=$G1473)))=1,1,0),0)</f>
        <v>0</v>
      </c>
      <c r="R1473" s="70" t="str">
        <f>IF(Q1473=1,SUM($Q$2:Q1473),"")</f>
        <v/>
      </c>
    </row>
    <row r="1474" spans="1:18" ht="16" x14ac:dyDescent="0.2">
      <c r="A1474" s="73" t="s">
        <v>407</v>
      </c>
      <c r="B1474" s="77" t="s">
        <v>1541</v>
      </c>
      <c r="C1474" s="74" t="s">
        <v>1893</v>
      </c>
      <c r="D1474" s="74" t="s">
        <v>979</v>
      </c>
      <c r="E1474" s="78" t="s">
        <v>97</v>
      </c>
      <c r="F1474" s="76" t="s">
        <v>1831</v>
      </c>
      <c r="G1474" s="75" t="s">
        <v>1286</v>
      </c>
      <c r="H1474" s="70"/>
      <c r="P1474" s="70">
        <f t="shared" si="22"/>
        <v>0</v>
      </c>
      <c r="Q1474" s="70" cm="1">
        <f t="array" ref="Q1474">IF(P1474=1,IF(SUMPRODUCT(($P$2:P1474)*(--($G$2:G1474=$G1474)))=1,1,0),0)</f>
        <v>0</v>
      </c>
      <c r="R1474" s="70" t="str">
        <f>IF(Q1474=1,SUM($Q$2:Q1474),"")</f>
        <v/>
      </c>
    </row>
    <row r="1475" spans="1:18" ht="16" x14ac:dyDescent="0.2">
      <c r="A1475" s="73" t="s">
        <v>407</v>
      </c>
      <c r="B1475" s="77" t="s">
        <v>1541</v>
      </c>
      <c r="C1475" s="74" t="s">
        <v>1893</v>
      </c>
      <c r="D1475" s="74" t="s">
        <v>979</v>
      </c>
      <c r="E1475" s="78" t="s">
        <v>97</v>
      </c>
      <c r="F1475" s="76" t="s">
        <v>1828</v>
      </c>
      <c r="G1475" s="75" t="s">
        <v>1285</v>
      </c>
      <c r="H1475" s="70"/>
      <c r="P1475" s="70">
        <f t="shared" ref="P1475:P1538" si="23">IF(AND(IF(TRIM($J$2&amp;"")="",TRUE,LEFT($D1475,LEN($J$2))=$J$2),IF(TRIM($K$2&amp;"")="",TRUE,$E1475=$K$2),IF($L$2="",TRUE,$F1475=$L$2)),1,0)</f>
        <v>0</v>
      </c>
      <c r="Q1475" s="70" cm="1">
        <f t="array" ref="Q1475">IF(P1475=1,IF(SUMPRODUCT(($P$2:P1475)*(--($G$2:G1475=$G1475)))=1,1,0),0)</f>
        <v>0</v>
      </c>
      <c r="R1475" s="70" t="str">
        <f>IF(Q1475=1,SUM($Q$2:Q1475),"")</f>
        <v/>
      </c>
    </row>
    <row r="1476" spans="1:18" ht="16" x14ac:dyDescent="0.2">
      <c r="A1476" s="73" t="s">
        <v>407</v>
      </c>
      <c r="B1476" s="77" t="s">
        <v>1541</v>
      </c>
      <c r="C1476" s="74" t="s">
        <v>1893</v>
      </c>
      <c r="D1476" s="74" t="s">
        <v>979</v>
      </c>
      <c r="E1476" s="78" t="s">
        <v>97</v>
      </c>
      <c r="F1476" s="76" t="s">
        <v>1833</v>
      </c>
      <c r="G1476" s="75" t="s">
        <v>1291</v>
      </c>
      <c r="H1476" s="70"/>
      <c r="P1476" s="70">
        <f t="shared" si="23"/>
        <v>0</v>
      </c>
      <c r="Q1476" s="70" cm="1">
        <f t="array" ref="Q1476">IF(P1476=1,IF(SUMPRODUCT(($P$2:P1476)*(--($G$2:G1476=$G1476)))=1,1,0),0)</f>
        <v>0</v>
      </c>
      <c r="R1476" s="70" t="str">
        <f>IF(Q1476=1,SUM($Q$2:Q1476),"")</f>
        <v/>
      </c>
    </row>
    <row r="1477" spans="1:18" ht="16" x14ac:dyDescent="0.2">
      <c r="A1477" s="73" t="s">
        <v>407</v>
      </c>
      <c r="B1477" s="77" t="s">
        <v>1541</v>
      </c>
      <c r="C1477" s="74" t="s">
        <v>1893</v>
      </c>
      <c r="D1477" s="74" t="s">
        <v>979</v>
      </c>
      <c r="E1477" s="78" t="s">
        <v>97</v>
      </c>
      <c r="F1477" s="76" t="s">
        <v>1835</v>
      </c>
      <c r="G1477" s="75" t="s">
        <v>1291</v>
      </c>
      <c r="H1477" s="70"/>
      <c r="P1477" s="70">
        <f t="shared" si="23"/>
        <v>0</v>
      </c>
      <c r="Q1477" s="70" cm="1">
        <f t="array" ref="Q1477">IF(P1477=1,IF(SUMPRODUCT(($P$2:P1477)*(--($G$2:G1477=$G1477)))=1,1,0),0)</f>
        <v>0</v>
      </c>
      <c r="R1477" s="70" t="str">
        <f>IF(Q1477=1,SUM($Q$2:Q1477),"")</f>
        <v/>
      </c>
    </row>
    <row r="1478" spans="1:18" ht="16" x14ac:dyDescent="0.2">
      <c r="A1478" s="73" t="s">
        <v>407</v>
      </c>
      <c r="B1478" s="77" t="s">
        <v>1541</v>
      </c>
      <c r="C1478" s="74" t="s">
        <v>1893</v>
      </c>
      <c r="D1478" s="74" t="s">
        <v>979</v>
      </c>
      <c r="E1478" s="78" t="s">
        <v>97</v>
      </c>
      <c r="F1478" s="76" t="s">
        <v>1834</v>
      </c>
      <c r="G1478" s="75" t="s">
        <v>1291</v>
      </c>
      <c r="H1478" s="70"/>
      <c r="P1478" s="70">
        <f t="shared" si="23"/>
        <v>0</v>
      </c>
      <c r="Q1478" s="70" cm="1">
        <f t="array" ref="Q1478">IF(P1478=1,IF(SUMPRODUCT(($P$2:P1478)*(--($G$2:G1478=$G1478)))=1,1,0),0)</f>
        <v>0</v>
      </c>
      <c r="R1478" s="70" t="str">
        <f>IF(Q1478=1,SUM($Q$2:Q1478),"")</f>
        <v/>
      </c>
    </row>
    <row r="1479" spans="1:18" ht="16" x14ac:dyDescent="0.2">
      <c r="A1479" s="73" t="s">
        <v>407</v>
      </c>
      <c r="B1479" s="77" t="s">
        <v>1541</v>
      </c>
      <c r="C1479" s="74" t="s">
        <v>1893</v>
      </c>
      <c r="D1479" s="74" t="s">
        <v>979</v>
      </c>
      <c r="E1479" s="78" t="s">
        <v>97</v>
      </c>
      <c r="F1479" s="76" t="s">
        <v>1837</v>
      </c>
      <c r="G1479" s="75" t="s">
        <v>1292</v>
      </c>
      <c r="H1479" s="70"/>
      <c r="P1479" s="70">
        <f t="shared" si="23"/>
        <v>0</v>
      </c>
      <c r="Q1479" s="70" cm="1">
        <f t="array" ref="Q1479">IF(P1479=1,IF(SUMPRODUCT(($P$2:P1479)*(--($G$2:G1479=$G1479)))=1,1,0),0)</f>
        <v>0</v>
      </c>
      <c r="R1479" s="70" t="str">
        <f>IF(Q1479=1,SUM($Q$2:Q1479),"")</f>
        <v/>
      </c>
    </row>
    <row r="1480" spans="1:18" ht="16" x14ac:dyDescent="0.2">
      <c r="A1480" s="73" t="s">
        <v>407</v>
      </c>
      <c r="B1480" s="77" t="s">
        <v>1541</v>
      </c>
      <c r="C1480" s="74" t="s">
        <v>1893</v>
      </c>
      <c r="D1480" s="74" t="s">
        <v>979</v>
      </c>
      <c r="E1480" s="78" t="s">
        <v>97</v>
      </c>
      <c r="F1480" s="76" t="s">
        <v>1838</v>
      </c>
      <c r="G1480" s="75" t="s">
        <v>1292</v>
      </c>
      <c r="H1480" s="70"/>
      <c r="P1480" s="70">
        <f t="shared" si="23"/>
        <v>0</v>
      </c>
      <c r="Q1480" s="70" cm="1">
        <f t="array" ref="Q1480">IF(P1480=1,IF(SUMPRODUCT(($P$2:P1480)*(--($G$2:G1480=$G1480)))=1,1,0),0)</f>
        <v>0</v>
      </c>
      <c r="R1480" s="70" t="str">
        <f>IF(Q1480=1,SUM($Q$2:Q1480),"")</f>
        <v/>
      </c>
    </row>
    <row r="1481" spans="1:18" ht="16" x14ac:dyDescent="0.2">
      <c r="A1481" s="73" t="s">
        <v>407</v>
      </c>
      <c r="B1481" s="77" t="s">
        <v>1541</v>
      </c>
      <c r="C1481" s="74" t="s">
        <v>1893</v>
      </c>
      <c r="D1481" s="74" t="s">
        <v>979</v>
      </c>
      <c r="E1481" s="78" t="s">
        <v>97</v>
      </c>
      <c r="F1481" s="76" t="s">
        <v>1839</v>
      </c>
      <c r="G1481" s="75" t="s">
        <v>1292</v>
      </c>
      <c r="H1481" s="70"/>
      <c r="P1481" s="70">
        <f t="shared" si="23"/>
        <v>0</v>
      </c>
      <c r="Q1481" s="70" cm="1">
        <f t="array" ref="Q1481">IF(P1481=1,IF(SUMPRODUCT(($P$2:P1481)*(--($G$2:G1481=$G1481)))=1,1,0),0)</f>
        <v>0</v>
      </c>
      <c r="R1481" s="70" t="str">
        <f>IF(Q1481=1,SUM($Q$2:Q1481),"")</f>
        <v/>
      </c>
    </row>
    <row r="1482" spans="1:18" ht="16" x14ac:dyDescent="0.2">
      <c r="A1482" s="73" t="s">
        <v>407</v>
      </c>
      <c r="B1482" s="77" t="s">
        <v>1541</v>
      </c>
      <c r="C1482" s="74" t="s">
        <v>1893</v>
      </c>
      <c r="D1482" s="74" t="s">
        <v>979</v>
      </c>
      <c r="E1482" s="78" t="s">
        <v>97</v>
      </c>
      <c r="F1482" s="76" t="s">
        <v>1836</v>
      </c>
      <c r="G1482" s="75" t="s">
        <v>1291</v>
      </c>
      <c r="H1482" s="70"/>
      <c r="P1482" s="70">
        <f t="shared" si="23"/>
        <v>0</v>
      </c>
      <c r="Q1482" s="70" cm="1">
        <f t="array" ref="Q1482">IF(P1482=1,IF(SUMPRODUCT(($P$2:P1482)*(--($G$2:G1482=$G1482)))=1,1,0),0)</f>
        <v>0</v>
      </c>
      <c r="R1482" s="70" t="str">
        <f>IF(Q1482=1,SUM($Q$2:Q1482),"")</f>
        <v/>
      </c>
    </row>
    <row r="1483" spans="1:18" x14ac:dyDescent="0.2">
      <c r="A1483" s="73" t="s">
        <v>407</v>
      </c>
      <c r="B1483" s="85" t="s">
        <v>1824</v>
      </c>
      <c r="C1483" s="74" t="s">
        <v>1893</v>
      </c>
      <c r="D1483" s="74" t="s">
        <v>979</v>
      </c>
      <c r="E1483" s="78" t="s">
        <v>97</v>
      </c>
      <c r="F1483" s="76" t="s">
        <v>411</v>
      </c>
      <c r="G1483" s="76" t="s">
        <v>1266</v>
      </c>
      <c r="H1483" s="70"/>
      <c r="P1483" s="70">
        <f t="shared" si="23"/>
        <v>0</v>
      </c>
      <c r="Q1483" s="70" cm="1">
        <f t="array" ref="Q1483">IF(P1483=1,IF(SUMPRODUCT(($P$2:P1483)*(--($G$2:G1483=$G1483)))=1,1,0),0)</f>
        <v>0</v>
      </c>
      <c r="R1483" s="70" t="str">
        <f>IF(Q1483=1,SUM($Q$2:Q1483),"")</f>
        <v/>
      </c>
    </row>
    <row r="1484" spans="1:18" x14ac:dyDescent="0.2">
      <c r="A1484" s="73" t="s">
        <v>407</v>
      </c>
      <c r="B1484" s="85" t="s">
        <v>1824</v>
      </c>
      <c r="C1484" s="74" t="s">
        <v>1893</v>
      </c>
      <c r="D1484" s="74" t="s">
        <v>979</v>
      </c>
      <c r="E1484" s="78" t="s">
        <v>97</v>
      </c>
      <c r="F1484" s="76" t="s">
        <v>1792</v>
      </c>
      <c r="G1484" s="76" t="s">
        <v>1266</v>
      </c>
      <c r="H1484" s="70"/>
      <c r="P1484" s="70">
        <f t="shared" si="23"/>
        <v>0</v>
      </c>
      <c r="Q1484" s="70" cm="1">
        <f t="array" ref="Q1484">IF(P1484=1,IF(SUMPRODUCT(($P$2:P1484)*(--($G$2:G1484=$G1484)))=1,1,0),0)</f>
        <v>0</v>
      </c>
      <c r="R1484" s="70" t="str">
        <f>IF(Q1484=1,SUM($Q$2:Q1484),"")</f>
        <v/>
      </c>
    </row>
    <row r="1485" spans="1:18" x14ac:dyDescent="0.2">
      <c r="A1485" s="73" t="s">
        <v>407</v>
      </c>
      <c r="B1485" s="85" t="s">
        <v>1824</v>
      </c>
      <c r="C1485" s="74" t="s">
        <v>1893</v>
      </c>
      <c r="D1485" s="74" t="s">
        <v>979</v>
      </c>
      <c r="E1485" s="78" t="s">
        <v>97</v>
      </c>
      <c r="F1485" s="76" t="s">
        <v>1793</v>
      </c>
      <c r="G1485" s="76" t="s">
        <v>1266</v>
      </c>
      <c r="H1485" s="70"/>
      <c r="P1485" s="70">
        <f t="shared" si="23"/>
        <v>0</v>
      </c>
      <c r="Q1485" s="70" cm="1">
        <f t="array" ref="Q1485">IF(P1485=1,IF(SUMPRODUCT(($P$2:P1485)*(--($G$2:G1485=$G1485)))=1,1,0),0)</f>
        <v>0</v>
      </c>
      <c r="R1485" s="70" t="str">
        <f>IF(Q1485=1,SUM($Q$2:Q1485),"")</f>
        <v/>
      </c>
    </row>
    <row r="1486" spans="1:18" x14ac:dyDescent="0.2">
      <c r="A1486" s="73" t="s">
        <v>407</v>
      </c>
      <c r="B1486" s="85" t="s">
        <v>1824</v>
      </c>
      <c r="C1486" s="74" t="s">
        <v>1893</v>
      </c>
      <c r="D1486" s="74" t="s">
        <v>979</v>
      </c>
      <c r="E1486" s="78" t="s">
        <v>97</v>
      </c>
      <c r="F1486" s="76" t="s">
        <v>1794</v>
      </c>
      <c r="G1486" s="76" t="s">
        <v>1266</v>
      </c>
      <c r="H1486" s="70"/>
      <c r="P1486" s="70">
        <f t="shared" si="23"/>
        <v>0</v>
      </c>
      <c r="Q1486" s="70" cm="1">
        <f t="array" ref="Q1486">IF(P1486=1,IF(SUMPRODUCT(($P$2:P1486)*(--($G$2:G1486=$G1486)))=1,1,0),0)</f>
        <v>0</v>
      </c>
      <c r="R1486" s="70" t="str">
        <f>IF(Q1486=1,SUM($Q$2:Q1486),"")</f>
        <v/>
      </c>
    </row>
    <row r="1487" spans="1:18" x14ac:dyDescent="0.2">
      <c r="A1487" s="73" t="s">
        <v>407</v>
      </c>
      <c r="B1487" s="85" t="s">
        <v>1824</v>
      </c>
      <c r="C1487" s="74" t="s">
        <v>1893</v>
      </c>
      <c r="D1487" s="74" t="s">
        <v>979</v>
      </c>
      <c r="E1487" s="78" t="s">
        <v>97</v>
      </c>
      <c r="F1487" s="76" t="s">
        <v>1795</v>
      </c>
      <c r="G1487" s="76" t="s">
        <v>1266</v>
      </c>
      <c r="H1487" s="70"/>
      <c r="P1487" s="70">
        <f t="shared" si="23"/>
        <v>0</v>
      </c>
      <c r="Q1487" s="70" cm="1">
        <f t="array" ref="Q1487">IF(P1487=1,IF(SUMPRODUCT(($P$2:P1487)*(--($G$2:G1487=$G1487)))=1,1,0),0)</f>
        <v>0</v>
      </c>
      <c r="R1487" s="70" t="str">
        <f>IF(Q1487=1,SUM($Q$2:Q1487),"")</f>
        <v/>
      </c>
    </row>
    <row r="1488" spans="1:18" x14ac:dyDescent="0.2">
      <c r="A1488" s="73" t="s">
        <v>407</v>
      </c>
      <c r="B1488" s="85" t="s">
        <v>1824</v>
      </c>
      <c r="C1488" s="74" t="s">
        <v>1893</v>
      </c>
      <c r="D1488" s="74" t="s">
        <v>979</v>
      </c>
      <c r="E1488" s="78" t="s">
        <v>97</v>
      </c>
      <c r="F1488" s="76" t="s">
        <v>1796</v>
      </c>
      <c r="G1488" s="76" t="s">
        <v>1266</v>
      </c>
      <c r="H1488" s="70"/>
      <c r="P1488" s="70">
        <f t="shared" si="23"/>
        <v>0</v>
      </c>
      <c r="Q1488" s="70" cm="1">
        <f t="array" ref="Q1488">IF(P1488=1,IF(SUMPRODUCT(($P$2:P1488)*(--($G$2:G1488=$G1488)))=1,1,0),0)</f>
        <v>0</v>
      </c>
      <c r="R1488" s="70" t="str">
        <f>IF(Q1488=1,SUM($Q$2:Q1488),"")</f>
        <v/>
      </c>
    </row>
    <row r="1489" spans="1:18" x14ac:dyDescent="0.2">
      <c r="A1489" s="73" t="s">
        <v>407</v>
      </c>
      <c r="B1489" s="85" t="s">
        <v>1824</v>
      </c>
      <c r="C1489" s="74" t="s">
        <v>1893</v>
      </c>
      <c r="D1489" s="74" t="s">
        <v>979</v>
      </c>
      <c r="E1489" s="78" t="s">
        <v>97</v>
      </c>
      <c r="F1489" s="76" t="s">
        <v>1797</v>
      </c>
      <c r="G1489" s="76" t="s">
        <v>1266</v>
      </c>
      <c r="H1489" s="70"/>
      <c r="P1489" s="70">
        <f t="shared" si="23"/>
        <v>0</v>
      </c>
      <c r="Q1489" s="70" cm="1">
        <f t="array" ref="Q1489">IF(P1489=1,IF(SUMPRODUCT(($P$2:P1489)*(--($G$2:G1489=$G1489)))=1,1,0),0)</f>
        <v>0</v>
      </c>
      <c r="R1489" s="70" t="str">
        <f>IF(Q1489=1,SUM($Q$2:Q1489),"")</f>
        <v/>
      </c>
    </row>
    <row r="1490" spans="1:18" x14ac:dyDescent="0.2">
      <c r="A1490" s="73" t="s">
        <v>407</v>
      </c>
      <c r="B1490" s="85" t="s">
        <v>1824</v>
      </c>
      <c r="C1490" s="74" t="s">
        <v>1893</v>
      </c>
      <c r="D1490" s="74" t="s">
        <v>979</v>
      </c>
      <c r="E1490" s="78" t="s">
        <v>97</v>
      </c>
      <c r="F1490" s="76" t="s">
        <v>1852</v>
      </c>
      <c r="G1490" s="76" t="s">
        <v>1266</v>
      </c>
      <c r="H1490" s="70"/>
      <c r="P1490" s="70">
        <f t="shared" si="23"/>
        <v>0</v>
      </c>
      <c r="Q1490" s="70" cm="1">
        <f t="array" ref="Q1490">IF(P1490=1,IF(SUMPRODUCT(($P$2:P1490)*(--($G$2:G1490=$G1490)))=1,1,0),0)</f>
        <v>0</v>
      </c>
      <c r="R1490" s="70" t="str">
        <f>IF(Q1490=1,SUM($Q$2:Q1490),"")</f>
        <v/>
      </c>
    </row>
    <row r="1491" spans="1:18" x14ac:dyDescent="0.2">
      <c r="A1491" s="73" t="s">
        <v>407</v>
      </c>
      <c r="B1491" s="85" t="s">
        <v>1824</v>
      </c>
      <c r="C1491" s="74" t="s">
        <v>1893</v>
      </c>
      <c r="D1491" s="74" t="s">
        <v>979</v>
      </c>
      <c r="E1491" s="78" t="s">
        <v>97</v>
      </c>
      <c r="F1491" s="76" t="s">
        <v>1798</v>
      </c>
      <c r="G1491" s="76" t="s">
        <v>1266</v>
      </c>
      <c r="H1491" s="70"/>
      <c r="P1491" s="70">
        <f t="shared" si="23"/>
        <v>0</v>
      </c>
      <c r="Q1491" s="70" cm="1">
        <f t="array" ref="Q1491">IF(P1491=1,IF(SUMPRODUCT(($P$2:P1491)*(--($G$2:G1491=$G1491)))=1,1,0),0)</f>
        <v>0</v>
      </c>
      <c r="R1491" s="70" t="str">
        <f>IF(Q1491=1,SUM($Q$2:Q1491),"")</f>
        <v/>
      </c>
    </row>
    <row r="1492" spans="1:18" x14ac:dyDescent="0.2">
      <c r="A1492" s="73" t="s">
        <v>407</v>
      </c>
      <c r="B1492" s="85" t="s">
        <v>1824</v>
      </c>
      <c r="C1492" s="74" t="s">
        <v>1893</v>
      </c>
      <c r="D1492" s="74" t="s">
        <v>979</v>
      </c>
      <c r="E1492" s="78" t="s">
        <v>97</v>
      </c>
      <c r="F1492" s="76" t="s">
        <v>1853</v>
      </c>
      <c r="G1492" s="76" t="s">
        <v>1266</v>
      </c>
      <c r="H1492" s="70"/>
      <c r="P1492" s="70">
        <f t="shared" si="23"/>
        <v>0</v>
      </c>
      <c r="Q1492" s="70" cm="1">
        <f t="array" ref="Q1492">IF(P1492=1,IF(SUMPRODUCT(($P$2:P1492)*(--($G$2:G1492=$G1492)))=1,1,0),0)</f>
        <v>0</v>
      </c>
      <c r="R1492" s="70" t="str">
        <f>IF(Q1492=1,SUM($Q$2:Q1492),"")</f>
        <v/>
      </c>
    </row>
    <row r="1493" spans="1:18" x14ac:dyDescent="0.2">
      <c r="A1493" s="73" t="s">
        <v>407</v>
      </c>
      <c r="B1493" s="85" t="s">
        <v>1824</v>
      </c>
      <c r="C1493" s="74" t="s">
        <v>1893</v>
      </c>
      <c r="D1493" s="74" t="s">
        <v>979</v>
      </c>
      <c r="E1493" s="78" t="s">
        <v>97</v>
      </c>
      <c r="F1493" s="76" t="s">
        <v>1854</v>
      </c>
      <c r="G1493" s="76" t="s">
        <v>1266</v>
      </c>
      <c r="H1493" s="70"/>
      <c r="P1493" s="70">
        <f t="shared" si="23"/>
        <v>0</v>
      </c>
      <c r="Q1493" s="70" cm="1">
        <f t="array" ref="Q1493">IF(P1493=1,IF(SUMPRODUCT(($P$2:P1493)*(--($G$2:G1493=$G1493)))=1,1,0),0)</f>
        <v>0</v>
      </c>
      <c r="R1493" s="70" t="str">
        <f>IF(Q1493=1,SUM($Q$2:Q1493),"")</f>
        <v/>
      </c>
    </row>
    <row r="1494" spans="1:18" x14ac:dyDescent="0.2">
      <c r="A1494" s="73" t="s">
        <v>407</v>
      </c>
      <c r="B1494" s="85" t="s">
        <v>1824</v>
      </c>
      <c r="C1494" s="74" t="s">
        <v>1893</v>
      </c>
      <c r="D1494" s="74" t="s">
        <v>979</v>
      </c>
      <c r="E1494" s="78" t="s">
        <v>97</v>
      </c>
      <c r="F1494" s="76" t="s">
        <v>1855</v>
      </c>
      <c r="G1494" s="76" t="s">
        <v>1266</v>
      </c>
      <c r="H1494" s="70"/>
      <c r="P1494" s="70">
        <f t="shared" si="23"/>
        <v>0</v>
      </c>
      <c r="Q1494" s="70" cm="1">
        <f t="array" ref="Q1494">IF(P1494=1,IF(SUMPRODUCT(($P$2:P1494)*(--($G$2:G1494=$G1494)))=1,1,0),0)</f>
        <v>0</v>
      </c>
      <c r="R1494" s="70" t="str">
        <f>IF(Q1494=1,SUM($Q$2:Q1494),"")</f>
        <v/>
      </c>
    </row>
    <row r="1495" spans="1:18" x14ac:dyDescent="0.2">
      <c r="A1495" s="73" t="s">
        <v>407</v>
      </c>
      <c r="B1495" s="85" t="s">
        <v>1824</v>
      </c>
      <c r="C1495" s="74" t="s">
        <v>1893</v>
      </c>
      <c r="D1495" s="74" t="s">
        <v>979</v>
      </c>
      <c r="E1495" s="78" t="s">
        <v>97</v>
      </c>
      <c r="F1495" s="76" t="s">
        <v>1856</v>
      </c>
      <c r="G1495" s="76" t="s">
        <v>1266</v>
      </c>
      <c r="H1495" s="70"/>
      <c r="P1495" s="70">
        <f t="shared" si="23"/>
        <v>0</v>
      </c>
      <c r="Q1495" s="70" cm="1">
        <f t="array" ref="Q1495">IF(P1495=1,IF(SUMPRODUCT(($P$2:P1495)*(--($G$2:G1495=$G1495)))=1,1,0),0)</f>
        <v>0</v>
      </c>
      <c r="R1495" s="70" t="str">
        <f>IF(Q1495=1,SUM($Q$2:Q1495),"")</f>
        <v/>
      </c>
    </row>
    <row r="1496" spans="1:18" x14ac:dyDescent="0.2">
      <c r="A1496" s="73" t="s">
        <v>407</v>
      </c>
      <c r="B1496" s="85" t="s">
        <v>1824</v>
      </c>
      <c r="C1496" s="74" t="s">
        <v>1893</v>
      </c>
      <c r="D1496" s="74" t="s">
        <v>979</v>
      </c>
      <c r="E1496" s="78" t="s">
        <v>97</v>
      </c>
      <c r="F1496" s="76" t="s">
        <v>1799</v>
      </c>
      <c r="G1496" s="76" t="s">
        <v>1267</v>
      </c>
      <c r="H1496" s="70"/>
      <c r="P1496" s="70">
        <f t="shared" si="23"/>
        <v>0</v>
      </c>
      <c r="Q1496" s="70" cm="1">
        <f t="array" ref="Q1496">IF(P1496=1,IF(SUMPRODUCT(($P$2:P1496)*(--($G$2:G1496=$G1496)))=1,1,0),0)</f>
        <v>0</v>
      </c>
      <c r="R1496" s="70" t="str">
        <f>IF(Q1496=1,SUM($Q$2:Q1496),"")</f>
        <v/>
      </c>
    </row>
    <row r="1497" spans="1:18" x14ac:dyDescent="0.2">
      <c r="A1497" s="73" t="s">
        <v>407</v>
      </c>
      <c r="B1497" s="85" t="s">
        <v>1824</v>
      </c>
      <c r="C1497" s="74" t="s">
        <v>1893</v>
      </c>
      <c r="D1497" s="74" t="s">
        <v>979</v>
      </c>
      <c r="E1497" s="78" t="s">
        <v>97</v>
      </c>
      <c r="F1497" s="76" t="s">
        <v>1802</v>
      </c>
      <c r="G1497" s="76" t="s">
        <v>1267</v>
      </c>
      <c r="H1497" s="70"/>
      <c r="P1497" s="70">
        <f t="shared" si="23"/>
        <v>0</v>
      </c>
      <c r="Q1497" s="70" cm="1">
        <f t="array" ref="Q1497">IF(P1497=1,IF(SUMPRODUCT(($P$2:P1497)*(--($G$2:G1497=$G1497)))=1,1,0),0)</f>
        <v>0</v>
      </c>
      <c r="R1497" s="70" t="str">
        <f>IF(Q1497=1,SUM($Q$2:Q1497),"")</f>
        <v/>
      </c>
    </row>
    <row r="1498" spans="1:18" x14ac:dyDescent="0.2">
      <c r="A1498" s="73" t="s">
        <v>407</v>
      </c>
      <c r="B1498" s="85" t="s">
        <v>1824</v>
      </c>
      <c r="C1498" s="74" t="s">
        <v>1893</v>
      </c>
      <c r="D1498" s="74" t="s">
        <v>979</v>
      </c>
      <c r="E1498" s="78" t="s">
        <v>97</v>
      </c>
      <c r="F1498" s="76" t="s">
        <v>1803</v>
      </c>
      <c r="G1498" s="76" t="s">
        <v>1267</v>
      </c>
      <c r="H1498" s="70"/>
      <c r="P1498" s="70">
        <f t="shared" si="23"/>
        <v>0</v>
      </c>
      <c r="Q1498" s="70" cm="1">
        <f t="array" ref="Q1498">IF(P1498=1,IF(SUMPRODUCT(($P$2:P1498)*(--($G$2:G1498=$G1498)))=1,1,0),0)</f>
        <v>0</v>
      </c>
      <c r="R1498" s="70" t="str">
        <f>IF(Q1498=1,SUM($Q$2:Q1498),"")</f>
        <v/>
      </c>
    </row>
    <row r="1499" spans="1:18" x14ac:dyDescent="0.2">
      <c r="A1499" s="73" t="s">
        <v>407</v>
      </c>
      <c r="B1499" s="85" t="s">
        <v>1824</v>
      </c>
      <c r="C1499" s="74" t="s">
        <v>1893</v>
      </c>
      <c r="D1499" s="74" t="s">
        <v>979</v>
      </c>
      <c r="E1499" s="78" t="s">
        <v>97</v>
      </c>
      <c r="F1499" s="76" t="s">
        <v>1804</v>
      </c>
      <c r="G1499" s="76" t="s">
        <v>1267</v>
      </c>
      <c r="H1499" s="70"/>
      <c r="P1499" s="70">
        <f t="shared" si="23"/>
        <v>0</v>
      </c>
      <c r="Q1499" s="70" cm="1">
        <f t="array" ref="Q1499">IF(P1499=1,IF(SUMPRODUCT(($P$2:P1499)*(--($G$2:G1499=$G1499)))=1,1,0),0)</f>
        <v>0</v>
      </c>
      <c r="R1499" s="70" t="str">
        <f>IF(Q1499=1,SUM($Q$2:Q1499),"")</f>
        <v/>
      </c>
    </row>
    <row r="1500" spans="1:18" x14ac:dyDescent="0.2">
      <c r="A1500" s="73" t="s">
        <v>407</v>
      </c>
      <c r="B1500" s="85" t="s">
        <v>1824</v>
      </c>
      <c r="C1500" s="74" t="s">
        <v>1893</v>
      </c>
      <c r="D1500" s="74" t="s">
        <v>979</v>
      </c>
      <c r="E1500" s="78" t="s">
        <v>97</v>
      </c>
      <c r="F1500" s="76" t="s">
        <v>1805</v>
      </c>
      <c r="G1500" s="76" t="s">
        <v>1267</v>
      </c>
      <c r="H1500" s="70"/>
      <c r="P1500" s="70">
        <f t="shared" si="23"/>
        <v>0</v>
      </c>
      <c r="Q1500" s="70" cm="1">
        <f t="array" ref="Q1500">IF(P1500=1,IF(SUMPRODUCT(($P$2:P1500)*(--($G$2:G1500=$G1500)))=1,1,0),0)</f>
        <v>0</v>
      </c>
      <c r="R1500" s="70" t="str">
        <f>IF(Q1500=1,SUM($Q$2:Q1500),"")</f>
        <v/>
      </c>
    </row>
    <row r="1501" spans="1:18" x14ac:dyDescent="0.2">
      <c r="A1501" s="73" t="s">
        <v>407</v>
      </c>
      <c r="B1501" s="85" t="s">
        <v>1824</v>
      </c>
      <c r="C1501" s="74" t="s">
        <v>1893</v>
      </c>
      <c r="D1501" s="74" t="s">
        <v>979</v>
      </c>
      <c r="E1501" s="78" t="s">
        <v>97</v>
      </c>
      <c r="F1501" s="76" t="s">
        <v>1857</v>
      </c>
      <c r="G1501" s="76" t="s">
        <v>1267</v>
      </c>
      <c r="H1501" s="70"/>
      <c r="P1501" s="70">
        <f t="shared" si="23"/>
        <v>0</v>
      </c>
      <c r="Q1501" s="70" cm="1">
        <f t="array" ref="Q1501">IF(P1501=1,IF(SUMPRODUCT(($P$2:P1501)*(--($G$2:G1501=$G1501)))=1,1,0),0)</f>
        <v>0</v>
      </c>
      <c r="R1501" s="70" t="str">
        <f>IF(Q1501=1,SUM($Q$2:Q1501),"")</f>
        <v/>
      </c>
    </row>
    <row r="1502" spans="1:18" x14ac:dyDescent="0.2">
      <c r="A1502" s="73" t="s">
        <v>407</v>
      </c>
      <c r="B1502" s="85" t="s">
        <v>1824</v>
      </c>
      <c r="C1502" s="74" t="s">
        <v>1893</v>
      </c>
      <c r="D1502" s="74" t="s">
        <v>979</v>
      </c>
      <c r="E1502" s="78" t="s">
        <v>97</v>
      </c>
      <c r="F1502" s="76" t="s">
        <v>1800</v>
      </c>
      <c r="G1502" s="76" t="s">
        <v>1267</v>
      </c>
      <c r="H1502" s="70"/>
      <c r="P1502" s="70">
        <f t="shared" si="23"/>
        <v>0</v>
      </c>
      <c r="Q1502" s="70" cm="1">
        <f t="array" ref="Q1502">IF(P1502=1,IF(SUMPRODUCT(($P$2:P1502)*(--($G$2:G1502=$G1502)))=1,1,0),0)</f>
        <v>0</v>
      </c>
      <c r="R1502" s="70" t="str">
        <f>IF(Q1502=1,SUM($Q$2:Q1502),"")</f>
        <v/>
      </c>
    </row>
    <row r="1503" spans="1:18" x14ac:dyDescent="0.2">
      <c r="A1503" s="73" t="s">
        <v>407</v>
      </c>
      <c r="B1503" s="85" t="s">
        <v>1824</v>
      </c>
      <c r="C1503" s="74" t="s">
        <v>1893</v>
      </c>
      <c r="D1503" s="74" t="s">
        <v>979</v>
      </c>
      <c r="E1503" s="78" t="s">
        <v>97</v>
      </c>
      <c r="F1503" s="76" t="s">
        <v>1801</v>
      </c>
      <c r="G1503" s="76" t="s">
        <v>1267</v>
      </c>
      <c r="H1503" s="70"/>
      <c r="P1503" s="70">
        <f t="shared" si="23"/>
        <v>0</v>
      </c>
      <c r="Q1503" s="70" cm="1">
        <f t="array" ref="Q1503">IF(P1503=1,IF(SUMPRODUCT(($P$2:P1503)*(--($G$2:G1503=$G1503)))=1,1,0),0)</f>
        <v>0</v>
      </c>
      <c r="R1503" s="70" t="str">
        <f>IF(Q1503=1,SUM($Q$2:Q1503),"")</f>
        <v/>
      </c>
    </row>
    <row r="1504" spans="1:18" x14ac:dyDescent="0.2">
      <c r="A1504" s="73" t="s">
        <v>407</v>
      </c>
      <c r="B1504" s="85" t="s">
        <v>1824</v>
      </c>
      <c r="C1504" s="74" t="s">
        <v>1893</v>
      </c>
      <c r="D1504" s="74" t="s">
        <v>979</v>
      </c>
      <c r="E1504" s="78" t="s">
        <v>97</v>
      </c>
      <c r="F1504" s="76" t="s">
        <v>1858</v>
      </c>
      <c r="G1504" s="76" t="s">
        <v>1267</v>
      </c>
      <c r="H1504" s="70"/>
      <c r="P1504" s="70">
        <f t="shared" si="23"/>
        <v>0</v>
      </c>
      <c r="Q1504" s="70" cm="1">
        <f t="array" ref="Q1504">IF(P1504=1,IF(SUMPRODUCT(($P$2:P1504)*(--($G$2:G1504=$G1504)))=1,1,0),0)</f>
        <v>0</v>
      </c>
      <c r="R1504" s="70" t="str">
        <f>IF(Q1504=1,SUM($Q$2:Q1504),"")</f>
        <v/>
      </c>
    </row>
    <row r="1505" spans="1:18" x14ac:dyDescent="0.2">
      <c r="A1505" s="73" t="s">
        <v>407</v>
      </c>
      <c r="B1505" s="85" t="s">
        <v>1824</v>
      </c>
      <c r="C1505" s="74" t="s">
        <v>1893</v>
      </c>
      <c r="D1505" s="74" t="s">
        <v>979</v>
      </c>
      <c r="E1505" s="78" t="s">
        <v>97</v>
      </c>
      <c r="F1505" s="76" t="s">
        <v>1859</v>
      </c>
      <c r="G1505" s="76" t="s">
        <v>1267</v>
      </c>
      <c r="H1505" s="70"/>
      <c r="P1505" s="70">
        <f t="shared" si="23"/>
        <v>0</v>
      </c>
      <c r="Q1505" s="70" cm="1">
        <f t="array" ref="Q1505">IF(P1505=1,IF(SUMPRODUCT(($P$2:P1505)*(--($G$2:G1505=$G1505)))=1,1,0),0)</f>
        <v>0</v>
      </c>
      <c r="R1505" s="70" t="str">
        <f>IF(Q1505=1,SUM($Q$2:Q1505),"")</f>
        <v/>
      </c>
    </row>
    <row r="1506" spans="1:18" x14ac:dyDescent="0.2">
      <c r="A1506" s="73" t="s">
        <v>407</v>
      </c>
      <c r="B1506" s="85" t="s">
        <v>1824</v>
      </c>
      <c r="C1506" s="74" t="s">
        <v>1893</v>
      </c>
      <c r="D1506" s="74" t="s">
        <v>979</v>
      </c>
      <c r="E1506" s="78" t="s">
        <v>97</v>
      </c>
      <c r="F1506" s="76" t="s">
        <v>1860</v>
      </c>
      <c r="G1506" s="76" t="s">
        <v>1267</v>
      </c>
      <c r="H1506" s="70"/>
      <c r="P1506" s="70">
        <f t="shared" si="23"/>
        <v>0</v>
      </c>
      <c r="Q1506" s="70" cm="1">
        <f t="array" ref="Q1506">IF(P1506=1,IF(SUMPRODUCT(($P$2:P1506)*(--($G$2:G1506=$G1506)))=1,1,0),0)</f>
        <v>0</v>
      </c>
      <c r="R1506" s="70" t="str">
        <f>IF(Q1506=1,SUM($Q$2:Q1506),"")</f>
        <v/>
      </c>
    </row>
    <row r="1507" spans="1:18" x14ac:dyDescent="0.2">
      <c r="A1507" s="73" t="s">
        <v>407</v>
      </c>
      <c r="B1507" s="85" t="s">
        <v>1824</v>
      </c>
      <c r="C1507" s="74" t="s">
        <v>1893</v>
      </c>
      <c r="D1507" s="74" t="s">
        <v>979</v>
      </c>
      <c r="E1507" s="78" t="s">
        <v>97</v>
      </c>
      <c r="F1507" s="76" t="s">
        <v>1861</v>
      </c>
      <c r="G1507" s="76" t="s">
        <v>1267</v>
      </c>
      <c r="H1507" s="70"/>
      <c r="P1507" s="70">
        <f t="shared" si="23"/>
        <v>0</v>
      </c>
      <c r="Q1507" s="70" cm="1">
        <f t="array" ref="Q1507">IF(P1507=1,IF(SUMPRODUCT(($P$2:P1507)*(--($G$2:G1507=$G1507)))=1,1,0),0)</f>
        <v>0</v>
      </c>
      <c r="R1507" s="70" t="str">
        <f>IF(Q1507=1,SUM($Q$2:Q1507),"")</f>
        <v/>
      </c>
    </row>
    <row r="1508" spans="1:18" x14ac:dyDescent="0.2">
      <c r="A1508" s="73" t="s">
        <v>407</v>
      </c>
      <c r="B1508" s="77" t="s">
        <v>1541</v>
      </c>
      <c r="C1508" s="74" t="s">
        <v>1893</v>
      </c>
      <c r="D1508" s="74" t="s">
        <v>979</v>
      </c>
      <c r="E1508" s="78" t="s">
        <v>97</v>
      </c>
      <c r="F1508" s="76" t="s">
        <v>407</v>
      </c>
      <c r="G1508" s="76" t="s">
        <v>1207</v>
      </c>
      <c r="H1508" s="70"/>
      <c r="P1508" s="70">
        <f t="shared" si="23"/>
        <v>0</v>
      </c>
      <c r="Q1508" s="70" cm="1">
        <f t="array" ref="Q1508">IF(P1508=1,IF(SUMPRODUCT(($P$2:P1508)*(--($G$2:G1508=$G1508)))=1,1,0),0)</f>
        <v>0</v>
      </c>
      <c r="R1508" s="70" t="str">
        <f>IF(Q1508=1,SUM($Q$2:Q1508),"")</f>
        <v/>
      </c>
    </row>
    <row r="1509" spans="1:18" x14ac:dyDescent="0.2">
      <c r="A1509" s="73" t="s">
        <v>407</v>
      </c>
      <c r="B1509" s="77" t="s">
        <v>1541</v>
      </c>
      <c r="C1509" s="74" t="s">
        <v>1893</v>
      </c>
      <c r="D1509" s="74" t="s">
        <v>979</v>
      </c>
      <c r="E1509" s="78" t="s">
        <v>97</v>
      </c>
      <c r="F1509" s="76" t="s">
        <v>1780</v>
      </c>
      <c r="G1509" s="76" t="s">
        <v>1207</v>
      </c>
      <c r="H1509" s="70"/>
      <c r="P1509" s="70">
        <f t="shared" si="23"/>
        <v>0</v>
      </c>
      <c r="Q1509" s="70" cm="1">
        <f t="array" ref="Q1509">IF(P1509=1,IF(SUMPRODUCT(($P$2:P1509)*(--($G$2:G1509=$G1509)))=1,1,0),0)</f>
        <v>0</v>
      </c>
      <c r="R1509" s="70" t="str">
        <f>IF(Q1509=1,SUM($Q$2:Q1509),"")</f>
        <v/>
      </c>
    </row>
    <row r="1510" spans="1:18" x14ac:dyDescent="0.2">
      <c r="A1510" s="73" t="s">
        <v>407</v>
      </c>
      <c r="B1510" s="77" t="s">
        <v>1541</v>
      </c>
      <c r="C1510" s="74" t="s">
        <v>1893</v>
      </c>
      <c r="D1510" s="74" t="s">
        <v>979</v>
      </c>
      <c r="E1510" s="78" t="s">
        <v>97</v>
      </c>
      <c r="F1510" s="76" t="s">
        <v>1781</v>
      </c>
      <c r="G1510" s="76" t="s">
        <v>1207</v>
      </c>
      <c r="H1510" s="70"/>
      <c r="P1510" s="70">
        <f t="shared" si="23"/>
        <v>0</v>
      </c>
      <c r="Q1510" s="70" cm="1">
        <f t="array" ref="Q1510">IF(P1510=1,IF(SUMPRODUCT(($P$2:P1510)*(--($G$2:G1510=$G1510)))=1,1,0),0)</f>
        <v>0</v>
      </c>
      <c r="R1510" s="70" t="str">
        <f>IF(Q1510=1,SUM($Q$2:Q1510),"")</f>
        <v/>
      </c>
    </row>
    <row r="1511" spans="1:18" x14ac:dyDescent="0.2">
      <c r="A1511" s="73" t="s">
        <v>407</v>
      </c>
      <c r="B1511" s="77" t="s">
        <v>1541</v>
      </c>
      <c r="C1511" s="74" t="s">
        <v>1893</v>
      </c>
      <c r="D1511" s="74" t="s">
        <v>979</v>
      </c>
      <c r="E1511" s="78" t="s">
        <v>97</v>
      </c>
      <c r="F1511" s="76" t="s">
        <v>1841</v>
      </c>
      <c r="G1511" s="76" t="s">
        <v>1207</v>
      </c>
      <c r="H1511" s="70"/>
      <c r="P1511" s="70">
        <f t="shared" si="23"/>
        <v>0</v>
      </c>
      <c r="Q1511" s="70" cm="1">
        <f t="array" ref="Q1511">IF(P1511=1,IF(SUMPRODUCT(($P$2:P1511)*(--($G$2:G1511=$G1511)))=1,1,0),0)</f>
        <v>0</v>
      </c>
      <c r="R1511" s="70" t="str">
        <f>IF(Q1511=1,SUM($Q$2:Q1511),"")</f>
        <v/>
      </c>
    </row>
    <row r="1512" spans="1:18" x14ac:dyDescent="0.2">
      <c r="A1512" s="73" t="s">
        <v>407</v>
      </c>
      <c r="B1512" s="77" t="s">
        <v>1541</v>
      </c>
      <c r="C1512" s="74" t="s">
        <v>1893</v>
      </c>
      <c r="D1512" s="74" t="s">
        <v>979</v>
      </c>
      <c r="E1512" s="78" t="s">
        <v>97</v>
      </c>
      <c r="F1512" s="76" t="s">
        <v>1842</v>
      </c>
      <c r="G1512" s="76" t="s">
        <v>1207</v>
      </c>
      <c r="H1512" s="70"/>
      <c r="P1512" s="70">
        <f t="shared" si="23"/>
        <v>0</v>
      </c>
      <c r="Q1512" s="70" cm="1">
        <f t="array" ref="Q1512">IF(P1512=1,IF(SUMPRODUCT(($P$2:P1512)*(--($G$2:G1512=$G1512)))=1,1,0),0)</f>
        <v>0</v>
      </c>
      <c r="R1512" s="70" t="str">
        <f>IF(Q1512=1,SUM($Q$2:Q1512),"")</f>
        <v/>
      </c>
    </row>
    <row r="1513" spans="1:18" x14ac:dyDescent="0.2">
      <c r="A1513" s="73" t="s">
        <v>407</v>
      </c>
      <c r="B1513" s="77" t="s">
        <v>1541</v>
      </c>
      <c r="C1513" s="74" t="s">
        <v>1893</v>
      </c>
      <c r="D1513" s="74" t="s">
        <v>979</v>
      </c>
      <c r="E1513" s="78" t="s">
        <v>97</v>
      </c>
      <c r="F1513" s="76" t="s">
        <v>1783</v>
      </c>
      <c r="G1513" s="76" t="s">
        <v>1207</v>
      </c>
      <c r="H1513" s="70"/>
      <c r="P1513" s="70">
        <f t="shared" si="23"/>
        <v>0</v>
      </c>
      <c r="Q1513" s="70" cm="1">
        <f t="array" ref="Q1513">IF(P1513=1,IF(SUMPRODUCT(($P$2:P1513)*(--($G$2:G1513=$G1513)))=1,1,0),0)</f>
        <v>0</v>
      </c>
      <c r="R1513" s="70" t="str">
        <f>IF(Q1513=1,SUM($Q$2:Q1513),"")</f>
        <v/>
      </c>
    </row>
    <row r="1514" spans="1:18" x14ac:dyDescent="0.2">
      <c r="A1514" s="73" t="s">
        <v>407</v>
      </c>
      <c r="B1514" s="77" t="s">
        <v>1541</v>
      </c>
      <c r="C1514" s="74" t="s">
        <v>1893</v>
      </c>
      <c r="D1514" s="74" t="s">
        <v>979</v>
      </c>
      <c r="E1514" s="78" t="s">
        <v>97</v>
      </c>
      <c r="F1514" s="76" t="s">
        <v>1843</v>
      </c>
      <c r="G1514" s="76" t="s">
        <v>1207</v>
      </c>
      <c r="H1514" s="70"/>
      <c r="P1514" s="70">
        <f t="shared" si="23"/>
        <v>0</v>
      </c>
      <c r="Q1514" s="70" cm="1">
        <f t="array" ref="Q1514">IF(P1514=1,IF(SUMPRODUCT(($P$2:P1514)*(--($G$2:G1514=$G1514)))=1,1,0),0)</f>
        <v>0</v>
      </c>
      <c r="R1514" s="70" t="str">
        <f>IF(Q1514=1,SUM($Q$2:Q1514),"")</f>
        <v/>
      </c>
    </row>
    <row r="1515" spans="1:18" x14ac:dyDescent="0.2">
      <c r="A1515" s="73" t="s">
        <v>407</v>
      </c>
      <c r="B1515" s="77" t="s">
        <v>1541</v>
      </c>
      <c r="C1515" s="74" t="s">
        <v>1893</v>
      </c>
      <c r="D1515" s="74" t="s">
        <v>979</v>
      </c>
      <c r="E1515" s="78" t="s">
        <v>97</v>
      </c>
      <c r="F1515" s="76" t="s">
        <v>1784</v>
      </c>
      <c r="G1515" s="76" t="s">
        <v>1207</v>
      </c>
      <c r="H1515" s="70"/>
      <c r="P1515" s="70">
        <f t="shared" si="23"/>
        <v>0</v>
      </c>
      <c r="Q1515" s="70" cm="1">
        <f t="array" ref="Q1515">IF(P1515=1,IF(SUMPRODUCT(($P$2:P1515)*(--($G$2:G1515=$G1515)))=1,1,0),0)</f>
        <v>0</v>
      </c>
      <c r="R1515" s="70" t="str">
        <f>IF(Q1515=1,SUM($Q$2:Q1515),"")</f>
        <v/>
      </c>
    </row>
    <row r="1516" spans="1:18" x14ac:dyDescent="0.2">
      <c r="A1516" s="73" t="s">
        <v>407</v>
      </c>
      <c r="B1516" s="77" t="s">
        <v>1541</v>
      </c>
      <c r="C1516" s="74" t="s">
        <v>1893</v>
      </c>
      <c r="D1516" s="74" t="s">
        <v>979</v>
      </c>
      <c r="E1516" s="78" t="s">
        <v>97</v>
      </c>
      <c r="F1516" s="76" t="s">
        <v>416</v>
      </c>
      <c r="G1516" s="76" t="s">
        <v>1207</v>
      </c>
      <c r="H1516" s="70"/>
      <c r="P1516" s="70">
        <f t="shared" si="23"/>
        <v>0</v>
      </c>
      <c r="Q1516" s="70" cm="1">
        <f t="array" ref="Q1516">IF(P1516=1,IF(SUMPRODUCT(($P$2:P1516)*(--($G$2:G1516=$G1516)))=1,1,0),0)</f>
        <v>0</v>
      </c>
      <c r="R1516" s="70" t="str">
        <f>IF(Q1516=1,SUM($Q$2:Q1516),"")</f>
        <v/>
      </c>
    </row>
    <row r="1517" spans="1:18" x14ac:dyDescent="0.2">
      <c r="A1517" s="73" t="s">
        <v>407</v>
      </c>
      <c r="B1517" s="77" t="s">
        <v>1541</v>
      </c>
      <c r="C1517" s="74" t="s">
        <v>1893</v>
      </c>
      <c r="D1517" s="74" t="s">
        <v>979</v>
      </c>
      <c r="E1517" s="78" t="s">
        <v>97</v>
      </c>
      <c r="F1517" s="76" t="s">
        <v>1844</v>
      </c>
      <c r="G1517" s="76" t="s">
        <v>1207</v>
      </c>
      <c r="H1517" s="70"/>
      <c r="P1517" s="70">
        <f t="shared" si="23"/>
        <v>0</v>
      </c>
      <c r="Q1517" s="70" cm="1">
        <f t="array" ref="Q1517">IF(P1517=1,IF(SUMPRODUCT(($P$2:P1517)*(--($G$2:G1517=$G1517)))=1,1,0),0)</f>
        <v>0</v>
      </c>
      <c r="R1517" s="70" t="str">
        <f>IF(Q1517=1,SUM($Q$2:Q1517),"")</f>
        <v/>
      </c>
    </row>
    <row r="1518" spans="1:18" x14ac:dyDescent="0.2">
      <c r="A1518" s="73" t="s">
        <v>407</v>
      </c>
      <c r="B1518" s="77" t="s">
        <v>1541</v>
      </c>
      <c r="C1518" s="74" t="s">
        <v>1893</v>
      </c>
      <c r="D1518" s="74" t="s">
        <v>979</v>
      </c>
      <c r="E1518" s="78" t="s">
        <v>97</v>
      </c>
      <c r="F1518" s="76" t="s">
        <v>421</v>
      </c>
      <c r="G1518" s="76" t="s">
        <v>1207</v>
      </c>
      <c r="H1518" s="70"/>
      <c r="P1518" s="70">
        <f t="shared" si="23"/>
        <v>0</v>
      </c>
      <c r="Q1518" s="70" cm="1">
        <f t="array" ref="Q1518">IF(P1518=1,IF(SUMPRODUCT(($P$2:P1518)*(--($G$2:G1518=$G1518)))=1,1,0),0)</f>
        <v>0</v>
      </c>
      <c r="R1518" s="70" t="str">
        <f>IF(Q1518=1,SUM($Q$2:Q1518),"")</f>
        <v/>
      </c>
    </row>
    <row r="1519" spans="1:18" x14ac:dyDescent="0.2">
      <c r="A1519" s="73" t="s">
        <v>407</v>
      </c>
      <c r="B1519" s="77" t="s">
        <v>1541</v>
      </c>
      <c r="C1519" s="74" t="s">
        <v>1893</v>
      </c>
      <c r="D1519" s="74" t="s">
        <v>979</v>
      </c>
      <c r="E1519" s="78" t="s">
        <v>97</v>
      </c>
      <c r="F1519" s="76" t="s">
        <v>1845</v>
      </c>
      <c r="G1519" s="76" t="s">
        <v>1207</v>
      </c>
      <c r="H1519" s="70"/>
      <c r="P1519" s="70">
        <f t="shared" si="23"/>
        <v>0</v>
      </c>
      <c r="Q1519" s="70" cm="1">
        <f t="array" ref="Q1519">IF(P1519=1,IF(SUMPRODUCT(($P$2:P1519)*(--($G$2:G1519=$G1519)))=1,1,0),0)</f>
        <v>0</v>
      </c>
      <c r="R1519" s="70" t="str">
        <f>IF(Q1519=1,SUM($Q$2:Q1519),"")</f>
        <v/>
      </c>
    </row>
    <row r="1520" spans="1:18" x14ac:dyDescent="0.2">
      <c r="A1520" s="73" t="s">
        <v>407</v>
      </c>
      <c r="B1520" s="77" t="s">
        <v>1541</v>
      </c>
      <c r="C1520" s="74" t="s">
        <v>1893</v>
      </c>
      <c r="D1520" s="74" t="s">
        <v>979</v>
      </c>
      <c r="E1520" s="78" t="s">
        <v>97</v>
      </c>
      <c r="F1520" s="76" t="s">
        <v>1785</v>
      </c>
      <c r="G1520" s="76" t="s">
        <v>1208</v>
      </c>
      <c r="H1520" s="70"/>
      <c r="P1520" s="70">
        <f t="shared" si="23"/>
        <v>0</v>
      </c>
      <c r="Q1520" s="70" cm="1">
        <f t="array" ref="Q1520">IF(P1520=1,IF(SUMPRODUCT(($P$2:P1520)*(--($G$2:G1520=$G1520)))=1,1,0),0)</f>
        <v>0</v>
      </c>
      <c r="R1520" s="70" t="str">
        <f>IF(Q1520=1,SUM($Q$2:Q1520),"")</f>
        <v/>
      </c>
    </row>
    <row r="1521" spans="1:18" x14ac:dyDescent="0.2">
      <c r="A1521" s="73" t="s">
        <v>407</v>
      </c>
      <c r="B1521" s="77" t="s">
        <v>1541</v>
      </c>
      <c r="C1521" s="74" t="s">
        <v>1893</v>
      </c>
      <c r="D1521" s="74" t="s">
        <v>979</v>
      </c>
      <c r="E1521" s="78" t="s">
        <v>97</v>
      </c>
      <c r="F1521" s="76" t="s">
        <v>1788</v>
      </c>
      <c r="G1521" s="76" t="s">
        <v>1208</v>
      </c>
      <c r="H1521" s="70"/>
      <c r="P1521" s="70">
        <f t="shared" si="23"/>
        <v>0</v>
      </c>
      <c r="Q1521" s="70" cm="1">
        <f t="array" ref="Q1521">IF(P1521=1,IF(SUMPRODUCT(($P$2:P1521)*(--($G$2:G1521=$G1521)))=1,1,0),0)</f>
        <v>0</v>
      </c>
      <c r="R1521" s="70" t="str">
        <f>IF(Q1521=1,SUM($Q$2:Q1521),"")</f>
        <v/>
      </c>
    </row>
    <row r="1522" spans="1:18" x14ac:dyDescent="0.2">
      <c r="A1522" s="73" t="s">
        <v>407</v>
      </c>
      <c r="B1522" s="77" t="s">
        <v>1541</v>
      </c>
      <c r="C1522" s="74" t="s">
        <v>1893</v>
      </c>
      <c r="D1522" s="74" t="s">
        <v>979</v>
      </c>
      <c r="E1522" s="78" t="s">
        <v>97</v>
      </c>
      <c r="F1522" s="76" t="s">
        <v>1789</v>
      </c>
      <c r="G1522" s="76" t="s">
        <v>1208</v>
      </c>
      <c r="H1522" s="70"/>
      <c r="P1522" s="70">
        <f t="shared" si="23"/>
        <v>0</v>
      </c>
      <c r="Q1522" s="70" cm="1">
        <f t="array" ref="Q1522">IF(P1522=1,IF(SUMPRODUCT(($P$2:P1522)*(--($G$2:G1522=$G1522)))=1,1,0),0)</f>
        <v>0</v>
      </c>
      <c r="R1522" s="70" t="str">
        <f>IF(Q1522=1,SUM($Q$2:Q1522),"")</f>
        <v/>
      </c>
    </row>
    <row r="1523" spans="1:18" x14ac:dyDescent="0.2">
      <c r="A1523" s="73" t="s">
        <v>407</v>
      </c>
      <c r="B1523" s="77" t="s">
        <v>1541</v>
      </c>
      <c r="C1523" s="74" t="s">
        <v>1893</v>
      </c>
      <c r="D1523" s="74" t="s">
        <v>979</v>
      </c>
      <c r="E1523" s="78" t="s">
        <v>97</v>
      </c>
      <c r="F1523" s="76" t="s">
        <v>1790</v>
      </c>
      <c r="G1523" s="76" t="s">
        <v>1208</v>
      </c>
      <c r="H1523" s="70"/>
      <c r="P1523" s="70">
        <f t="shared" si="23"/>
        <v>0</v>
      </c>
      <c r="Q1523" s="70" cm="1">
        <f t="array" ref="Q1523">IF(P1523=1,IF(SUMPRODUCT(($P$2:P1523)*(--($G$2:G1523=$G1523)))=1,1,0),0)</f>
        <v>0</v>
      </c>
      <c r="R1523" s="70" t="str">
        <f>IF(Q1523=1,SUM($Q$2:Q1523),"")</f>
        <v/>
      </c>
    </row>
    <row r="1524" spans="1:18" x14ac:dyDescent="0.2">
      <c r="A1524" s="73" t="s">
        <v>407</v>
      </c>
      <c r="B1524" s="77" t="s">
        <v>1541</v>
      </c>
      <c r="C1524" s="74" t="s">
        <v>1893</v>
      </c>
      <c r="D1524" s="74" t="s">
        <v>979</v>
      </c>
      <c r="E1524" s="78" t="s">
        <v>97</v>
      </c>
      <c r="F1524" s="76" t="s">
        <v>1847</v>
      </c>
      <c r="G1524" s="76" t="s">
        <v>1208</v>
      </c>
      <c r="H1524" s="70"/>
      <c r="P1524" s="70">
        <f t="shared" si="23"/>
        <v>0</v>
      </c>
      <c r="Q1524" s="70" cm="1">
        <f t="array" ref="Q1524">IF(P1524=1,IF(SUMPRODUCT(($P$2:P1524)*(--($G$2:G1524=$G1524)))=1,1,0),0)</f>
        <v>0</v>
      </c>
      <c r="R1524" s="70" t="str">
        <f>IF(Q1524=1,SUM($Q$2:Q1524),"")</f>
        <v/>
      </c>
    </row>
    <row r="1525" spans="1:18" x14ac:dyDescent="0.2">
      <c r="A1525" s="73" t="s">
        <v>407</v>
      </c>
      <c r="B1525" s="77" t="s">
        <v>1541</v>
      </c>
      <c r="C1525" s="74" t="s">
        <v>1893</v>
      </c>
      <c r="D1525" s="74" t="s">
        <v>979</v>
      </c>
      <c r="E1525" s="78" t="s">
        <v>97</v>
      </c>
      <c r="F1525" s="76" t="s">
        <v>1786</v>
      </c>
      <c r="G1525" s="76" t="s">
        <v>1208</v>
      </c>
      <c r="H1525" s="70"/>
      <c r="P1525" s="70">
        <f t="shared" si="23"/>
        <v>0</v>
      </c>
      <c r="Q1525" s="70" cm="1">
        <f t="array" ref="Q1525">IF(P1525=1,IF(SUMPRODUCT(($P$2:P1525)*(--($G$2:G1525=$G1525)))=1,1,0),0)</f>
        <v>0</v>
      </c>
      <c r="R1525" s="70" t="str">
        <f>IF(Q1525=1,SUM($Q$2:Q1525),"")</f>
        <v/>
      </c>
    </row>
    <row r="1526" spans="1:18" x14ac:dyDescent="0.2">
      <c r="A1526" s="73" t="s">
        <v>407</v>
      </c>
      <c r="B1526" s="77" t="s">
        <v>1541</v>
      </c>
      <c r="C1526" s="74" t="s">
        <v>1893</v>
      </c>
      <c r="D1526" s="74" t="s">
        <v>979</v>
      </c>
      <c r="E1526" s="78" t="s">
        <v>97</v>
      </c>
      <c r="F1526" s="76" t="s">
        <v>1787</v>
      </c>
      <c r="G1526" s="76" t="s">
        <v>1208</v>
      </c>
      <c r="H1526" s="70"/>
      <c r="P1526" s="70">
        <f t="shared" si="23"/>
        <v>0</v>
      </c>
      <c r="Q1526" s="70" cm="1">
        <f t="array" ref="Q1526">IF(P1526=1,IF(SUMPRODUCT(($P$2:P1526)*(--($G$2:G1526=$G1526)))=1,1,0),0)</f>
        <v>0</v>
      </c>
      <c r="R1526" s="70" t="str">
        <f>IF(Q1526=1,SUM($Q$2:Q1526),"")</f>
        <v/>
      </c>
    </row>
    <row r="1527" spans="1:18" x14ac:dyDescent="0.2">
      <c r="A1527" s="73" t="s">
        <v>407</v>
      </c>
      <c r="B1527" s="77" t="s">
        <v>1541</v>
      </c>
      <c r="C1527" s="74" t="s">
        <v>1893</v>
      </c>
      <c r="D1527" s="74" t="s">
        <v>979</v>
      </c>
      <c r="E1527" s="78" t="s">
        <v>97</v>
      </c>
      <c r="F1527" s="76" t="s">
        <v>1848</v>
      </c>
      <c r="G1527" s="76" t="s">
        <v>1208</v>
      </c>
      <c r="H1527" s="70"/>
      <c r="P1527" s="70">
        <f t="shared" si="23"/>
        <v>0</v>
      </c>
      <c r="Q1527" s="70" cm="1">
        <f t="array" ref="Q1527">IF(P1527=1,IF(SUMPRODUCT(($P$2:P1527)*(--($G$2:G1527=$G1527)))=1,1,0),0)</f>
        <v>0</v>
      </c>
      <c r="R1527" s="70" t="str">
        <f>IF(Q1527=1,SUM($Q$2:Q1527),"")</f>
        <v/>
      </c>
    </row>
    <row r="1528" spans="1:18" x14ac:dyDescent="0.2">
      <c r="A1528" s="73" t="s">
        <v>407</v>
      </c>
      <c r="B1528" s="77" t="s">
        <v>1541</v>
      </c>
      <c r="C1528" s="74" t="s">
        <v>1893</v>
      </c>
      <c r="D1528" s="74" t="s">
        <v>979</v>
      </c>
      <c r="E1528" s="78" t="s">
        <v>97</v>
      </c>
      <c r="F1528" s="76" t="s">
        <v>1849</v>
      </c>
      <c r="G1528" s="76" t="s">
        <v>1208</v>
      </c>
      <c r="H1528" s="70"/>
      <c r="P1528" s="70">
        <f t="shared" si="23"/>
        <v>0</v>
      </c>
      <c r="Q1528" s="70" cm="1">
        <f t="array" ref="Q1528">IF(P1528=1,IF(SUMPRODUCT(($P$2:P1528)*(--($G$2:G1528=$G1528)))=1,1,0),0)</f>
        <v>0</v>
      </c>
      <c r="R1528" s="70" t="str">
        <f>IF(Q1528=1,SUM($Q$2:Q1528),"")</f>
        <v/>
      </c>
    </row>
    <row r="1529" spans="1:18" x14ac:dyDescent="0.2">
      <c r="A1529" s="73" t="s">
        <v>407</v>
      </c>
      <c r="B1529" s="77" t="s">
        <v>1541</v>
      </c>
      <c r="C1529" s="74" t="s">
        <v>1893</v>
      </c>
      <c r="D1529" s="74" t="s">
        <v>979</v>
      </c>
      <c r="E1529" s="78" t="s">
        <v>97</v>
      </c>
      <c r="F1529" s="76" t="s">
        <v>1850</v>
      </c>
      <c r="G1529" s="76" t="s">
        <v>1208</v>
      </c>
      <c r="H1529" s="70"/>
      <c r="P1529" s="70">
        <f t="shared" si="23"/>
        <v>0</v>
      </c>
      <c r="Q1529" s="70" cm="1">
        <f t="array" ref="Q1529">IF(P1529=1,IF(SUMPRODUCT(($P$2:P1529)*(--($G$2:G1529=$G1529)))=1,1,0),0)</f>
        <v>0</v>
      </c>
      <c r="R1529" s="70" t="str">
        <f>IF(Q1529=1,SUM($Q$2:Q1529),"")</f>
        <v/>
      </c>
    </row>
    <row r="1530" spans="1:18" x14ac:dyDescent="0.2">
      <c r="A1530" s="73" t="s">
        <v>407</v>
      </c>
      <c r="B1530" s="77" t="s">
        <v>1541</v>
      </c>
      <c r="C1530" s="74" t="s">
        <v>1893</v>
      </c>
      <c r="D1530" s="74" t="s">
        <v>979</v>
      </c>
      <c r="E1530" s="78" t="s">
        <v>97</v>
      </c>
      <c r="F1530" s="76" t="s">
        <v>1851</v>
      </c>
      <c r="G1530" s="76" t="s">
        <v>1208</v>
      </c>
      <c r="H1530" s="70"/>
      <c r="P1530" s="70">
        <f t="shared" si="23"/>
        <v>0</v>
      </c>
      <c r="Q1530" s="70" cm="1">
        <f t="array" ref="Q1530">IF(P1530=1,IF(SUMPRODUCT(($P$2:P1530)*(--($G$2:G1530=$G1530)))=1,1,0),0)</f>
        <v>0</v>
      </c>
      <c r="R1530" s="70" t="str">
        <f>IF(Q1530=1,SUM($Q$2:Q1530),"")</f>
        <v/>
      </c>
    </row>
    <row r="1531" spans="1:18" x14ac:dyDescent="0.2">
      <c r="A1531" s="73" t="s">
        <v>407</v>
      </c>
      <c r="B1531" s="77" t="s">
        <v>1541</v>
      </c>
      <c r="C1531" s="74" t="s">
        <v>1893</v>
      </c>
      <c r="D1531" s="74" t="s">
        <v>979</v>
      </c>
      <c r="E1531" s="78" t="s">
        <v>97</v>
      </c>
      <c r="F1531" s="76" t="s">
        <v>411</v>
      </c>
      <c r="G1531" s="76" t="s">
        <v>1209</v>
      </c>
      <c r="H1531" s="70"/>
      <c r="P1531" s="70">
        <f t="shared" si="23"/>
        <v>0</v>
      </c>
      <c r="Q1531" s="70" cm="1">
        <f t="array" ref="Q1531">IF(P1531=1,IF(SUMPRODUCT(($P$2:P1531)*(--($G$2:G1531=$G1531)))=1,1,0),0)</f>
        <v>0</v>
      </c>
      <c r="R1531" s="70" t="str">
        <f>IF(Q1531=1,SUM($Q$2:Q1531),"")</f>
        <v/>
      </c>
    </row>
    <row r="1532" spans="1:18" x14ac:dyDescent="0.2">
      <c r="A1532" s="73" t="s">
        <v>407</v>
      </c>
      <c r="B1532" s="77" t="s">
        <v>1541</v>
      </c>
      <c r="C1532" s="74" t="s">
        <v>1893</v>
      </c>
      <c r="D1532" s="74" t="s">
        <v>979</v>
      </c>
      <c r="E1532" s="78" t="s">
        <v>97</v>
      </c>
      <c r="F1532" s="76" t="s">
        <v>1792</v>
      </c>
      <c r="G1532" s="76" t="s">
        <v>1209</v>
      </c>
      <c r="H1532" s="70"/>
      <c r="P1532" s="70">
        <f t="shared" si="23"/>
        <v>0</v>
      </c>
      <c r="Q1532" s="70" cm="1">
        <f t="array" ref="Q1532">IF(P1532=1,IF(SUMPRODUCT(($P$2:P1532)*(--($G$2:G1532=$G1532)))=1,1,0),0)</f>
        <v>0</v>
      </c>
      <c r="R1532" s="70" t="str">
        <f>IF(Q1532=1,SUM($Q$2:Q1532),"")</f>
        <v/>
      </c>
    </row>
    <row r="1533" spans="1:18" x14ac:dyDescent="0.2">
      <c r="A1533" s="73" t="s">
        <v>407</v>
      </c>
      <c r="B1533" s="77" t="s">
        <v>1541</v>
      </c>
      <c r="C1533" s="74" t="s">
        <v>1893</v>
      </c>
      <c r="D1533" s="74" t="s">
        <v>979</v>
      </c>
      <c r="E1533" s="78" t="s">
        <v>97</v>
      </c>
      <c r="F1533" s="76" t="s">
        <v>1793</v>
      </c>
      <c r="G1533" s="76" t="s">
        <v>1209</v>
      </c>
      <c r="H1533" s="70"/>
      <c r="P1533" s="70">
        <f t="shared" si="23"/>
        <v>0</v>
      </c>
      <c r="Q1533" s="70" cm="1">
        <f t="array" ref="Q1533">IF(P1533=1,IF(SUMPRODUCT(($P$2:P1533)*(--($G$2:G1533=$G1533)))=1,1,0),0)</f>
        <v>0</v>
      </c>
      <c r="R1533" s="70" t="str">
        <f>IF(Q1533=1,SUM($Q$2:Q1533),"")</f>
        <v/>
      </c>
    </row>
    <row r="1534" spans="1:18" x14ac:dyDescent="0.2">
      <c r="A1534" s="73" t="s">
        <v>407</v>
      </c>
      <c r="B1534" s="77" t="s">
        <v>1541</v>
      </c>
      <c r="C1534" s="74" t="s">
        <v>1893</v>
      </c>
      <c r="D1534" s="74" t="s">
        <v>979</v>
      </c>
      <c r="E1534" s="78" t="s">
        <v>97</v>
      </c>
      <c r="F1534" s="76" t="s">
        <v>1794</v>
      </c>
      <c r="G1534" s="76" t="s">
        <v>1209</v>
      </c>
      <c r="H1534" s="70"/>
      <c r="P1534" s="70">
        <f t="shared" si="23"/>
        <v>0</v>
      </c>
      <c r="Q1534" s="70" cm="1">
        <f t="array" ref="Q1534">IF(P1534=1,IF(SUMPRODUCT(($P$2:P1534)*(--($G$2:G1534=$G1534)))=1,1,0),0)</f>
        <v>0</v>
      </c>
      <c r="R1534" s="70" t="str">
        <f>IF(Q1534=1,SUM($Q$2:Q1534),"")</f>
        <v/>
      </c>
    </row>
    <row r="1535" spans="1:18" x14ac:dyDescent="0.2">
      <c r="A1535" s="73" t="s">
        <v>407</v>
      </c>
      <c r="B1535" s="77" t="s">
        <v>1541</v>
      </c>
      <c r="C1535" s="74" t="s">
        <v>1893</v>
      </c>
      <c r="D1535" s="74" t="s">
        <v>979</v>
      </c>
      <c r="E1535" s="78" t="s">
        <v>97</v>
      </c>
      <c r="F1535" s="76" t="s">
        <v>1795</v>
      </c>
      <c r="G1535" s="76" t="s">
        <v>1209</v>
      </c>
      <c r="H1535" s="70"/>
      <c r="P1535" s="70">
        <f t="shared" si="23"/>
        <v>0</v>
      </c>
      <c r="Q1535" s="70" cm="1">
        <f t="array" ref="Q1535">IF(P1535=1,IF(SUMPRODUCT(($P$2:P1535)*(--($G$2:G1535=$G1535)))=1,1,0),0)</f>
        <v>0</v>
      </c>
      <c r="R1535" s="70" t="str">
        <f>IF(Q1535=1,SUM($Q$2:Q1535),"")</f>
        <v/>
      </c>
    </row>
    <row r="1536" spans="1:18" x14ac:dyDescent="0.2">
      <c r="A1536" s="73" t="s">
        <v>407</v>
      </c>
      <c r="B1536" s="77" t="s">
        <v>1541</v>
      </c>
      <c r="C1536" s="74" t="s">
        <v>1893</v>
      </c>
      <c r="D1536" s="74" t="s">
        <v>979</v>
      </c>
      <c r="E1536" s="78" t="s">
        <v>97</v>
      </c>
      <c r="F1536" s="76" t="s">
        <v>1797</v>
      </c>
      <c r="G1536" s="76" t="s">
        <v>1209</v>
      </c>
      <c r="H1536" s="70"/>
      <c r="P1536" s="70">
        <f t="shared" si="23"/>
        <v>0</v>
      </c>
      <c r="Q1536" s="70" cm="1">
        <f t="array" ref="Q1536">IF(P1536=1,IF(SUMPRODUCT(($P$2:P1536)*(--($G$2:G1536=$G1536)))=1,1,0),0)</f>
        <v>0</v>
      </c>
      <c r="R1536" s="70" t="str">
        <f>IF(Q1536=1,SUM($Q$2:Q1536),"")</f>
        <v/>
      </c>
    </row>
    <row r="1537" spans="1:18" x14ac:dyDescent="0.2">
      <c r="A1537" s="73" t="s">
        <v>407</v>
      </c>
      <c r="B1537" s="77" t="s">
        <v>1541</v>
      </c>
      <c r="C1537" s="74" t="s">
        <v>1893</v>
      </c>
      <c r="D1537" s="74" t="s">
        <v>979</v>
      </c>
      <c r="E1537" s="78" t="s">
        <v>97</v>
      </c>
      <c r="F1537" s="76" t="s">
        <v>1852</v>
      </c>
      <c r="G1537" s="76" t="s">
        <v>1209</v>
      </c>
      <c r="H1537" s="70"/>
      <c r="P1537" s="70">
        <f t="shared" si="23"/>
        <v>0</v>
      </c>
      <c r="Q1537" s="70" cm="1">
        <f t="array" ref="Q1537">IF(P1537=1,IF(SUMPRODUCT(($P$2:P1537)*(--($G$2:G1537=$G1537)))=1,1,0),0)</f>
        <v>0</v>
      </c>
      <c r="R1537" s="70" t="str">
        <f>IF(Q1537=1,SUM($Q$2:Q1537),"")</f>
        <v/>
      </c>
    </row>
    <row r="1538" spans="1:18" x14ac:dyDescent="0.2">
      <c r="A1538" s="73" t="s">
        <v>407</v>
      </c>
      <c r="B1538" s="77" t="s">
        <v>1541</v>
      </c>
      <c r="C1538" s="74" t="s">
        <v>1893</v>
      </c>
      <c r="D1538" s="74" t="s">
        <v>979</v>
      </c>
      <c r="E1538" s="78" t="s">
        <v>97</v>
      </c>
      <c r="F1538" s="76" t="s">
        <v>1798</v>
      </c>
      <c r="G1538" s="76" t="s">
        <v>1209</v>
      </c>
      <c r="H1538" s="70"/>
      <c r="P1538" s="70">
        <f t="shared" si="23"/>
        <v>0</v>
      </c>
      <c r="Q1538" s="70" cm="1">
        <f t="array" ref="Q1538">IF(P1538=1,IF(SUMPRODUCT(($P$2:P1538)*(--($G$2:G1538=$G1538)))=1,1,0),0)</f>
        <v>0</v>
      </c>
      <c r="R1538" s="70" t="str">
        <f>IF(Q1538=1,SUM($Q$2:Q1538),"")</f>
        <v/>
      </c>
    </row>
    <row r="1539" spans="1:18" x14ac:dyDescent="0.2">
      <c r="A1539" s="73" t="s">
        <v>407</v>
      </c>
      <c r="B1539" s="77" t="s">
        <v>1541</v>
      </c>
      <c r="C1539" s="74" t="s">
        <v>1893</v>
      </c>
      <c r="D1539" s="74" t="s">
        <v>979</v>
      </c>
      <c r="E1539" s="78" t="s">
        <v>97</v>
      </c>
      <c r="F1539" s="76" t="s">
        <v>1853</v>
      </c>
      <c r="G1539" s="76" t="s">
        <v>1209</v>
      </c>
      <c r="H1539" s="70"/>
      <c r="P1539" s="70">
        <f t="shared" ref="P1539:P1581" si="24">IF(AND(IF(TRIM($J$2&amp;"")="",TRUE,LEFT($D1539,LEN($J$2))=$J$2),IF(TRIM($K$2&amp;"")="",TRUE,$E1539=$K$2),IF($L$2="",TRUE,$F1539=$L$2)),1,0)</f>
        <v>0</v>
      </c>
      <c r="Q1539" s="70" cm="1">
        <f t="array" ref="Q1539">IF(P1539=1,IF(SUMPRODUCT(($P$2:P1539)*(--($G$2:G1539=$G1539)))=1,1,0),0)</f>
        <v>0</v>
      </c>
      <c r="R1539" s="70" t="str">
        <f>IF(Q1539=1,SUM($Q$2:Q1539),"")</f>
        <v/>
      </c>
    </row>
    <row r="1540" spans="1:18" x14ac:dyDescent="0.2">
      <c r="A1540" s="73" t="s">
        <v>407</v>
      </c>
      <c r="B1540" s="77" t="s">
        <v>1541</v>
      </c>
      <c r="C1540" s="74" t="s">
        <v>1893</v>
      </c>
      <c r="D1540" s="74" t="s">
        <v>979</v>
      </c>
      <c r="E1540" s="78" t="s">
        <v>97</v>
      </c>
      <c r="F1540" s="76" t="s">
        <v>1854</v>
      </c>
      <c r="G1540" s="76" t="s">
        <v>1209</v>
      </c>
      <c r="H1540" s="70"/>
      <c r="P1540" s="70">
        <f t="shared" si="24"/>
        <v>0</v>
      </c>
      <c r="Q1540" s="70" cm="1">
        <f t="array" ref="Q1540">IF(P1540=1,IF(SUMPRODUCT(($P$2:P1540)*(--($G$2:G1540=$G1540)))=1,1,0),0)</f>
        <v>0</v>
      </c>
      <c r="R1540" s="70" t="str">
        <f>IF(Q1540=1,SUM($Q$2:Q1540),"")</f>
        <v/>
      </c>
    </row>
    <row r="1541" spans="1:18" x14ac:dyDescent="0.2">
      <c r="A1541" s="73" t="s">
        <v>407</v>
      </c>
      <c r="B1541" s="77" t="s">
        <v>1541</v>
      </c>
      <c r="C1541" s="74" t="s">
        <v>1893</v>
      </c>
      <c r="D1541" s="74" t="s">
        <v>979</v>
      </c>
      <c r="E1541" s="78" t="s">
        <v>97</v>
      </c>
      <c r="F1541" s="76" t="s">
        <v>1855</v>
      </c>
      <c r="G1541" s="76" t="s">
        <v>1209</v>
      </c>
      <c r="H1541" s="70"/>
      <c r="P1541" s="70">
        <f t="shared" si="24"/>
        <v>0</v>
      </c>
      <c r="Q1541" s="70" cm="1">
        <f t="array" ref="Q1541">IF(P1541=1,IF(SUMPRODUCT(($P$2:P1541)*(--($G$2:G1541=$G1541)))=1,1,0),0)</f>
        <v>0</v>
      </c>
      <c r="R1541" s="70" t="str">
        <f>IF(Q1541=1,SUM($Q$2:Q1541),"")</f>
        <v/>
      </c>
    </row>
    <row r="1542" spans="1:18" x14ac:dyDescent="0.2">
      <c r="A1542" s="73" t="s">
        <v>407</v>
      </c>
      <c r="B1542" s="77" t="s">
        <v>1541</v>
      </c>
      <c r="C1542" s="74" t="s">
        <v>1893</v>
      </c>
      <c r="D1542" s="74" t="s">
        <v>979</v>
      </c>
      <c r="E1542" s="78" t="s">
        <v>97</v>
      </c>
      <c r="F1542" s="76" t="s">
        <v>1856</v>
      </c>
      <c r="G1542" s="76" t="s">
        <v>1209</v>
      </c>
      <c r="H1542" s="70"/>
      <c r="P1542" s="70">
        <f t="shared" si="24"/>
        <v>0</v>
      </c>
      <c r="Q1542" s="70" cm="1">
        <f t="array" ref="Q1542">IF(P1542=1,IF(SUMPRODUCT(($P$2:P1542)*(--($G$2:G1542=$G1542)))=1,1,0),0)</f>
        <v>0</v>
      </c>
      <c r="R1542" s="70" t="str">
        <f>IF(Q1542=1,SUM($Q$2:Q1542),"")</f>
        <v/>
      </c>
    </row>
    <row r="1543" spans="1:18" x14ac:dyDescent="0.2">
      <c r="A1543" s="73" t="s">
        <v>407</v>
      </c>
      <c r="B1543" s="77" t="s">
        <v>1541</v>
      </c>
      <c r="C1543" s="74" t="s">
        <v>1893</v>
      </c>
      <c r="D1543" s="74" t="s">
        <v>979</v>
      </c>
      <c r="E1543" s="78" t="s">
        <v>97</v>
      </c>
      <c r="F1543" s="76" t="s">
        <v>1799</v>
      </c>
      <c r="G1543" s="76" t="s">
        <v>1210</v>
      </c>
      <c r="H1543" s="70"/>
      <c r="P1543" s="70">
        <f t="shared" si="24"/>
        <v>0</v>
      </c>
      <c r="Q1543" s="70" cm="1">
        <f t="array" ref="Q1543">IF(P1543=1,IF(SUMPRODUCT(($P$2:P1543)*(--($G$2:G1543=$G1543)))=1,1,0),0)</f>
        <v>0</v>
      </c>
      <c r="R1543" s="70" t="str">
        <f>IF(Q1543=1,SUM($Q$2:Q1543),"")</f>
        <v/>
      </c>
    </row>
    <row r="1544" spans="1:18" x14ac:dyDescent="0.2">
      <c r="A1544" s="73" t="s">
        <v>407</v>
      </c>
      <c r="B1544" s="77" t="s">
        <v>1541</v>
      </c>
      <c r="C1544" s="74" t="s">
        <v>1893</v>
      </c>
      <c r="D1544" s="74" t="s">
        <v>979</v>
      </c>
      <c r="E1544" s="78" t="s">
        <v>97</v>
      </c>
      <c r="F1544" s="76" t="s">
        <v>1802</v>
      </c>
      <c r="G1544" s="76" t="s">
        <v>1210</v>
      </c>
      <c r="H1544" s="70"/>
      <c r="P1544" s="70">
        <f t="shared" si="24"/>
        <v>0</v>
      </c>
      <c r="Q1544" s="70" cm="1">
        <f t="array" ref="Q1544">IF(P1544=1,IF(SUMPRODUCT(($P$2:P1544)*(--($G$2:G1544=$G1544)))=1,1,0),0)</f>
        <v>0</v>
      </c>
      <c r="R1544" s="70" t="str">
        <f>IF(Q1544=1,SUM($Q$2:Q1544),"")</f>
        <v/>
      </c>
    </row>
    <row r="1545" spans="1:18" x14ac:dyDescent="0.2">
      <c r="A1545" s="73" t="s">
        <v>407</v>
      </c>
      <c r="B1545" s="77" t="s">
        <v>1541</v>
      </c>
      <c r="C1545" s="74" t="s">
        <v>1893</v>
      </c>
      <c r="D1545" s="74" t="s">
        <v>979</v>
      </c>
      <c r="E1545" s="78" t="s">
        <v>97</v>
      </c>
      <c r="F1545" s="76" t="s">
        <v>1803</v>
      </c>
      <c r="G1545" s="76" t="s">
        <v>1210</v>
      </c>
      <c r="H1545" s="70"/>
      <c r="P1545" s="70">
        <f t="shared" si="24"/>
        <v>0</v>
      </c>
      <c r="Q1545" s="70" cm="1">
        <f t="array" ref="Q1545">IF(P1545=1,IF(SUMPRODUCT(($P$2:P1545)*(--($G$2:G1545=$G1545)))=1,1,0),0)</f>
        <v>0</v>
      </c>
      <c r="R1545" s="70" t="str">
        <f>IF(Q1545=1,SUM($Q$2:Q1545),"")</f>
        <v/>
      </c>
    </row>
    <row r="1546" spans="1:18" x14ac:dyDescent="0.2">
      <c r="A1546" s="73" t="s">
        <v>407</v>
      </c>
      <c r="B1546" s="77" t="s">
        <v>1541</v>
      </c>
      <c r="C1546" s="74" t="s">
        <v>1893</v>
      </c>
      <c r="D1546" s="74" t="s">
        <v>979</v>
      </c>
      <c r="E1546" s="78" t="s">
        <v>97</v>
      </c>
      <c r="F1546" s="76" t="s">
        <v>1804</v>
      </c>
      <c r="G1546" s="76" t="s">
        <v>1210</v>
      </c>
      <c r="H1546" s="70"/>
      <c r="P1546" s="70">
        <f t="shared" si="24"/>
        <v>0</v>
      </c>
      <c r="Q1546" s="70" cm="1">
        <f t="array" ref="Q1546">IF(P1546=1,IF(SUMPRODUCT(($P$2:P1546)*(--($G$2:G1546=$G1546)))=1,1,0),0)</f>
        <v>0</v>
      </c>
      <c r="R1546" s="70" t="str">
        <f>IF(Q1546=1,SUM($Q$2:Q1546),"")</f>
        <v/>
      </c>
    </row>
    <row r="1547" spans="1:18" x14ac:dyDescent="0.2">
      <c r="A1547" s="73" t="s">
        <v>407</v>
      </c>
      <c r="B1547" s="77" t="s">
        <v>1541</v>
      </c>
      <c r="C1547" s="74" t="s">
        <v>1893</v>
      </c>
      <c r="D1547" s="74" t="s">
        <v>979</v>
      </c>
      <c r="E1547" s="78" t="s">
        <v>97</v>
      </c>
      <c r="F1547" s="76" t="s">
        <v>1857</v>
      </c>
      <c r="G1547" s="76" t="s">
        <v>1210</v>
      </c>
      <c r="H1547" s="70"/>
      <c r="P1547" s="70">
        <f t="shared" si="24"/>
        <v>0</v>
      </c>
      <c r="Q1547" s="70" cm="1">
        <f t="array" ref="Q1547">IF(P1547=1,IF(SUMPRODUCT(($P$2:P1547)*(--($G$2:G1547=$G1547)))=1,1,0),0)</f>
        <v>0</v>
      </c>
      <c r="R1547" s="70" t="str">
        <f>IF(Q1547=1,SUM($Q$2:Q1547),"")</f>
        <v/>
      </c>
    </row>
    <row r="1548" spans="1:18" x14ac:dyDescent="0.2">
      <c r="A1548" s="73" t="s">
        <v>407</v>
      </c>
      <c r="B1548" s="77" t="s">
        <v>1541</v>
      </c>
      <c r="C1548" s="74" t="s">
        <v>1893</v>
      </c>
      <c r="D1548" s="74" t="s">
        <v>979</v>
      </c>
      <c r="E1548" s="78" t="s">
        <v>97</v>
      </c>
      <c r="F1548" s="76" t="s">
        <v>1800</v>
      </c>
      <c r="G1548" s="76" t="s">
        <v>1210</v>
      </c>
      <c r="H1548" s="70"/>
      <c r="P1548" s="70">
        <f t="shared" si="24"/>
        <v>0</v>
      </c>
      <c r="Q1548" s="70" cm="1">
        <f t="array" ref="Q1548">IF(P1548=1,IF(SUMPRODUCT(($P$2:P1548)*(--($G$2:G1548=$G1548)))=1,1,0),0)</f>
        <v>0</v>
      </c>
      <c r="R1548" s="70" t="str">
        <f>IF(Q1548=1,SUM($Q$2:Q1548),"")</f>
        <v/>
      </c>
    </row>
    <row r="1549" spans="1:18" x14ac:dyDescent="0.2">
      <c r="A1549" s="73" t="s">
        <v>407</v>
      </c>
      <c r="B1549" s="77" t="s">
        <v>1541</v>
      </c>
      <c r="C1549" s="74" t="s">
        <v>1893</v>
      </c>
      <c r="D1549" s="74" t="s">
        <v>979</v>
      </c>
      <c r="E1549" s="78" t="s">
        <v>97</v>
      </c>
      <c r="F1549" s="76" t="s">
        <v>1801</v>
      </c>
      <c r="G1549" s="76" t="s">
        <v>1210</v>
      </c>
      <c r="H1549" s="70"/>
      <c r="P1549" s="70">
        <f t="shared" si="24"/>
        <v>0</v>
      </c>
      <c r="Q1549" s="70" cm="1">
        <f t="array" ref="Q1549">IF(P1549=1,IF(SUMPRODUCT(($P$2:P1549)*(--($G$2:G1549=$G1549)))=1,1,0),0)</f>
        <v>0</v>
      </c>
      <c r="R1549" s="70" t="str">
        <f>IF(Q1549=1,SUM($Q$2:Q1549),"")</f>
        <v/>
      </c>
    </row>
    <row r="1550" spans="1:18" x14ac:dyDescent="0.2">
      <c r="A1550" s="73" t="s">
        <v>407</v>
      </c>
      <c r="B1550" s="77" t="s">
        <v>1541</v>
      </c>
      <c r="C1550" s="74" t="s">
        <v>1893</v>
      </c>
      <c r="D1550" s="74" t="s">
        <v>979</v>
      </c>
      <c r="E1550" s="78" t="s">
        <v>97</v>
      </c>
      <c r="F1550" s="76" t="s">
        <v>1858</v>
      </c>
      <c r="G1550" s="76" t="s">
        <v>1210</v>
      </c>
      <c r="H1550" s="70"/>
      <c r="P1550" s="70">
        <f t="shared" si="24"/>
        <v>0</v>
      </c>
      <c r="Q1550" s="70" cm="1">
        <f t="array" ref="Q1550">IF(P1550=1,IF(SUMPRODUCT(($P$2:P1550)*(--($G$2:G1550=$G1550)))=1,1,0),0)</f>
        <v>0</v>
      </c>
      <c r="R1550" s="70" t="str">
        <f>IF(Q1550=1,SUM($Q$2:Q1550),"")</f>
        <v/>
      </c>
    </row>
    <row r="1551" spans="1:18" x14ac:dyDescent="0.2">
      <c r="A1551" s="73" t="s">
        <v>407</v>
      </c>
      <c r="B1551" s="77" t="s">
        <v>1541</v>
      </c>
      <c r="C1551" s="74" t="s">
        <v>1893</v>
      </c>
      <c r="D1551" s="74" t="s">
        <v>979</v>
      </c>
      <c r="E1551" s="78" t="s">
        <v>97</v>
      </c>
      <c r="F1551" s="76" t="s">
        <v>1859</v>
      </c>
      <c r="G1551" s="76" t="s">
        <v>1210</v>
      </c>
      <c r="H1551" s="70"/>
      <c r="P1551" s="70">
        <f t="shared" si="24"/>
        <v>0</v>
      </c>
      <c r="Q1551" s="70" cm="1">
        <f t="array" ref="Q1551">IF(P1551=1,IF(SUMPRODUCT(($P$2:P1551)*(--($G$2:G1551=$G1551)))=1,1,0),0)</f>
        <v>0</v>
      </c>
      <c r="R1551" s="70" t="str">
        <f>IF(Q1551=1,SUM($Q$2:Q1551),"")</f>
        <v/>
      </c>
    </row>
    <row r="1552" spans="1:18" x14ac:dyDescent="0.2">
      <c r="A1552" s="73" t="s">
        <v>407</v>
      </c>
      <c r="B1552" s="77" t="s">
        <v>1541</v>
      </c>
      <c r="C1552" s="74" t="s">
        <v>1893</v>
      </c>
      <c r="D1552" s="74" t="s">
        <v>979</v>
      </c>
      <c r="E1552" s="78" t="s">
        <v>97</v>
      </c>
      <c r="F1552" s="76" t="s">
        <v>1860</v>
      </c>
      <c r="G1552" s="76" t="s">
        <v>1210</v>
      </c>
      <c r="H1552" s="70"/>
      <c r="P1552" s="70">
        <f t="shared" si="24"/>
        <v>0</v>
      </c>
      <c r="Q1552" s="70" cm="1">
        <f t="array" ref="Q1552">IF(P1552=1,IF(SUMPRODUCT(($P$2:P1552)*(--($G$2:G1552=$G1552)))=1,1,0),0)</f>
        <v>0</v>
      </c>
      <c r="R1552" s="70" t="str">
        <f>IF(Q1552=1,SUM($Q$2:Q1552),"")</f>
        <v/>
      </c>
    </row>
    <row r="1553" spans="1:18" x14ac:dyDescent="0.2">
      <c r="A1553" s="73" t="s">
        <v>407</v>
      </c>
      <c r="B1553" s="77" t="s">
        <v>1541</v>
      </c>
      <c r="C1553" s="74" t="s">
        <v>1893</v>
      </c>
      <c r="D1553" s="74" t="s">
        <v>979</v>
      </c>
      <c r="E1553" s="78" t="s">
        <v>97</v>
      </c>
      <c r="F1553" s="76" t="s">
        <v>1861</v>
      </c>
      <c r="G1553" s="76" t="s">
        <v>1210</v>
      </c>
      <c r="H1553" s="70"/>
      <c r="P1553" s="70">
        <f t="shared" si="24"/>
        <v>0</v>
      </c>
      <c r="Q1553" s="70" cm="1">
        <f t="array" ref="Q1553">IF(P1553=1,IF(SUMPRODUCT(($P$2:P1553)*(--($G$2:G1553=$G1553)))=1,1,0),0)</f>
        <v>0</v>
      </c>
      <c r="R1553" s="70" t="str">
        <f>IF(Q1553=1,SUM($Q$2:Q1553),"")</f>
        <v/>
      </c>
    </row>
    <row r="1554" spans="1:18" ht="16" x14ac:dyDescent="0.2">
      <c r="A1554" s="73" t="s">
        <v>1894</v>
      </c>
      <c r="B1554" s="85" t="s">
        <v>1897</v>
      </c>
      <c r="C1554" s="74" t="s">
        <v>1895</v>
      </c>
      <c r="D1554" s="74" t="s">
        <v>986</v>
      </c>
      <c r="E1554" s="78" t="s">
        <v>113</v>
      </c>
      <c r="F1554" s="76" t="s">
        <v>1896</v>
      </c>
      <c r="G1554" s="75" t="s">
        <v>1220</v>
      </c>
      <c r="H1554" s="70"/>
      <c r="P1554" s="70">
        <f t="shared" si="24"/>
        <v>0</v>
      </c>
      <c r="Q1554" s="70" cm="1">
        <f t="array" ref="Q1554">IF(P1554=1,IF(SUMPRODUCT(($P$2:P1554)*(--($G$2:G1554=$G1554)))=1,1,0),0)</f>
        <v>0</v>
      </c>
      <c r="R1554" s="70" t="str">
        <f>IF(Q1554=1,SUM($Q$2:Q1554),"")</f>
        <v/>
      </c>
    </row>
    <row r="1555" spans="1:18" ht="16" x14ac:dyDescent="0.2">
      <c r="A1555" s="73" t="s">
        <v>1894</v>
      </c>
      <c r="B1555" s="85" t="s">
        <v>1897</v>
      </c>
      <c r="C1555" s="74" t="s">
        <v>1895</v>
      </c>
      <c r="D1555" s="74" t="s">
        <v>986</v>
      </c>
      <c r="E1555" s="78" t="s">
        <v>1002</v>
      </c>
      <c r="F1555" s="76" t="s">
        <v>1896</v>
      </c>
      <c r="G1555" s="75" t="s">
        <v>1220</v>
      </c>
      <c r="H1555" s="70"/>
      <c r="P1555" s="70">
        <f t="shared" si="24"/>
        <v>0</v>
      </c>
      <c r="Q1555" s="70" cm="1">
        <f t="array" ref="Q1555">IF(P1555=1,IF(SUMPRODUCT(($P$2:P1555)*(--($G$2:G1555=$G1555)))=1,1,0),0)</f>
        <v>0</v>
      </c>
      <c r="R1555" s="70" t="str">
        <f>IF(Q1555=1,SUM($Q$2:Q1555),"")</f>
        <v/>
      </c>
    </row>
    <row r="1556" spans="1:18" ht="16" x14ac:dyDescent="0.2">
      <c r="A1556" s="73" t="s">
        <v>1894</v>
      </c>
      <c r="B1556" s="85" t="s">
        <v>1897</v>
      </c>
      <c r="C1556" s="74" t="s">
        <v>1895</v>
      </c>
      <c r="D1556" s="74" t="s">
        <v>986</v>
      </c>
      <c r="E1556" s="78" t="s">
        <v>113</v>
      </c>
      <c r="F1556" s="76" t="s">
        <v>494</v>
      </c>
      <c r="G1556" s="75" t="s">
        <v>1220</v>
      </c>
      <c r="H1556" s="70"/>
      <c r="P1556" s="70">
        <f t="shared" si="24"/>
        <v>0</v>
      </c>
      <c r="Q1556" s="70" cm="1">
        <f t="array" ref="Q1556">IF(P1556=1,IF(SUMPRODUCT(($P$2:P1556)*(--($G$2:G1556=$G1556)))=1,1,0),0)</f>
        <v>0</v>
      </c>
      <c r="R1556" s="70" t="str">
        <f>IF(Q1556=1,SUM($Q$2:Q1556),"")</f>
        <v/>
      </c>
    </row>
    <row r="1557" spans="1:18" ht="16" x14ac:dyDescent="0.2">
      <c r="A1557" s="73" t="s">
        <v>1894</v>
      </c>
      <c r="B1557" s="85" t="s">
        <v>1897</v>
      </c>
      <c r="C1557" s="74" t="s">
        <v>1895</v>
      </c>
      <c r="D1557" s="74" t="s">
        <v>986</v>
      </c>
      <c r="E1557" s="78" t="s">
        <v>1002</v>
      </c>
      <c r="F1557" s="76" t="s">
        <v>494</v>
      </c>
      <c r="G1557" s="75" t="s">
        <v>1220</v>
      </c>
      <c r="H1557" s="70"/>
      <c r="P1557" s="70">
        <f t="shared" si="24"/>
        <v>0</v>
      </c>
      <c r="Q1557" s="70" cm="1">
        <f t="array" ref="Q1557">IF(P1557=1,IF(SUMPRODUCT(($P$2:P1557)*(--($G$2:G1557=$G1557)))=1,1,0),0)</f>
        <v>0</v>
      </c>
      <c r="R1557" s="70" t="str">
        <f>IF(Q1557=1,SUM($Q$2:Q1557),"")</f>
        <v/>
      </c>
    </row>
    <row r="1558" spans="1:18" ht="16" x14ac:dyDescent="0.2">
      <c r="A1558" s="73" t="s">
        <v>1898</v>
      </c>
      <c r="B1558" s="77" t="s">
        <v>1541</v>
      </c>
      <c r="C1558" s="74" t="s">
        <v>1899</v>
      </c>
      <c r="D1558" s="74" t="s">
        <v>995</v>
      </c>
      <c r="E1558" s="78" t="s">
        <v>97</v>
      </c>
      <c r="F1558" s="76" t="s">
        <v>276</v>
      </c>
      <c r="G1558" s="75" t="s">
        <v>633</v>
      </c>
      <c r="H1558" s="70"/>
      <c r="P1558" s="70">
        <f t="shared" si="24"/>
        <v>0</v>
      </c>
      <c r="Q1558" s="70" cm="1">
        <f t="array" ref="Q1558">IF(P1558=1,IF(SUMPRODUCT(($P$2:P1558)*(--($G$2:G1558=$G1558)))=1,1,0),0)</f>
        <v>0</v>
      </c>
      <c r="R1558" s="70" t="str">
        <f>IF(Q1558=1,SUM($Q$2:Q1558),"")</f>
        <v/>
      </c>
    </row>
    <row r="1559" spans="1:18" ht="16" x14ac:dyDescent="0.2">
      <c r="A1559" s="73" t="s">
        <v>1898</v>
      </c>
      <c r="B1559" s="77" t="s">
        <v>1541</v>
      </c>
      <c r="C1559" s="74" t="s">
        <v>1899</v>
      </c>
      <c r="D1559" s="74" t="s">
        <v>995</v>
      </c>
      <c r="E1559" s="78" t="s">
        <v>97</v>
      </c>
      <c r="F1559" s="76" t="s">
        <v>269</v>
      </c>
      <c r="G1559" s="75" t="s">
        <v>626</v>
      </c>
      <c r="H1559" s="70"/>
      <c r="P1559" s="70">
        <f t="shared" si="24"/>
        <v>0</v>
      </c>
      <c r="Q1559" s="70" cm="1">
        <f t="array" ref="Q1559">IF(P1559=1,IF(SUMPRODUCT(($P$2:P1559)*(--($G$2:G1559=$G1559)))=1,1,0),0)</f>
        <v>0</v>
      </c>
      <c r="R1559" s="70" t="str">
        <f>IF(Q1559=1,SUM($Q$2:Q1559),"")</f>
        <v/>
      </c>
    </row>
    <row r="1560" spans="1:18" ht="16" x14ac:dyDescent="0.2">
      <c r="A1560" s="73" t="s">
        <v>1898</v>
      </c>
      <c r="B1560" s="77" t="s">
        <v>1541</v>
      </c>
      <c r="C1560" s="74" t="s">
        <v>1899</v>
      </c>
      <c r="D1560" s="74" t="s">
        <v>995</v>
      </c>
      <c r="E1560" s="78" t="s">
        <v>97</v>
      </c>
      <c r="F1560" s="76" t="s">
        <v>1304</v>
      </c>
      <c r="G1560" s="75" t="s">
        <v>631</v>
      </c>
      <c r="H1560" s="70"/>
      <c r="P1560" s="70">
        <f t="shared" si="24"/>
        <v>0</v>
      </c>
      <c r="Q1560" s="70" cm="1">
        <f t="array" ref="Q1560">IF(P1560=1,IF(SUMPRODUCT(($P$2:P1560)*(--($G$2:G1560=$G1560)))=1,1,0),0)</f>
        <v>0</v>
      </c>
      <c r="R1560" s="70" t="str">
        <f>IF(Q1560=1,SUM($Q$2:Q1560),"")</f>
        <v/>
      </c>
    </row>
    <row r="1561" spans="1:18" ht="16" x14ac:dyDescent="0.2">
      <c r="A1561" s="73" t="s">
        <v>1898</v>
      </c>
      <c r="B1561" s="77" t="s">
        <v>1541</v>
      </c>
      <c r="C1561" s="74" t="s">
        <v>1899</v>
      </c>
      <c r="D1561" s="74" t="s">
        <v>995</v>
      </c>
      <c r="E1561" s="78" t="s">
        <v>97</v>
      </c>
      <c r="F1561" s="76" t="s">
        <v>1304</v>
      </c>
      <c r="G1561" s="75" t="s">
        <v>631</v>
      </c>
      <c r="H1561" s="70"/>
      <c r="P1561" s="70">
        <f t="shared" si="24"/>
        <v>0</v>
      </c>
      <c r="Q1561" s="70" cm="1">
        <f t="array" ref="Q1561">IF(P1561=1,IF(SUMPRODUCT(($P$2:P1561)*(--($G$2:G1561=$G1561)))=1,1,0),0)</f>
        <v>0</v>
      </c>
      <c r="R1561" s="70" t="str">
        <f>IF(Q1561=1,SUM($Q$2:Q1561),"")</f>
        <v/>
      </c>
    </row>
    <row r="1562" spans="1:18" ht="16" x14ac:dyDescent="0.2">
      <c r="A1562" s="73" t="s">
        <v>407</v>
      </c>
      <c r="B1562" s="85" t="s">
        <v>1901</v>
      </c>
      <c r="C1562" s="74" t="s">
        <v>1900</v>
      </c>
      <c r="D1562" s="74" t="s">
        <v>976</v>
      </c>
      <c r="E1562" s="78" t="s">
        <v>97</v>
      </c>
      <c r="F1562" s="76" t="s">
        <v>407</v>
      </c>
      <c r="G1562" s="75" t="s">
        <v>493</v>
      </c>
      <c r="H1562" s="70"/>
      <c r="P1562" s="70">
        <f t="shared" si="24"/>
        <v>0</v>
      </c>
      <c r="Q1562" s="70" cm="1">
        <f t="array" ref="Q1562">IF(P1562=1,IF(SUMPRODUCT(($P$2:P1562)*(--($G$2:G1562=$G1562)))=1,1,0),0)</f>
        <v>0</v>
      </c>
      <c r="R1562" s="70" t="str">
        <f>IF(Q1562=1,SUM($Q$2:Q1562),"")</f>
        <v/>
      </c>
    </row>
    <row r="1563" spans="1:18" ht="16" x14ac:dyDescent="0.2">
      <c r="A1563" s="73" t="s">
        <v>407</v>
      </c>
      <c r="B1563" s="85" t="s">
        <v>1901</v>
      </c>
      <c r="C1563" s="74" t="s">
        <v>1900</v>
      </c>
      <c r="D1563" s="74" t="s">
        <v>976</v>
      </c>
      <c r="E1563" s="78" t="s">
        <v>97</v>
      </c>
      <c r="F1563" s="76" t="s">
        <v>1780</v>
      </c>
      <c r="G1563" s="75" t="s">
        <v>493</v>
      </c>
      <c r="H1563" s="70"/>
      <c r="P1563" s="70">
        <f t="shared" si="24"/>
        <v>0</v>
      </c>
      <c r="Q1563" s="70" cm="1">
        <f t="array" ref="Q1563">IF(P1563=1,IF(SUMPRODUCT(($P$2:P1563)*(--($G$2:G1563=$G1563)))=1,1,0),0)</f>
        <v>0</v>
      </c>
      <c r="R1563" s="70" t="str">
        <f>IF(Q1563=1,SUM($Q$2:Q1563),"")</f>
        <v/>
      </c>
    </row>
    <row r="1564" spans="1:18" ht="16" x14ac:dyDescent="0.2">
      <c r="A1564" s="73" t="s">
        <v>407</v>
      </c>
      <c r="B1564" s="85" t="s">
        <v>1901</v>
      </c>
      <c r="C1564" s="74" t="s">
        <v>1900</v>
      </c>
      <c r="D1564" s="74" t="s">
        <v>976</v>
      </c>
      <c r="E1564" s="78" t="s">
        <v>97</v>
      </c>
      <c r="F1564" s="76" t="s">
        <v>1843</v>
      </c>
      <c r="G1564" s="75" t="s">
        <v>493</v>
      </c>
      <c r="H1564" s="70"/>
      <c r="P1564" s="70">
        <f t="shared" si="24"/>
        <v>0</v>
      </c>
      <c r="Q1564" s="70" cm="1">
        <f t="array" ref="Q1564">IF(P1564=1,IF(SUMPRODUCT(($P$2:P1564)*(--($G$2:G1564=$G1564)))=1,1,0),0)</f>
        <v>0</v>
      </c>
      <c r="R1564" s="70" t="str">
        <f>IF(Q1564=1,SUM($Q$2:Q1564),"")</f>
        <v/>
      </c>
    </row>
    <row r="1565" spans="1:18" ht="16" x14ac:dyDescent="0.2">
      <c r="A1565" s="73" t="s">
        <v>407</v>
      </c>
      <c r="B1565" s="85" t="s">
        <v>1901</v>
      </c>
      <c r="C1565" s="74" t="s">
        <v>1900</v>
      </c>
      <c r="D1565" s="74" t="s">
        <v>976</v>
      </c>
      <c r="E1565" s="78" t="s">
        <v>97</v>
      </c>
      <c r="F1565" s="76" t="s">
        <v>1781</v>
      </c>
      <c r="G1565" s="75" t="s">
        <v>493</v>
      </c>
      <c r="H1565" s="70"/>
      <c r="P1565" s="70">
        <f t="shared" si="24"/>
        <v>0</v>
      </c>
      <c r="Q1565" s="70" cm="1">
        <f t="array" ref="Q1565">IF(P1565=1,IF(SUMPRODUCT(($P$2:P1565)*(--($G$2:G1565=$G1565)))=1,1,0),0)</f>
        <v>0</v>
      </c>
      <c r="R1565" s="70" t="str">
        <f>IF(Q1565=1,SUM($Q$2:Q1565),"")</f>
        <v/>
      </c>
    </row>
    <row r="1566" spans="1:18" ht="16" x14ac:dyDescent="0.2">
      <c r="A1566" s="73" t="s">
        <v>407</v>
      </c>
      <c r="B1566" s="85" t="s">
        <v>1901</v>
      </c>
      <c r="C1566" s="74" t="s">
        <v>1900</v>
      </c>
      <c r="D1566" s="74" t="s">
        <v>976</v>
      </c>
      <c r="E1566" s="78" t="s">
        <v>97</v>
      </c>
      <c r="F1566" s="76" t="s">
        <v>1783</v>
      </c>
      <c r="G1566" s="75" t="s">
        <v>493</v>
      </c>
      <c r="H1566" s="70"/>
      <c r="P1566" s="70">
        <f t="shared" si="24"/>
        <v>0</v>
      </c>
      <c r="Q1566" s="70" cm="1">
        <f t="array" ref="Q1566">IF(P1566=1,IF(SUMPRODUCT(($P$2:P1566)*(--($G$2:G1566=$G1566)))=1,1,0),0)</f>
        <v>0</v>
      </c>
      <c r="R1566" s="70" t="str">
        <f>IF(Q1566=1,SUM($Q$2:Q1566),"")</f>
        <v/>
      </c>
    </row>
    <row r="1567" spans="1:18" ht="16" x14ac:dyDescent="0.2">
      <c r="A1567" s="73" t="s">
        <v>407</v>
      </c>
      <c r="B1567" s="85" t="s">
        <v>1901</v>
      </c>
      <c r="C1567" s="74" t="s">
        <v>1900</v>
      </c>
      <c r="D1567" s="74" t="s">
        <v>976</v>
      </c>
      <c r="E1567" s="78" t="s">
        <v>97</v>
      </c>
      <c r="F1567" s="76" t="s">
        <v>1784</v>
      </c>
      <c r="G1567" s="75" t="s">
        <v>493</v>
      </c>
      <c r="H1567" s="70"/>
      <c r="P1567" s="70">
        <f t="shared" si="24"/>
        <v>0</v>
      </c>
      <c r="Q1567" s="70" cm="1">
        <f t="array" ref="Q1567">IF(P1567=1,IF(SUMPRODUCT(($P$2:P1567)*(--($G$2:G1567=$G1567)))=1,1,0),0)</f>
        <v>0</v>
      </c>
      <c r="R1567" s="70" t="str">
        <f>IF(Q1567=1,SUM($Q$2:Q1567),"")</f>
        <v/>
      </c>
    </row>
    <row r="1568" spans="1:18" ht="16" x14ac:dyDescent="0.2">
      <c r="A1568" s="73" t="s">
        <v>407</v>
      </c>
      <c r="B1568" s="85" t="s">
        <v>1901</v>
      </c>
      <c r="C1568" s="74" t="s">
        <v>1900</v>
      </c>
      <c r="D1568" s="74" t="s">
        <v>976</v>
      </c>
      <c r="E1568" s="78" t="s">
        <v>97</v>
      </c>
      <c r="F1568" s="76" t="s">
        <v>1841</v>
      </c>
      <c r="G1568" s="75" t="s">
        <v>493</v>
      </c>
      <c r="H1568" s="70"/>
      <c r="P1568" s="70">
        <f t="shared" si="24"/>
        <v>0</v>
      </c>
      <c r="Q1568" s="70" cm="1">
        <f t="array" ref="Q1568">IF(P1568=1,IF(SUMPRODUCT(($P$2:P1568)*(--($G$2:G1568=$G1568)))=1,1,0),0)</f>
        <v>0</v>
      </c>
      <c r="R1568" s="70" t="str">
        <f>IF(Q1568=1,SUM($Q$2:Q1568),"")</f>
        <v/>
      </c>
    </row>
    <row r="1569" spans="1:18" ht="16" x14ac:dyDescent="0.2">
      <c r="A1569" s="73" t="s">
        <v>407</v>
      </c>
      <c r="B1569" s="85" t="s">
        <v>1901</v>
      </c>
      <c r="C1569" s="74" t="s">
        <v>1900</v>
      </c>
      <c r="D1569" s="74" t="s">
        <v>976</v>
      </c>
      <c r="E1569" s="78" t="s">
        <v>97</v>
      </c>
      <c r="F1569" s="76" t="s">
        <v>1842</v>
      </c>
      <c r="G1569" s="75" t="s">
        <v>493</v>
      </c>
      <c r="H1569" s="70"/>
      <c r="P1569" s="70">
        <f t="shared" si="24"/>
        <v>0</v>
      </c>
      <c r="Q1569" s="70" cm="1">
        <f t="array" ref="Q1569">IF(P1569=1,IF(SUMPRODUCT(($P$2:P1569)*(--($G$2:G1569=$G1569)))=1,1,0),0)</f>
        <v>0</v>
      </c>
      <c r="R1569" s="70" t="str">
        <f>IF(Q1569=1,SUM($Q$2:Q1569),"")</f>
        <v/>
      </c>
    </row>
    <row r="1570" spans="1:18" ht="16" x14ac:dyDescent="0.2">
      <c r="A1570" s="73" t="s">
        <v>407</v>
      </c>
      <c r="B1570" s="85" t="s">
        <v>1901</v>
      </c>
      <c r="C1570" s="74" t="s">
        <v>1900</v>
      </c>
      <c r="D1570" s="74" t="s">
        <v>976</v>
      </c>
      <c r="E1570" s="78" t="s">
        <v>97</v>
      </c>
      <c r="F1570" s="76" t="s">
        <v>1902</v>
      </c>
      <c r="G1570" s="75" t="s">
        <v>493</v>
      </c>
      <c r="H1570" s="70"/>
      <c r="P1570" s="70">
        <f t="shared" si="24"/>
        <v>0</v>
      </c>
      <c r="Q1570" s="70" cm="1">
        <f t="array" ref="Q1570">IF(P1570=1,IF(SUMPRODUCT(($P$2:P1570)*(--($G$2:G1570=$G1570)))=1,1,0),0)</f>
        <v>0</v>
      </c>
      <c r="R1570" s="70" t="str">
        <f>IF(Q1570=1,SUM($Q$2:Q1570),"")</f>
        <v/>
      </c>
    </row>
    <row r="1571" spans="1:18" ht="16" x14ac:dyDescent="0.2">
      <c r="A1571" s="73" t="s">
        <v>407</v>
      </c>
      <c r="B1571" s="85" t="s">
        <v>1904</v>
      </c>
      <c r="C1571" s="74" t="s">
        <v>1900</v>
      </c>
      <c r="D1571" s="74" t="s">
        <v>976</v>
      </c>
      <c r="E1571" s="78" t="s">
        <v>97</v>
      </c>
      <c r="F1571" s="76" t="s">
        <v>1903</v>
      </c>
      <c r="G1571" s="75" t="s">
        <v>179</v>
      </c>
      <c r="H1571" s="70"/>
      <c r="P1571" s="70">
        <f t="shared" si="24"/>
        <v>0</v>
      </c>
      <c r="Q1571" s="70" cm="1">
        <f t="array" ref="Q1571">IF(P1571=1,IF(SUMPRODUCT(($P$2:P1571)*(--($G$2:G1571=$G1571)))=1,1,0),0)</f>
        <v>0</v>
      </c>
      <c r="R1571" s="70" t="str">
        <f>IF(Q1571=1,SUM($Q$2:Q1571),"")</f>
        <v/>
      </c>
    </row>
    <row r="1572" spans="1:18" ht="16" x14ac:dyDescent="0.2">
      <c r="A1572" s="73" t="s">
        <v>407</v>
      </c>
      <c r="B1572" s="85" t="s">
        <v>1904</v>
      </c>
      <c r="C1572" s="91" t="s">
        <v>1900</v>
      </c>
      <c r="D1572" s="91" t="s">
        <v>976</v>
      </c>
      <c r="E1572" s="78" t="s">
        <v>97</v>
      </c>
      <c r="F1572" s="76" t="s">
        <v>1905</v>
      </c>
      <c r="G1572" s="75" t="s">
        <v>179</v>
      </c>
      <c r="H1572" s="70"/>
      <c r="P1572" s="70">
        <f t="shared" si="24"/>
        <v>0</v>
      </c>
      <c r="Q1572" s="70" cm="1">
        <f t="array" ref="Q1572">IF(P1572=1,IF(SUMPRODUCT(($P$2:P1572)*(--($G$2:G1572=$G1572)))=1,1,0),0)</f>
        <v>0</v>
      </c>
      <c r="R1572" s="70" t="str">
        <f>IF(Q1572=1,SUM($Q$2:Q1572),"")</f>
        <v/>
      </c>
    </row>
    <row r="1573" spans="1:18" ht="16" x14ac:dyDescent="0.2">
      <c r="A1573" s="73" t="s">
        <v>407</v>
      </c>
      <c r="B1573" s="85" t="s">
        <v>1904</v>
      </c>
      <c r="C1573" s="74" t="s">
        <v>1900</v>
      </c>
      <c r="D1573" s="74" t="s">
        <v>976</v>
      </c>
      <c r="E1573" s="78" t="s">
        <v>97</v>
      </c>
      <c r="F1573" s="76" t="s">
        <v>1906</v>
      </c>
      <c r="G1573" s="75" t="s">
        <v>179</v>
      </c>
      <c r="H1573" s="70"/>
      <c r="P1573" s="70">
        <f t="shared" si="24"/>
        <v>0</v>
      </c>
      <c r="Q1573" s="70" cm="1">
        <f t="array" ref="Q1573">IF(P1573=1,IF(SUMPRODUCT(($P$2:P1573)*(--($G$2:G1573=$G1573)))=1,1,0),0)</f>
        <v>0</v>
      </c>
      <c r="R1573" s="70" t="str">
        <f>IF(Q1573=1,SUM($Q$2:Q1573),"")</f>
        <v/>
      </c>
    </row>
    <row r="1574" spans="1:18" ht="16" x14ac:dyDescent="0.2">
      <c r="A1574" s="73" t="s">
        <v>407</v>
      </c>
      <c r="B1574" s="85" t="s">
        <v>1904</v>
      </c>
      <c r="C1574" s="91" t="s">
        <v>1900</v>
      </c>
      <c r="D1574" s="91" t="s">
        <v>976</v>
      </c>
      <c r="E1574" s="78" t="s">
        <v>97</v>
      </c>
      <c r="F1574" s="76" t="s">
        <v>1907</v>
      </c>
      <c r="G1574" s="75" t="s">
        <v>179</v>
      </c>
      <c r="H1574" s="70"/>
      <c r="P1574" s="70">
        <f t="shared" si="24"/>
        <v>0</v>
      </c>
      <c r="Q1574" s="70" cm="1">
        <f t="array" ref="Q1574">IF(P1574=1,IF(SUMPRODUCT(($P$2:P1574)*(--($G$2:G1574=$G1574)))=1,1,0),0)</f>
        <v>0</v>
      </c>
      <c r="R1574" s="70" t="str">
        <f>IF(Q1574=1,SUM($Q$2:Q1574),"")</f>
        <v/>
      </c>
    </row>
    <row r="1575" spans="1:18" ht="16" x14ac:dyDescent="0.2">
      <c r="A1575" s="73" t="s">
        <v>134</v>
      </c>
      <c r="B1575" s="77" t="s">
        <v>1541</v>
      </c>
      <c r="C1575" s="91" t="s">
        <v>1908</v>
      </c>
      <c r="D1575" s="91" t="s">
        <v>1909</v>
      </c>
      <c r="E1575" s="78" t="s">
        <v>97</v>
      </c>
      <c r="F1575" s="76" t="s">
        <v>134</v>
      </c>
      <c r="G1575" s="75" t="s">
        <v>1284</v>
      </c>
      <c r="H1575" s="70"/>
      <c r="P1575" s="70">
        <f t="shared" si="24"/>
        <v>0</v>
      </c>
      <c r="Q1575" s="70" cm="1">
        <f t="array" ref="Q1575">IF(P1575=1,IF(SUMPRODUCT(($P$2:P1575)*(--($G$2:G1575=$G1575)))=1,1,0),0)</f>
        <v>0</v>
      </c>
      <c r="R1575" s="70" t="str">
        <f>IF(Q1575=1,SUM($Q$2:Q1575),"")</f>
        <v/>
      </c>
    </row>
    <row r="1576" spans="1:18" ht="16" x14ac:dyDescent="0.2">
      <c r="A1576" s="73" t="s">
        <v>343</v>
      </c>
      <c r="B1576" s="77" t="s">
        <v>1541</v>
      </c>
      <c r="C1576" s="91" t="s">
        <v>1910</v>
      </c>
      <c r="D1576" s="91" t="s">
        <v>1911</v>
      </c>
      <c r="E1576" s="78" t="s">
        <v>113</v>
      </c>
      <c r="F1576" s="76" t="s">
        <v>343</v>
      </c>
      <c r="G1576" s="75" t="s">
        <v>1300</v>
      </c>
      <c r="H1576" s="70"/>
      <c r="P1576" s="70">
        <f t="shared" si="24"/>
        <v>0</v>
      </c>
      <c r="Q1576" s="70" cm="1">
        <f t="array" ref="Q1576">IF(P1576=1,IF(SUMPRODUCT(($P$2:P1576)*(--($G$2:G1576=$G1576)))=1,1,0),0)</f>
        <v>0</v>
      </c>
      <c r="R1576" s="70" t="str">
        <f>IF(Q1576=1,SUM($Q$2:Q1576),"")</f>
        <v/>
      </c>
    </row>
    <row r="1577" spans="1:18" ht="16" x14ac:dyDescent="0.2">
      <c r="A1577" s="73" t="s">
        <v>343</v>
      </c>
      <c r="B1577" s="77" t="s">
        <v>1541</v>
      </c>
      <c r="C1577" s="91" t="s">
        <v>1910</v>
      </c>
      <c r="D1577" s="91" t="s">
        <v>1911</v>
      </c>
      <c r="E1577" s="78" t="s">
        <v>1002</v>
      </c>
      <c r="F1577" s="76" t="s">
        <v>343</v>
      </c>
      <c r="G1577" s="75" t="s">
        <v>1300</v>
      </c>
      <c r="H1577" s="70"/>
      <c r="P1577" s="70">
        <f t="shared" si="24"/>
        <v>0</v>
      </c>
      <c r="Q1577" s="70" cm="1">
        <f t="array" ref="Q1577">IF(P1577=1,IF(SUMPRODUCT(($P$2:P1577)*(--($G$2:G1577=$G1577)))=1,1,0),0)</f>
        <v>0</v>
      </c>
      <c r="R1577" s="70" t="str">
        <f>IF(Q1577=1,SUM($Q$2:Q1577),"")</f>
        <v/>
      </c>
    </row>
    <row r="1578" spans="1:18" ht="16" x14ac:dyDescent="0.2">
      <c r="A1578" s="73" t="s">
        <v>343</v>
      </c>
      <c r="B1578" s="77" t="s">
        <v>1541</v>
      </c>
      <c r="C1578" s="91" t="s">
        <v>1910</v>
      </c>
      <c r="D1578" s="91" t="s">
        <v>1911</v>
      </c>
      <c r="E1578" s="78" t="s">
        <v>97</v>
      </c>
      <c r="F1578" s="76" t="s">
        <v>343</v>
      </c>
      <c r="G1578" s="75" t="s">
        <v>1300</v>
      </c>
      <c r="H1578" s="70"/>
      <c r="P1578" s="70">
        <f t="shared" si="24"/>
        <v>0</v>
      </c>
      <c r="Q1578" s="70" cm="1">
        <f t="array" ref="Q1578">IF(P1578=1,IF(SUMPRODUCT(($P$2:P1578)*(--($G$2:G1578=$G1578)))=1,1,0),0)</f>
        <v>0</v>
      </c>
      <c r="R1578" s="70" t="str">
        <f>IF(Q1578=1,SUM($Q$2:Q1578),"")</f>
        <v/>
      </c>
    </row>
    <row r="1579" spans="1:18" ht="16" x14ac:dyDescent="0.2">
      <c r="A1579" s="73" t="s">
        <v>343</v>
      </c>
      <c r="B1579" s="77" t="s">
        <v>1541</v>
      </c>
      <c r="C1579" s="91" t="s">
        <v>1910</v>
      </c>
      <c r="D1579" s="91" t="s">
        <v>1911</v>
      </c>
      <c r="E1579" s="78" t="s">
        <v>113</v>
      </c>
      <c r="F1579" s="76" t="s">
        <v>256</v>
      </c>
      <c r="G1579" s="75" t="s">
        <v>1300</v>
      </c>
      <c r="H1579" s="70"/>
      <c r="P1579" s="70">
        <f t="shared" si="24"/>
        <v>0</v>
      </c>
      <c r="Q1579" s="70" cm="1">
        <f t="array" ref="Q1579">IF(P1579=1,IF(SUMPRODUCT(($P$2:P1579)*(--($G$2:G1579=$G1579)))=1,1,0),0)</f>
        <v>0</v>
      </c>
      <c r="R1579" s="70" t="str">
        <f>IF(Q1579=1,SUM($Q$2:Q1579),"")</f>
        <v/>
      </c>
    </row>
    <row r="1580" spans="1:18" ht="16" x14ac:dyDescent="0.2">
      <c r="A1580" s="73" t="s">
        <v>343</v>
      </c>
      <c r="B1580" s="77" t="s">
        <v>1541</v>
      </c>
      <c r="C1580" s="91" t="s">
        <v>1910</v>
      </c>
      <c r="D1580" s="91" t="s">
        <v>1911</v>
      </c>
      <c r="E1580" s="78" t="s">
        <v>1002</v>
      </c>
      <c r="F1580" s="76" t="s">
        <v>256</v>
      </c>
      <c r="G1580" s="75" t="s">
        <v>1300</v>
      </c>
      <c r="H1580" s="70"/>
      <c r="P1580" s="70">
        <f t="shared" si="24"/>
        <v>0</v>
      </c>
      <c r="Q1580" s="70" cm="1">
        <f t="array" ref="Q1580">IF(P1580=1,IF(SUMPRODUCT(($P$2:P1580)*(--($G$2:G1580=$G1580)))=1,1,0),0)</f>
        <v>0</v>
      </c>
      <c r="R1580" s="70" t="str">
        <f>IF(Q1580=1,SUM($Q$2:Q1580),"")</f>
        <v/>
      </c>
    </row>
    <row r="1581" spans="1:18" ht="16" x14ac:dyDescent="0.2">
      <c r="A1581" s="92" t="s">
        <v>343</v>
      </c>
      <c r="B1581" s="95" t="s">
        <v>1541</v>
      </c>
      <c r="C1581" s="74" t="s">
        <v>1910</v>
      </c>
      <c r="D1581" s="74" t="s">
        <v>1911</v>
      </c>
      <c r="E1581" s="96" t="s">
        <v>97</v>
      </c>
      <c r="F1581" s="94" t="s">
        <v>256</v>
      </c>
      <c r="G1581" s="93" t="s">
        <v>1300</v>
      </c>
      <c r="H1581" s="70"/>
      <c r="P1581" s="70">
        <f t="shared" si="24"/>
        <v>0</v>
      </c>
      <c r="Q1581" s="70" cm="1">
        <f t="array" ref="Q1581">IF(P1581=1,IF(SUMPRODUCT(($P$2:P1581)*(--($G$2:G1581=$G1581)))=1,1,0),0)</f>
        <v>0</v>
      </c>
      <c r="R1581" s="70"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4" width="10.83203125" style="70"/>
    <col min="5" max="5" width="16.33203125" style="70" customWidth="1"/>
    <col min="6" max="16384" width="10.83203125" style="70"/>
  </cols>
  <sheetData>
    <row r="1" spans="1:9" x14ac:dyDescent="0.2">
      <c r="A1" s="97" t="s">
        <v>1912</v>
      </c>
      <c r="B1" s="97" t="s">
        <v>1913</v>
      </c>
      <c r="C1" s="133" t="s">
        <v>2265</v>
      </c>
      <c r="D1" s="108" t="s">
        <v>1537</v>
      </c>
      <c r="E1" s="98" t="s">
        <v>2028</v>
      </c>
      <c r="F1" s="98" t="s">
        <v>2029</v>
      </c>
      <c r="G1" s="98" t="s">
        <v>2030</v>
      </c>
    </row>
    <row r="2" spans="1:9" ht="16" x14ac:dyDescent="0.25">
      <c r="A2" s="121" t="s">
        <v>1005</v>
      </c>
      <c r="B2" s="70" t="s">
        <v>491</v>
      </c>
      <c r="C2" s="70" t="str">
        <f>IF($A2="","",IF(AND($B2&lt;&gt;"",IF($F$2="Otros",$B2="Otros",ISNUMBER(SEARCH($B2,$F$2)))),COUNT($C1:C$2)+1,""))</f>
        <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4" t="str">
        <f>IFERROR(INDEX($A$2:$A$507,MATCH(ROWS($G$2:G2),$C$2:$C$507,0)),IF(ROWS($G$2:G2)=1,"(sin matches)",""))</f>
        <v>-</v>
      </c>
    </row>
    <row r="3" spans="1:9" ht="16" x14ac:dyDescent="0.25">
      <c r="A3" s="121" t="s">
        <v>1005</v>
      </c>
      <c r="B3" s="70" t="s">
        <v>2051</v>
      </c>
      <c r="C3" s="70">
        <f>IF($A3="","",IF(AND($B3&lt;&gt;"",IF($F$2="Otros",$B3="Otros",ISNUMBER(SEARCH($B3,$F$2)))),COUNT($C2:C$2)+1,""))</f>
        <v>1</v>
      </c>
      <c r="G3" s="134" t="str">
        <f>IFERROR(INDEX($A$2:$A$507,MATCH(ROWS($G$2:G3),$C$2:$C$507,0)),IF(ROWS($G$2:G3)=1,"(sin matches)",""))</f>
        <v>1.28.003 (Pavonado)</v>
      </c>
    </row>
    <row r="4" spans="1:9" ht="16" x14ac:dyDescent="0.25">
      <c r="A4" s="121" t="s">
        <v>1005</v>
      </c>
      <c r="B4" s="70" t="s">
        <v>769</v>
      </c>
      <c r="C4" s="70" t="str">
        <f>IF($A4="","",IF(AND($B4&lt;&gt;"",IF($F$2="Otros",$B4="Otros",ISNUMBER(SEARCH($B4,$F$2)))),COUNT($C$2:C3)+1,""))</f>
        <v/>
      </c>
      <c r="G4" s="134" t="str">
        <f>IFERROR(INDEX($A$2:$A$507,MATCH(ROWS($G$2:G4),$C$2:$C$507,0)),IF(ROWS($G$2:G4)=1,"(sin matches)",""))</f>
        <v>48053-001-01 (Deshidrogenado) | 177 - 205 °C | &gt;= 1 hrs.</v>
      </c>
    </row>
    <row r="5" spans="1:9" ht="16" x14ac:dyDescent="0.25">
      <c r="A5" s="121" t="s">
        <v>1005</v>
      </c>
      <c r="B5" s="70" t="s">
        <v>407</v>
      </c>
      <c r="C5" s="70" t="str">
        <f>IF($A5="","",IF(AND($B5&lt;&gt;"",IF($F$2="Otros",$B5="Otros",ISNUMBER(SEARCH($B5,$F$2)))),COUNT($C$2:C4)+1,""))</f>
        <v/>
      </c>
      <c r="G5" s="134" t="str">
        <f>IFERROR(INDEX($A$2:$A$507,MATCH(ROWS($G$2:G5),$C$2:$C$507,0)),IF(ROWS($G$2:G5)=1,"(sin matches)",""))</f>
        <v>48053-001-01 (Deshidrogenado) | 177 - 205 °C | &gt;= 2 hrs.</v>
      </c>
    </row>
    <row r="6" spans="1:9" ht="16" x14ac:dyDescent="0.25">
      <c r="A6" s="121" t="s">
        <v>1005</v>
      </c>
      <c r="B6" s="70" t="s">
        <v>285</v>
      </c>
      <c r="C6" s="70" t="str">
        <f>IF($A6="","",IF(AND($B6&lt;&gt;"",IF($F$2="Otros",$B6="Otros",ISNUMBER(SEARCH($B6,$F$2)))),COUNT($C$2:C5)+1,""))</f>
        <v/>
      </c>
      <c r="G6" s="134" t="str">
        <f>IFERROR(INDEX($A$2:$A$507,MATCH(ROWS($G$2:G6),$C$2:$C$507,0)),IF(ROWS($G$2:G6)=1,"(sin matches)",""))</f>
        <v>48053-001-01 (Deshidrogenado) | 177 - 205 °C | &gt;= 3 hrs.</v>
      </c>
      <c r="I6" s="133" t="s">
        <v>2269</v>
      </c>
    </row>
    <row r="7" spans="1:9" ht="16" x14ac:dyDescent="0.25">
      <c r="A7" s="121" t="s">
        <v>1005</v>
      </c>
      <c r="B7" s="70" t="s">
        <v>1898</v>
      </c>
      <c r="C7" s="70" t="str">
        <f>IF($A7="","",IF(AND($B7&lt;&gt;"",IF($F$2="Otros",$B7="Otros",ISNUMBER(SEARCH($B7,$F$2)))),COUNT($C$2:C6)+1,""))</f>
        <v/>
      </c>
      <c r="G7" s="134" t="str">
        <f>IFERROR(INDEX($A$2:$A$507,MATCH(ROWS($G$2:G7),$C$2:$C$507,0)),IF(ROWS($G$2:G7)=1,"(sin matches)",""))</f>
        <v>48053-005-01 (Lavado - Tratamiento Térmico - Bimetales)</v>
      </c>
      <c r="I7" s="70" t="str">
        <f>IF(CAT_Procesos!$N$2="Otros","Otros",IF(ISNUMBER(SEARCH("+",CAT_Procesos!$N$2)),"|",CAT_Procesos!$N$2))</f>
        <v>Otros</v>
      </c>
    </row>
    <row r="8" spans="1:9" ht="16" x14ac:dyDescent="0.25">
      <c r="A8" s="121" t="s">
        <v>1005</v>
      </c>
      <c r="B8" s="70" t="s">
        <v>2052</v>
      </c>
      <c r="C8" s="70" t="str">
        <f>IF($A8="","",IF(AND($B8&lt;&gt;"",IF($F$2="Otros",$B8="Otros",ISNUMBER(SEARCH($B8,$F$2)))),COUNT($C$2:C7)+1,""))</f>
        <v/>
      </c>
      <c r="G8" s="134" t="str">
        <f>IFERROR(INDEX($A$2:$A$507,MATCH(ROWS($G$2:G8),$C$2:$C$507,0)),IF(ROWS($G$2:G8)=1,"(sin matches)",""))</f>
        <v>48057-004-01 (Bright Dip)</v>
      </c>
      <c r="I8" s="133" t="s">
        <v>2270</v>
      </c>
    </row>
    <row r="9" spans="1:9" ht="16" x14ac:dyDescent="0.25">
      <c r="A9" s="70" t="str">
        <f>Listas!E4</f>
        <v>1.28.001 (Zinc Negro Azul) | 3.81 - 11.43 µm</v>
      </c>
      <c r="B9" s="70"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70" t="str">
        <f>IF($A9="","",IF(AND($B9&lt;&gt;"",IF($F$2="Otros",$B9="Otros",ISNUMBER(SEARCH($B9,$F$2)))),COUNT($C$2:C8)+1,""))</f>
        <v/>
      </c>
      <c r="G9" s="134" t="str">
        <f>IFERROR(INDEX($A$2:$A$507,MATCH(ROWS($G$2:G9),$C$2:$C$507,0)),IF(ROWS($G$2:G9)=1,"(sin matches)",""))</f>
        <v>48860-031-01 (Lavado)</v>
      </c>
      <c r="I9" s="70" t="str">
        <f>IF($A9="","",IF(AND($B9&lt;&gt;"",ISNUMBER(SEARCH($I$7,$B9))),COUNT($I8:I$9)+1,""))</f>
        <v/>
      </c>
    </row>
    <row r="10" spans="1:9" ht="16" x14ac:dyDescent="0.25">
      <c r="A10" s="70" t="str">
        <f>Listas!E5</f>
        <v>1.28.003 (Pavonado)</v>
      </c>
      <c r="B10" s="70"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70">
        <f>IF($A10="","",IF(AND($B10&lt;&gt;"",IF($F$2="Otros",$B10="Otros",ISNUMBER(SEARCH($B10,$F$2)))),COUNT($C$2:C9)+1,""))</f>
        <v>2</v>
      </c>
      <c r="G10" s="134" t="str">
        <f>IFERROR(INDEX($A$2:$A$507,MATCH(ROWS($G$2:G10),$C$2:$C$507,0)),IF(ROWS($G$2:G10)=1,"(sin matches)",""))</f>
        <v>48951-001-01 (Rebabeo)</v>
      </c>
      <c r="I10" s="70">
        <f>IF($A10="","",IF(AND($B10&lt;&gt;"",ISNUMBER(SEARCH($I$7,$B10))),COUNT($I9:I$9)+1,""))</f>
        <v>1</v>
      </c>
    </row>
    <row r="11" spans="1:9" ht="16" x14ac:dyDescent="0.25">
      <c r="A11" s="70" t="str">
        <f>Listas!E6</f>
        <v>1.28.031 (Zinc) | 3.81 - 11.43 µm</v>
      </c>
      <c r="B11" s="70" t="str">
        <f t="shared" si="0"/>
        <v>Zinc</v>
      </c>
      <c r="C11" s="70" t="str">
        <f>IF($A11="","",IF(AND($B11&lt;&gt;"",IF($F$2="Otros",$B11="Otros",ISNUMBER(SEARCH($B11,$F$2)))),COUNT($C$2:C10)+1,""))</f>
        <v/>
      </c>
      <c r="G11" s="134" t="str">
        <f>IFERROR(INDEX($A$2:$A$507,MATCH(ROWS($G$2:G11),$C$2:$C$507,0)),IF(ROWS($G$2:G11)=1,"(sin matches)",""))</f>
        <v>48951-001-02 (Rebabeo)</v>
      </c>
      <c r="I11" s="70" t="str">
        <f>IF($A11="","",IF(AND($B11&lt;&gt;"",ISNUMBER(SEARCH($I$7,$B11))),COUNT($I$9:I10)+1,""))</f>
        <v/>
      </c>
    </row>
    <row r="12" spans="1:9" ht="16" x14ac:dyDescent="0.25">
      <c r="A12" s="70" t="str">
        <f>Listas!E7</f>
        <v>1.28.032 (Níquel) | 2.54 - 7.62 µm</v>
      </c>
      <c r="B12" s="70" t="str">
        <f t="shared" si="0"/>
        <v>Níquel</v>
      </c>
      <c r="C12" s="70" t="str">
        <f>IF($A12="","",IF(AND($B12&lt;&gt;"",IF($F$2="Otros",$B12="Otros",ISNUMBER(SEARCH($B12,$F$2)))),COUNT($C$2:C11)+1,""))</f>
        <v/>
      </c>
      <c r="G12" s="134" t="str">
        <f>IFERROR(INDEX($A$2:$A$507,MATCH(ROWS($G$2:G12),$C$2:$C$507,0)),IF(ROWS($G$2:G12)=1,"(sin matches)",""))</f>
        <v>48951-008-01 (Desengrase)</v>
      </c>
      <c r="I12" s="70" t="str">
        <f>IF($A12="","",IF(AND($B12&lt;&gt;"",ISNUMBER(SEARCH($I$7,$B12))),COUNT($I$9:I11)+1,""))</f>
        <v/>
      </c>
    </row>
    <row r="13" spans="1:9" ht="16" x14ac:dyDescent="0.25">
      <c r="A13" s="70" t="str">
        <f>Listas!E8</f>
        <v>1.28.032 (Níquel) | 5.8 - 8.89 µm</v>
      </c>
      <c r="B13" s="70" t="str">
        <f t="shared" si="0"/>
        <v>Níquel</v>
      </c>
      <c r="C13" s="70" t="str">
        <f>IF($A13="","",IF(AND($B13&lt;&gt;"",IF($F$2="Otros",$B13="Otros",ISNUMBER(SEARCH($B13,$F$2)))),COUNT($C$2:C12)+1,""))</f>
        <v/>
      </c>
      <c r="G13" s="134" t="str">
        <f>IFERROR(INDEX($A$2:$A$507,MATCH(ROWS($G$2:G13),$C$2:$C$507,0)),IF(ROWS($G$2:G13)=1,"(sin matches)",""))</f>
        <v>DIN EN 12476 (Fosfato de Manganeso - Aceitado - Medición de Grano) | 2.54 - 7.62 µm</v>
      </c>
      <c r="I13" s="70" t="str">
        <f>IF($A13="","",IF(AND($B13&lt;&gt;"",ISNUMBER(SEARCH($I$7,$B13))),COUNT($I$9:I12)+1,""))</f>
        <v/>
      </c>
    </row>
    <row r="14" spans="1:9" ht="16" x14ac:dyDescent="0.25">
      <c r="A14" s="70" t="str">
        <f>Listas!E9</f>
        <v>1.28.032 (Níquel) | 7.62 - 15.24 µm</v>
      </c>
      <c r="B14" s="70" t="str">
        <f t="shared" si="0"/>
        <v>Níquel</v>
      </c>
      <c r="C14" s="70" t="str">
        <f>IF($A14="","",IF(AND($B14&lt;&gt;"",IF($F$2="Otros",$B14="Otros",ISNUMBER(SEARCH($B14,$F$2)))),COUNT($C$2:C13)+1,""))</f>
        <v/>
      </c>
      <c r="G14" s="134" t="str">
        <f>IFERROR(INDEX($A$2:$A$507,MATCH(ROWS($G$2:G14),$C$2:$C$507,0)),IF(ROWS($G$2:G14)=1,"(sin matches)",""))</f>
        <v>FFS-2E3 (Cromo Duro) | 12.7 - 17.78 µm</v>
      </c>
      <c r="I14" s="70" t="str">
        <f>IF($A14="","",IF(AND($B14&lt;&gt;"",ISNUMBER(SEARCH($I$7,$B14))),COUNT($I$9:I13)+1,""))</f>
        <v/>
      </c>
    </row>
    <row r="15" spans="1:9" ht="16" x14ac:dyDescent="0.25">
      <c r="A15" s="70" t="str">
        <f>Listas!E10</f>
        <v>1.28.037 (Zinc Cromato Tropicalizado) | 5 - 9 µm</v>
      </c>
      <c r="B15" s="70" t="str">
        <f t="shared" si="0"/>
        <v>Zinc</v>
      </c>
      <c r="C15" s="70" t="str">
        <f>IF($A15="","",IF(AND($B15&lt;&gt;"",IF($F$2="Otros",$B15="Otros",ISNUMBER(SEARCH($B15,$F$2)))),COUNT($C$2:C14)+1,""))</f>
        <v/>
      </c>
      <c r="G15" s="134" t="str">
        <f>IFERROR(INDEX($A$2:$A$507,MATCH(ROWS($G$2:G15),$C$2:$C$507,0)),IF(ROWS($G$2:G15)=1,"(sin matches)",""))</f>
        <v>FFS-2E3 (Cromo Duro) | 19.05 - 31.75 µm</v>
      </c>
      <c r="I15" s="70" t="str">
        <f>IF($A15="","",IF(AND($B15&lt;&gt;"",ISNUMBER(SEARCH($I$7,$B15))),COUNT($I$9:I14)+1,""))</f>
        <v/>
      </c>
    </row>
    <row r="16" spans="1:9" ht="16" x14ac:dyDescent="0.25">
      <c r="A16" s="70" t="str">
        <f>Listas!E11</f>
        <v>1.28.041 (Níquel Electroless) | 5 - 10 µm</v>
      </c>
      <c r="B16" s="70" t="str">
        <f t="shared" si="0"/>
        <v>Níquel</v>
      </c>
      <c r="C16" s="70" t="str">
        <f>IF($A16="","",IF(AND($B16&lt;&gt;"",IF($F$2="Otros",$B16="Otros",ISNUMBER(SEARCH($B16,$F$2)))),COUNT($C$2:C15)+1,""))</f>
        <v/>
      </c>
      <c r="G16" s="134" t="str">
        <f>IFERROR(INDEX($A$2:$A$507,MATCH(ROWS($G$2:G16),$C$2:$C$507,0)),IF(ROWS($G$2:G16)=1,"(sin matches)",""))</f>
        <v>FFS-2E3 (Cromo Duro) | 25 - 38 µm</v>
      </c>
      <c r="I16" s="70" t="str">
        <f>IF($A16="","",IF(AND($B16&lt;&gt;"",ISNUMBER(SEARCH($I$7,$B16))),COUNT($I$9:I15)+1,""))</f>
        <v/>
      </c>
    </row>
    <row r="17" spans="1:9" ht="16" x14ac:dyDescent="0.25">
      <c r="A17" s="70" t="str">
        <f>Listas!E12</f>
        <v>40001-050-01 (Plata Flash) | 0.508 - 0.762 µm</v>
      </c>
      <c r="B17" s="70" t="str">
        <f t="shared" si="0"/>
        <v>Plata</v>
      </c>
      <c r="C17" s="70" t="str">
        <f>IF($A17="","",IF(AND($B17&lt;&gt;"",IF($F$2="Otros",$B17="Otros",ISNUMBER(SEARCH($B17,$F$2)))),COUNT($C$2:C16)+1,""))</f>
        <v/>
      </c>
      <c r="G17" s="134" t="str">
        <f>IFERROR(INDEX($A$2:$A$507,MATCH(ROWS($G$2:G17),$C$2:$C$507,0)),IF(ROWS($G$2:G17)=1,"(sin matches)",""))</f>
        <v>FFS-2E3 (Cromo Duro) | 38.5 - 63.5 µm</v>
      </c>
      <c r="I17" s="70" t="str">
        <f>IF($A17="","",IF(AND($B17&lt;&gt;"",ISNUMBER(SEARCH($I$7,$B17))),COUNT($I$9:I16)+1,""))</f>
        <v/>
      </c>
    </row>
    <row r="18" spans="1:9" ht="16" x14ac:dyDescent="0.25">
      <c r="A18" s="70" t="str">
        <f>Listas!E13</f>
        <v>40001-053-02 (Estaño) | 5.08 - 10.16 µm</v>
      </c>
      <c r="B18" s="70" t="str">
        <f t="shared" si="0"/>
        <v>Estaño</v>
      </c>
      <c r="C18" s="70" t="str">
        <f>IF($A18="","",IF(AND($B18&lt;&gt;"",IF($F$2="Otros",$B18="Otros",ISNUMBER(SEARCH($B18,$F$2)))),COUNT($C$2:C17)+1,""))</f>
        <v/>
      </c>
      <c r="G18" s="134" t="str">
        <f>IFERROR(INDEX($A$2:$A$507,MATCH(ROWS($G$2:G18),$C$2:$C$507,0)),IF(ROWS($G$2:G18)=1,"(sin matches)",""))</f>
        <v>FFS-2E3 (Cromo Duro) | 63.5 - 88.9 µm</v>
      </c>
      <c r="I18" s="70" t="str">
        <f>IF($A18="","",IF(AND($B18&lt;&gt;"",ISNUMBER(SEARCH($I$7,$B18))),COUNT($I$9:I17)+1,""))</f>
        <v/>
      </c>
    </row>
    <row r="19" spans="1:9" ht="16" x14ac:dyDescent="0.25">
      <c r="A19" s="70" t="str">
        <f>Listas!E14</f>
        <v>40004-014-01 (Estaño) | 5 - 10 µm</v>
      </c>
      <c r="B19" s="70" t="str">
        <f t="shared" si="0"/>
        <v>Estaño</v>
      </c>
      <c r="C19" s="70" t="str">
        <f>IF($A19="","",IF(AND($B19&lt;&gt;"",IF($F$2="Otros",$B19="Otros",ISNUMBER(SEARCH($B19,$F$2)))),COUNT($C$2:C18)+1,""))</f>
        <v/>
      </c>
      <c r="G19" s="134" t="str">
        <f>IFERROR(INDEX($A$2:$A$507,MATCH(ROWS($G$2:G19),$C$2:$C$507,0)),IF(ROWS($G$2:G19)=1,"(sin matches)",""))</f>
        <v>FFS-2E3 (Cromo Duro) | 7.62 - 12.7 µm</v>
      </c>
      <c r="I19" s="70" t="str">
        <f>IF($A19="","",IF(AND($B19&lt;&gt;"",ISNUMBER(SEARCH($I$7,$B19))),COUNT($I$9:I18)+1,""))</f>
        <v/>
      </c>
    </row>
    <row r="20" spans="1:9" ht="16" x14ac:dyDescent="0.25">
      <c r="A20" s="70" t="str">
        <f>Listas!E15</f>
        <v>40004-015-01 (Estaño) | 5.08 - 10 µm</v>
      </c>
      <c r="B20" s="70" t="str">
        <f t="shared" si="0"/>
        <v>Estaño</v>
      </c>
      <c r="C20" s="70" t="str">
        <f>IF($A20="","",IF(AND($B20&lt;&gt;"",IF($F$2="Otros",$B20="Otros",ISNUMBER(SEARCH($B20,$F$2)))),COUNT($C$2:C19)+1,""))</f>
        <v/>
      </c>
      <c r="G20" s="134" t="str">
        <f>IFERROR(INDEX($A$2:$A$507,MATCH(ROWS($G$2:G20),$C$2:$C$507,0)),IF(ROWS($G$2:G20)=1,"(sin matches)",""))</f>
        <v>FFS-3A9 (Iridizado)</v>
      </c>
      <c r="I20" s="70" t="str">
        <f>IF($A20="","",IF(AND($B20&lt;&gt;"",ISNUMBER(SEARCH($I$7,$B20))),COUNT($I$9:I19)+1,""))</f>
        <v/>
      </c>
    </row>
    <row r="21" spans="1:9" ht="16" x14ac:dyDescent="0.25">
      <c r="A21" s="70" t="str">
        <f>Listas!E16</f>
        <v>40004-017-01 (Zinc) | 12 - 15 µm</v>
      </c>
      <c r="B21" s="70" t="str">
        <f t="shared" si="0"/>
        <v>Zinc</v>
      </c>
      <c r="C21" s="70" t="str">
        <f>IF($A21="","",IF(AND($B21&lt;&gt;"",IF($F$2="Otros",$B21="Otros",ISNUMBER(SEARCH($B21,$F$2)))),COUNT($C$2:C20)+1,""))</f>
        <v/>
      </c>
      <c r="G21" s="134" t="str">
        <f>IFERROR(INDEX($A$2:$A$507,MATCH(ROWS($G$2:G21),$C$2:$C$507,0)),IF(ROWS($G$2:G21)=1,"(sin matches)",""))</f>
        <v>GDE1214700 (Antitarnish)</v>
      </c>
      <c r="I21" s="70" t="str">
        <f>IF($A21="","",IF(AND($B21&lt;&gt;"",ISNUMBER(SEARCH($I$7,$B21))),COUNT($I$9:I20)+1,""))</f>
        <v/>
      </c>
    </row>
    <row r="22" spans="1:9" ht="16" x14ac:dyDescent="0.25">
      <c r="A22" s="70" t="str">
        <f>Listas!E17</f>
        <v>40004-017-01 (Zinc) | 15 - 20 µm</v>
      </c>
      <c r="B22" s="70" t="str">
        <f t="shared" si="0"/>
        <v>Zinc</v>
      </c>
      <c r="C22" s="70" t="str">
        <f>IF($A22="","",IF(AND($B22&lt;&gt;"",IF($F$2="Otros",$B22="Otros",ISNUMBER(SEARCH($B22,$F$2)))),COUNT($C$2:C21)+1,""))</f>
        <v/>
      </c>
      <c r="G22" s="134" t="str">
        <f>IFERROR(INDEX($A$2:$A$507,MATCH(ROWS($G$2:G22),$C$2:$C$507,0)),IF(ROWS($G$2:G22)=1,"(sin matches)",""))</f>
        <v>MS-S1053 (Fosfato de Manganeso - Medición de Grano) | 5 - 11 µm</v>
      </c>
      <c r="I22" s="70" t="str">
        <f>IF($A22="","",IF(AND($B22&lt;&gt;"",ISNUMBER(SEARCH($I$7,$B22))),COUNT($I$9:I21)+1,""))</f>
        <v/>
      </c>
    </row>
    <row r="23" spans="1:9" ht="16" x14ac:dyDescent="0.25">
      <c r="A23" s="70" t="str">
        <f>Listas!E18</f>
        <v>40004-017-01 (Zinc) | 2.5 - 5 µm</v>
      </c>
      <c r="B23" s="70" t="str">
        <f t="shared" si="0"/>
        <v>Zinc</v>
      </c>
      <c r="C23" s="70" t="str">
        <f>IF($A23="","",IF(AND($B23&lt;&gt;"",IF($F$2="Otros",$B23="Otros",ISNUMBER(SEARCH($B23,$F$2)))),COUNT($C$2:C22)+1,""))</f>
        <v/>
      </c>
      <c r="G23" s="134" t="str">
        <f>IFERROR(INDEX($A$2:$A$507,MATCH(ROWS($G$2:G23),$C$2:$C$507,0)),IF(ROWS($G$2:G23)=1,"(sin matches)",""))</f>
        <v>RC Anodizado Natural | 12 - 18 µm</v>
      </c>
      <c r="I23" s="70" t="str">
        <f>IF($A23="","",IF(AND($B23&lt;&gt;"",ISNUMBER(SEARCH($I$7,$B23))),COUNT($I$9:I22)+1,""))</f>
        <v/>
      </c>
    </row>
    <row r="24" spans="1:9" ht="16" x14ac:dyDescent="0.25">
      <c r="A24" s="70" t="str">
        <f>Listas!E19</f>
        <v>40004-017-01 (Zinc) | 4.5-5</v>
      </c>
      <c r="B24" s="70" t="str">
        <f t="shared" si="0"/>
        <v>Zinc</v>
      </c>
      <c r="C24" s="70" t="str">
        <f>IF($A24="","",IF(AND($B24&lt;&gt;"",IF($F$2="Otros",$B24="Otros",ISNUMBER(SEARCH($B24,$F$2)))),COUNT($C$2:C23)+1,""))</f>
        <v/>
      </c>
      <c r="G24" s="134" t="str">
        <f>IFERROR(INDEX($A$2:$A$507,MATCH(ROWS($G$2:G24),$C$2:$C$507,0)),IF(ROWS($G$2:G24)=1,"(sin matches)",""))</f>
        <v>RC Anodizado Natural | 2 - 3 µm</v>
      </c>
      <c r="I24" s="70" t="str">
        <f>IF($A24="","",IF(AND($B24&lt;&gt;"",ISNUMBER(SEARCH($I$7,$B24))),COUNT($I$9:I23)+1,""))</f>
        <v/>
      </c>
    </row>
    <row r="25" spans="1:9" ht="16" x14ac:dyDescent="0.25">
      <c r="A25" s="70" t="str">
        <f>Listas!E20</f>
        <v>40004-017-01 (Zinc) | 5 - 8 µm</v>
      </c>
      <c r="B25" s="70" t="str">
        <f t="shared" si="0"/>
        <v>Zinc</v>
      </c>
      <c r="C25" s="70" t="str">
        <f>IF($A25="","",IF(AND($B25&lt;&gt;"",IF($F$2="Otros",$B25="Otros",ISNUMBER(SEARCH($B25,$F$2)))),COUNT($C$2:C24)+1,""))</f>
        <v/>
      </c>
      <c r="G25" s="134" t="str">
        <f>IFERROR(INDEX($A$2:$A$507,MATCH(ROWS($G$2:G25),$C$2:$C$507,0)),IF(ROWS($G$2:G25)=1,"(sin matches)",""))</f>
        <v>RC Anodizado Natural | 8 - 13 µm</v>
      </c>
      <c r="I25" s="70" t="str">
        <f>IF($A25="","",IF(AND($B25&lt;&gt;"",ISNUMBER(SEARCH($I$7,$B25))),COUNT($I$9:I24)+1,""))</f>
        <v/>
      </c>
    </row>
    <row r="26" spans="1:9" ht="16" x14ac:dyDescent="0.25">
      <c r="A26" s="70" t="str">
        <f>Listas!E21</f>
        <v>40004-017-01 (Zinc) | 8 - 12 µm</v>
      </c>
      <c r="B26" s="70" t="str">
        <f t="shared" si="0"/>
        <v>Zinc</v>
      </c>
      <c r="C26" s="70" t="str">
        <f>IF($A26="","",IF(AND($B26&lt;&gt;"",IF($F$2="Otros",$B26="Otros",ISNUMBER(SEARCH($B26,$F$2)))),COUNT($C$2:C25)+1,""))</f>
        <v/>
      </c>
      <c r="G26" s="134" t="str">
        <f>IFERROR(INDEX($A$2:$A$507,MATCH(ROWS($G$2:G26),$C$2:$C$507,0)),IF(ROWS($G$2:G26)=1,"(sin matches)",""))</f>
        <v>RC Anodizado Negro | 12 - 18 µm</v>
      </c>
      <c r="I26" s="70" t="str">
        <f>IF($A26="","",IF(AND($B26&lt;&gt;"",ISNUMBER(SEARCH($I$7,$B26))),COUNT($I$9:I25)+1,""))</f>
        <v/>
      </c>
    </row>
    <row r="27" spans="1:9" ht="16" x14ac:dyDescent="0.25">
      <c r="A27" s="70" t="str">
        <f>Listas!E22</f>
        <v>40004-022-01 (Estaño) | 5.08 - 7.54 µm</v>
      </c>
      <c r="B27" s="70" t="str">
        <f t="shared" si="0"/>
        <v>Estaño</v>
      </c>
      <c r="C27" s="70" t="str">
        <f>IF($A27="","",IF(AND($B27&lt;&gt;"",IF($F$2="Otros",$B27="Otros",ISNUMBER(SEARCH($B27,$F$2)))),COUNT($C$2:C26)+1,""))</f>
        <v/>
      </c>
      <c r="G27" s="134" t="str">
        <f>IFERROR(INDEX($A$2:$A$507,MATCH(ROWS($G$2:G27),$C$2:$C$507,0)),IF(ROWS($G$2:G27)=1,"(sin matches)",""))</f>
        <v>RC Anodizado Negro | 8 - 13 µm</v>
      </c>
      <c r="I27" s="70" t="str">
        <f>IF($A27="","",IF(AND($B27&lt;&gt;"",ISNUMBER(SEARCH($I$7,$B27))),COUNT($I$9:I26)+1,""))</f>
        <v/>
      </c>
    </row>
    <row r="28" spans="1:9" ht="16" x14ac:dyDescent="0.25">
      <c r="A28" s="70" t="str">
        <f>Listas!E23</f>
        <v>40004-086-01 (Plata Flash) | 1.27 - 2.5 µm</v>
      </c>
      <c r="B28" s="70" t="str">
        <f t="shared" si="0"/>
        <v>Plata</v>
      </c>
      <c r="C28" s="70" t="str">
        <f>IF($A28="","",IF(AND($B28&lt;&gt;"",IF($F$2="Otros",$B28="Otros",ISNUMBER(SEARCH($B28,$F$2)))),COUNT($C$2:C27)+1,""))</f>
        <v/>
      </c>
      <c r="G28" s="134" t="str">
        <f>IFERROR(INDEX($A$2:$A$507,MATCH(ROWS($G$2:G28),$C$2:$C$507,0)),IF(ROWS($G$2:G28)=1,"(sin matches)",""))</f>
        <v>RC Brill 61</v>
      </c>
      <c r="I28" s="70" t="str">
        <f>IF($A28="","",IF(AND($B28&lt;&gt;"",ISNUMBER(SEARCH($I$7,$B28))),COUNT($I$9:I27)+1,""))</f>
        <v/>
      </c>
    </row>
    <row r="29" spans="1:9" ht="16" x14ac:dyDescent="0.25">
      <c r="A29" s="70" t="str">
        <f>Listas!E24</f>
        <v>48053-001-01 (Deshidrogenado) | 177 - 205 °C | &gt;= 1 hrs.</v>
      </c>
      <c r="B29" s="70" t="str">
        <f t="shared" si="0"/>
        <v>Otros</v>
      </c>
      <c r="C29" s="70">
        <f>IF($A29="","",IF(AND($B29&lt;&gt;"",IF($F$2="Otros",$B29="Otros",ISNUMBER(SEARCH($B29,$F$2)))),COUNT($C$2:C28)+1,""))</f>
        <v>3</v>
      </c>
      <c r="G29" s="134" t="str">
        <f>IFERROR(INDEX($A$2:$A$507,MATCH(ROWS($G$2:G29),$C$2:$C$507,0)),IF(ROWS($G$2:G29)=1,"(sin matches)",""))</f>
        <v>RC Cromo Duro | 12.7 - 17.78 µm</v>
      </c>
      <c r="I29" s="70">
        <f>IF($A29="","",IF(AND($B29&lt;&gt;"",ISNUMBER(SEARCH($I$7,$B29))),COUNT($I$9:I28)+1,""))</f>
        <v>2</v>
      </c>
    </row>
    <row r="30" spans="1:9" ht="16" x14ac:dyDescent="0.25">
      <c r="A30" s="70" t="str">
        <f>Listas!E25</f>
        <v>48053-001-01 (Deshidrogenado) | 177 - 205 °C | &gt;= 2 hrs.</v>
      </c>
      <c r="B30" s="70" t="str">
        <f t="shared" si="0"/>
        <v>Otros</v>
      </c>
      <c r="C30" s="70">
        <f>IF($A30="","",IF(AND($B30&lt;&gt;"",IF($F$2="Otros",$B30="Otros",ISNUMBER(SEARCH($B30,$F$2)))),COUNT($C$2:C29)+1,""))</f>
        <v>4</v>
      </c>
      <c r="G30" s="134" t="str">
        <f>IFERROR(INDEX($A$2:$A$507,MATCH(ROWS($G$2:G30),$C$2:$C$507,0)),IF(ROWS($G$2:G30)=1,"(sin matches)",""))</f>
        <v>RC Cromo Duro | 19.05 - 31.75 µm</v>
      </c>
      <c r="I30" s="70">
        <f>IF($A30="","",IF(AND($B30&lt;&gt;"",ISNUMBER(SEARCH($I$7,$B30))),COUNT($I$9:I29)+1,""))</f>
        <v>3</v>
      </c>
    </row>
    <row r="31" spans="1:9" ht="16" x14ac:dyDescent="0.25">
      <c r="A31" s="70" t="str">
        <f>Listas!E26</f>
        <v>48053-001-01 (Deshidrogenado) | 177 - 205 °C | &gt;= 3 hrs.</v>
      </c>
      <c r="B31" s="70" t="str">
        <f t="shared" si="0"/>
        <v>Otros</v>
      </c>
      <c r="C31" s="70">
        <f>IF($A31="","",IF(AND($B31&lt;&gt;"",IF($F$2="Otros",$B31="Otros",ISNUMBER(SEARCH($B31,$F$2)))),COUNT($C$2:C30)+1,""))</f>
        <v>5</v>
      </c>
      <c r="G31" s="134" t="str">
        <f>IFERROR(INDEX($A$2:$A$507,MATCH(ROWS($G$2:G31),$C$2:$C$507,0)),IF(ROWS($G$2:G31)=1,"(sin matches)",""))</f>
        <v>RC Cromo Duro | 38.5 - 63.5 µm</v>
      </c>
      <c r="I31" s="70">
        <f>IF($A31="","",IF(AND($B31&lt;&gt;"",ISNUMBER(SEARCH($I$7,$B31))),COUNT($I$9:I30)+1,""))</f>
        <v>4</v>
      </c>
    </row>
    <row r="32" spans="1:9" ht="16" x14ac:dyDescent="0.25">
      <c r="A32" s="70" t="str">
        <f>Listas!E27</f>
        <v>48053-005-01 (Lavado - Tratamiento Térmico - Bimetales)</v>
      </c>
      <c r="B32" s="70" t="str">
        <f t="shared" si="0"/>
        <v>Otros</v>
      </c>
      <c r="C32" s="70">
        <f>IF($A32="","",IF(AND($B32&lt;&gt;"",IF($F$2="Otros",$B32="Otros",ISNUMBER(SEARCH($B32,$F$2)))),COUNT($C$2:C31)+1,""))</f>
        <v>6</v>
      </c>
      <c r="G32" s="134" t="str">
        <f>IFERROR(INDEX($A$2:$A$507,MATCH(ROWS($G$2:G32),$C$2:$C$507,0)),IF(ROWS($G$2:G32)=1,"(sin matches)",""))</f>
        <v>RC Cromo Duro | 63.5 - 88.9 µm</v>
      </c>
      <c r="I32" s="70">
        <f>IF($A32="","",IF(AND($B32&lt;&gt;"",ISNUMBER(SEARCH($I$7,$B32))),COUNT($I$9:I31)+1,""))</f>
        <v>5</v>
      </c>
    </row>
    <row r="33" spans="1:9" ht="16" x14ac:dyDescent="0.25">
      <c r="A33" s="70" t="str">
        <f>Listas!E28</f>
        <v>48057-002-01 (Níquel) | 2.5 - 5.0 µm</v>
      </c>
      <c r="B33" s="70" t="str">
        <f t="shared" si="0"/>
        <v>Níquel</v>
      </c>
      <c r="C33" s="70" t="str">
        <f>IF($A33="","",IF(AND($B33&lt;&gt;"",IF($F$2="Otros",$B33="Otros",ISNUMBER(SEARCH($B33,$F$2)))),COUNT($C$2:C32)+1,""))</f>
        <v/>
      </c>
      <c r="G33" s="134" t="str">
        <f>IFERROR(INDEX($A$2:$A$507,MATCH(ROWS($G$2:G33),$C$2:$C$507,0)),IF(ROWS($G$2:G33)=1,"(sin matches)",""))</f>
        <v>RC Cromo Duro | 7.62 - 12.7 µm</v>
      </c>
      <c r="I33" s="70" t="str">
        <f>IF($A33="","",IF(AND($B33&lt;&gt;"",ISNUMBER(SEARCH($I$7,$B33))),COUNT($I$9:I32)+1,""))</f>
        <v/>
      </c>
    </row>
    <row r="34" spans="1:9" ht="16" x14ac:dyDescent="0.25">
      <c r="A34" s="70" t="str">
        <f>Listas!E29</f>
        <v>48057-002-02 (Níquel Bimetales) | 0.5 - 2.0 µm</v>
      </c>
      <c r="B34" s="70" t="str">
        <f t="shared" si="0"/>
        <v>Níquel</v>
      </c>
      <c r="C34" s="70" t="str">
        <f>IF($A34="","",IF(AND($B34&lt;&gt;"",IF($F$2="Otros",$B34="Otros",ISNUMBER(SEARCH($B34,$F$2)))),COUNT($C$2:C33)+1,""))</f>
        <v/>
      </c>
      <c r="G34" s="134" t="str">
        <f>IFERROR(INDEX($A$2:$A$507,MATCH(ROWS($G$2:G34),$C$2:$C$507,0)),IF(ROWS($G$2:G34)=1,"(sin matches)",""))</f>
        <v>RC Cu (Cobre) | 0.25 - 1 µm</v>
      </c>
      <c r="I34" s="70" t="str">
        <f>IF($A34="","",IF(AND($B34&lt;&gt;"",ISNUMBER(SEARCH($I$7,$B34))),COUNT($I$9:I33)+1,""))</f>
        <v/>
      </c>
    </row>
    <row r="35" spans="1:9" ht="16" x14ac:dyDescent="0.25">
      <c r="A35" s="70" t="str">
        <f>Listas!E30</f>
        <v>48057-003-01 (Zinc) | 6.0 - 10.0 µm</v>
      </c>
      <c r="B35" s="70" t="str">
        <f t="shared" si="0"/>
        <v>Zinc</v>
      </c>
      <c r="C35" s="70" t="str">
        <f>IF($A35="","",IF(AND($B35&lt;&gt;"",IF($F$2="Otros",$B35="Otros",ISNUMBER(SEARCH($B35,$F$2)))),COUNT($C$2:C34)+1,""))</f>
        <v/>
      </c>
      <c r="G35" s="134" t="str">
        <f>IFERROR(INDEX($A$2:$A$507,MATCH(ROWS($G$2:G35),$C$2:$C$507,0)),IF(ROWS($G$2:G35)=1,"(sin matches)",""))</f>
        <v>RC Cu (Cobre) | 0.76 - 2 µm</v>
      </c>
      <c r="I35" s="70" t="str">
        <f>IF($A35="","",IF(AND($B35&lt;&gt;"",ISNUMBER(SEARCH($I$7,$B35))),COUNT($I$9:I34)+1,""))</f>
        <v/>
      </c>
    </row>
    <row r="36" spans="1:9" ht="16" x14ac:dyDescent="0.25">
      <c r="A36" s="70" t="str">
        <f>Listas!E31</f>
        <v>48057-004-01 (Bright Dip)</v>
      </c>
      <c r="B36" s="70" t="str">
        <f t="shared" si="0"/>
        <v>Otros</v>
      </c>
      <c r="C36" s="70">
        <f>IF($A36="","",IF(AND($B36&lt;&gt;"",IF($F$2="Otros",$B36="Otros",ISNUMBER(SEARCH($B36,$F$2)))),COUNT($C$2:C35)+1,""))</f>
        <v>7</v>
      </c>
      <c r="G36" s="134" t="str">
        <f>IFERROR(INDEX($A$2:$A$507,MATCH(ROWS($G$2:G36),$C$2:$C$507,0)),IF(ROWS($G$2:G36)=1,"(sin matches)",""))</f>
        <v>RC Cu (Cobre) | 10 - 12 µm</v>
      </c>
      <c r="I36" s="70">
        <f>IF($A36="","",IF(AND($B36&lt;&gt;"",ISNUMBER(SEARCH($I$7,$B36))),COUNT($I$9:I35)+1,""))</f>
        <v>6</v>
      </c>
    </row>
    <row r="37" spans="1:9" ht="16" x14ac:dyDescent="0.25">
      <c r="A37" s="70" t="str">
        <f>Listas!E32</f>
        <v>48057-006-01 (Plata) | 2.5 - 4.0 µm</v>
      </c>
      <c r="B37" s="70" t="str">
        <f t="shared" si="0"/>
        <v>Plata</v>
      </c>
      <c r="C37" s="70" t="str">
        <f>IF($A37="","",IF(AND($B37&lt;&gt;"",IF($F$2="Otros",$B37="Otros",ISNUMBER(SEARCH($B37,$F$2)))),COUNT($C$2:C36)+1,""))</f>
        <v/>
      </c>
      <c r="G37" s="134" t="str">
        <f>IFERROR(INDEX($A$2:$A$507,MATCH(ROWS($G$2:G37),$C$2:$C$507,0)),IF(ROWS($G$2:G37)=1,"(sin matches)",""))</f>
        <v>RC Cu (Cobre) | 3 - 5 µm</v>
      </c>
      <c r="I37" s="70" t="str">
        <f>IF($A37="","",IF(AND($B37&lt;&gt;"",ISNUMBER(SEARCH($I$7,$B37))),COUNT($I$9:I36)+1,""))</f>
        <v/>
      </c>
    </row>
    <row r="38" spans="1:9" ht="16" x14ac:dyDescent="0.25">
      <c r="A38" s="70" t="str">
        <f>Listas!E33</f>
        <v>48057-007-01 (Estaño Bimetales) | 1.9 - 5.0 µm</v>
      </c>
      <c r="B38" s="70" t="str">
        <f t="shared" si="0"/>
        <v>Estaño</v>
      </c>
      <c r="C38" s="70" t="str">
        <f>IF($A38="","",IF(AND($B38&lt;&gt;"",IF($F$2="Otros",$B38="Otros",ISNUMBER(SEARCH($B38,$F$2)))),COUNT($C$2:C37)+1,""))</f>
        <v/>
      </c>
      <c r="G38" s="134" t="str">
        <f>IFERROR(INDEX($A$2:$A$507,MATCH(ROWS($G$2:G38),$C$2:$C$507,0)),IF(ROWS($G$2:G38)=1,"(sin matches)",""))</f>
        <v>RC Cu (Cobre) | 5 - 10 µm</v>
      </c>
      <c r="I38" s="70" t="str">
        <f>IF($A38="","",IF(AND($B38&lt;&gt;"",ISNUMBER(SEARCH($I$7,$B38))),COUNT($I$9:I37)+1,""))</f>
        <v/>
      </c>
    </row>
    <row r="39" spans="1:9" ht="16" x14ac:dyDescent="0.25">
      <c r="A39" s="70" t="str">
        <f>Listas!E34</f>
        <v>48860-031-01 (Lavado)</v>
      </c>
      <c r="B39" s="70" t="str">
        <f t="shared" si="0"/>
        <v>Otros</v>
      </c>
      <c r="C39" s="70">
        <f>IF($A39="","",IF(AND($B39&lt;&gt;"",IF($F$2="Otros",$B39="Otros",ISNUMBER(SEARCH($B39,$F$2)))),COUNT($C$2:C38)+1,""))</f>
        <v>8</v>
      </c>
      <c r="G39" s="134" t="str">
        <f>IFERROR(INDEX($A$2:$A$507,MATCH(ROWS($G$2:G39),$C$2:$C$507,0)),IF(ROWS($G$2:G39)=1,"(sin matches)",""))</f>
        <v>RC Decapado</v>
      </c>
      <c r="I39" s="70">
        <f>IF($A39="","",IF(AND($B39&lt;&gt;"",ISNUMBER(SEARCH($I$7,$B39))),COUNT($I$9:I38)+1,""))</f>
        <v>7</v>
      </c>
    </row>
    <row r="40" spans="1:9" ht="16" x14ac:dyDescent="0.25">
      <c r="A40" s="70" t="str">
        <f>Listas!E35</f>
        <v>48951-001-01 (Rebabeo)</v>
      </c>
      <c r="B40" s="70" t="str">
        <f t="shared" si="0"/>
        <v>Otros</v>
      </c>
      <c r="C40" s="70">
        <f>IF($A40="","",IF(AND($B40&lt;&gt;"",IF($F$2="Otros",$B40="Otros",ISNUMBER(SEARCH($B40,$F$2)))),COUNT($C$2:C39)+1,""))</f>
        <v>9</v>
      </c>
      <c r="G40" s="134" t="str">
        <f>IFERROR(INDEX($A$2:$A$507,MATCH(ROWS($G$2:G40),$C$2:$C$507,0)),IF(ROWS($G$2:G40)=1,"(sin matches)",""))</f>
        <v>RC Electropulido</v>
      </c>
      <c r="I40" s="70">
        <f>IF($A40="","",IF(AND($B40&lt;&gt;"",ISNUMBER(SEARCH($I$7,$B40))),COUNT($I$9:I39)+1,""))</f>
        <v>8</v>
      </c>
    </row>
    <row r="41" spans="1:9" ht="16" x14ac:dyDescent="0.25">
      <c r="A41" s="70" t="str">
        <f>Listas!E36</f>
        <v>48951-001-02 (Rebabeo)</v>
      </c>
      <c r="B41" s="70" t="str">
        <f t="shared" si="0"/>
        <v>Otros</v>
      </c>
      <c r="C41" s="70">
        <f>IF($A41="","",IF(AND($B41&lt;&gt;"",IF($F$2="Otros",$B41="Otros",ISNUMBER(SEARCH($B41,$F$2)))),COUNT($C$2:C40)+1,""))</f>
        <v>10</v>
      </c>
      <c r="G41" s="134" t="str">
        <f>IFERROR(INDEX($A$2:$A$507,MATCH(ROWS($G$2:G41),$C$2:$C$507,0)),IF(ROWS($G$2:G41)=1,"(sin matches)",""))</f>
        <v>RC Empaque</v>
      </c>
      <c r="I41" s="70">
        <f>IF($A41="","",IF(AND($B41&lt;&gt;"",ISNUMBER(SEARCH($I$7,$B41))),COUNT($I$9:I40)+1,""))</f>
        <v>9</v>
      </c>
    </row>
    <row r="42" spans="1:9" ht="16" x14ac:dyDescent="0.25">
      <c r="A42" s="70" t="str">
        <f>Listas!E37</f>
        <v>48951-008-01 (Desengrase)</v>
      </c>
      <c r="B42" s="70" t="str">
        <f t="shared" si="0"/>
        <v>Otros</v>
      </c>
      <c r="C42" s="70">
        <f>IF($A42="","",IF(AND($B42&lt;&gt;"",IF($F$2="Otros",$B42="Otros",ISNUMBER(SEARCH($B42,$F$2)))),COUNT($C$2:C41)+1,""))</f>
        <v>11</v>
      </c>
      <c r="G42" s="134" t="str">
        <f>IFERROR(INDEX($A$2:$A$507,MATCH(ROWS($G$2:G42),$C$2:$C$507,0)),IF(ROWS($G$2:G42)=1,"(sin matches)",""))</f>
        <v>RC Ensamble de Kits</v>
      </c>
      <c r="I42" s="70">
        <f>IF($A42="","",IF(AND($B42&lt;&gt;"",ISNUMBER(SEARCH($I$7,$B42))),COUNT($I$9:I41)+1,""))</f>
        <v>10</v>
      </c>
    </row>
    <row r="43" spans="1:9" ht="16" x14ac:dyDescent="0.25">
      <c r="A43" s="70" t="str">
        <f>Listas!E38</f>
        <v>48957-014-01 (Níquel Electroless) | 10 - 13 µm</v>
      </c>
      <c r="B43" s="70" t="str">
        <f t="shared" si="0"/>
        <v>Níquel</v>
      </c>
      <c r="C43" s="70" t="str">
        <f>IF($A43="","",IF(AND($B43&lt;&gt;"",IF($F$2="Otros",$B43="Otros",ISNUMBER(SEARCH($B43,$F$2)))),COUNT($C$2:C42)+1,""))</f>
        <v/>
      </c>
      <c r="G43" s="134" t="str">
        <f>IFERROR(INDEX($A$2:$A$507,MATCH(ROWS($G$2:G43),$C$2:$C$507,0)),IF(ROWS($G$2:G43)=1,"(sin matches)",""))</f>
        <v>RC Lavado</v>
      </c>
      <c r="I43" s="70" t="str">
        <f>IF($A43="","",IF(AND($B43&lt;&gt;"",ISNUMBER(SEARCH($I$7,$B43))),COUNT($I$9:I42)+1,""))</f>
        <v/>
      </c>
    </row>
    <row r="44" spans="1:9" ht="16" x14ac:dyDescent="0.25">
      <c r="A44" s="70" t="str">
        <f>Listas!E39</f>
        <v>48957-014-01 (Níquel Electroless) | 5.0 - 10.0 µm</v>
      </c>
      <c r="B44" s="70" t="str">
        <f t="shared" si="0"/>
        <v>Níquel</v>
      </c>
      <c r="C44" s="70" t="str">
        <f>IF($A44="","",IF(AND($B44&lt;&gt;"",IF($F$2="Otros",$B44="Otros",ISNUMBER(SEARCH($B44,$F$2)))),COUNT($C$2:C43)+1,""))</f>
        <v/>
      </c>
      <c r="G44" s="134" t="str">
        <f>IFERROR(INDEX($A$2:$A$507,MATCH(ROWS($G$2:G44),$C$2:$C$507,0)),IF(ROWS($G$2:G44)=1,"(sin matches)",""))</f>
        <v>RC Limpieza Mecánica</v>
      </c>
      <c r="I44" s="70" t="str">
        <f>IF($A44="","",IF(AND($B44&lt;&gt;"",ISNUMBER(SEARCH($I$7,$B44))),COUNT($I$9:I43)+1,""))</f>
        <v/>
      </c>
    </row>
    <row r="45" spans="1:9" ht="16" x14ac:dyDescent="0.25">
      <c r="A45" s="70" t="str">
        <f>Listas!E40</f>
        <v>80065-DS-001 (Estaño) | 5.08 - 8.89 µm</v>
      </c>
      <c r="B45" s="70" t="str">
        <f t="shared" si="0"/>
        <v>Estaño</v>
      </c>
      <c r="C45" s="70" t="str">
        <f>IF($A45="","",IF(AND($B45&lt;&gt;"",IF($F$2="Otros",$B45="Otros",ISNUMBER(SEARCH($B45,$F$2)))),COUNT($C$2:C44)+1,""))</f>
        <v/>
      </c>
      <c r="G45" s="134" t="str">
        <f>IFERROR(INDEX($A$2:$A$507,MATCH(ROWS($G$2:G45),$C$2:$C$507,0)),IF(ROWS($G$2:G45)=1,"(sin matches)",""))</f>
        <v>RC No Oxide</v>
      </c>
      <c r="I45" s="70" t="str">
        <f>IF($A45="","",IF(AND($B45&lt;&gt;"",ISNUMBER(SEARCH($I$7,$B45))),COUNT($I$9:I44)+1,""))</f>
        <v/>
      </c>
    </row>
    <row r="46" spans="1:9" ht="16" x14ac:dyDescent="0.25">
      <c r="A46" s="70" t="str">
        <f>Listas!E41</f>
        <v>80065-DS-002 (Estaño) | 5.08 - 8.89 µm</v>
      </c>
      <c r="B46" s="70" t="str">
        <f t="shared" si="0"/>
        <v>Estaño</v>
      </c>
      <c r="C46" s="70" t="str">
        <f>IF($A46="","",IF(AND($B46&lt;&gt;"",IF($F$2="Otros",$B46="Otros",ISNUMBER(SEARCH($B46,$F$2)))),COUNT($C$2:C45)+1,""))</f>
        <v/>
      </c>
      <c r="G46" s="134" t="str">
        <f>IFERROR(INDEX($A$2:$A$507,MATCH(ROWS($G$2:G46),$C$2:$C$507,0)),IF(ROWS($G$2:G46)=1,"(sin matches)",""))</f>
        <v>RC Pasivado</v>
      </c>
      <c r="I46" s="70" t="str">
        <f>IF($A46="","",IF(AND($B46&lt;&gt;"",ISNUMBER(SEARCH($I$7,$B46))),COUNT($I$9:I45)+1,""))</f>
        <v/>
      </c>
    </row>
    <row r="47" spans="1:9" ht="16" x14ac:dyDescent="0.25">
      <c r="A47" s="70" t="str">
        <f>Listas!E42</f>
        <v>80065-DS-004 (Plata) | 7.26 - 9.26 µm</v>
      </c>
      <c r="B47" s="70" t="str">
        <f t="shared" si="0"/>
        <v>Plata</v>
      </c>
      <c r="C47" s="70" t="str">
        <f>IF($A47="","",IF(AND($B47&lt;&gt;"",IF($F$2="Otros",$B47="Otros",ISNUMBER(SEARCH($B47,$F$2)))),COUNT($C$2:C46)+1,""))</f>
        <v/>
      </c>
      <c r="G47" s="134" t="str">
        <f>IFERROR(INDEX($A$2:$A$507,MATCH(ROWS($G$2:G47),$C$2:$C$507,0)),IF(ROWS($G$2:G47)=1,"(sin matches)",""))</f>
        <v>RC Rebabeo</v>
      </c>
      <c r="I47" s="70" t="str">
        <f>IF($A47="","",IF(AND($B47&lt;&gt;"",ISNUMBER(SEARCH($I$7,$B47))),COUNT($I$9:I46)+1,""))</f>
        <v/>
      </c>
    </row>
    <row r="48" spans="1:9" ht="16" x14ac:dyDescent="0.25">
      <c r="A48" s="70" t="str">
        <f>Listas!E43</f>
        <v>80065-DS-005 (Plata Flash) | 0.076 - 0.2 µm</v>
      </c>
      <c r="B48" s="70" t="str">
        <f t="shared" si="0"/>
        <v>Plata</v>
      </c>
      <c r="C48" s="70" t="str">
        <f>IF($A48="","",IF(AND($B48&lt;&gt;"",IF($F$2="Otros",$B48="Otros",ISNUMBER(SEARCH($B48,$F$2)))),COUNT($C$2:C47)+1,""))</f>
        <v/>
      </c>
      <c r="G48" s="134" t="str">
        <f>IFERROR(INDEX($A$2:$A$507,MATCH(ROWS($G$2:G48),$C$2:$C$507,0)),IF(ROWS($G$2:G48)=1,"(sin matches)",""))</f>
        <v>TS1E-010-103 (Fosfato de Manganeso - Medición de Grano - GM) | 5 - 11 µm</v>
      </c>
      <c r="I48" s="70" t="str">
        <f>IF($A48="","",IF(AND($B48&lt;&gt;"",ISNUMBER(SEARCH($I$7,$B48))),COUNT($I$9:I47)+1,""))</f>
        <v/>
      </c>
    </row>
    <row r="49" spans="1:9" ht="16" x14ac:dyDescent="0.25">
      <c r="A49" s="70" t="str">
        <f>Listas!E44</f>
        <v>80065-DS-008 (Plata) | 7.62 - 9.5 µm</v>
      </c>
      <c r="B49" s="70" t="str">
        <f t="shared" si="0"/>
        <v>Plata</v>
      </c>
      <c r="C49" s="70" t="str">
        <f>IF($A49="","",IF(AND($B49&lt;&gt;"",IF($F$2="Otros",$B49="Otros",ISNUMBER(SEARCH($B49,$F$2)))),COUNT($C$2:C48)+1,""))</f>
        <v/>
      </c>
      <c r="G49" s="134" t="str">
        <f>IFERROR(INDEX($A$2:$A$507,MATCH(ROWS($G$2:G49),$C$2:$C$507,0)),IF(ROWS($G$2:G49)=1,"(sin matches)",""))</f>
        <v/>
      </c>
      <c r="I49" s="70" t="str">
        <f>IF($A49="","",IF(AND($B49&lt;&gt;"",ISNUMBER(SEARCH($I$7,$B49))),COUNT($I$9:I48)+1,""))</f>
        <v/>
      </c>
    </row>
    <row r="50" spans="1:9" ht="16" x14ac:dyDescent="0.25">
      <c r="A50" s="70" t="str">
        <f>Listas!E45</f>
        <v>80282-DS-005 (Epóxico BT) | 4 - 11 mils (milipulgadas)</v>
      </c>
      <c r="B50" s="70" t="str">
        <f t="shared" si="0"/>
        <v>Epóxico</v>
      </c>
      <c r="C50" s="70" t="str">
        <f>IF($A50="","",IF(AND($B50&lt;&gt;"",IF($F$2="Otros",$B50="Otros",ISNUMBER(SEARCH($B50,$F$2)))),COUNT($C$2:C49)+1,""))</f>
        <v/>
      </c>
      <c r="G50" s="134" t="str">
        <f>IFERROR(INDEX($A$2:$A$507,MATCH(ROWS($G$2:G50),$C$2:$C$507,0)),IF(ROWS($G$2:G50)=1,"(sin matches)",""))</f>
        <v/>
      </c>
      <c r="I50" s="70" t="str">
        <f>IF($A50="","",IF(AND($B50&lt;&gt;"",ISNUMBER(SEARCH($I$7,$B50))),COUNT($I$9:I49)+1,""))</f>
        <v/>
      </c>
    </row>
    <row r="51" spans="1:9" ht="16" x14ac:dyDescent="0.25">
      <c r="A51" s="70" t="str">
        <f>Listas!E46</f>
        <v>ABD01030 (Plata Semibrillante) | 2 - 5 µm</v>
      </c>
      <c r="B51" s="70" t="str">
        <f t="shared" si="0"/>
        <v>Plata</v>
      </c>
      <c r="C51" s="70" t="str">
        <f>IF($A51="","",IF(AND($B51&lt;&gt;"",IF($F$2="Otros",$B51="Otros",ISNUMBER(SEARCH($B51,$F$2)))),COUNT($C$2:C50)+1,""))</f>
        <v/>
      </c>
      <c r="G51" s="134" t="str">
        <f>IFERROR(INDEX($A$2:$A$507,MATCH(ROWS($G$2:G51),$C$2:$C$507,0)),IF(ROWS($G$2:G51)=1,"(sin matches)",""))</f>
        <v/>
      </c>
      <c r="I51" s="70" t="str">
        <f>IF($A51="","",IF(AND($B51&lt;&gt;"",ISNUMBER(SEARCH($I$7,$B51))),COUNT($I$9:I50)+1,""))</f>
        <v/>
      </c>
    </row>
    <row r="52" spans="1:9" ht="16" x14ac:dyDescent="0.25">
      <c r="A52" s="70" t="str">
        <f>Listas!E47</f>
        <v>ACP5-618 (Plata) | 0.076 - 2.54 µm</v>
      </c>
      <c r="B52" s="70" t="str">
        <f t="shared" si="0"/>
        <v>Plata</v>
      </c>
      <c r="C52" s="70" t="str">
        <f>IF($A52="","",IF(AND($B52&lt;&gt;"",IF($F$2="Otros",$B52="Otros",ISNUMBER(SEARCH($B52,$F$2)))),COUNT($C$2:C51)+1,""))</f>
        <v/>
      </c>
      <c r="G52" s="134" t="str">
        <f>IFERROR(INDEX($A$2:$A$507,MATCH(ROWS($G$2:G52),$C$2:$C$507,0)),IF(ROWS($G$2:G52)=1,"(sin matches)",""))</f>
        <v/>
      </c>
      <c r="I52" s="70" t="str">
        <f>IF($A52="","",IF(AND($B52&lt;&gt;"",ISNUMBER(SEARCH($I$7,$B52))),COUNT($I$9:I51)+1,""))</f>
        <v/>
      </c>
    </row>
    <row r="53" spans="1:9" ht="16" x14ac:dyDescent="0.25">
      <c r="A53" s="70" t="str">
        <f>Listas!E48</f>
        <v>ACP5-618 (Plata) | 2.54 - 5.08 µm</v>
      </c>
      <c r="B53" s="70" t="str">
        <f t="shared" si="0"/>
        <v>Plata</v>
      </c>
      <c r="C53" s="70" t="str">
        <f>IF($A53="","",IF(AND($B53&lt;&gt;"",IF($F$2="Otros",$B53="Otros",ISNUMBER(SEARCH($B53,$F$2)))),COUNT($C$2:C52)+1,""))</f>
        <v/>
      </c>
      <c r="G53" s="134" t="str">
        <f>IFERROR(INDEX($A$2:$A$507,MATCH(ROWS($G$2:G53),$C$2:$C$507,0)),IF(ROWS($G$2:G53)=1,"(sin matches)",""))</f>
        <v/>
      </c>
      <c r="I53" s="70" t="str">
        <f>IF($A53="","",IF(AND($B53&lt;&gt;"",ISNUMBER(SEARCH($I$7,$B53))),COUNT($I$9:I52)+1,""))</f>
        <v/>
      </c>
    </row>
    <row r="54" spans="1:9" ht="16" x14ac:dyDescent="0.25">
      <c r="A54" s="70" t="str">
        <f>Listas!E49</f>
        <v>ACP5-618 (Plata) | 5.08 - 12.7 µm</v>
      </c>
      <c r="B54" s="70" t="str">
        <f t="shared" si="0"/>
        <v>Plata</v>
      </c>
      <c r="C54" s="70" t="str">
        <f>IF($A54="","",IF(AND($B54&lt;&gt;"",IF($F$2="Otros",$B54="Otros",ISNUMBER(SEARCH($B54,$F$2)))),COUNT($C$2:C53)+1,""))</f>
        <v/>
      </c>
      <c r="G54" s="134" t="str">
        <f>IFERROR(INDEX($A$2:$A$507,MATCH(ROWS($G$2:G54),$C$2:$C$507,0)),IF(ROWS($G$2:G54)=1,"(sin matches)",""))</f>
        <v/>
      </c>
      <c r="I54" s="70" t="str">
        <f>IF($A54="","",IF(AND($B54&lt;&gt;"",ISNUMBER(SEARCH($I$7,$B54))),COUNT($I$9:I53)+1,""))</f>
        <v/>
      </c>
    </row>
    <row r="55" spans="1:9" ht="16" x14ac:dyDescent="0.25">
      <c r="A55" s="70" t="str">
        <f>Listas!E50</f>
        <v>ASTM B545 (Estaño) | 1.5 - 2.5 µm</v>
      </c>
      <c r="B55" s="70" t="str">
        <f t="shared" si="0"/>
        <v>Estaño</v>
      </c>
      <c r="C55" s="70" t="str">
        <f>IF($A55="","",IF(AND($B55&lt;&gt;"",IF($F$2="Otros",$B55="Otros",ISNUMBER(SEARCH($B55,$F$2)))),COUNT($C$2:C54)+1,""))</f>
        <v/>
      </c>
      <c r="G55" s="134" t="str">
        <f>IFERROR(INDEX($A$2:$A$507,MATCH(ROWS($G$2:G55),$C$2:$C$507,0)),IF(ROWS($G$2:G55)=1,"(sin matches)",""))</f>
        <v/>
      </c>
      <c r="I55" s="70" t="str">
        <f>IF($A55="","",IF(AND($B55&lt;&gt;"",ISNUMBER(SEARCH($I$7,$B55))),COUNT($I$9:I54)+1,""))</f>
        <v/>
      </c>
    </row>
    <row r="56" spans="1:9" ht="16" x14ac:dyDescent="0.25">
      <c r="A56" s="70" t="str">
        <f>Listas!E51</f>
        <v>ASTM B545 (Estaño) | 15 - 30 µm</v>
      </c>
      <c r="B56" s="70" t="str">
        <f t="shared" si="0"/>
        <v>Estaño</v>
      </c>
      <c r="C56" s="70" t="str">
        <f>IF($A56="","",IF(AND($B56&lt;&gt;"",IF($F$2="Otros",$B56="Otros",ISNUMBER(SEARCH($B56,$F$2)))),COUNT($C$2:C55)+1,""))</f>
        <v/>
      </c>
      <c r="G56" s="134" t="str">
        <f>IFERROR(INDEX($A$2:$A$507,MATCH(ROWS($G$2:G56),$C$2:$C$507,0)),IF(ROWS($G$2:G56)=1,"(sin matches)",""))</f>
        <v/>
      </c>
      <c r="I56" s="70" t="str">
        <f>IF($A56="","",IF(AND($B56&lt;&gt;"",ISNUMBER(SEARCH($I$7,$B56))),COUNT($I$9:I55)+1,""))</f>
        <v/>
      </c>
    </row>
    <row r="57" spans="1:9" ht="16" x14ac:dyDescent="0.25">
      <c r="A57" s="70" t="str">
        <f>Listas!E52</f>
        <v>ASTM B545 (Estaño) | 2.5 - 5 µm</v>
      </c>
      <c r="B57" s="70" t="str">
        <f t="shared" si="0"/>
        <v>Estaño</v>
      </c>
      <c r="C57" s="70" t="str">
        <f>IF($A57="","",IF(AND($B57&lt;&gt;"",IF($F$2="Otros",$B57="Otros",ISNUMBER(SEARCH($B57,$F$2)))),COUNT($C$2:C56)+1,""))</f>
        <v/>
      </c>
      <c r="G57" s="134" t="str">
        <f>IFERROR(INDEX($A$2:$A$507,MATCH(ROWS($G$2:G57),$C$2:$C$507,0)),IF(ROWS($G$2:G57)=1,"(sin matches)",""))</f>
        <v/>
      </c>
      <c r="I57" s="70" t="str">
        <f>IF($A57="","",IF(AND($B57&lt;&gt;"",ISNUMBER(SEARCH($I$7,$B57))),COUNT($I$9:I56)+1,""))</f>
        <v/>
      </c>
    </row>
    <row r="58" spans="1:9" ht="16" x14ac:dyDescent="0.25">
      <c r="A58" s="70" t="str">
        <f>Listas!E53</f>
        <v>ASTM B545 (Estaño) | 30 - 50 µm</v>
      </c>
      <c r="B58" s="70" t="str">
        <f t="shared" si="0"/>
        <v>Estaño</v>
      </c>
      <c r="C58" s="70" t="str">
        <f>IF($A58="","",IF(AND($B58&lt;&gt;"",IF($F$2="Otros",$B58="Otros",ISNUMBER(SEARCH($B58,$F$2)))),COUNT($C$2:C57)+1,""))</f>
        <v/>
      </c>
      <c r="G58" s="134" t="str">
        <f>IFERROR(INDEX($A$2:$A$507,MATCH(ROWS($G$2:G58),$C$2:$C$507,0)),IF(ROWS($G$2:G58)=1,"(sin matches)",""))</f>
        <v/>
      </c>
      <c r="I58" s="70" t="str">
        <f>IF($A58="","",IF(AND($B58&lt;&gt;"",ISNUMBER(SEARCH($I$7,$B58))),COUNT($I$9:I57)+1,""))</f>
        <v/>
      </c>
    </row>
    <row r="59" spans="1:9" ht="16" x14ac:dyDescent="0.25">
      <c r="A59" s="70" t="str">
        <f>Listas!E54</f>
        <v>ASTM B545 (Estaño) | 5.0 - 8.0 µm</v>
      </c>
      <c r="B59" s="70" t="str">
        <f t="shared" si="0"/>
        <v>Estaño</v>
      </c>
      <c r="C59" s="70" t="str">
        <f>IF($A59="","",IF(AND($B59&lt;&gt;"",IF($F$2="Otros",$B59="Otros",ISNUMBER(SEARCH($B59,$F$2)))),COUNT($C$2:C58)+1,""))</f>
        <v/>
      </c>
      <c r="G59" s="134" t="str">
        <f>IFERROR(INDEX($A$2:$A$507,MATCH(ROWS($G$2:G59),$C$2:$C$507,0)),IF(ROWS($G$2:G59)=1,"(sin matches)",""))</f>
        <v/>
      </c>
      <c r="I59" s="70" t="str">
        <f>IF($A59="","",IF(AND($B59&lt;&gt;"",ISNUMBER(SEARCH($I$7,$B59))),COUNT($I$9:I58)+1,""))</f>
        <v/>
      </c>
    </row>
    <row r="60" spans="1:9" ht="16" x14ac:dyDescent="0.25">
      <c r="A60" s="70" t="str">
        <f>Listas!E55</f>
        <v>ASTM B545 (Estaño) | 8 - 15 µm</v>
      </c>
      <c r="B60" s="70" t="str">
        <f t="shared" si="0"/>
        <v>Estaño</v>
      </c>
      <c r="C60" s="70" t="str">
        <f>IF($A60="","",IF(AND($B60&lt;&gt;"",IF($F$2="Otros",$B60="Otros",ISNUMBER(SEARCH($B60,$F$2)))),COUNT($C$2:C59)+1,""))</f>
        <v/>
      </c>
      <c r="G60" s="134" t="str">
        <f>IFERROR(INDEX($A$2:$A$507,MATCH(ROWS($G$2:G60),$C$2:$C$507,0)),IF(ROWS($G$2:G60)=1,"(sin matches)",""))</f>
        <v/>
      </c>
      <c r="I60" s="70" t="str">
        <f>IF($A60="","",IF(AND($B60&lt;&gt;"",ISNUMBER(SEARCH($I$7,$B60))),COUNT($I$9:I59)+1,""))</f>
        <v/>
      </c>
    </row>
    <row r="61" spans="1:9" ht="16" x14ac:dyDescent="0.25">
      <c r="A61" s="70" t="str">
        <f>Listas!E56</f>
        <v>ASTM B633 (Zinc) | 8.0 - 12.0 µm</v>
      </c>
      <c r="B61" s="70" t="str">
        <f t="shared" si="0"/>
        <v>Zinc</v>
      </c>
      <c r="C61" s="70" t="str">
        <f>IF($A61="","",IF(AND($B61&lt;&gt;"",IF($F$2="Otros",$B61="Otros",ISNUMBER(SEARCH($B61,$F$2)))),COUNT($C$2:C60)+1,""))</f>
        <v/>
      </c>
      <c r="G61" s="134" t="str">
        <f>IFERROR(INDEX($A$2:$A$507,MATCH(ROWS($G$2:G61),$C$2:$C$507,0)),IF(ROWS($G$2:G61)=1,"(sin matches)",""))</f>
        <v/>
      </c>
      <c r="I61" s="70" t="str">
        <f>IF($A61="","",IF(AND($B61&lt;&gt;"",ISNUMBER(SEARCH($I$7,$B61))),COUNT($I$9:I60)+1,""))</f>
        <v/>
      </c>
    </row>
    <row r="62" spans="1:9" ht="16" x14ac:dyDescent="0.25">
      <c r="A62" s="70" t="str">
        <f>Listas!E57</f>
        <v>ASTM B689 (Níquel) | 100 - 115 µm</v>
      </c>
      <c r="B62" s="70" t="str">
        <f t="shared" si="0"/>
        <v>Níquel</v>
      </c>
      <c r="C62" s="70" t="str">
        <f>IF($A62="","",IF(AND($B62&lt;&gt;"",IF($F$2="Otros",$B62="Otros",ISNUMBER(SEARCH($B62,$F$2)))),COUNT($C$2:C61)+1,""))</f>
        <v/>
      </c>
      <c r="G62" s="134" t="str">
        <f>IFERROR(INDEX($A$2:$A$507,MATCH(ROWS($G$2:G62),$C$2:$C$507,0)),IF(ROWS($G$2:G62)=1,"(sin matches)",""))</f>
        <v/>
      </c>
      <c r="I62" s="70" t="str">
        <f>IF($A62="","",IF(AND($B62&lt;&gt;"",ISNUMBER(SEARCH($I$7,$B62))),COUNT($I$9:I61)+1,""))</f>
        <v/>
      </c>
    </row>
    <row r="63" spans="1:9" ht="16" x14ac:dyDescent="0.25">
      <c r="A63" s="70" t="str">
        <f>Listas!E58</f>
        <v>ASTM B689 (Níquel) | 15.0 - 25.0 µm</v>
      </c>
      <c r="B63" s="70" t="str">
        <f t="shared" si="0"/>
        <v>Níquel</v>
      </c>
      <c r="C63" s="70" t="str">
        <f>IF($A63="","",IF(AND($B63&lt;&gt;"",IF($F$2="Otros",$B63="Otros",ISNUMBER(SEARCH($B63,$F$2)))),COUNT($C$2:C62)+1,""))</f>
        <v/>
      </c>
      <c r="G63" s="134" t="str">
        <f>IFERROR(INDEX($A$2:$A$507,MATCH(ROWS($G$2:G63),$C$2:$C$507,0)),IF(ROWS($G$2:G63)=1,"(sin matches)",""))</f>
        <v/>
      </c>
      <c r="I63" s="70" t="str">
        <f>IF($A63="","",IF(AND($B63&lt;&gt;"",ISNUMBER(SEARCH($I$7,$B63))),COUNT($I$9:I62)+1,""))</f>
        <v/>
      </c>
    </row>
    <row r="64" spans="1:9" ht="16" x14ac:dyDescent="0.25">
      <c r="A64" s="70" t="str">
        <f>Listas!E59</f>
        <v>ASTM B689 (Níquel) | 200 - 225 µm</v>
      </c>
      <c r="B64" s="70" t="str">
        <f t="shared" si="0"/>
        <v>Níquel</v>
      </c>
      <c r="C64" s="70" t="str">
        <f>IF($A64="","",IF(AND($B64&lt;&gt;"",IF($F$2="Otros",$B64="Otros",ISNUMBER(SEARCH($B64,$F$2)))),COUNT($C$2:C63)+1,""))</f>
        <v/>
      </c>
      <c r="G64" s="134" t="str">
        <f>IFERROR(INDEX($A$2:$A$507,MATCH(ROWS($G$2:G64),$C$2:$C$507,0)),IF(ROWS($G$2:G64)=1,"(sin matches)",""))</f>
        <v/>
      </c>
      <c r="I64" s="70" t="str">
        <f>IF($A64="","",IF(AND($B64&lt;&gt;"",ISNUMBER(SEARCH($I$7,$B64))),COUNT($I$9:I63)+1,""))</f>
        <v/>
      </c>
    </row>
    <row r="65" spans="1:9" ht="16" x14ac:dyDescent="0.25">
      <c r="A65" s="70" t="str">
        <f>Listas!E60</f>
        <v>ASTM B689 (Níquel) | 25 - 30 µm</v>
      </c>
      <c r="B65" s="70" t="str">
        <f t="shared" si="0"/>
        <v>Níquel</v>
      </c>
      <c r="C65" s="70" t="str">
        <f>IF($A65="","",IF(AND($B65&lt;&gt;"",IF($F$2="Otros",$B65="Otros",ISNUMBER(SEARCH($B65,$F$2)))),COUNT($C$2:C64)+1,""))</f>
        <v/>
      </c>
      <c r="G65" s="134" t="str">
        <f>IFERROR(INDEX($A$2:$A$507,MATCH(ROWS($G$2:G65),$C$2:$C$507,0)),IF(ROWS($G$2:G65)=1,"(sin matches)",""))</f>
        <v/>
      </c>
      <c r="I65" s="70" t="str">
        <f>IF($A65="","",IF(AND($B65&lt;&gt;"",ISNUMBER(SEARCH($I$7,$B65))),COUNT($I$9:I64)+1,""))</f>
        <v/>
      </c>
    </row>
    <row r="66" spans="1:9" ht="16" x14ac:dyDescent="0.25">
      <c r="A66" s="70" t="str">
        <f>Listas!E61</f>
        <v>ASTM B689 (Níquel) | 5 - 8 µm</v>
      </c>
      <c r="B66" s="70" t="str">
        <f t="shared" si="0"/>
        <v>Níquel</v>
      </c>
      <c r="C66" s="70" t="str">
        <f>IF($A66="","",IF(AND($B66&lt;&gt;"",IF($F$2="Otros",$B66="Otros",ISNUMBER(SEARCH($B66,$F$2)))),COUNT($C$2:C65)+1,""))</f>
        <v/>
      </c>
      <c r="G66" s="134" t="str">
        <f>IFERROR(INDEX($A$2:$A$507,MATCH(ROWS($G$2:G66),$C$2:$C$507,0)),IF(ROWS($G$2:G66)=1,"(sin matches)",""))</f>
        <v/>
      </c>
      <c r="I66" s="70" t="str">
        <f>IF($A66="","",IF(AND($B66&lt;&gt;"",ISNUMBER(SEARCH($I$7,$B66))),COUNT($I$9:I65)+1,""))</f>
        <v/>
      </c>
    </row>
    <row r="67" spans="1:9" ht="16" x14ac:dyDescent="0.25">
      <c r="A67" s="70" t="str">
        <f>Listas!E62</f>
        <v>ASTM B689 (Níquel) | 50 - 60 µm</v>
      </c>
      <c r="B67" s="70" t="str">
        <f t="shared" si="0"/>
        <v>Níquel</v>
      </c>
      <c r="C67" s="70" t="str">
        <f>IF($A67="","",IF(AND($B67&lt;&gt;"",IF($F$2="Otros",$B67="Otros",ISNUMBER(SEARCH($B67,$F$2)))),COUNT($C$2:C66)+1,""))</f>
        <v/>
      </c>
      <c r="G67" s="134" t="str">
        <f>IFERROR(INDEX($A$2:$A$507,MATCH(ROWS($G$2:G67),$C$2:$C$507,0)),IF(ROWS($G$2:G67)=1,"(sin matches)",""))</f>
        <v/>
      </c>
      <c r="I67" s="70" t="str">
        <f>IF($A67="","",IF(AND($B67&lt;&gt;"",ISNUMBER(SEARCH($I$7,$B67))),COUNT($I$9:I66)+1,""))</f>
        <v/>
      </c>
    </row>
    <row r="68" spans="1:9" ht="16" x14ac:dyDescent="0.25">
      <c r="A68" s="70" t="str">
        <f>Listas!E63</f>
        <v>ASTM B689 (Níquel) | 7.6 - 12.7 µm</v>
      </c>
      <c r="B68" s="70" t="str">
        <f t="shared" si="0"/>
        <v>Níquel</v>
      </c>
      <c r="C68" s="70" t="str">
        <f>IF($A68="","",IF(AND($B68&lt;&gt;"",IF($F$2="Otros",$B68="Otros",ISNUMBER(SEARCH($B68,$F$2)))),COUNT($C$2:C67)+1,""))</f>
        <v/>
      </c>
      <c r="G68" s="134" t="str">
        <f>IFERROR(INDEX($A$2:$A$507,MATCH(ROWS($G$2:G68),$C$2:$C$507,0)),IF(ROWS($G$2:G68)=1,"(sin matches)",""))</f>
        <v/>
      </c>
      <c r="I68" s="70" t="str">
        <f>IF($A68="","",IF(AND($B68&lt;&gt;"",ISNUMBER(SEARCH($I$7,$B68))),COUNT($I$9:I67)+1,""))</f>
        <v/>
      </c>
    </row>
    <row r="69" spans="1:9" ht="16" x14ac:dyDescent="0.25">
      <c r="A69" s="70" t="str">
        <f>Listas!E64</f>
        <v>ASTM B700 (Plata) | 1 - 2.5 µm</v>
      </c>
      <c r="B69" s="70" t="str">
        <f t="shared" si="0"/>
        <v>Plata</v>
      </c>
      <c r="C69" s="70" t="str">
        <f>IF($A69="","",IF(AND($B69&lt;&gt;"",IF($F$2="Otros",$B69="Otros",ISNUMBER(SEARCH($B69,$F$2)))),COUNT($C$2:C68)+1,""))</f>
        <v/>
      </c>
      <c r="G69" s="134" t="str">
        <f>IFERROR(INDEX($A$2:$A$507,MATCH(ROWS($G$2:G69),$C$2:$C$507,0)),IF(ROWS($G$2:G69)=1,"(sin matches)",""))</f>
        <v/>
      </c>
      <c r="I69" s="70" t="str">
        <f>IF($A69="","",IF(AND($B69&lt;&gt;"",ISNUMBER(SEARCH($I$7,$B69))),COUNT($I$9:I68)+1,""))</f>
        <v/>
      </c>
    </row>
    <row r="70" spans="1:9" ht="16" x14ac:dyDescent="0.25">
      <c r="A70" s="70" t="str">
        <f>Listas!E65</f>
        <v>ASTM B700 (Plata) | 10 - 20 µm</v>
      </c>
      <c r="B70" s="70" t="str">
        <f t="shared" si="0"/>
        <v>Plata</v>
      </c>
      <c r="C70" s="70" t="str">
        <f>IF($A70="","",IF(AND($B70&lt;&gt;"",IF($F$2="Otros",$B70="Otros",ISNUMBER(SEARCH($B70,$F$2)))),COUNT($C$2:C69)+1,""))</f>
        <v/>
      </c>
      <c r="G70" s="134" t="str">
        <f>IFERROR(INDEX($A$2:$A$507,MATCH(ROWS($G$2:G70),$C$2:$C$507,0)),IF(ROWS($G$2:G70)=1,"(sin matches)",""))</f>
        <v/>
      </c>
      <c r="I70" s="70" t="str">
        <f>IF($A70="","",IF(AND($B70&lt;&gt;"",ISNUMBER(SEARCH($I$7,$B70))),COUNT($I$9:I69)+1,""))</f>
        <v/>
      </c>
    </row>
    <row r="71" spans="1:9" ht="16" x14ac:dyDescent="0.25">
      <c r="A71" s="70" t="str">
        <f>Listas!E66</f>
        <v>ASTM B700 (Plata) | 2.5 - 5 µm</v>
      </c>
      <c r="B71" s="70" t="str">
        <f t="shared" si="0"/>
        <v>Plata</v>
      </c>
      <c r="C71" s="70" t="str">
        <f>IF($A71="","",IF(AND($B71&lt;&gt;"",IF($F$2="Otros",$B71="Otros",ISNUMBER(SEARCH($B71,$F$2)))),COUNT($C$2:C70)+1,""))</f>
        <v/>
      </c>
      <c r="G71" s="134" t="str">
        <f>IFERROR(INDEX($A$2:$A$507,MATCH(ROWS($G$2:G71),$C$2:$C$507,0)),IF(ROWS($G$2:G71)=1,"(sin matches)",""))</f>
        <v/>
      </c>
      <c r="I71" s="70" t="str">
        <f>IF($A71="","",IF(AND($B71&lt;&gt;"",ISNUMBER(SEARCH($I$7,$B71))),COUNT($I$9:I70)+1,""))</f>
        <v/>
      </c>
    </row>
    <row r="72" spans="1:9" ht="16" x14ac:dyDescent="0.25">
      <c r="A72" s="70" t="str">
        <f>Listas!E67</f>
        <v>ASTM B700 (Plata) | 20 - 30 µm</v>
      </c>
      <c r="B72" s="70" t="str">
        <f t="shared" si="0"/>
        <v>Plata</v>
      </c>
      <c r="C72" s="70" t="str">
        <f>IF($A72="","",IF(AND($B72&lt;&gt;"",IF($F$2="Otros",$B72="Otros",ISNUMBER(SEARCH($B72,$F$2)))),COUNT($C$2:C71)+1,""))</f>
        <v/>
      </c>
      <c r="G72" s="134" t="str">
        <f>IFERROR(INDEX($A$2:$A$507,MATCH(ROWS($G$2:G72),$C$2:$C$507,0)),IF(ROWS($G$2:G72)=1,"(sin matches)",""))</f>
        <v/>
      </c>
      <c r="I72" s="70" t="str">
        <f>IF($A72="","",IF(AND($B72&lt;&gt;"",ISNUMBER(SEARCH($I$7,$B72))),COUNT($I$9:I71)+1,""))</f>
        <v/>
      </c>
    </row>
    <row r="73" spans="1:9" ht="16" x14ac:dyDescent="0.25">
      <c r="A73" s="70" t="str">
        <f>Listas!E68</f>
        <v>ASTM B700 (Plata) | 40 - 50 µm</v>
      </c>
      <c r="B73" s="70" t="str">
        <f t="shared" si="0"/>
        <v>Plata</v>
      </c>
      <c r="C73" s="70" t="str">
        <f>IF($A73="","",IF(AND($B73&lt;&gt;"",IF($F$2="Otros",$B73="Otros",ISNUMBER(SEARCH($B73,$F$2)))),COUNT($C$2:C72)+1,""))</f>
        <v/>
      </c>
      <c r="G73" s="134" t="str">
        <f>IFERROR(INDEX($A$2:$A$507,MATCH(ROWS($G$2:G73),$C$2:$C$507,0)),IF(ROWS($G$2:G73)=1,"(sin matches)",""))</f>
        <v/>
      </c>
      <c r="I73" s="70" t="str">
        <f>IF($A73="","",IF(AND($B73&lt;&gt;"",ISNUMBER(SEARCH($I$7,$B73))),COUNT($I$9:I72)+1,""))</f>
        <v/>
      </c>
    </row>
    <row r="74" spans="1:9" ht="16" x14ac:dyDescent="0.25">
      <c r="A74" s="70" t="str">
        <f>Listas!E69</f>
        <v>ASTM B700 (Plata) | 5 - 10 µm</v>
      </c>
      <c r="B74" s="70"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Plata</v>
      </c>
      <c r="C74" s="70" t="str">
        <f>IF($A74="","",IF(AND($B74&lt;&gt;"",IF($F$2="Otros",$B74="Otros",ISNUMBER(SEARCH($B74,$F$2)))),COUNT($C$2:C73)+1,""))</f>
        <v/>
      </c>
      <c r="G74" s="134" t="str">
        <f>IFERROR(INDEX($A$2:$A$507,MATCH(ROWS($G$2:G74),$C$2:$C$507,0)),IF(ROWS($G$2:G74)=1,"(sin matches)",""))</f>
        <v/>
      </c>
      <c r="I74" s="70" t="str">
        <f>IF($A74="","",IF(AND($B74&lt;&gt;"",ISNUMBER(SEARCH($I$7,$B74))),COUNT($I$9:I73)+1,""))</f>
        <v/>
      </c>
    </row>
    <row r="75" spans="1:9" ht="16" x14ac:dyDescent="0.25">
      <c r="A75" s="70" t="str">
        <f>Listas!E70</f>
        <v>ASTM B700 (Plata) Old | 7.6 - 12.7 µm</v>
      </c>
      <c r="B75" s="70" t="str">
        <f t="shared" si="1"/>
        <v>Plata</v>
      </c>
      <c r="C75" s="70" t="str">
        <f>IF($A75="","",IF(AND($B75&lt;&gt;"",IF($F$2="Otros",$B75="Otros",ISNUMBER(SEARCH($B75,$F$2)))),COUNT($C$2:C74)+1,""))</f>
        <v/>
      </c>
      <c r="G75" s="134" t="str">
        <f>IFERROR(INDEX($A$2:$A$507,MATCH(ROWS($G$2:G75),$C$2:$C$507,0)),IF(ROWS($G$2:G75)=1,"(sin matches)",""))</f>
        <v/>
      </c>
      <c r="I75" s="70" t="str">
        <f>IF($A75="","",IF(AND($B75&lt;&gt;"",ISNUMBER(SEARCH($I$7,$B75))),COUNT($I$9:I74)+1,""))</f>
        <v/>
      </c>
    </row>
    <row r="76" spans="1:9" ht="16" x14ac:dyDescent="0.25">
      <c r="A76" s="70" t="str">
        <f>Listas!E71</f>
        <v>BURNDY DI-EI-01/81 (Estaño) | 5.0 - 12.0 µm</v>
      </c>
      <c r="B76" s="70" t="str">
        <f t="shared" si="1"/>
        <v>Estaño</v>
      </c>
      <c r="C76" s="70" t="str">
        <f>IF($A76="","",IF(AND($B76&lt;&gt;"",IF($F$2="Otros",$B76="Otros",ISNUMBER(SEARCH($B76,$F$2)))),COUNT($C$2:C75)+1,""))</f>
        <v/>
      </c>
      <c r="G76" s="134" t="str">
        <f>IFERROR(INDEX($A$2:$A$507,MATCH(ROWS($G$2:G76),$C$2:$C$507,0)),IF(ROWS($G$2:G76)=1,"(sin matches)",""))</f>
        <v/>
      </c>
      <c r="I76" s="70" t="str">
        <f>IF($A76="","",IF(AND($B76&lt;&gt;"",ISNUMBER(SEARCH($I$7,$B76))),COUNT($I$9:I75)+1,""))</f>
        <v/>
      </c>
    </row>
    <row r="77" spans="1:9" ht="16" x14ac:dyDescent="0.25">
      <c r="A77" s="70" t="str">
        <f>Listas!E72</f>
        <v>DIN EN 12476 (Fosfato de Manganeso - Aceitado - Medición de Grano) | 2.54 - 7.62 µm</v>
      </c>
      <c r="B77" s="70" t="str">
        <f t="shared" si="1"/>
        <v>Otros</v>
      </c>
      <c r="C77" s="70">
        <f>IF($A77="","",IF(AND($B77&lt;&gt;"",IF($F$2="Otros",$B77="Otros",ISNUMBER(SEARCH($B77,$F$2)))),COUNT($C$2:C76)+1,""))</f>
        <v>12</v>
      </c>
      <c r="G77" s="134" t="str">
        <f>IFERROR(INDEX($A$2:$A$507,MATCH(ROWS($G$2:G77),$C$2:$C$507,0)),IF(ROWS($G$2:G77)=1,"(sin matches)",""))</f>
        <v/>
      </c>
      <c r="I77" s="70">
        <f>IF($A77="","",IF(AND($B77&lt;&gt;"",ISNUMBER(SEARCH($I$7,$B77))),COUNT($I$9:I76)+1,""))</f>
        <v>11</v>
      </c>
    </row>
    <row r="78" spans="1:9" ht="16" x14ac:dyDescent="0.25">
      <c r="A78" s="70" t="str">
        <f>Listas!E73</f>
        <v>DS258-103-00 (Estaño) | 5.08 - 10.0 µm</v>
      </c>
      <c r="B78" s="70" t="str">
        <f t="shared" si="1"/>
        <v>Estaño</v>
      </c>
      <c r="C78" s="70" t="str">
        <f>IF($A78="","",IF(AND($B78&lt;&gt;"",IF($F$2="Otros",$B78="Otros",ISNUMBER(SEARCH($B78,$F$2)))),COUNT($C$2:C77)+1,""))</f>
        <v/>
      </c>
      <c r="G78" s="134" t="str">
        <f>IFERROR(INDEX($A$2:$A$507,MATCH(ROWS($G$2:G78),$C$2:$C$507,0)),IF(ROWS($G$2:G78)=1,"(sin matches)",""))</f>
        <v/>
      </c>
      <c r="I78" s="70" t="str">
        <f>IF($A78="","",IF(AND($B78&lt;&gt;"",ISNUMBER(SEARCH($I$7,$B78))),COUNT($I$9:I77)+1,""))</f>
        <v/>
      </c>
    </row>
    <row r="79" spans="1:9" ht="16" x14ac:dyDescent="0.25">
      <c r="A79" s="70" t="str">
        <f>Listas!E74</f>
        <v>E27550 (Plata) | 1.27 - 2.5 µm</v>
      </c>
      <c r="B79" s="70" t="str">
        <f t="shared" si="1"/>
        <v>Plata</v>
      </c>
      <c r="C79" s="70" t="str">
        <f>IF($A79="","",IF(AND($B79&lt;&gt;"",IF($F$2="Otros",$B79="Otros",ISNUMBER(SEARCH($B79,$F$2)))),COUNT($C$2:C78)+1,""))</f>
        <v/>
      </c>
      <c r="G79" s="134" t="str">
        <f>IFERROR(INDEX($A$2:$A$507,MATCH(ROWS($G$2:G79),$C$2:$C$507,0)),IF(ROWS($G$2:G79)=1,"(sin matches)",""))</f>
        <v/>
      </c>
      <c r="I79" s="70" t="str">
        <f>IF($A79="","",IF(AND($B79&lt;&gt;"",ISNUMBER(SEARCH($I$7,$B79))),COUNT($I$9:I78)+1,""))</f>
        <v/>
      </c>
    </row>
    <row r="80" spans="1:9" ht="16" x14ac:dyDescent="0.25">
      <c r="A80" s="70" t="str">
        <f>Listas!E75</f>
        <v>E27551 (Plata) | 5.08 - 12 µm</v>
      </c>
      <c r="B80" s="70" t="str">
        <f t="shared" si="1"/>
        <v>Plata</v>
      </c>
      <c r="C80" s="70" t="str">
        <f>IF($A80="","",IF(AND($B80&lt;&gt;"",IF($F$2="Otros",$B80="Otros",ISNUMBER(SEARCH($B80,$F$2)))),COUNT($C$2:C79)+1,""))</f>
        <v/>
      </c>
      <c r="G80" s="134" t="str">
        <f>IFERROR(INDEX($A$2:$A$507,MATCH(ROWS($G$2:G80),$C$2:$C$507,0)),IF(ROWS($G$2:G80)=1,"(sin matches)",""))</f>
        <v/>
      </c>
      <c r="I80" s="70" t="str">
        <f>IF($A80="","",IF(AND($B80&lt;&gt;"",ISNUMBER(SEARCH($I$7,$B80))),COUNT($I$9:I79)+1,""))</f>
        <v/>
      </c>
    </row>
    <row r="81" spans="1:9" ht="16" x14ac:dyDescent="0.25">
      <c r="A81" s="70" t="str">
        <f>Listas!E76</f>
        <v>E27780 (Epóxico MT) | 50 - 100 mils</v>
      </c>
      <c r="B81" s="70" t="str">
        <f t="shared" si="1"/>
        <v>Epóxico</v>
      </c>
      <c r="C81" s="70" t="str">
        <f>IF($A81="","",IF(AND($B81&lt;&gt;"",IF($F$2="Otros",$B81="Otros",ISNUMBER(SEARCH($B81,$F$2)))),COUNT($C$2:C80)+1,""))</f>
        <v/>
      </c>
      <c r="G81" s="134" t="str">
        <f>IFERROR(INDEX($A$2:$A$507,MATCH(ROWS($G$2:G81),$C$2:$C$507,0)),IF(ROWS($G$2:G81)=1,"(sin matches)",""))</f>
        <v/>
      </c>
      <c r="I81" s="70" t="str">
        <f>IF($A81="","",IF(AND($B81&lt;&gt;"",ISNUMBER(SEARCH($I$7,$B81))),COUNT($I$9:I80)+1,""))</f>
        <v/>
      </c>
    </row>
    <row r="82" spans="1:9" ht="16" x14ac:dyDescent="0.25">
      <c r="A82" s="70" t="str">
        <f>Listas!E77</f>
        <v>ES-000101 (Epóxico MT Rojo) | 20 - 60 mils</v>
      </c>
      <c r="B82" s="70" t="str">
        <f t="shared" si="1"/>
        <v>Epóxico</v>
      </c>
      <c r="C82" s="70" t="str">
        <f>IF($A82="","",IF(AND($B82&lt;&gt;"",IF($F$2="Otros",$B82="Otros",ISNUMBER(SEARCH($B82,$F$2)))),COUNT($C$2:C81)+1,""))</f>
        <v/>
      </c>
      <c r="G82" s="134" t="str">
        <f>IFERROR(INDEX($A$2:$A$507,MATCH(ROWS($G$2:G82),$C$2:$C$507,0)),IF(ROWS($G$2:G82)=1,"(sin matches)",""))</f>
        <v/>
      </c>
      <c r="I82" s="70" t="str">
        <f>IF($A82="","",IF(AND($B82&lt;&gt;"",ISNUMBER(SEARCH($I$7,$B82))),COUNT($I$9:I81)+1,""))</f>
        <v/>
      </c>
    </row>
    <row r="83" spans="1:9" ht="16" x14ac:dyDescent="0.25">
      <c r="A83" s="70" t="str">
        <f>Listas!E78</f>
        <v>ES-000101 (Epóxico MT Rojo) | 30 - 40 mils</v>
      </c>
      <c r="B83" s="70" t="str">
        <f t="shared" si="1"/>
        <v>Epóxico</v>
      </c>
      <c r="C83" s="70" t="str">
        <f>IF($A83="","",IF(AND($B83&lt;&gt;"",IF($F$2="Otros",$B83="Otros",ISNUMBER(SEARCH($B83,$F$2)))),COUNT($C$2:C82)+1,""))</f>
        <v/>
      </c>
      <c r="G83" s="134" t="str">
        <f>IFERROR(INDEX($A$2:$A$507,MATCH(ROWS($G$2:G83),$C$2:$C$507,0)),IF(ROWS($G$2:G83)=1,"(sin matches)",""))</f>
        <v/>
      </c>
      <c r="I83" s="70" t="str">
        <f>IF($A83="","",IF(AND($B83&lt;&gt;"",ISNUMBER(SEARCH($I$7,$B83))),COUNT($I$9:I82)+1,""))</f>
        <v/>
      </c>
    </row>
    <row r="84" spans="1:9" ht="16" x14ac:dyDescent="0.25">
      <c r="A84" s="70" t="str">
        <f>Listas!E79</f>
        <v>F4383 (Estaño) | 7.62 - 25.4 µm</v>
      </c>
      <c r="B84" s="70" t="str">
        <f t="shared" si="1"/>
        <v>Estaño</v>
      </c>
      <c r="C84" s="70" t="str">
        <f>IF($A84="","",IF(AND($B84&lt;&gt;"",IF($F$2="Otros",$B84="Otros",ISNUMBER(SEARCH($B84,$F$2)))),COUNT($C$2:C83)+1,""))</f>
        <v/>
      </c>
      <c r="G84" s="134" t="str">
        <f>IFERROR(INDEX($A$2:$A$507,MATCH(ROWS($G$2:G84),$C$2:$C$507,0)),IF(ROWS($G$2:G84)=1,"(sin matches)",""))</f>
        <v/>
      </c>
      <c r="I84" s="70" t="str">
        <f>IF($A84="","",IF(AND($B84&lt;&gt;"",ISNUMBER(SEARCH($I$7,$B84))),COUNT($I$9:I83)+1,""))</f>
        <v/>
      </c>
    </row>
    <row r="85" spans="1:9" ht="16" x14ac:dyDescent="0.25">
      <c r="A85" s="70" t="str">
        <f>Listas!E80</f>
        <v>F70F2 (Estaño Mate) | 0.508 - 1.016 µm</v>
      </c>
      <c r="B85" s="70" t="str">
        <f t="shared" si="1"/>
        <v>Estaño</v>
      </c>
      <c r="C85" s="70" t="str">
        <f>IF($A85="","",IF(AND($B85&lt;&gt;"",IF($F$2="Otros",$B85="Otros",ISNUMBER(SEARCH($B85,$F$2)))),COUNT($C$2:C84)+1,""))</f>
        <v/>
      </c>
      <c r="G85" s="134" t="str">
        <f>IFERROR(INDEX($A$2:$A$507,MATCH(ROWS($G$2:G85),$C$2:$C$507,0)),IF(ROWS($G$2:G85)=1,"(sin matches)",""))</f>
        <v/>
      </c>
      <c r="I85" s="70" t="str">
        <f>IF($A85="","",IF(AND($B85&lt;&gt;"",ISNUMBER(SEARCH($I$7,$B85))),COUNT($I$9:I84)+1,""))</f>
        <v/>
      </c>
    </row>
    <row r="86" spans="1:9" ht="16" x14ac:dyDescent="0.25">
      <c r="A86" s="70" t="str">
        <f>Listas!E81</f>
        <v>F70F2 (Estaño Mate) | 12.7 - 19.05 µm</v>
      </c>
      <c r="B86" s="70" t="str">
        <f t="shared" si="1"/>
        <v>Estaño</v>
      </c>
      <c r="C86" s="70" t="str">
        <f>IF($A86="","",IF(AND($B86&lt;&gt;"",IF($F$2="Otros",$B86="Otros",ISNUMBER(SEARCH($B86,$F$2)))),COUNT($C$2:C85)+1,""))</f>
        <v/>
      </c>
      <c r="G86" s="134" t="str">
        <f>IFERROR(INDEX($A$2:$A$507,MATCH(ROWS($G$2:G86),$C$2:$C$507,0)),IF(ROWS($G$2:G86)=1,"(sin matches)",""))</f>
        <v/>
      </c>
      <c r="I86" s="70" t="str">
        <f>IF($A86="","",IF(AND($B86&lt;&gt;"",ISNUMBER(SEARCH($I$7,$B86))),COUNT($I$9:I85)+1,""))</f>
        <v/>
      </c>
    </row>
    <row r="87" spans="1:9" ht="16" x14ac:dyDescent="0.25">
      <c r="A87" s="70" t="str">
        <f>Listas!E82</f>
        <v>F70F2 (Estaño Mate) | 2.54 - 5.08 µm</v>
      </c>
      <c r="B87" s="70" t="str">
        <f t="shared" si="1"/>
        <v>Estaño</v>
      </c>
      <c r="C87" s="70" t="str">
        <f>IF($A87="","",IF(AND($B87&lt;&gt;"",IF($F$2="Otros",$B87="Otros",ISNUMBER(SEARCH($B87,$F$2)))),COUNT($C$2:C86)+1,""))</f>
        <v/>
      </c>
      <c r="G87" s="134" t="str">
        <f>IFERROR(INDEX($A$2:$A$507,MATCH(ROWS($G$2:G87),$C$2:$C$507,0)),IF(ROWS($G$2:G87)=1,"(sin matches)",""))</f>
        <v/>
      </c>
      <c r="I87" s="70" t="str">
        <f>IF($A87="","",IF(AND($B87&lt;&gt;"",ISNUMBER(SEARCH($I$7,$B87))),COUNT($I$9:I86)+1,""))</f>
        <v/>
      </c>
    </row>
    <row r="88" spans="1:9" ht="16" x14ac:dyDescent="0.25">
      <c r="A88" s="70" t="str">
        <f>Listas!E83</f>
        <v>F70F2 (Estaño Mate) | 25.4 - 38.1 µm</v>
      </c>
      <c r="B88" s="70" t="str">
        <f t="shared" si="1"/>
        <v>Estaño</v>
      </c>
      <c r="C88" s="70" t="str">
        <f>IF($A88="","",IF(AND($B88&lt;&gt;"",IF($F$2="Otros",$B88="Otros",ISNUMBER(SEARCH($B88,$F$2)))),COUNT($C$2:C87)+1,""))</f>
        <v/>
      </c>
      <c r="G88" s="134" t="str">
        <f>IFERROR(INDEX($A$2:$A$507,MATCH(ROWS($G$2:G88),$C$2:$C$507,0)),IF(ROWS($G$2:G88)=1,"(sin matches)",""))</f>
        <v/>
      </c>
      <c r="I88" s="70" t="str">
        <f>IF($A88="","",IF(AND($B88&lt;&gt;"",ISNUMBER(SEARCH($I$7,$B88))),COUNT($I$9:I87)+1,""))</f>
        <v/>
      </c>
    </row>
    <row r="89" spans="1:9" ht="16" x14ac:dyDescent="0.25">
      <c r="A89" s="70" t="str">
        <f>Listas!E84</f>
        <v>F70F2 (Estaño Mate) | 3.81 - 7.62 µm</v>
      </c>
      <c r="B89" s="70" t="str">
        <f t="shared" si="1"/>
        <v>Estaño</v>
      </c>
      <c r="C89" s="70" t="str">
        <f>IF($A89="","",IF(AND($B89&lt;&gt;"",IF($F$2="Otros",$B89="Otros",ISNUMBER(SEARCH($B89,$F$2)))),COUNT($C$2:C88)+1,""))</f>
        <v/>
      </c>
      <c r="G89" s="134" t="str">
        <f>IFERROR(INDEX($A$2:$A$507,MATCH(ROWS($G$2:G89),$C$2:$C$507,0)),IF(ROWS($G$2:G89)=1,"(sin matches)",""))</f>
        <v/>
      </c>
      <c r="I89" s="70" t="str">
        <f>IF($A89="","",IF(AND($B89&lt;&gt;"",ISNUMBER(SEARCH($I$7,$B89))),COUNT($I$9:I88)+1,""))</f>
        <v/>
      </c>
    </row>
    <row r="90" spans="1:9" ht="16" x14ac:dyDescent="0.25">
      <c r="A90" s="70" t="str">
        <f>Listas!E85</f>
        <v>F70F2 (Estaño Mate) | 5.08 - 10.16 µm</v>
      </c>
      <c r="B90" s="70" t="str">
        <f t="shared" si="1"/>
        <v>Estaño</v>
      </c>
      <c r="C90" s="70" t="str">
        <f>IF($A90="","",IF(AND($B90&lt;&gt;"",IF($F$2="Otros",$B90="Otros",ISNUMBER(SEARCH($B90,$F$2)))),COUNT($C$2:C89)+1,""))</f>
        <v/>
      </c>
      <c r="G90" s="134" t="str">
        <f>IFERROR(INDEX($A$2:$A$507,MATCH(ROWS($G$2:G90),$C$2:$C$507,0)),IF(ROWS($G$2:G90)=1,"(sin matches)",""))</f>
        <v/>
      </c>
      <c r="I90" s="70" t="str">
        <f>IF($A90="","",IF(AND($B90&lt;&gt;"",ISNUMBER(SEARCH($I$7,$B90))),COUNT($I$9:I89)+1,""))</f>
        <v/>
      </c>
    </row>
    <row r="91" spans="1:9" ht="16" x14ac:dyDescent="0.25">
      <c r="A91" s="70" t="str">
        <f>Listas!E86</f>
        <v>F70H2 (Plata Mate) | 0.508 - 1.016 µm</v>
      </c>
      <c r="B91" s="70" t="str">
        <f t="shared" si="1"/>
        <v>Plata</v>
      </c>
      <c r="C91" s="70" t="str">
        <f>IF($A91="","",IF(AND($B91&lt;&gt;"",IF($F$2="Otros",$B91="Otros",ISNUMBER(SEARCH($B91,$F$2)))),COUNT($C$2:C90)+1,""))</f>
        <v/>
      </c>
      <c r="G91" s="134" t="str">
        <f>IFERROR(INDEX($A$2:$A$507,MATCH(ROWS($G$2:G91),$C$2:$C$507,0)),IF(ROWS($G$2:G91)=1,"(sin matches)",""))</f>
        <v/>
      </c>
      <c r="I91" s="70" t="str">
        <f>IF($A91="","",IF(AND($B91&lt;&gt;"",ISNUMBER(SEARCH($I$7,$B91))),COUNT($I$9:I90)+1,""))</f>
        <v/>
      </c>
    </row>
    <row r="92" spans="1:9" ht="16" x14ac:dyDescent="0.25">
      <c r="A92" s="70" t="str">
        <f>Listas!E87</f>
        <v>F70H2 (Plata Mate) | 10.2 - 15.2 µm</v>
      </c>
      <c r="B92" s="70" t="str">
        <f t="shared" si="1"/>
        <v>Plata</v>
      </c>
      <c r="C92" s="70" t="str">
        <f>IF($A92="","",IF(AND($B92&lt;&gt;"",IF($F$2="Otros",$B92="Otros",ISNUMBER(SEARCH($B92,$F$2)))),COUNT($C$2:C91)+1,""))</f>
        <v/>
      </c>
      <c r="G92" s="134" t="str">
        <f>IFERROR(INDEX($A$2:$A$507,MATCH(ROWS($G$2:G92),$C$2:$C$507,0)),IF(ROWS($G$2:G92)=1,"(sin matches)",""))</f>
        <v/>
      </c>
      <c r="I92" s="70" t="str">
        <f>IF($A92="","",IF(AND($B92&lt;&gt;"",ISNUMBER(SEARCH($I$7,$B92))),COUNT($I$9:I91)+1,""))</f>
        <v/>
      </c>
    </row>
    <row r="93" spans="1:9" ht="16" x14ac:dyDescent="0.25">
      <c r="A93" s="70" t="str">
        <f>Listas!E88</f>
        <v>F70H2 (Plata Mate) | 12.7 - 19.1 µm</v>
      </c>
      <c r="B93" s="70" t="str">
        <f t="shared" si="1"/>
        <v>Plata</v>
      </c>
      <c r="C93" s="70" t="str">
        <f>IF($A93="","",IF(AND($B93&lt;&gt;"",IF($F$2="Otros",$B93="Otros",ISNUMBER(SEARCH($B93,$F$2)))),COUNT($C$2:C92)+1,""))</f>
        <v/>
      </c>
      <c r="G93" s="134" t="str">
        <f>IFERROR(INDEX($A$2:$A$507,MATCH(ROWS($G$2:G93),$C$2:$C$507,0)),IF(ROWS($G$2:G93)=1,"(sin matches)",""))</f>
        <v/>
      </c>
      <c r="I93" s="70" t="str">
        <f>IF($A93="","",IF(AND($B93&lt;&gt;"",ISNUMBER(SEARCH($I$7,$B93))),COUNT($I$9:I92)+1,""))</f>
        <v/>
      </c>
    </row>
    <row r="94" spans="1:9" ht="16" x14ac:dyDescent="0.25">
      <c r="A94" s="70" t="str">
        <f>Listas!E89</f>
        <v>F70H2 (Plata Mate) | 2.5 - 7.6 µm</v>
      </c>
      <c r="B94" s="70" t="str">
        <f t="shared" si="1"/>
        <v>Plata</v>
      </c>
      <c r="C94" s="70" t="str">
        <f>IF($A94="","",IF(AND($B94&lt;&gt;"",IF($F$2="Otros",$B94="Otros",ISNUMBER(SEARCH($B94,$F$2)))),COUNT($C$2:C93)+1,""))</f>
        <v/>
      </c>
      <c r="G94" s="134" t="str">
        <f>IFERROR(INDEX($A$2:$A$507,MATCH(ROWS($G$2:G94),$C$2:$C$507,0)),IF(ROWS($G$2:G94)=1,"(sin matches)",""))</f>
        <v/>
      </c>
      <c r="I94" s="70" t="str">
        <f>IF($A94="","",IF(AND($B94&lt;&gt;"",ISNUMBER(SEARCH($I$7,$B94))),COUNT($I$9:I93)+1,""))</f>
        <v/>
      </c>
    </row>
    <row r="95" spans="1:9" ht="16" x14ac:dyDescent="0.25">
      <c r="A95" s="70" t="str">
        <f>Listas!E90</f>
        <v>F70H2 (Plata Mate) | 25.4 - 38.1 µm</v>
      </c>
      <c r="B95" s="70" t="str">
        <f t="shared" si="1"/>
        <v>Plata</v>
      </c>
      <c r="C95" s="70" t="str">
        <f>IF($A95="","",IF(AND($B95&lt;&gt;"",IF($F$2="Otros",$B95="Otros",ISNUMBER(SEARCH($B95,$F$2)))),COUNT($C$2:C94)+1,""))</f>
        <v/>
      </c>
      <c r="G95" s="134" t="str">
        <f>IFERROR(INDEX($A$2:$A$507,MATCH(ROWS($G$2:G95),$C$2:$C$507,0)),IF(ROWS($G$2:G95)=1,"(sin matches)",""))</f>
        <v/>
      </c>
      <c r="I95" s="70" t="str">
        <f>IF($A95="","",IF(AND($B95&lt;&gt;"",ISNUMBER(SEARCH($I$7,$B95))),COUNT($I$9:I94)+1,""))</f>
        <v/>
      </c>
    </row>
    <row r="96" spans="1:9" ht="16" x14ac:dyDescent="0.25">
      <c r="A96" s="70" t="str">
        <f>Listas!E91</f>
        <v>F70H2 (Plata Mate) | 5.1 - 10.2 µm</v>
      </c>
      <c r="B96" s="70" t="str">
        <f t="shared" si="1"/>
        <v>Plata</v>
      </c>
      <c r="C96" s="70" t="str">
        <f>IF($A96="","",IF(AND($B96&lt;&gt;"",IF($F$2="Otros",$B96="Otros",ISNUMBER(SEARCH($B96,$F$2)))),COUNT($C$2:C95)+1,""))</f>
        <v/>
      </c>
      <c r="G96" s="134" t="str">
        <f>IFERROR(INDEX($A$2:$A$507,MATCH(ROWS($G$2:G96),$C$2:$C$507,0)),IF(ROWS($G$2:G96)=1,"(sin matches)",""))</f>
        <v/>
      </c>
      <c r="I96" s="70" t="str">
        <f>IF($A96="","",IF(AND($B96&lt;&gt;"",ISNUMBER(SEARCH($I$7,$B96))),COUNT($I$9:I95)+1,""))</f>
        <v/>
      </c>
    </row>
    <row r="97" spans="1:9" ht="16" x14ac:dyDescent="0.25">
      <c r="A97" s="70" t="str">
        <f>Listas!E92</f>
        <v>F70H3 (Plata Semibrillante) | 12.7 - 19.1 µm</v>
      </c>
      <c r="B97" s="70" t="str">
        <f t="shared" si="1"/>
        <v>Plata</v>
      </c>
      <c r="C97" s="70" t="str">
        <f>IF($A97="","",IF(AND($B97&lt;&gt;"",IF($F$2="Otros",$B97="Otros",ISNUMBER(SEARCH($B97,$F$2)))),COUNT($C$2:C96)+1,""))</f>
        <v/>
      </c>
      <c r="G97" s="134" t="str">
        <f>IFERROR(INDEX($A$2:$A$507,MATCH(ROWS($G$2:G97),$C$2:$C$507,0)),IF(ROWS($G$2:G97)=1,"(sin matches)",""))</f>
        <v/>
      </c>
      <c r="I97" s="70" t="str">
        <f>IF($A97="","",IF(AND($B97&lt;&gt;"",ISNUMBER(SEARCH($I$7,$B97))),COUNT($I$9:I96)+1,""))</f>
        <v/>
      </c>
    </row>
    <row r="98" spans="1:9" ht="16" x14ac:dyDescent="0.25">
      <c r="A98" s="70" t="str">
        <f>Listas!E93</f>
        <v>F70H3 (Plata Semibrillante) | 2.54 - 5 µm</v>
      </c>
      <c r="B98" s="70" t="str">
        <f t="shared" si="1"/>
        <v>Plata</v>
      </c>
      <c r="C98" s="70" t="str">
        <f>IF($A98="","",IF(AND($B98&lt;&gt;"",IF($F$2="Otros",$B98="Otros",ISNUMBER(SEARCH($B98,$F$2)))),COUNT($C$2:C97)+1,""))</f>
        <v/>
      </c>
      <c r="G98" s="134" t="str">
        <f>IFERROR(INDEX($A$2:$A$507,MATCH(ROWS($G$2:G98),$C$2:$C$507,0)),IF(ROWS($G$2:G98)=1,"(sin matches)",""))</f>
        <v/>
      </c>
      <c r="I98" s="70" t="str">
        <f>IF($A98="","",IF(AND($B98&lt;&gt;"",ISNUMBER(SEARCH($I$7,$B98))),COUNT($I$9:I97)+1,""))</f>
        <v/>
      </c>
    </row>
    <row r="99" spans="1:9" ht="16" x14ac:dyDescent="0.25">
      <c r="A99" s="70" t="str">
        <f>Listas!E94</f>
        <v>F70H3 (Plata Semibrillante) | 5.1 - 10.2 µm</v>
      </c>
      <c r="B99" s="70" t="str">
        <f t="shared" si="1"/>
        <v>Plata</v>
      </c>
      <c r="C99" s="70" t="str">
        <f>IF($A99="","",IF(AND($B99&lt;&gt;"",IF($F$2="Otros",$B99="Otros",ISNUMBER(SEARCH($B99,$F$2)))),COUNT($C$2:C98)+1,""))</f>
        <v/>
      </c>
      <c r="G99" s="134" t="str">
        <f>IFERROR(INDEX($A$2:$A$507,MATCH(ROWS($G$2:G99),$C$2:$C$507,0)),IF(ROWS($G$2:G99)=1,"(sin matches)",""))</f>
        <v/>
      </c>
      <c r="I99" s="70" t="str">
        <f>IF($A99="","",IF(AND($B99&lt;&gt;"",ISNUMBER(SEARCH($I$7,$B99))),COUNT($I$9:I98)+1,""))</f>
        <v/>
      </c>
    </row>
    <row r="100" spans="1:9" ht="16" x14ac:dyDescent="0.25">
      <c r="A100" s="70" t="str">
        <f>Listas!E95</f>
        <v>FFS-1A1 (Fosfato de Zinc) | 10 - 35 µm</v>
      </c>
      <c r="B100" s="70" t="str">
        <f t="shared" si="1"/>
        <v>Zinc</v>
      </c>
      <c r="C100" s="70" t="str">
        <f>IF($A100="","",IF(AND($B100&lt;&gt;"",IF($F$2="Otros",$B100="Otros",ISNUMBER(SEARCH($B100,$F$2)))),COUNT($C$2:C99)+1,""))</f>
        <v/>
      </c>
      <c r="G100" s="134" t="str">
        <f>IFERROR(INDEX($A$2:$A$507,MATCH(ROWS($G$2:G100),$C$2:$C$507,0)),IF(ROWS($G$2:G100)=1,"(sin matches)",""))</f>
        <v/>
      </c>
      <c r="I100" s="70" t="str">
        <f>IF($A100="","",IF(AND($B100&lt;&gt;"",ISNUMBER(SEARCH($I$7,$B100))),COUNT($I$9:I99)+1,""))</f>
        <v/>
      </c>
    </row>
    <row r="101" spans="1:9" ht="16" x14ac:dyDescent="0.25">
      <c r="A101" s="70" t="str">
        <f>Listas!E96</f>
        <v>FFS-1A1 (Fosfato de Zinc) | 8 - 12 µm</v>
      </c>
      <c r="B101" s="70" t="str">
        <f t="shared" si="1"/>
        <v>Zinc</v>
      </c>
      <c r="C101" s="70" t="str">
        <f>IF($A101="","",IF(AND($B101&lt;&gt;"",IF($F$2="Otros",$B101="Otros",ISNUMBER(SEARCH($B101,$F$2)))),COUNT($C$2:C100)+1,""))</f>
        <v/>
      </c>
      <c r="G101" s="134" t="str">
        <f>IFERROR(INDEX($A$2:$A$507,MATCH(ROWS($G$2:G101),$C$2:$C$507,0)),IF(ROWS($G$2:G101)=1,"(sin matches)",""))</f>
        <v/>
      </c>
      <c r="I101" s="70" t="str">
        <f>IF($A101="","",IF(AND($B101&lt;&gt;"",ISNUMBER(SEARCH($I$7,$B101))),COUNT($I$9:I100)+1,""))</f>
        <v/>
      </c>
    </row>
    <row r="102" spans="1:9" ht="16" x14ac:dyDescent="0.25">
      <c r="A102" s="70" t="str">
        <f>Listas!E97</f>
        <v>FFS-1C1 (Fosfato de Zinc c/Aceite) | 15 - 45 µm</v>
      </c>
      <c r="B102" s="70" t="str">
        <f t="shared" si="1"/>
        <v>Zinc</v>
      </c>
      <c r="C102" s="70" t="str">
        <f>IF($A102="","",IF(AND($B102&lt;&gt;"",IF($F$2="Otros",$B102="Otros",ISNUMBER(SEARCH($B102,$F$2)))),COUNT($C$2:C101)+1,""))</f>
        <v/>
      </c>
      <c r="G102" s="134" t="str">
        <f>IFERROR(INDEX($A$2:$A$507,MATCH(ROWS($G$2:G102),$C$2:$C$507,0)),IF(ROWS($G$2:G102)=1,"(sin matches)",""))</f>
        <v/>
      </c>
      <c r="I102" s="70" t="str">
        <f>IF($A102="","",IF(AND($B102&lt;&gt;"",ISNUMBER(SEARCH($I$7,$B102))),COUNT($I$9:I101)+1,""))</f>
        <v/>
      </c>
    </row>
    <row r="103" spans="1:9" ht="16" x14ac:dyDescent="0.25">
      <c r="A103" s="70" t="str">
        <f>Listas!E98</f>
        <v>FFS-2B4 (Zinc Cromato Verde - Amarillo - Claro) | 13.0 - 18.0 µm</v>
      </c>
      <c r="B103" s="70" t="str">
        <f t="shared" si="1"/>
        <v>Zinc</v>
      </c>
      <c r="C103" s="70" t="str">
        <f>IF($A103="","",IF(AND($B103&lt;&gt;"",IF($F$2="Otros",$B103="Otros",ISNUMBER(SEARCH($B103,$F$2)))),COUNT($C$2:C102)+1,""))</f>
        <v/>
      </c>
      <c r="G103" s="134" t="str">
        <f>IFERROR(INDEX($A$2:$A$507,MATCH(ROWS($G$2:G103),$C$2:$C$507,0)),IF(ROWS($G$2:G103)=1,"(sin matches)",""))</f>
        <v/>
      </c>
      <c r="I103" s="70" t="str">
        <f>IF($A103="","",IF(AND($B103&lt;&gt;"",ISNUMBER(SEARCH($I$7,$B103))),COUNT($I$9:I102)+1,""))</f>
        <v/>
      </c>
    </row>
    <row r="104" spans="1:9" ht="16" x14ac:dyDescent="0.25">
      <c r="A104" s="70" t="str">
        <f>Listas!E99</f>
        <v>FFS-2B4 (Zinc Cromato Verde - Amarillo - Claro) | 3.8 - 6.4 µm</v>
      </c>
      <c r="B104" s="70" t="str">
        <f t="shared" si="1"/>
        <v>Zinc</v>
      </c>
      <c r="C104" s="70" t="str">
        <f>IF($A104="","",IF(AND($B104&lt;&gt;"",IF($F$2="Otros",$B104="Otros",ISNUMBER(SEARCH($B104,$F$2)))),COUNT($C$2:C103)+1,""))</f>
        <v/>
      </c>
      <c r="G104" s="134" t="str">
        <f>IFERROR(INDEX($A$2:$A$507,MATCH(ROWS($G$2:G104),$C$2:$C$507,0)),IF(ROWS($G$2:G104)=1,"(sin matches)",""))</f>
        <v/>
      </c>
      <c r="I104" s="70" t="str">
        <f>IF($A104="","",IF(AND($B104&lt;&gt;"",ISNUMBER(SEARCH($I$7,$B104))),COUNT($I$9:I103)+1,""))</f>
        <v/>
      </c>
    </row>
    <row r="105" spans="1:9" ht="16" x14ac:dyDescent="0.25">
      <c r="A105" s="70" t="str">
        <f>Listas!E100</f>
        <v>FFS-2B4 (Zinc Cromato Verde - Amarillo - Claro) | 6.3 - 8.9 µm</v>
      </c>
      <c r="B105" s="70" t="str">
        <f t="shared" si="1"/>
        <v>Zinc</v>
      </c>
      <c r="C105" s="70" t="str">
        <f>IF($A105="","",IF(AND($B105&lt;&gt;"",IF($F$2="Otros",$B105="Otros",ISNUMBER(SEARCH($B105,$F$2)))),COUNT($C$2:C104)+1,""))</f>
        <v/>
      </c>
      <c r="G105" s="134" t="str">
        <f>IFERROR(INDEX($A$2:$A$507,MATCH(ROWS($G$2:G105),$C$2:$C$507,0)),IF(ROWS($G$2:G105)=1,"(sin matches)",""))</f>
        <v/>
      </c>
      <c r="I105" s="70" t="str">
        <f>IF($A105="","",IF(AND($B105&lt;&gt;"",ISNUMBER(SEARCH($I$7,$B105))),COUNT($I$9:I104)+1,""))</f>
        <v/>
      </c>
    </row>
    <row r="106" spans="1:9" ht="16" x14ac:dyDescent="0.25">
      <c r="A106" s="70" t="str">
        <f>Listas!E101</f>
        <v>FFS-2E3 (Cromo Duro) | 12.7 - 17.78 µm</v>
      </c>
      <c r="B106" s="70" t="str">
        <f t="shared" si="1"/>
        <v>Otros</v>
      </c>
      <c r="C106" s="70">
        <f>IF($A106="","",IF(AND($B106&lt;&gt;"",IF($F$2="Otros",$B106="Otros",ISNUMBER(SEARCH($B106,$F$2)))),COUNT($C$2:C105)+1,""))</f>
        <v>13</v>
      </c>
      <c r="G106" s="134" t="str">
        <f>IFERROR(INDEX($A$2:$A$507,MATCH(ROWS($G$2:G106),$C$2:$C$507,0)),IF(ROWS($G$2:G106)=1,"(sin matches)",""))</f>
        <v/>
      </c>
      <c r="I106" s="70">
        <f>IF($A106="","",IF(AND($B106&lt;&gt;"",ISNUMBER(SEARCH($I$7,$B106))),COUNT($I$9:I105)+1,""))</f>
        <v>12</v>
      </c>
    </row>
    <row r="107" spans="1:9" ht="16" x14ac:dyDescent="0.25">
      <c r="A107" s="70" t="str">
        <f>Listas!E102</f>
        <v>FFS-2E3 (Cromo Duro) | 19.05 - 31.75 µm</v>
      </c>
      <c r="B107" s="70" t="str">
        <f t="shared" si="1"/>
        <v>Otros</v>
      </c>
      <c r="C107" s="70">
        <f>IF($A107="","",IF(AND($B107&lt;&gt;"",IF($F$2="Otros",$B107="Otros",ISNUMBER(SEARCH($B107,$F$2)))),COUNT($C$2:C106)+1,""))</f>
        <v>14</v>
      </c>
      <c r="G107" s="134" t="str">
        <f>IFERROR(INDEX($A$2:$A$507,MATCH(ROWS($G$2:G107),$C$2:$C$507,0)),IF(ROWS($G$2:G107)=1,"(sin matches)",""))</f>
        <v/>
      </c>
      <c r="I107" s="70">
        <f>IF($A107="","",IF(AND($B107&lt;&gt;"",ISNUMBER(SEARCH($I$7,$B107))),COUNT($I$9:I106)+1,""))</f>
        <v>13</v>
      </c>
    </row>
    <row r="108" spans="1:9" ht="16" x14ac:dyDescent="0.25">
      <c r="A108" s="70" t="str">
        <f>Listas!E103</f>
        <v>FFS-2E3 (Cromo Duro) | 25 - 38 µm</v>
      </c>
      <c r="B108" s="70" t="str">
        <f t="shared" si="1"/>
        <v>Otros</v>
      </c>
      <c r="C108" s="70">
        <f>IF($A108="","",IF(AND($B108&lt;&gt;"",IF($F$2="Otros",$B108="Otros",ISNUMBER(SEARCH($B108,$F$2)))),COUNT($C$2:C107)+1,""))</f>
        <v>15</v>
      </c>
      <c r="G108" s="134" t="str">
        <f>IFERROR(INDEX($A$2:$A$507,MATCH(ROWS($G$2:G108),$C$2:$C$507,0)),IF(ROWS($G$2:G108)=1,"(sin matches)",""))</f>
        <v/>
      </c>
      <c r="I108" s="70">
        <f>IF($A108="","",IF(AND($B108&lt;&gt;"",ISNUMBER(SEARCH($I$7,$B108))),COUNT($I$9:I107)+1,""))</f>
        <v>14</v>
      </c>
    </row>
    <row r="109" spans="1:9" ht="16" x14ac:dyDescent="0.25">
      <c r="A109" s="70" t="str">
        <f>Listas!E104</f>
        <v>FFS-2E3 (Cromo Duro) | 38.5 - 63.5 µm</v>
      </c>
      <c r="B109" s="70" t="str">
        <f t="shared" si="1"/>
        <v>Otros</v>
      </c>
      <c r="C109" s="70">
        <f>IF($A109="","",IF(AND($B109&lt;&gt;"",IF($F$2="Otros",$B109="Otros",ISNUMBER(SEARCH($B109,$F$2)))),COUNT($C$2:C108)+1,""))</f>
        <v>16</v>
      </c>
      <c r="G109" s="134" t="str">
        <f>IFERROR(INDEX($A$2:$A$507,MATCH(ROWS($G$2:G109),$C$2:$C$507,0)),IF(ROWS($G$2:G109)=1,"(sin matches)",""))</f>
        <v/>
      </c>
      <c r="I109" s="70">
        <f>IF($A109="","",IF(AND($B109&lt;&gt;"",ISNUMBER(SEARCH($I$7,$B109))),COUNT($I$9:I108)+1,""))</f>
        <v>15</v>
      </c>
    </row>
    <row r="110" spans="1:9" ht="16" x14ac:dyDescent="0.25">
      <c r="A110" s="70" t="str">
        <f>Listas!E105</f>
        <v>FFS-2E3 (Cromo Duro) | 63.5 - 88.9 µm</v>
      </c>
      <c r="B110" s="70" t="str">
        <f t="shared" si="1"/>
        <v>Otros</v>
      </c>
      <c r="C110" s="70">
        <f>IF($A110="","",IF(AND($B110&lt;&gt;"",IF($F$2="Otros",$B110="Otros",ISNUMBER(SEARCH($B110,$F$2)))),COUNT($C$2:C109)+1,""))</f>
        <v>17</v>
      </c>
      <c r="G110" s="134" t="str">
        <f>IFERROR(INDEX($A$2:$A$507,MATCH(ROWS($G$2:G110),$C$2:$C$507,0)),IF(ROWS($G$2:G110)=1,"(sin matches)",""))</f>
        <v/>
      </c>
      <c r="I110" s="70">
        <f>IF($A110="","",IF(AND($B110&lt;&gt;"",ISNUMBER(SEARCH($I$7,$B110))),COUNT($I$9:I109)+1,""))</f>
        <v>16</v>
      </c>
    </row>
    <row r="111" spans="1:9" ht="16" x14ac:dyDescent="0.25">
      <c r="A111" s="70" t="str">
        <f>Listas!E106</f>
        <v>FFS-2E3 (Cromo Duro) | 7.62 - 12.7 µm</v>
      </c>
      <c r="B111" s="70" t="str">
        <f t="shared" si="1"/>
        <v>Otros</v>
      </c>
      <c r="C111" s="70">
        <f>IF($A111="","",IF(AND($B111&lt;&gt;"",IF($F$2="Otros",$B111="Otros",ISNUMBER(SEARCH($B111,$F$2)))),COUNT($C$2:C110)+1,""))</f>
        <v>18</v>
      </c>
      <c r="G111" s="134" t="str">
        <f>IFERROR(INDEX($A$2:$A$507,MATCH(ROWS($G$2:G111),$C$2:$C$507,0)),IF(ROWS($G$2:G111)=1,"(sin matches)",""))</f>
        <v/>
      </c>
      <c r="I111" s="70">
        <f>IF($A111="","",IF(AND($B111&lt;&gt;"",ISNUMBER(SEARCH($I$7,$B111))),COUNT($I$9:I110)+1,""))</f>
        <v>17</v>
      </c>
    </row>
    <row r="112" spans="1:9" ht="16" x14ac:dyDescent="0.25">
      <c r="A112" s="70" t="str">
        <f>Listas!E107</f>
        <v>FFS-3A9 (Iridizado)</v>
      </c>
      <c r="B112" s="70" t="str">
        <f t="shared" si="1"/>
        <v>Otros</v>
      </c>
      <c r="C112" s="70">
        <f>IF($A112="","",IF(AND($B112&lt;&gt;"",IF($F$2="Otros",$B112="Otros",ISNUMBER(SEARCH($B112,$F$2)))),COUNT($C$2:C111)+1,""))</f>
        <v>19</v>
      </c>
      <c r="G112" s="134" t="str">
        <f>IFERROR(INDEX($A$2:$A$507,MATCH(ROWS($G$2:G112),$C$2:$C$507,0)),IF(ROWS($G$2:G112)=1,"(sin matches)",""))</f>
        <v/>
      </c>
      <c r="I112" s="70">
        <f>IF($A112="","",IF(AND($B112&lt;&gt;"",ISNUMBER(SEARCH($I$7,$B112))),COUNT($I$9:I111)+1,""))</f>
        <v>18</v>
      </c>
    </row>
    <row r="113" spans="1:9" ht="16" x14ac:dyDescent="0.25">
      <c r="A113" s="70" t="str">
        <f>Listas!E108</f>
        <v>FGS-8B7 (Níquel Electroless) | 50.8 - 63.5 µm</v>
      </c>
      <c r="B113" s="70" t="str">
        <f t="shared" si="1"/>
        <v>Níquel</v>
      </c>
      <c r="C113" s="70" t="str">
        <f>IF($A113="","",IF(AND($B113&lt;&gt;"",IF($F$2="Otros",$B113="Otros",ISNUMBER(SEARCH($B113,$F$2)))),COUNT($C$2:C112)+1,""))</f>
        <v/>
      </c>
      <c r="G113" s="134" t="str">
        <f>IFERROR(INDEX($A$2:$A$507,MATCH(ROWS($G$2:G113),$C$2:$C$507,0)),IF(ROWS($G$2:G113)=1,"(sin matches)",""))</f>
        <v/>
      </c>
      <c r="I113" s="70" t="str">
        <f>IF($A113="","",IF(AND($B113&lt;&gt;"",ISNUMBER(SEARCH($I$7,$B113))),COUNT($I$9:I112)+1,""))</f>
        <v/>
      </c>
    </row>
    <row r="114" spans="1:9" ht="16" x14ac:dyDescent="0.25">
      <c r="A114" s="70" t="str">
        <f>Listas!E109</f>
        <v>FTR00025 (Zinc) | 8.0 - 12.0 µm</v>
      </c>
      <c r="B114" s="70" t="str">
        <f t="shared" si="1"/>
        <v>Zinc</v>
      </c>
      <c r="C114" s="70" t="str">
        <f>IF($A114="","",IF(AND($B114&lt;&gt;"",IF($F$2="Otros",$B114="Otros",ISNUMBER(SEARCH($B114,$F$2)))),COUNT($C$2:C113)+1,""))</f>
        <v/>
      </c>
      <c r="G114" s="134" t="str">
        <f>IFERROR(INDEX($A$2:$A$507,MATCH(ROWS($G$2:G114),$C$2:$C$507,0)),IF(ROWS($G$2:G114)=1,"(sin matches)",""))</f>
        <v/>
      </c>
      <c r="I114" s="70" t="str">
        <f>IF($A114="","",IF(AND($B114&lt;&gt;"",ISNUMBER(SEARCH($I$7,$B114))),COUNT($I$9:I113)+1,""))</f>
        <v/>
      </c>
    </row>
    <row r="115" spans="1:9" ht="16" x14ac:dyDescent="0.25">
      <c r="A115" s="70" t="str">
        <f>Listas!E110</f>
        <v>FTR00047 (Plata) | 2 - 5 µm</v>
      </c>
      <c r="B115" s="70" t="str">
        <f t="shared" si="1"/>
        <v>Plata</v>
      </c>
      <c r="C115" s="70" t="str">
        <f>IF($A115="","",IF(AND($B115&lt;&gt;"",IF($F$2="Otros",$B115="Otros",ISNUMBER(SEARCH($B115,$F$2)))),COUNT($C$2:C114)+1,""))</f>
        <v/>
      </c>
      <c r="G115" s="134" t="str">
        <f>IFERROR(INDEX($A$2:$A$507,MATCH(ROWS($G$2:G115),$C$2:$C$507,0)),IF(ROWS($G$2:G115)=1,"(sin matches)",""))</f>
        <v/>
      </c>
      <c r="I115" s="70" t="str">
        <f>IF($A115="","",IF(AND($B115&lt;&gt;"",ISNUMBER(SEARCH($I$7,$B115))),COUNT($I$9:I114)+1,""))</f>
        <v/>
      </c>
    </row>
    <row r="116" spans="1:9" ht="16" x14ac:dyDescent="0.25">
      <c r="A116" s="70" t="str">
        <f>Listas!E111</f>
        <v>FTR00047 (Plata) | 5 - 8 µm</v>
      </c>
      <c r="B116" s="70" t="str">
        <f t="shared" si="1"/>
        <v>Plata</v>
      </c>
      <c r="C116" s="70" t="str">
        <f>IF($A116="","",IF(AND($B116&lt;&gt;"",IF($F$2="Otros",$B116="Otros",ISNUMBER(SEARCH($B116,$F$2)))),COUNT($C$2:C115)+1,""))</f>
        <v/>
      </c>
      <c r="G116" s="134" t="str">
        <f>IFERROR(INDEX($A$2:$A$507,MATCH(ROWS($G$2:G116),$C$2:$C$507,0)),IF(ROWS($G$2:G116)=1,"(sin matches)",""))</f>
        <v/>
      </c>
      <c r="I116" s="70" t="str">
        <f>IF($A116="","",IF(AND($B116&lt;&gt;"",ISNUMBER(SEARCH($I$7,$B116))),COUNT($I$9:I115)+1,""))</f>
        <v/>
      </c>
    </row>
    <row r="117" spans="1:9" ht="16" x14ac:dyDescent="0.25">
      <c r="A117" s="70" t="str">
        <f>Listas!E112</f>
        <v>GDE1214700 (Antitarnish)</v>
      </c>
      <c r="B117" s="70" t="str">
        <f t="shared" si="1"/>
        <v>Otros</v>
      </c>
      <c r="C117" s="70">
        <f>IF($A117="","",IF(AND($B117&lt;&gt;"",IF($F$2="Otros",$B117="Otros",ISNUMBER(SEARCH($B117,$F$2)))),COUNT($C$2:C116)+1,""))</f>
        <v>20</v>
      </c>
      <c r="G117" s="134" t="str">
        <f>IFERROR(INDEX($A$2:$A$507,MATCH(ROWS($G$2:G117),$C$2:$C$507,0)),IF(ROWS($G$2:G117)=1,"(sin matches)",""))</f>
        <v/>
      </c>
      <c r="I117" s="70">
        <f>IF($A117="","",IF(AND($B117&lt;&gt;"",ISNUMBER(SEARCH($I$7,$B117))),COUNT($I$9:I116)+1,""))</f>
        <v>19</v>
      </c>
    </row>
    <row r="118" spans="1:9" ht="16" x14ac:dyDescent="0.25">
      <c r="A118" s="70" t="str">
        <f>Listas!E113</f>
        <v>GG QTLV 5115 (Níquel Sulfamato) | 5 - 15 µm</v>
      </c>
      <c r="B118" s="70" t="str">
        <f t="shared" si="1"/>
        <v>Níquel</v>
      </c>
      <c r="C118" s="70" t="str">
        <f>IF($A118="","",IF(AND($B118&lt;&gt;"",IF($F$2="Otros",$B118="Otros",ISNUMBER(SEARCH($B118,$F$2)))),COUNT($C$2:C117)+1,""))</f>
        <v/>
      </c>
      <c r="G118" s="134" t="str">
        <f>IFERROR(INDEX($A$2:$A$507,MATCH(ROWS($G$2:G118),$C$2:$C$507,0)),IF(ROWS($G$2:G118)=1,"(sin matches)",""))</f>
        <v/>
      </c>
      <c r="I118" s="70" t="str">
        <f>IF($A118="","",IF(AND($B118&lt;&gt;"",ISNUMBER(SEARCH($I$7,$B118))),COUNT($I$9:I117)+1,""))</f>
        <v/>
      </c>
    </row>
    <row r="119" spans="1:9" ht="16" x14ac:dyDescent="0.25">
      <c r="A119" s="70" t="str">
        <f>Listas!E114</f>
        <v>KDS-258-107 (Estaño) | 2.5 - 5 µm</v>
      </c>
      <c r="B119" s="70" t="str">
        <f t="shared" si="1"/>
        <v>Estaño</v>
      </c>
      <c r="C119" s="70" t="str">
        <f>IF($A119="","",IF(AND($B119&lt;&gt;"",IF($F$2="Otros",$B119="Otros",ISNUMBER(SEARCH($B119,$F$2)))),COUNT($C$2:C118)+1,""))</f>
        <v/>
      </c>
      <c r="G119" s="134" t="str">
        <f>IFERROR(INDEX($A$2:$A$507,MATCH(ROWS($G$2:G119),$C$2:$C$507,0)),IF(ROWS($G$2:G119)=1,"(sin matches)",""))</f>
        <v/>
      </c>
      <c r="I119" s="70" t="str">
        <f>IF($A119="","",IF(AND($B119&lt;&gt;"",ISNUMBER(SEARCH($I$7,$B119))),COUNT($I$9:I118)+1,""))</f>
        <v/>
      </c>
    </row>
    <row r="120" spans="1:9" ht="16" x14ac:dyDescent="0.25">
      <c r="A120" s="70" t="str">
        <f>Listas!E115</f>
        <v>MS-S1053 (Fosfato de Manganeso - Medición de Grano) | 5 - 11 µm</v>
      </c>
      <c r="B120" s="70" t="str">
        <f t="shared" si="1"/>
        <v>Otros</v>
      </c>
      <c r="C120" s="70">
        <f>IF($A120="","",IF(AND($B120&lt;&gt;"",IF($F$2="Otros",$B120="Otros",ISNUMBER(SEARCH($B120,$F$2)))),COUNT($C$2:C119)+1,""))</f>
        <v>21</v>
      </c>
      <c r="G120" s="134" t="str">
        <f>IFERROR(INDEX($A$2:$A$507,MATCH(ROWS($G$2:G120),$C$2:$C$507,0)),IF(ROWS($G$2:G120)=1,"(sin matches)",""))</f>
        <v/>
      </c>
      <c r="I120" s="70">
        <f>IF($A120="","",IF(AND($B120&lt;&gt;"",ISNUMBER(SEARCH($I$7,$B120))),COUNT($I$9:I119)+1,""))</f>
        <v>20</v>
      </c>
    </row>
    <row r="121" spans="1:9" ht="16" x14ac:dyDescent="0.25">
      <c r="A121" s="70" t="str">
        <f>Listas!E116</f>
        <v>NNZ3703201 (Epóxico MT) | 80 - 100 mils</v>
      </c>
      <c r="B121" s="70" t="str">
        <f t="shared" si="1"/>
        <v>Epóxico</v>
      </c>
      <c r="C121" s="70" t="str">
        <f>IF($A121="","",IF(AND($B121&lt;&gt;"",IF($F$2="Otros",$B121="Otros",ISNUMBER(SEARCH($B121,$F$2)))),COUNT($C$2:C120)+1,""))</f>
        <v/>
      </c>
      <c r="G121" s="134" t="str">
        <f>IFERROR(INDEX($A$2:$A$507,MATCH(ROWS($G$2:G121),$C$2:$C$507,0)),IF(ROWS($G$2:G121)=1,"(sin matches)",""))</f>
        <v/>
      </c>
      <c r="I121" s="70" t="str">
        <f>IF($A121="","",IF(AND($B121&lt;&gt;"",ISNUMBER(SEARCH($I$7,$B121))),COUNT($I$9:I120)+1,""))</f>
        <v/>
      </c>
    </row>
    <row r="122" spans="1:9" ht="16" x14ac:dyDescent="0.25">
      <c r="A122" s="70" t="str">
        <f>Listas!E117</f>
        <v>P 1029 P003 E 131 (Níquel Electroless) (Moneda) | 45 - 70 µm</v>
      </c>
      <c r="B122" s="70" t="str">
        <f t="shared" si="1"/>
        <v>Níquel</v>
      </c>
      <c r="C122" s="70" t="str">
        <f>IF($A122="","",IF(AND($B122&lt;&gt;"",IF($F$2="Otros",$B122="Otros",ISNUMBER(SEARCH($B122,$F$2)))),COUNT($C$2:C121)+1,""))</f>
        <v/>
      </c>
      <c r="G122" s="134" t="str">
        <f>IFERROR(INDEX($A$2:$A$507,MATCH(ROWS($G$2:G122),$C$2:$C$507,0)),IF(ROWS($G$2:G122)=1,"(sin matches)",""))</f>
        <v/>
      </c>
      <c r="I122" s="70" t="str">
        <f>IF($A122="","",IF(AND($B122&lt;&gt;"",ISNUMBER(SEARCH($I$7,$B122))),COUNT($I$9:I121)+1,""))</f>
        <v/>
      </c>
    </row>
    <row r="123" spans="1:9" ht="16" x14ac:dyDescent="0.25">
      <c r="A123" s="70" t="str">
        <f>Listas!E118</f>
        <v>PL 112-16-2 (Estaño) | 3.8 - 12.7 µm</v>
      </c>
      <c r="B123" s="70" t="str">
        <f t="shared" si="1"/>
        <v>Estaño</v>
      </c>
      <c r="C123" s="70" t="str">
        <f>IF($A123="","",IF(AND($B123&lt;&gt;"",IF($F$2="Otros",$B123="Otros",ISNUMBER(SEARCH($B123,$F$2)))),COUNT($C$2:C122)+1,""))</f>
        <v/>
      </c>
      <c r="G123" s="134" t="str">
        <f>IFERROR(INDEX($A$2:$A$507,MATCH(ROWS($G$2:G123),$C$2:$C$507,0)),IF(ROWS($G$2:G123)=1,"(sin matches)",""))</f>
        <v/>
      </c>
      <c r="I123" s="70" t="str">
        <f>IF($A123="","",IF(AND($B123&lt;&gt;"",ISNUMBER(SEARCH($I$7,$B123))),COUNT($I$9:I122)+1,""))</f>
        <v/>
      </c>
    </row>
    <row r="124" spans="1:9" ht="16" x14ac:dyDescent="0.25">
      <c r="A124" s="70" t="str">
        <f>Listas!E119</f>
        <v>RC Ag (Plata) | 0.076 - 1.27 µm</v>
      </c>
      <c r="B124" s="70" t="str">
        <f t="shared" si="1"/>
        <v>Plata</v>
      </c>
      <c r="C124" s="70" t="str">
        <f>IF($A124="","",IF(AND($B124&lt;&gt;"",IF($F$2="Otros",$B124="Otros",ISNUMBER(SEARCH($B124,$F$2)))),COUNT($C$2:C123)+1,""))</f>
        <v/>
      </c>
      <c r="G124" s="134" t="str">
        <f>IFERROR(INDEX($A$2:$A$507,MATCH(ROWS($G$2:G124),$C$2:$C$507,0)),IF(ROWS($G$2:G124)=1,"(sin matches)",""))</f>
        <v/>
      </c>
      <c r="I124" s="70" t="str">
        <f>IF($A124="","",IF(AND($B124&lt;&gt;"",ISNUMBER(SEARCH($I$7,$B124))),COUNT($I$9:I123)+1,""))</f>
        <v/>
      </c>
    </row>
    <row r="125" spans="1:9" ht="16" x14ac:dyDescent="0.25">
      <c r="A125" s="70" t="str">
        <f>Listas!E120</f>
        <v>RC Ag (Plata) | 0.127 - 0.5 µm</v>
      </c>
      <c r="B125" s="70" t="str">
        <f t="shared" si="1"/>
        <v>Plata</v>
      </c>
      <c r="C125" s="70" t="str">
        <f>IF($A125="","",IF(AND($B125&lt;&gt;"",IF($F$2="Otros",$B125="Otros",ISNUMBER(SEARCH($B125,$F$2)))),COUNT($C$2:C124)+1,""))</f>
        <v/>
      </c>
      <c r="G125" s="134" t="str">
        <f>IFERROR(INDEX($A$2:$A$507,MATCH(ROWS($G$2:G125),$C$2:$C$507,0)),IF(ROWS($G$2:G125)=1,"(sin matches)",""))</f>
        <v/>
      </c>
      <c r="I125" s="70" t="str">
        <f>IF($A125="","",IF(AND($B125&lt;&gt;"",ISNUMBER(SEARCH($I$7,$B125))),COUNT($I$9:I124)+1,""))</f>
        <v/>
      </c>
    </row>
    <row r="126" spans="1:9" ht="16" x14ac:dyDescent="0.25">
      <c r="A126" s="70" t="str">
        <f>Listas!E121</f>
        <v>RC Ag (Plata) | 0.27 - 1.27 µm</v>
      </c>
      <c r="B126" s="70" t="str">
        <f t="shared" si="1"/>
        <v>Plata</v>
      </c>
      <c r="C126" s="70" t="str">
        <f>IF($A126="","",IF(AND($B126&lt;&gt;"",IF($F$2="Otros",$B126="Otros",ISNUMBER(SEARCH($B126,$F$2)))),COUNT($C$2:C125)+1,""))</f>
        <v/>
      </c>
      <c r="G126" s="134" t="str">
        <f>IFERROR(INDEX($A$2:$A$507,MATCH(ROWS($G$2:G126),$C$2:$C$507,0)),IF(ROWS($G$2:G126)=1,"(sin matches)",""))</f>
        <v/>
      </c>
      <c r="I126" s="70" t="str">
        <f>IF($A126="","",IF(AND($B126&lt;&gt;"",ISNUMBER(SEARCH($I$7,$B126))),COUNT($I$9:I125)+1,""))</f>
        <v/>
      </c>
    </row>
    <row r="127" spans="1:9" ht="16" x14ac:dyDescent="0.25">
      <c r="A127" s="70" t="str">
        <f>Listas!E122</f>
        <v>RC Ag (Plata) | 0.3 - 0.8 µm</v>
      </c>
      <c r="B127" s="70" t="str">
        <f t="shared" si="1"/>
        <v>Plata</v>
      </c>
      <c r="C127" s="70" t="str">
        <f>IF($A127="","",IF(AND($B127&lt;&gt;"",IF($F$2="Otros",$B127="Otros",ISNUMBER(SEARCH($B127,$F$2)))),COUNT($C$2:C126)+1,""))</f>
        <v/>
      </c>
      <c r="G127" s="134" t="str">
        <f>IFERROR(INDEX($A$2:$A$507,MATCH(ROWS($G$2:G127),$C$2:$C$507,0)),IF(ROWS($G$2:G127)=1,"(sin matches)",""))</f>
        <v/>
      </c>
      <c r="I127" s="70" t="str">
        <f>IF($A127="","",IF(AND($B127&lt;&gt;"",ISNUMBER(SEARCH($I$7,$B127))),COUNT($I$9:I126)+1,""))</f>
        <v/>
      </c>
    </row>
    <row r="128" spans="1:9" ht="16" x14ac:dyDescent="0.25">
      <c r="A128" s="70" t="str">
        <f>Listas!E123</f>
        <v>RC Ag (Plata) | 0.4 - 2.5 µm</v>
      </c>
      <c r="B128" s="70" t="str">
        <f t="shared" si="1"/>
        <v>Plata</v>
      </c>
      <c r="C128" s="70" t="str">
        <f>IF($A128="","",IF(AND($B128&lt;&gt;"",IF($F$2="Otros",$B128="Otros",ISNUMBER(SEARCH($B128,$F$2)))),COUNT($C$2:C127)+1,""))</f>
        <v/>
      </c>
      <c r="G128" s="134" t="str">
        <f>IFERROR(INDEX($A$2:$A$507,MATCH(ROWS($G$2:G128),$C$2:$C$507,0)),IF(ROWS($G$2:G128)=1,"(sin matches)",""))</f>
        <v/>
      </c>
      <c r="I128" s="70" t="str">
        <f>IF($A128="","",IF(AND($B128&lt;&gt;"",ISNUMBER(SEARCH($I$7,$B128))),COUNT($I$9:I127)+1,""))</f>
        <v/>
      </c>
    </row>
    <row r="129" spans="1:9" ht="16" x14ac:dyDescent="0.25">
      <c r="A129" s="70" t="str">
        <f>Listas!E124</f>
        <v>RC Ag (Plata) | 0.5 - 1.5 µm</v>
      </c>
      <c r="B129" s="70" t="str">
        <f t="shared" si="1"/>
        <v>Plata</v>
      </c>
      <c r="C129" s="70" t="str">
        <f>IF($A129="","",IF(AND($B129&lt;&gt;"",IF($F$2="Otros",$B129="Otros",ISNUMBER(SEARCH($B129,$F$2)))),COUNT($C$2:C128)+1,""))</f>
        <v/>
      </c>
      <c r="G129" s="134" t="str">
        <f>IFERROR(INDEX($A$2:$A$507,MATCH(ROWS($G$2:G129),$C$2:$C$507,0)),IF(ROWS($G$2:G129)=1,"(sin matches)",""))</f>
        <v/>
      </c>
      <c r="I129" s="70" t="str">
        <f>IF($A129="","",IF(AND($B129&lt;&gt;"",ISNUMBER(SEARCH($I$7,$B129))),COUNT($I$9:I128)+1,""))</f>
        <v/>
      </c>
    </row>
    <row r="130" spans="1:9" ht="16" x14ac:dyDescent="0.25">
      <c r="A130" s="70" t="str">
        <f>Listas!E125</f>
        <v>RC Ag (Plata) | 0.508 - 1.016 µm</v>
      </c>
      <c r="B130" s="70" t="str">
        <f t="shared" si="1"/>
        <v>Plata</v>
      </c>
      <c r="C130" s="70" t="str">
        <f>IF($A130="","",IF(AND($B130&lt;&gt;"",IF($F$2="Otros",$B130="Otros",ISNUMBER(SEARCH($B130,$F$2)))),COUNT($C$2:C129)+1,""))</f>
        <v/>
      </c>
      <c r="G130" s="134" t="str">
        <f>IFERROR(INDEX($A$2:$A$507,MATCH(ROWS($G$2:G130),$C$2:$C$507,0)),IF(ROWS($G$2:G130)=1,"(sin matches)",""))</f>
        <v/>
      </c>
      <c r="I130" s="70" t="str">
        <f>IF($A130="","",IF(AND($B130&lt;&gt;"",ISNUMBER(SEARCH($I$7,$B130))),COUNT($I$9:I129)+1,""))</f>
        <v/>
      </c>
    </row>
    <row r="131" spans="1:9" ht="16" x14ac:dyDescent="0.25">
      <c r="A131" s="70" t="str">
        <f>Listas!E126</f>
        <v>RC Ag (Plata) | 1.5 - 2.5 µm</v>
      </c>
      <c r="B131" s="70" t="str">
        <f t="shared" si="1"/>
        <v>Plata</v>
      </c>
      <c r="C131" s="70" t="str">
        <f>IF($A131="","",IF(AND($B131&lt;&gt;"",IF($F$2="Otros",$B131="Otros",ISNUMBER(SEARCH($B131,$F$2)))),COUNT($C$2:C130)+1,""))</f>
        <v/>
      </c>
      <c r="G131" s="134" t="str">
        <f>IFERROR(INDEX($A$2:$A$507,MATCH(ROWS($G$2:G131),$C$2:$C$507,0)),IF(ROWS($G$2:G131)=1,"(sin matches)",""))</f>
        <v/>
      </c>
      <c r="I131" s="70" t="str">
        <f>IF($A131="","",IF(AND($B131&lt;&gt;"",ISNUMBER(SEARCH($I$7,$B131))),COUNT($I$9:I130)+1,""))</f>
        <v/>
      </c>
    </row>
    <row r="132" spans="1:9" ht="16" x14ac:dyDescent="0.25">
      <c r="A132" s="70" t="str">
        <f>Listas!E127</f>
        <v>RC Ag (Plata) | 13 - 16 µm</v>
      </c>
      <c r="B132" s="70" t="str">
        <f t="shared" si="1"/>
        <v>Plata</v>
      </c>
      <c r="C132" s="70" t="str">
        <f>IF($A132="","",IF(AND($B132&lt;&gt;"",IF($F$2="Otros",$B132="Otros",ISNUMBER(SEARCH($B132,$F$2)))),COUNT($C$2:C131)+1,""))</f>
        <v/>
      </c>
      <c r="G132" s="134" t="str">
        <f>IFERROR(INDEX($A$2:$A$507,MATCH(ROWS($G$2:G132),$C$2:$C$507,0)),IF(ROWS($G$2:G132)=1,"(sin matches)",""))</f>
        <v/>
      </c>
      <c r="I132" s="70" t="str">
        <f>IF($A132="","",IF(AND($B132&lt;&gt;"",ISNUMBER(SEARCH($I$7,$B132))),COUNT($I$9:I131)+1,""))</f>
        <v/>
      </c>
    </row>
    <row r="133" spans="1:9" ht="16" x14ac:dyDescent="0.25">
      <c r="A133" s="70" t="str">
        <f>Listas!E128</f>
        <v>RC Ag (Plata) | 2.0 - 6.0 µm</v>
      </c>
      <c r="B133" s="70" t="str">
        <f t="shared" si="1"/>
        <v>Plata</v>
      </c>
      <c r="C133" s="70" t="str">
        <f>IF($A133="","",IF(AND($B133&lt;&gt;"",IF($F$2="Otros",$B133="Otros",ISNUMBER(SEARCH($B133,$F$2)))),COUNT($C$2:C132)+1,""))</f>
        <v/>
      </c>
      <c r="G133" s="134" t="str">
        <f>IFERROR(INDEX($A$2:$A$507,MATCH(ROWS($G$2:G133),$C$2:$C$507,0)),IF(ROWS($G$2:G133)=1,"(sin matches)",""))</f>
        <v/>
      </c>
      <c r="I133" s="70" t="str">
        <f>IF($A133="","",IF(AND($B133&lt;&gt;"",ISNUMBER(SEARCH($I$7,$B133))),COUNT($I$9:I132)+1,""))</f>
        <v/>
      </c>
    </row>
    <row r="134" spans="1:9" ht="16" x14ac:dyDescent="0.25">
      <c r="A134" s="70" t="str">
        <f>Listas!E129</f>
        <v>RC Ag (Plata) | 3 - 6 µm</v>
      </c>
      <c r="B134" s="70" t="str">
        <f t="shared" si="1"/>
        <v>Plata</v>
      </c>
      <c r="C134" s="70" t="str">
        <f>IF($A134="","",IF(AND($B134&lt;&gt;"",IF($F$2="Otros",$B134="Otros",ISNUMBER(SEARCH($B134,$F$2)))),COUNT($C$2:C133)+1,""))</f>
        <v/>
      </c>
      <c r="G134" s="134" t="str">
        <f>IFERROR(INDEX($A$2:$A$507,MATCH(ROWS($G$2:G134),$C$2:$C$507,0)),IF(ROWS($G$2:G134)=1,"(sin matches)",""))</f>
        <v/>
      </c>
      <c r="I134" s="70" t="str">
        <f>IF($A134="","",IF(AND($B134&lt;&gt;"",ISNUMBER(SEARCH($I$7,$B134))),COUNT($I$9:I133)+1,""))</f>
        <v/>
      </c>
    </row>
    <row r="135" spans="1:9" ht="16" x14ac:dyDescent="0.25">
      <c r="A135" s="70" t="str">
        <f>Listas!E130</f>
        <v>RC Ag (Plata) | 3.8 - 5.5 µm</v>
      </c>
      <c r="B135" s="70" t="str">
        <f t="shared" si="1"/>
        <v>Plata</v>
      </c>
      <c r="C135" s="70" t="str">
        <f>IF($A135="","",IF(AND($B135&lt;&gt;"",IF($F$2="Otros",$B135="Otros",ISNUMBER(SEARCH($B135,$F$2)))),COUNT($C$2:C134)+1,""))</f>
        <v/>
      </c>
      <c r="G135" s="134" t="str">
        <f>IFERROR(INDEX($A$2:$A$507,MATCH(ROWS($G$2:G135),$C$2:$C$507,0)),IF(ROWS($G$2:G135)=1,"(sin matches)",""))</f>
        <v/>
      </c>
      <c r="I135" s="70" t="str">
        <f>IF($A135="","",IF(AND($B135&lt;&gt;"",ISNUMBER(SEARCH($I$7,$B135))),COUNT($I$9:I134)+1,""))</f>
        <v/>
      </c>
    </row>
    <row r="136" spans="1:9" ht="16" x14ac:dyDescent="0.25">
      <c r="A136" s="70" t="str">
        <f>Listas!E131</f>
        <v>RC Ag (Plata) | 8 - 12 µm</v>
      </c>
      <c r="B136" s="70" t="str">
        <f t="shared" si="1"/>
        <v>Plata</v>
      </c>
      <c r="C136" s="70" t="str">
        <f>IF($A136="","",IF(AND($B136&lt;&gt;"",IF($F$2="Otros",$B136="Otros",ISNUMBER(SEARCH($B136,$F$2)))),COUNT($C$2:C135)+1,""))</f>
        <v/>
      </c>
      <c r="G136" s="134" t="str">
        <f>IFERROR(INDEX($A$2:$A$507,MATCH(ROWS($G$2:G136),$C$2:$C$507,0)),IF(ROWS($G$2:G136)=1,"(sin matches)",""))</f>
        <v/>
      </c>
      <c r="I136" s="70" t="str">
        <f>IF($A136="","",IF(AND($B136&lt;&gt;"",ISNUMBER(SEARCH($I$7,$B136))),COUNT($I$9:I135)+1,""))</f>
        <v/>
      </c>
    </row>
    <row r="137" spans="1:9" ht="16" x14ac:dyDescent="0.25">
      <c r="A137" s="70" t="str">
        <f>Listas!E132</f>
        <v>RC Anodizado Natural | 12 - 18 µm</v>
      </c>
      <c r="B137" s="70" t="str">
        <f t="shared" si="1"/>
        <v>Otros</v>
      </c>
      <c r="C137" s="70">
        <f>IF($A137="","",IF(AND($B137&lt;&gt;"",IF($F$2="Otros",$B137="Otros",ISNUMBER(SEARCH($B137,$F$2)))),COUNT($C$2:C136)+1,""))</f>
        <v>22</v>
      </c>
      <c r="G137" s="134" t="str">
        <f>IFERROR(INDEX($A$2:$A$507,MATCH(ROWS($G$2:G137),$C$2:$C$507,0)),IF(ROWS($G$2:G137)=1,"(sin matches)",""))</f>
        <v/>
      </c>
      <c r="I137" s="70">
        <f>IF($A137="","",IF(AND($B137&lt;&gt;"",ISNUMBER(SEARCH($I$7,$B137))),COUNT($I$9:I136)+1,""))</f>
        <v>21</v>
      </c>
    </row>
    <row r="138" spans="1:9" ht="16" x14ac:dyDescent="0.25">
      <c r="A138" s="70" t="str">
        <f>Listas!E133</f>
        <v>RC Anodizado Natural | 2 - 3 µm</v>
      </c>
      <c r="B138" s="70"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Otros</v>
      </c>
      <c r="C138" s="70">
        <f>IF($A138="","",IF(AND($B138&lt;&gt;"",IF($F$2="Otros",$B138="Otros",ISNUMBER(SEARCH($B138,$F$2)))),COUNT($C$2:C137)+1,""))</f>
        <v>23</v>
      </c>
      <c r="G138" s="134" t="str">
        <f>IFERROR(INDEX($A$2:$A$507,MATCH(ROWS($G$2:G138),$C$2:$C$507,0)),IF(ROWS($G$2:G138)=1,"(sin matches)",""))</f>
        <v/>
      </c>
      <c r="I138" s="70">
        <f>IF($A138="","",IF(AND($B138&lt;&gt;"",ISNUMBER(SEARCH($I$7,$B138))),COUNT($I$9:I137)+1,""))</f>
        <v>22</v>
      </c>
    </row>
    <row r="139" spans="1:9" ht="16" x14ac:dyDescent="0.25">
      <c r="A139" s="70" t="str">
        <f>Listas!E134</f>
        <v>RC Anodizado Natural | 8 - 13 µm</v>
      </c>
      <c r="B139" s="70" t="str">
        <f t="shared" si="2"/>
        <v>Otros</v>
      </c>
      <c r="C139" s="70">
        <f>IF($A139="","",IF(AND($B139&lt;&gt;"",IF($F$2="Otros",$B139="Otros",ISNUMBER(SEARCH($B139,$F$2)))),COUNT($C$2:C138)+1,""))</f>
        <v>24</v>
      </c>
      <c r="G139" s="134" t="str">
        <f>IFERROR(INDEX($A$2:$A$507,MATCH(ROWS($G$2:G139),$C$2:$C$507,0)),IF(ROWS($G$2:G139)=1,"(sin matches)",""))</f>
        <v/>
      </c>
      <c r="I139" s="70">
        <f>IF($A139="","",IF(AND($B139&lt;&gt;"",ISNUMBER(SEARCH($I$7,$B139))),COUNT($I$9:I138)+1,""))</f>
        <v>23</v>
      </c>
    </row>
    <row r="140" spans="1:9" ht="16" x14ac:dyDescent="0.25">
      <c r="A140" s="70" t="str">
        <f>Listas!E135</f>
        <v>RC Anodizado Negro | 12 - 18 µm</v>
      </c>
      <c r="B140" s="70" t="str">
        <f t="shared" si="2"/>
        <v>Otros</v>
      </c>
      <c r="C140" s="70">
        <f>IF($A140="","",IF(AND($B140&lt;&gt;"",IF($F$2="Otros",$B140="Otros",ISNUMBER(SEARCH($B140,$F$2)))),COUNT($C$2:C139)+1,""))</f>
        <v>25</v>
      </c>
      <c r="G140" s="134" t="str">
        <f>IFERROR(INDEX($A$2:$A$507,MATCH(ROWS($G$2:G140),$C$2:$C$507,0)),IF(ROWS($G$2:G140)=1,"(sin matches)",""))</f>
        <v/>
      </c>
      <c r="I140" s="70">
        <f>IF($A140="","",IF(AND($B140&lt;&gt;"",ISNUMBER(SEARCH($I$7,$B140))),COUNT($I$9:I139)+1,""))</f>
        <v>24</v>
      </c>
    </row>
    <row r="141" spans="1:9" ht="16" x14ac:dyDescent="0.25">
      <c r="A141" s="70" t="str">
        <f>Listas!E136</f>
        <v>RC Anodizado Negro | 8 - 13 µm</v>
      </c>
      <c r="B141" s="70" t="str">
        <f t="shared" si="2"/>
        <v>Otros</v>
      </c>
      <c r="C141" s="70">
        <f>IF($A141="","",IF(AND($B141&lt;&gt;"",IF($F$2="Otros",$B141="Otros",ISNUMBER(SEARCH($B141,$F$2)))),COUNT($C$2:C140)+1,""))</f>
        <v>26</v>
      </c>
      <c r="G141" s="134" t="str">
        <f>IFERROR(INDEX($A$2:$A$507,MATCH(ROWS($G$2:G141),$C$2:$C$507,0)),IF(ROWS($G$2:G141)=1,"(sin matches)",""))</f>
        <v/>
      </c>
      <c r="I141" s="70">
        <f>IF($A141="","",IF(AND($B141&lt;&gt;"",ISNUMBER(SEARCH($I$7,$B141))),COUNT($I$9:I140)+1,""))</f>
        <v>25</v>
      </c>
    </row>
    <row r="142" spans="1:9" ht="16" x14ac:dyDescent="0.25">
      <c r="A142" s="70" t="str">
        <f>Listas!E137</f>
        <v>RC Brill 61</v>
      </c>
      <c r="B142" s="70" t="str">
        <f t="shared" si="2"/>
        <v>Otros</v>
      </c>
      <c r="C142" s="70">
        <f>IF($A142="","",IF(AND($B142&lt;&gt;"",IF($F$2="Otros",$B142="Otros",ISNUMBER(SEARCH($B142,$F$2)))),COUNT($C$2:C141)+1,""))</f>
        <v>27</v>
      </c>
      <c r="G142" s="134" t="str">
        <f>IFERROR(INDEX($A$2:$A$507,MATCH(ROWS($G$2:G142),$C$2:$C$507,0)),IF(ROWS($G$2:G142)=1,"(sin matches)",""))</f>
        <v/>
      </c>
      <c r="I142" s="70">
        <f>IF($A142="","",IF(AND($B142&lt;&gt;"",ISNUMBER(SEARCH($I$7,$B142))),COUNT($I$9:I141)+1,""))</f>
        <v>26</v>
      </c>
    </row>
    <row r="143" spans="1:9" ht="16" x14ac:dyDescent="0.25">
      <c r="A143" s="70" t="str">
        <f>Listas!E138</f>
        <v>RC Cromo Duro | 12.7 - 17.78 µm</v>
      </c>
      <c r="B143" s="70" t="str">
        <f t="shared" si="2"/>
        <v>Otros</v>
      </c>
      <c r="C143" s="70">
        <f>IF($A143="","",IF(AND($B143&lt;&gt;"",IF($F$2="Otros",$B143="Otros",ISNUMBER(SEARCH($B143,$F$2)))),COUNT($C$2:C142)+1,""))</f>
        <v>28</v>
      </c>
      <c r="G143" s="134" t="str">
        <f>IFERROR(INDEX($A$2:$A$507,MATCH(ROWS($G$2:G143),$C$2:$C$507,0)),IF(ROWS($G$2:G143)=1,"(sin matches)",""))</f>
        <v/>
      </c>
      <c r="I143" s="70">
        <f>IF($A143="","",IF(AND($B143&lt;&gt;"",ISNUMBER(SEARCH($I$7,$B143))),COUNT($I$9:I142)+1,""))</f>
        <v>27</v>
      </c>
    </row>
    <row r="144" spans="1:9" ht="16" x14ac:dyDescent="0.25">
      <c r="A144" s="70" t="str">
        <f>Listas!E139</f>
        <v>RC Cromo Duro | 19.05 - 31.75 µm</v>
      </c>
      <c r="B144" s="70" t="str">
        <f t="shared" si="2"/>
        <v>Otros</v>
      </c>
      <c r="C144" s="70">
        <f>IF($A144="","",IF(AND($B144&lt;&gt;"",IF($F$2="Otros",$B144="Otros",ISNUMBER(SEARCH($B144,$F$2)))),COUNT($C$2:C143)+1,""))</f>
        <v>29</v>
      </c>
      <c r="G144" s="134" t="str">
        <f>IFERROR(INDEX($A$2:$A$507,MATCH(ROWS($G$2:G144),$C$2:$C$507,0)),IF(ROWS($G$2:G144)=1,"(sin matches)",""))</f>
        <v/>
      </c>
      <c r="I144" s="70">
        <f>IF($A144="","",IF(AND($B144&lt;&gt;"",ISNUMBER(SEARCH($I$7,$B144))),COUNT($I$9:I143)+1,""))</f>
        <v>28</v>
      </c>
    </row>
    <row r="145" spans="1:9" ht="16" x14ac:dyDescent="0.25">
      <c r="A145" s="70" t="str">
        <f>Listas!E140</f>
        <v>RC Cromo Duro | 38.5 - 63.5 µm</v>
      </c>
      <c r="B145" s="70" t="str">
        <f t="shared" si="2"/>
        <v>Otros</v>
      </c>
      <c r="C145" s="70">
        <f>IF($A145="","",IF(AND($B145&lt;&gt;"",IF($F$2="Otros",$B145="Otros",ISNUMBER(SEARCH($B145,$F$2)))),COUNT($C$2:C144)+1,""))</f>
        <v>30</v>
      </c>
      <c r="G145" s="134" t="str">
        <f>IFERROR(INDEX($A$2:$A$507,MATCH(ROWS($G$2:G145),$C$2:$C$507,0)),IF(ROWS($G$2:G145)=1,"(sin matches)",""))</f>
        <v/>
      </c>
      <c r="I145" s="70">
        <f>IF($A145="","",IF(AND($B145&lt;&gt;"",ISNUMBER(SEARCH($I$7,$B145))),COUNT($I$9:I144)+1,""))</f>
        <v>29</v>
      </c>
    </row>
    <row r="146" spans="1:9" ht="16" x14ac:dyDescent="0.25">
      <c r="A146" s="70" t="str">
        <f>Listas!E141</f>
        <v>RC Cromo Duro | 63.5 - 88.9 µm</v>
      </c>
      <c r="B146" s="70" t="str">
        <f t="shared" si="2"/>
        <v>Otros</v>
      </c>
      <c r="C146" s="70">
        <f>IF($A146="","",IF(AND($B146&lt;&gt;"",IF($F$2="Otros",$B146="Otros",ISNUMBER(SEARCH($B146,$F$2)))),COUNT($C$2:C145)+1,""))</f>
        <v>31</v>
      </c>
      <c r="G146" s="134" t="str">
        <f>IFERROR(INDEX($A$2:$A$507,MATCH(ROWS($G$2:G146),$C$2:$C$507,0)),IF(ROWS($G$2:G146)=1,"(sin matches)",""))</f>
        <v/>
      </c>
      <c r="I146" s="70">
        <f>IF($A146="","",IF(AND($B146&lt;&gt;"",ISNUMBER(SEARCH($I$7,$B146))),COUNT($I$9:I145)+1,""))</f>
        <v>30</v>
      </c>
    </row>
    <row r="147" spans="1:9" ht="16" x14ac:dyDescent="0.25">
      <c r="A147" s="70" t="str">
        <f>Listas!E142</f>
        <v>RC Cromo Duro | 7.62 - 12.7 µm</v>
      </c>
      <c r="B147" s="70" t="str">
        <f t="shared" si="2"/>
        <v>Otros</v>
      </c>
      <c r="C147" s="70">
        <f>IF($A147="","",IF(AND($B147&lt;&gt;"",IF($F$2="Otros",$B147="Otros",ISNUMBER(SEARCH($B147,$F$2)))),COUNT($C$2:C146)+1,""))</f>
        <v>32</v>
      </c>
      <c r="G147" s="134" t="str">
        <f>IFERROR(INDEX($A$2:$A$507,MATCH(ROWS($G$2:G147),$C$2:$C$507,0)),IF(ROWS($G$2:G147)=1,"(sin matches)",""))</f>
        <v/>
      </c>
      <c r="I147" s="70">
        <f>IF($A147="","",IF(AND($B147&lt;&gt;"",ISNUMBER(SEARCH($I$7,$B147))),COUNT($I$9:I146)+1,""))</f>
        <v>31</v>
      </c>
    </row>
    <row r="148" spans="1:9" ht="16" x14ac:dyDescent="0.25">
      <c r="A148" s="70" t="str">
        <f>Listas!E143</f>
        <v>RC Cu (Cobre) | 0.25 - 1 µm</v>
      </c>
      <c r="B148" s="70" t="str">
        <f t="shared" si="2"/>
        <v>Otros</v>
      </c>
      <c r="C148" s="70">
        <f>IF($A148="","",IF(AND($B148&lt;&gt;"",IF($F$2="Otros",$B148="Otros",ISNUMBER(SEARCH($B148,$F$2)))),COUNT($C$2:C147)+1,""))</f>
        <v>33</v>
      </c>
      <c r="G148" s="134" t="str">
        <f>IFERROR(INDEX($A$2:$A$507,MATCH(ROWS($G$2:G148),$C$2:$C$507,0)),IF(ROWS($G$2:G148)=1,"(sin matches)",""))</f>
        <v/>
      </c>
      <c r="I148" s="70">
        <f>IF($A148="","",IF(AND($B148&lt;&gt;"",ISNUMBER(SEARCH($I$7,$B148))),COUNT($I$9:I147)+1,""))</f>
        <v>32</v>
      </c>
    </row>
    <row r="149" spans="1:9" ht="16" x14ac:dyDescent="0.25">
      <c r="A149" s="70" t="str">
        <f>Listas!E144</f>
        <v>RC Cu (Cobre) | 0.76 - 2 µm</v>
      </c>
      <c r="B149" s="70" t="str">
        <f t="shared" si="2"/>
        <v>Otros</v>
      </c>
      <c r="C149" s="70">
        <f>IF($A149="","",IF(AND($B149&lt;&gt;"",IF($F$2="Otros",$B149="Otros",ISNUMBER(SEARCH($B149,$F$2)))),COUNT($C$2:C148)+1,""))</f>
        <v>34</v>
      </c>
      <c r="G149" s="134" t="str">
        <f>IFERROR(INDEX($A$2:$A$507,MATCH(ROWS($G$2:G149),$C$2:$C$507,0)),IF(ROWS($G$2:G149)=1,"(sin matches)",""))</f>
        <v/>
      </c>
      <c r="I149" s="70">
        <f>IF($A149="","",IF(AND($B149&lt;&gt;"",ISNUMBER(SEARCH($I$7,$B149))),COUNT($I$9:I148)+1,""))</f>
        <v>33</v>
      </c>
    </row>
    <row r="150" spans="1:9" ht="16" x14ac:dyDescent="0.25">
      <c r="A150" s="70" t="str">
        <f>Listas!E145</f>
        <v>RC Cu (Cobre) | 10 - 12 µm</v>
      </c>
      <c r="B150" s="70" t="str">
        <f t="shared" si="2"/>
        <v>Otros</v>
      </c>
      <c r="C150" s="70">
        <f>IF($A150="","",IF(AND($B150&lt;&gt;"",IF($F$2="Otros",$B150="Otros",ISNUMBER(SEARCH($B150,$F$2)))),COUNT($C$2:C149)+1,""))</f>
        <v>35</v>
      </c>
      <c r="G150" s="134" t="str">
        <f>IFERROR(INDEX($A$2:$A$507,MATCH(ROWS($G$2:G150),$C$2:$C$507,0)),IF(ROWS($G$2:G150)=1,"(sin matches)",""))</f>
        <v/>
      </c>
      <c r="I150" s="70">
        <f>IF($A150="","",IF(AND($B150&lt;&gt;"",ISNUMBER(SEARCH($I$7,$B150))),COUNT($I$9:I149)+1,""))</f>
        <v>34</v>
      </c>
    </row>
    <row r="151" spans="1:9" ht="16" x14ac:dyDescent="0.25">
      <c r="A151" s="70" t="str">
        <f>Listas!E146</f>
        <v>RC Cu (Cobre) | 3 - 5 µm</v>
      </c>
      <c r="B151" s="70" t="str">
        <f t="shared" si="2"/>
        <v>Otros</v>
      </c>
      <c r="C151" s="70">
        <f>IF($A151="","",IF(AND($B151&lt;&gt;"",IF($F$2="Otros",$B151="Otros",ISNUMBER(SEARCH($B151,$F$2)))),COUNT($C$2:C150)+1,""))</f>
        <v>36</v>
      </c>
      <c r="G151" s="134" t="str">
        <f>IFERROR(INDEX($A$2:$A$507,MATCH(ROWS($G$2:G151),$C$2:$C$507,0)),IF(ROWS($G$2:G151)=1,"(sin matches)",""))</f>
        <v/>
      </c>
      <c r="I151" s="70">
        <f>IF($A151="","",IF(AND($B151&lt;&gt;"",ISNUMBER(SEARCH($I$7,$B151))),COUNT($I$9:I150)+1,""))</f>
        <v>35</v>
      </c>
    </row>
    <row r="152" spans="1:9" ht="16" x14ac:dyDescent="0.25">
      <c r="A152" s="70" t="str">
        <f>Listas!E147</f>
        <v>RC Cu (Cobre) | 5 - 10 µm</v>
      </c>
      <c r="B152" s="70" t="str">
        <f t="shared" si="2"/>
        <v>Otros</v>
      </c>
      <c r="C152" s="70">
        <f>IF($A152="","",IF(AND($B152&lt;&gt;"",IF($F$2="Otros",$B152="Otros",ISNUMBER(SEARCH($B152,$F$2)))),COUNT($C$2:C151)+1,""))</f>
        <v>37</v>
      </c>
      <c r="G152" s="134" t="str">
        <f>IFERROR(INDEX($A$2:$A$507,MATCH(ROWS($G$2:G152),$C$2:$C$507,0)),IF(ROWS($G$2:G152)=1,"(sin matches)",""))</f>
        <v/>
      </c>
      <c r="I152" s="70">
        <f>IF($A152="","",IF(AND($B152&lt;&gt;"",ISNUMBER(SEARCH($I$7,$B152))),COUNT($I$9:I151)+1,""))</f>
        <v>36</v>
      </c>
    </row>
    <row r="153" spans="1:9" ht="16" x14ac:dyDescent="0.25">
      <c r="A153" s="70" t="str">
        <f>Listas!E148</f>
        <v>RC Decapado</v>
      </c>
      <c r="B153" s="70" t="str">
        <f t="shared" si="2"/>
        <v>Otros</v>
      </c>
      <c r="C153" s="70">
        <f>IF($A153="","",IF(AND($B153&lt;&gt;"",IF($F$2="Otros",$B153="Otros",ISNUMBER(SEARCH($B153,$F$2)))),COUNT($C$2:C152)+1,""))</f>
        <v>38</v>
      </c>
      <c r="G153" s="134" t="str">
        <f>IFERROR(INDEX($A$2:$A$507,MATCH(ROWS($G$2:G153),$C$2:$C$507,0)),IF(ROWS($G$2:G153)=1,"(sin matches)",""))</f>
        <v/>
      </c>
      <c r="I153" s="70">
        <f>IF($A153="","",IF(AND($B153&lt;&gt;"",ISNUMBER(SEARCH($I$7,$B153))),COUNT($I$9:I152)+1,""))</f>
        <v>37</v>
      </c>
    </row>
    <row r="154" spans="1:9" ht="16" x14ac:dyDescent="0.25">
      <c r="A154" s="70" t="str">
        <f>Listas!E149</f>
        <v>RC Electropulido</v>
      </c>
      <c r="B154" s="70" t="str">
        <f t="shared" si="2"/>
        <v>Otros</v>
      </c>
      <c r="C154" s="70">
        <f>IF($A154="","",IF(AND($B154&lt;&gt;"",IF($F$2="Otros",$B154="Otros",ISNUMBER(SEARCH($B154,$F$2)))),COUNT($C$2:C153)+1,""))</f>
        <v>39</v>
      </c>
      <c r="G154" s="134" t="str">
        <f>IFERROR(INDEX($A$2:$A$507,MATCH(ROWS($G$2:G154),$C$2:$C$507,0)),IF(ROWS($G$2:G154)=1,"(sin matches)",""))</f>
        <v/>
      </c>
      <c r="I154" s="70">
        <f>IF($A154="","",IF(AND($B154&lt;&gt;"",ISNUMBER(SEARCH($I$7,$B154))),COUNT($I$9:I153)+1,""))</f>
        <v>38</v>
      </c>
    </row>
    <row r="155" spans="1:9" ht="16" x14ac:dyDescent="0.25">
      <c r="A155" s="70" t="str">
        <f>Listas!E150</f>
        <v>RC Empaque</v>
      </c>
      <c r="B155" s="70" t="str">
        <f t="shared" si="2"/>
        <v>Otros</v>
      </c>
      <c r="C155" s="70">
        <f>IF($A155="","",IF(AND($B155&lt;&gt;"",IF($F$2="Otros",$B155="Otros",ISNUMBER(SEARCH($B155,$F$2)))),COUNT($C$2:C154)+1,""))</f>
        <v>40</v>
      </c>
      <c r="G155" s="134" t="str">
        <f>IFERROR(INDEX($A$2:$A$507,MATCH(ROWS($G$2:G155),$C$2:$C$507,0)),IF(ROWS($G$2:G155)=1,"(sin matches)",""))</f>
        <v/>
      </c>
      <c r="I155" s="70">
        <f>IF($A155="","",IF(AND($B155&lt;&gt;"",ISNUMBER(SEARCH($I$7,$B155))),COUNT($I$9:I154)+1,""))</f>
        <v>39</v>
      </c>
    </row>
    <row r="156" spans="1:9" ht="16" x14ac:dyDescent="0.25">
      <c r="A156" s="70" t="str">
        <f>Listas!E151</f>
        <v>RC Ensamble de Kits</v>
      </c>
      <c r="B156" s="70" t="str">
        <f t="shared" si="2"/>
        <v>Otros</v>
      </c>
      <c r="C156" s="70">
        <f>IF($A156="","",IF(AND($B156&lt;&gt;"",IF($F$2="Otros",$B156="Otros",ISNUMBER(SEARCH($B156,$F$2)))),COUNT($C$2:C155)+1,""))</f>
        <v>41</v>
      </c>
      <c r="G156" s="134" t="str">
        <f>IFERROR(INDEX($A$2:$A$507,MATCH(ROWS($G$2:G156),$C$2:$C$507,0)),IF(ROWS($G$2:G156)=1,"(sin matches)",""))</f>
        <v/>
      </c>
      <c r="I156" s="70">
        <f>IF($A156="","",IF(AND($B156&lt;&gt;"",ISNUMBER(SEARCH($I$7,$B156))),COUNT($I$9:I155)+1,""))</f>
        <v>40</v>
      </c>
    </row>
    <row r="157" spans="1:9" ht="16" x14ac:dyDescent="0.25">
      <c r="A157" s="70" t="str">
        <f>Listas!E152</f>
        <v>RC EpBT (Epóxico BT) | 10 - 15 mils</v>
      </c>
      <c r="B157" s="70" t="str">
        <f t="shared" si="2"/>
        <v>Epóxico</v>
      </c>
      <c r="C157" s="70" t="str">
        <f>IF($A157="","",IF(AND($B157&lt;&gt;"",IF($F$2="Otros",$B157="Otros",ISNUMBER(SEARCH($B157,$F$2)))),COUNT($C$2:C156)+1,""))</f>
        <v/>
      </c>
      <c r="G157" s="134" t="str">
        <f>IFERROR(INDEX($A$2:$A$507,MATCH(ROWS($G$2:G157),$C$2:$C$507,0)),IF(ROWS($G$2:G157)=1,"(sin matches)",""))</f>
        <v/>
      </c>
      <c r="I157" s="70" t="str">
        <f>IF($A157="","",IF(AND($B157&lt;&gt;"",ISNUMBER(SEARCH($I$7,$B157))),COUNT($I$9:I156)+1,""))</f>
        <v/>
      </c>
    </row>
    <row r="158" spans="1:9" ht="16" x14ac:dyDescent="0.25">
      <c r="A158" s="70" t="str">
        <f>Listas!E153</f>
        <v>RC EpBT (Epóxico BT) | 4 - 11 mils</v>
      </c>
      <c r="B158" s="70" t="str">
        <f t="shared" si="2"/>
        <v>Epóxico</v>
      </c>
      <c r="C158" s="70" t="str">
        <f>IF($A158="","",IF(AND($B158&lt;&gt;"",IF($F$2="Otros",$B158="Otros",ISNUMBER(SEARCH($B158,$F$2)))),COUNT($C$2:C157)+1,""))</f>
        <v/>
      </c>
      <c r="G158" s="134" t="str">
        <f>IFERROR(INDEX($A$2:$A$507,MATCH(ROWS($G$2:G158),$C$2:$C$507,0)),IF(ROWS($G$2:G158)=1,"(sin matches)",""))</f>
        <v/>
      </c>
      <c r="I158" s="70" t="str">
        <f>IF($A158="","",IF(AND($B158&lt;&gt;"",ISNUMBER(SEARCH($I$7,$B158))),COUNT($I$9:I157)+1,""))</f>
        <v/>
      </c>
    </row>
    <row r="159" spans="1:9" ht="16" x14ac:dyDescent="0.25">
      <c r="A159" s="70" t="str">
        <f>Listas!E154</f>
        <v>RC EpMT (Epóxico MT) | 94 - 140 mils</v>
      </c>
      <c r="B159" s="70" t="str">
        <f t="shared" si="2"/>
        <v>Epóxico</v>
      </c>
      <c r="C159" s="70" t="str">
        <f>IF($A159="","",IF(AND($B159&lt;&gt;"",IF($F$2="Otros",$B159="Otros",ISNUMBER(SEARCH($B159,$F$2)))),COUNT($C$2:C158)+1,""))</f>
        <v/>
      </c>
      <c r="G159" s="134" t="str">
        <f>IFERROR(INDEX($A$2:$A$507,MATCH(ROWS($G$2:G159),$C$2:$C$507,0)),IF(ROWS($G$2:G159)=1,"(sin matches)",""))</f>
        <v/>
      </c>
      <c r="I159" s="70" t="str">
        <f>IF($A159="","",IF(AND($B159&lt;&gt;"",ISNUMBER(SEARCH($I$7,$B159))),COUNT($I$9:I158)+1,""))</f>
        <v/>
      </c>
    </row>
    <row r="160" spans="1:9" ht="16" x14ac:dyDescent="0.25">
      <c r="A160" s="70" t="str">
        <f>Listas!E155</f>
        <v>RC Lavado</v>
      </c>
      <c r="B160" s="70" t="str">
        <f t="shared" si="2"/>
        <v>Otros</v>
      </c>
      <c r="C160" s="70">
        <f>IF($A160="","",IF(AND($B160&lt;&gt;"",IF($F$2="Otros",$B160="Otros",ISNUMBER(SEARCH($B160,$F$2)))),COUNT($C$2:C159)+1,""))</f>
        <v>42</v>
      </c>
      <c r="G160" s="134" t="str">
        <f>IFERROR(INDEX($A$2:$A$507,MATCH(ROWS($G$2:G160),$C$2:$C$507,0)),IF(ROWS($G$2:G160)=1,"(sin matches)",""))</f>
        <v/>
      </c>
      <c r="I160" s="70">
        <f>IF($A160="","",IF(AND($B160&lt;&gt;"",ISNUMBER(SEARCH($I$7,$B160))),COUNT($I$9:I159)+1,""))</f>
        <v>41</v>
      </c>
    </row>
    <row r="161" spans="1:9" ht="16" x14ac:dyDescent="0.25">
      <c r="A161" s="70" t="str">
        <f>Listas!E156</f>
        <v>RC Limpieza Mecánica</v>
      </c>
      <c r="B161" s="70" t="str">
        <f t="shared" si="2"/>
        <v>Otros</v>
      </c>
      <c r="C161" s="70">
        <f>IF($A161="","",IF(AND($B161&lt;&gt;"",IF($F$2="Otros",$B161="Otros",ISNUMBER(SEARCH($B161,$F$2)))),COUNT($C$2:C160)+1,""))</f>
        <v>43</v>
      </c>
      <c r="G161" s="134" t="str">
        <f>IFERROR(INDEX($A$2:$A$507,MATCH(ROWS($G$2:G161),$C$2:$C$507,0)),IF(ROWS($G$2:G161)=1,"(sin matches)",""))</f>
        <v/>
      </c>
      <c r="I161" s="70">
        <f>IF($A161="","",IF(AND($B161&lt;&gt;"",ISNUMBER(SEARCH($I$7,$B161))),COUNT($I$9:I160)+1,""))</f>
        <v>42</v>
      </c>
    </row>
    <row r="162" spans="1:9" ht="16" x14ac:dyDescent="0.25">
      <c r="A162" s="70" t="str">
        <f>Listas!E157</f>
        <v>RC Ni (Níquel) | 1.0 - 3.0 µm</v>
      </c>
      <c r="B162" s="70" t="str">
        <f t="shared" si="2"/>
        <v>Níquel</v>
      </c>
      <c r="C162" s="70" t="str">
        <f>IF($A162="","",IF(AND($B162&lt;&gt;"",IF($F$2="Otros",$B162="Otros",ISNUMBER(SEARCH($B162,$F$2)))),COUNT($C$2:C161)+1,""))</f>
        <v/>
      </c>
      <c r="G162" s="134" t="str">
        <f>IFERROR(INDEX($A$2:$A$507,MATCH(ROWS($G$2:G162),$C$2:$C$507,0)),IF(ROWS($G$2:G162)=1,"(sin matches)",""))</f>
        <v/>
      </c>
      <c r="I162" s="70" t="str">
        <f>IF($A162="","",IF(AND($B162&lt;&gt;"",ISNUMBER(SEARCH($I$7,$B162))),COUNT($I$9:I161)+1,""))</f>
        <v/>
      </c>
    </row>
    <row r="163" spans="1:9" ht="16" x14ac:dyDescent="0.25">
      <c r="A163" s="70" t="str">
        <f>Listas!E158</f>
        <v>RC Ni (Níquel) | 10 - 13 µm</v>
      </c>
      <c r="B163" s="70" t="str">
        <f t="shared" si="2"/>
        <v>Níquel</v>
      </c>
      <c r="C163" s="70" t="str">
        <f>IF($A163="","",IF(AND($B163&lt;&gt;"",IF($F$2="Otros",$B163="Otros",ISNUMBER(SEARCH($B163,$F$2)))),COUNT($C$2:C162)+1,""))</f>
        <v/>
      </c>
      <c r="G163" s="134" t="str">
        <f>IFERROR(INDEX($A$2:$A$507,MATCH(ROWS($G$2:G163),$C$2:$C$507,0)),IF(ROWS($G$2:G163)=1,"(sin matches)",""))</f>
        <v/>
      </c>
      <c r="I163" s="70" t="str">
        <f>IF($A163="","",IF(AND($B163&lt;&gt;"",ISNUMBER(SEARCH($I$7,$B163))),COUNT($I$9:I162)+1,""))</f>
        <v/>
      </c>
    </row>
    <row r="164" spans="1:9" ht="16" x14ac:dyDescent="0.25">
      <c r="A164" s="70" t="str">
        <f>Listas!E159</f>
        <v>RC Ni (Níquel) | 13 - 16 µm</v>
      </c>
      <c r="B164" s="70" t="str">
        <f t="shared" si="2"/>
        <v>Níquel</v>
      </c>
      <c r="C164" s="70" t="str">
        <f>IF($A164="","",IF(AND($B164&lt;&gt;"",IF($F$2="Otros",$B164="Otros",ISNUMBER(SEARCH($B164,$F$2)))),COUNT($C$2:C163)+1,""))</f>
        <v/>
      </c>
      <c r="G164" s="134" t="str">
        <f>IFERROR(INDEX($A$2:$A$507,MATCH(ROWS($G$2:G164),$C$2:$C$507,0)),IF(ROWS($G$2:G164)=1,"(sin matches)",""))</f>
        <v/>
      </c>
      <c r="I164" s="70" t="str">
        <f>IF($A164="","",IF(AND($B164&lt;&gt;"",ISNUMBER(SEARCH($I$7,$B164))),COUNT($I$9:I163)+1,""))</f>
        <v/>
      </c>
    </row>
    <row r="165" spans="1:9" ht="16" x14ac:dyDescent="0.25">
      <c r="A165" s="70" t="str">
        <f>Listas!E160</f>
        <v>RC Ni (Níquel) | 2.54 - 5.08 µm</v>
      </c>
      <c r="B165" s="70" t="str">
        <f t="shared" si="2"/>
        <v>Níquel</v>
      </c>
      <c r="C165" s="70" t="str">
        <f>IF($A165="","",IF(AND($B165&lt;&gt;"",IF($F$2="Otros",$B165="Otros",ISNUMBER(SEARCH($B165,$F$2)))),COUNT($C$2:C164)+1,""))</f>
        <v/>
      </c>
      <c r="G165" s="134" t="str">
        <f>IFERROR(INDEX($A$2:$A$507,MATCH(ROWS($G$2:G165),$C$2:$C$507,0)),IF(ROWS($G$2:G165)=1,"(sin matches)",""))</f>
        <v/>
      </c>
      <c r="I165" s="70" t="str">
        <f>IF($A165="","",IF(AND($B165&lt;&gt;"",ISNUMBER(SEARCH($I$7,$B165))),COUNT($I$9:I164)+1,""))</f>
        <v/>
      </c>
    </row>
    <row r="166" spans="1:9" ht="16" x14ac:dyDescent="0.25">
      <c r="A166" s="70" t="str">
        <f>Listas!E161</f>
        <v>RC Ni (Níquel) | 5 - 9 µm</v>
      </c>
      <c r="B166" s="70" t="str">
        <f t="shared" si="2"/>
        <v>Níquel</v>
      </c>
      <c r="C166" s="70" t="str">
        <f>IF($A166="","",IF(AND($B166&lt;&gt;"",IF($F$2="Otros",$B166="Otros",ISNUMBER(SEARCH($B166,$F$2)))),COUNT($C$2:C165)+1,""))</f>
        <v/>
      </c>
      <c r="G166" s="134" t="str">
        <f>IFERROR(INDEX($A$2:$A$507,MATCH(ROWS($G$2:G166),$C$2:$C$507,0)),IF(ROWS($G$2:G166)=1,"(sin matches)",""))</f>
        <v/>
      </c>
      <c r="I166" s="70" t="str">
        <f>IF($A166="","",IF(AND($B166&lt;&gt;"",ISNUMBER(SEARCH($I$7,$B166))),COUNT($I$9:I165)+1,""))</f>
        <v/>
      </c>
    </row>
    <row r="167" spans="1:9" ht="16" x14ac:dyDescent="0.25">
      <c r="A167" s="70" t="str">
        <f>Listas!E162</f>
        <v>RC Ni (Níquel) | 6 - 10 µm</v>
      </c>
      <c r="B167" s="70" t="str">
        <f t="shared" si="2"/>
        <v>Níquel</v>
      </c>
      <c r="C167" s="70" t="str">
        <f>IF($A167="","",IF(AND($B167&lt;&gt;"",IF($F$2="Otros",$B167="Otros",ISNUMBER(SEARCH($B167,$F$2)))),COUNT($C$2:C166)+1,""))</f>
        <v/>
      </c>
      <c r="G167" s="134" t="str">
        <f>IFERROR(INDEX($A$2:$A$507,MATCH(ROWS($G$2:G167),$C$2:$C$507,0)),IF(ROWS($G$2:G167)=1,"(sin matches)",""))</f>
        <v/>
      </c>
      <c r="I167" s="70" t="str">
        <f>IF($A167="","",IF(AND($B167&lt;&gt;"",ISNUMBER(SEARCH($I$7,$B167))),COUNT($I$9:I166)+1,""))</f>
        <v/>
      </c>
    </row>
    <row r="168" spans="1:9" ht="16" x14ac:dyDescent="0.25">
      <c r="A168" s="70" t="str">
        <f>Listas!E163</f>
        <v>RC Ni (Níquel) | 7.6 - 12.7 µm</v>
      </c>
      <c r="B168" s="70" t="str">
        <f t="shared" si="2"/>
        <v>Níquel</v>
      </c>
      <c r="C168" s="70" t="str">
        <f>IF($A168="","",IF(AND($B168&lt;&gt;"",IF($F$2="Otros",$B168="Otros",ISNUMBER(SEARCH($B168,$F$2)))),COUNT($C$2:C167)+1,""))</f>
        <v/>
      </c>
      <c r="G168" s="134" t="str">
        <f>IFERROR(INDEX($A$2:$A$507,MATCH(ROWS($G$2:G168),$C$2:$C$507,0)),IF(ROWS($G$2:G168)=1,"(sin matches)",""))</f>
        <v/>
      </c>
      <c r="I168" s="70" t="str">
        <f>IF($A168="","",IF(AND($B168&lt;&gt;"",ISNUMBER(SEARCH($I$7,$B168))),COUNT($I$9:I167)+1,""))</f>
        <v/>
      </c>
    </row>
    <row r="169" spans="1:9" ht="16" x14ac:dyDescent="0.25">
      <c r="A169" s="70" t="str">
        <f>Listas!E164</f>
        <v>RC NiCrv (Níquel Cromvet) | 0.5 - 1 µm</v>
      </c>
      <c r="B169" s="70" t="str">
        <f t="shared" si="2"/>
        <v>Níquel</v>
      </c>
      <c r="C169" s="70" t="str">
        <f>IF($A169="","",IF(AND($B169&lt;&gt;"",IF($F$2="Otros",$B169="Otros",ISNUMBER(SEARCH($B169,$F$2)))),COUNT($C$2:C168)+1,""))</f>
        <v/>
      </c>
      <c r="G169" s="134" t="str">
        <f>IFERROR(INDEX($A$2:$A$507,MATCH(ROWS($G$2:G169),$C$2:$C$507,0)),IF(ROWS($G$2:G169)=1,"(sin matches)",""))</f>
        <v/>
      </c>
      <c r="I169" s="70" t="str">
        <f>IF($A169="","",IF(AND($B169&lt;&gt;"",ISNUMBER(SEARCH($I$7,$B169))),COUNT($I$9:I168)+1,""))</f>
        <v/>
      </c>
    </row>
    <row r="170" spans="1:9" ht="16" x14ac:dyDescent="0.25">
      <c r="A170" s="70" t="str">
        <f>Listas!E165</f>
        <v>RC NiEl (Níquel Electroless) | 12.7 - 17.78 µm</v>
      </c>
      <c r="B170" s="70" t="str">
        <f t="shared" si="2"/>
        <v>Níquel</v>
      </c>
      <c r="C170" s="70" t="str">
        <f>IF($A170="","",IF(AND($B170&lt;&gt;"",IF($F$2="Otros",$B170="Otros",ISNUMBER(SEARCH($B170,$F$2)))),COUNT($C$2:C169)+1,""))</f>
        <v/>
      </c>
      <c r="G170" s="134" t="str">
        <f>IFERROR(INDEX($A$2:$A$507,MATCH(ROWS($G$2:G170),$C$2:$C$507,0)),IF(ROWS($G$2:G170)=1,"(sin matches)",""))</f>
        <v/>
      </c>
      <c r="I170" s="70" t="str">
        <f>IF($A170="","",IF(AND($B170&lt;&gt;"",ISNUMBER(SEARCH($I$7,$B170))),COUNT($I$9:I169)+1,""))</f>
        <v/>
      </c>
    </row>
    <row r="171" spans="1:9" ht="16" x14ac:dyDescent="0.25">
      <c r="A171" s="70" t="str">
        <f>Listas!E166</f>
        <v>RC NiEl (Níquel Electroless) | 2.5 - 7.5 µm</v>
      </c>
      <c r="B171" s="70" t="str">
        <f t="shared" si="2"/>
        <v>Níquel</v>
      </c>
      <c r="C171" s="70" t="str">
        <f>IF($A171="","",IF(AND($B171&lt;&gt;"",IF($F$2="Otros",$B171="Otros",ISNUMBER(SEARCH($B171,$F$2)))),COUNT($C$2:C170)+1,""))</f>
        <v/>
      </c>
      <c r="G171" s="134" t="str">
        <f>IFERROR(INDEX($A$2:$A$507,MATCH(ROWS($G$2:G171),$C$2:$C$507,0)),IF(ROWS($G$2:G171)=1,"(sin matches)",""))</f>
        <v/>
      </c>
      <c r="I171" s="70" t="str">
        <f>IF($A171="","",IF(AND($B171&lt;&gt;"",ISNUMBER(SEARCH($I$7,$B171))),COUNT($I$9:I170)+1,""))</f>
        <v/>
      </c>
    </row>
    <row r="172" spans="1:9" ht="16" x14ac:dyDescent="0.25">
      <c r="A172" s="70" t="str">
        <f>Listas!E167</f>
        <v>RC NiEl (Níquel Electroless) | 25 - 38 µm</v>
      </c>
      <c r="B172" s="70" t="str">
        <f t="shared" si="2"/>
        <v>Níquel</v>
      </c>
      <c r="C172" s="70" t="str">
        <f>IF($A172="","",IF(AND($B172&lt;&gt;"",IF($F$2="Otros",$B172="Otros",ISNUMBER(SEARCH($B172,$F$2)))),COUNT($C$2:C171)+1,""))</f>
        <v/>
      </c>
      <c r="G172" s="134" t="str">
        <f>IFERROR(INDEX($A$2:$A$507,MATCH(ROWS($G$2:G172),$C$2:$C$507,0)),IF(ROWS($G$2:G172)=1,"(sin matches)",""))</f>
        <v/>
      </c>
      <c r="I172" s="70" t="str">
        <f>IF($A172="","",IF(AND($B172&lt;&gt;"",ISNUMBER(SEARCH($I$7,$B172))),COUNT($I$9:I171)+1,""))</f>
        <v/>
      </c>
    </row>
    <row r="173" spans="1:9" ht="16" x14ac:dyDescent="0.25">
      <c r="A173" s="70" t="str">
        <f>Listas!E168</f>
        <v>RC NiEl (Níquel Electroless) | 30 - 35 µm</v>
      </c>
      <c r="B173" s="70" t="str">
        <f t="shared" si="2"/>
        <v>Níquel</v>
      </c>
      <c r="C173" s="70" t="str">
        <f>IF($A173="","",IF(AND($B173&lt;&gt;"",IF($F$2="Otros",$B173="Otros",ISNUMBER(SEARCH($B173,$F$2)))),COUNT($C$2:C172)+1,""))</f>
        <v/>
      </c>
      <c r="G173" s="134" t="str">
        <f>IFERROR(INDEX($A$2:$A$507,MATCH(ROWS($G$2:G173),$C$2:$C$507,0)),IF(ROWS($G$2:G173)=1,"(sin matches)",""))</f>
        <v/>
      </c>
      <c r="I173" s="70" t="str">
        <f>IF($A173="","",IF(AND($B173&lt;&gt;"",ISNUMBER(SEARCH($I$7,$B173))),COUNT($I$9:I172)+1,""))</f>
        <v/>
      </c>
    </row>
    <row r="174" spans="1:9" ht="16" x14ac:dyDescent="0.25">
      <c r="A174" s="70" t="str">
        <f>Listas!E169</f>
        <v>RC NiEl (Níquel Electroless) | 5 - 9 µm</v>
      </c>
      <c r="B174" s="70" t="str">
        <f t="shared" si="2"/>
        <v>Níquel</v>
      </c>
      <c r="C174" s="70" t="str">
        <f>IF($A174="","",IF(AND($B174&lt;&gt;"",IF($F$2="Otros",$B174="Otros",ISNUMBER(SEARCH($B174,$F$2)))),COUNT($C$2:C173)+1,""))</f>
        <v/>
      </c>
      <c r="G174" s="134" t="str">
        <f>IFERROR(INDEX($A$2:$A$507,MATCH(ROWS($G$2:G174),$C$2:$C$507,0)),IF(ROWS($G$2:G174)=1,"(sin matches)",""))</f>
        <v/>
      </c>
      <c r="I174" s="70" t="str">
        <f>IF($A174="","",IF(AND($B174&lt;&gt;"",ISNUMBER(SEARCH($I$7,$B174))),COUNT($I$9:I173)+1,""))</f>
        <v/>
      </c>
    </row>
    <row r="175" spans="1:9" ht="16" x14ac:dyDescent="0.25">
      <c r="A175" s="70" t="str">
        <f>Listas!E170</f>
        <v>RC NiEl (Níquel Electroless) | 50 - 63 µm</v>
      </c>
      <c r="B175" s="70" t="str">
        <f t="shared" si="2"/>
        <v>Níquel</v>
      </c>
      <c r="C175" s="70" t="str">
        <f>IF($A175="","",IF(AND($B175&lt;&gt;"",IF($F$2="Otros",$B175="Otros",ISNUMBER(SEARCH($B175,$F$2)))),COUNT($C$2:C174)+1,""))</f>
        <v/>
      </c>
      <c r="G175" s="134" t="str">
        <f>IFERROR(INDEX($A$2:$A$507,MATCH(ROWS($G$2:G175),$C$2:$C$507,0)),IF(ROWS($G$2:G175)=1,"(sin matches)",""))</f>
        <v/>
      </c>
      <c r="I175" s="70" t="str">
        <f>IF($A175="","",IF(AND($B175&lt;&gt;"",ISNUMBER(SEARCH($I$7,$B175))),COUNT($I$9:I174)+1,""))</f>
        <v/>
      </c>
    </row>
    <row r="176" spans="1:9" ht="16" x14ac:dyDescent="0.25">
      <c r="A176" s="70" t="str">
        <f>Listas!E171</f>
        <v>RC NiEl (Níquel Electroless) | 6 - 10 µm</v>
      </c>
      <c r="B176" s="70" t="str">
        <f t="shared" si="2"/>
        <v>Níquel</v>
      </c>
      <c r="C176" s="70" t="str">
        <f>IF($A176="","",IF(AND($B176&lt;&gt;"",IF($F$2="Otros",$B176="Otros",ISNUMBER(SEARCH($B176,$F$2)))),COUNT($C$2:C175)+1,""))</f>
        <v/>
      </c>
      <c r="G176" s="134" t="str">
        <f>IFERROR(INDEX($A$2:$A$507,MATCH(ROWS($G$2:G176),$C$2:$C$507,0)),IF(ROWS($G$2:G176)=1,"(sin matches)",""))</f>
        <v/>
      </c>
      <c r="I176" s="70" t="str">
        <f>IF($A176="","",IF(AND($B176&lt;&gt;"",ISNUMBER(SEARCH($I$7,$B176))),COUNT($I$9:I175)+1,""))</f>
        <v/>
      </c>
    </row>
    <row r="177" spans="1:9" ht="16" x14ac:dyDescent="0.25">
      <c r="A177" s="70" t="str">
        <f>Listas!E172</f>
        <v>RC NiEl (Níquel Electroless) | 7.6 - 12.7 µm</v>
      </c>
      <c r="B177" s="70" t="str">
        <f t="shared" si="2"/>
        <v>Níquel</v>
      </c>
      <c r="C177" s="70" t="str">
        <f>IF($A177="","",IF(AND($B177&lt;&gt;"",IF($F$2="Otros",$B177="Otros",ISNUMBER(SEARCH($B177,$F$2)))),COUNT($C$2:C176)+1,""))</f>
        <v/>
      </c>
      <c r="G177" s="134" t="str">
        <f>IFERROR(INDEX($A$2:$A$507,MATCH(ROWS($G$2:G177),$C$2:$C$507,0)),IF(ROWS($G$2:G177)=1,"(sin matches)",""))</f>
        <v/>
      </c>
      <c r="I177" s="70" t="str">
        <f>IF($A177="","",IF(AND($B177&lt;&gt;"",ISNUMBER(SEARCH($I$7,$B177))),COUNT($I$9:I176)+1,""))</f>
        <v/>
      </c>
    </row>
    <row r="178" spans="1:9" ht="16" x14ac:dyDescent="0.25">
      <c r="A178" s="70" t="str">
        <f>Listas!E173</f>
        <v>RC No Oxide</v>
      </c>
      <c r="B178" s="70" t="str">
        <f t="shared" si="2"/>
        <v>Otros</v>
      </c>
      <c r="C178" s="70">
        <f>IF($A178="","",IF(AND($B178&lt;&gt;"",IF($F$2="Otros",$B178="Otros",ISNUMBER(SEARCH($B178,$F$2)))),COUNT($C$2:C177)+1,""))</f>
        <v>44</v>
      </c>
      <c r="G178" s="134" t="str">
        <f>IFERROR(INDEX($A$2:$A$507,MATCH(ROWS($G$2:G178),$C$2:$C$507,0)),IF(ROWS($G$2:G178)=1,"(sin matches)",""))</f>
        <v/>
      </c>
      <c r="I178" s="70">
        <f>IF($A178="","",IF(AND($B178&lt;&gt;"",ISNUMBER(SEARCH($I$7,$B178))),COUNT($I$9:I177)+1,""))</f>
        <v>43</v>
      </c>
    </row>
    <row r="179" spans="1:9" ht="16" x14ac:dyDescent="0.25">
      <c r="A179" s="70" t="str">
        <f>Listas!E174</f>
        <v>RC Pasivado</v>
      </c>
      <c r="B179" s="70" t="str">
        <f t="shared" si="2"/>
        <v>Otros</v>
      </c>
      <c r="C179" s="70">
        <f>IF($A179="","",IF(AND($B179&lt;&gt;"",IF($F$2="Otros",$B179="Otros",ISNUMBER(SEARCH($B179,$F$2)))),COUNT($C$2:C178)+1,""))</f>
        <v>45</v>
      </c>
      <c r="G179" s="134" t="str">
        <f>IFERROR(INDEX($A$2:$A$507,MATCH(ROWS($G$2:G179),$C$2:$C$507,0)),IF(ROWS($G$2:G179)=1,"(sin matches)",""))</f>
        <v/>
      </c>
      <c r="I179" s="70">
        <f>IF($A179="","",IF(AND($B179&lt;&gt;"",ISNUMBER(SEARCH($I$7,$B179))),COUNT($I$9:I178)+1,""))</f>
        <v>44</v>
      </c>
    </row>
    <row r="180" spans="1:9" ht="16" x14ac:dyDescent="0.25">
      <c r="A180" s="70" t="str">
        <f>Listas!E175</f>
        <v>RC Rebabeo</v>
      </c>
      <c r="B180" s="70" t="str">
        <f t="shared" si="2"/>
        <v>Otros</v>
      </c>
      <c r="C180" s="70">
        <f>IF($A180="","",IF(AND($B180&lt;&gt;"",IF($F$2="Otros",$B180="Otros",ISNUMBER(SEARCH($B180,$F$2)))),COUNT($C$2:C179)+1,""))</f>
        <v>46</v>
      </c>
      <c r="G180" s="134" t="str">
        <f>IFERROR(INDEX($A$2:$A$507,MATCH(ROWS($G$2:G180),$C$2:$C$507,0)),IF(ROWS($G$2:G180)=1,"(sin matches)",""))</f>
        <v/>
      </c>
      <c r="I180" s="70">
        <f>IF($A180="","",IF(AND($B180&lt;&gt;"",ISNUMBER(SEARCH($I$7,$B180))),COUNT($I$9:I179)+1,""))</f>
        <v>45</v>
      </c>
    </row>
    <row r="181" spans="1:9" ht="16" x14ac:dyDescent="0.25">
      <c r="A181" s="70" t="str">
        <f>Listas!E176</f>
        <v>RC Sn (Estaño) | 0.076 - 0.2 µm</v>
      </c>
      <c r="B181" s="70" t="str">
        <f t="shared" si="2"/>
        <v>Estaño</v>
      </c>
      <c r="C181" s="70" t="str">
        <f>IF($A181="","",IF(AND($B181&lt;&gt;"",IF($F$2="Otros",$B181="Otros",ISNUMBER(SEARCH($B181,$F$2)))),COUNT($C$2:C180)+1,""))</f>
        <v/>
      </c>
      <c r="G181" s="134" t="str">
        <f>IFERROR(INDEX($A$2:$A$507,MATCH(ROWS($G$2:G181),$C$2:$C$507,0)),IF(ROWS($G$2:G181)=1,"(sin matches)",""))</f>
        <v/>
      </c>
      <c r="I181" s="70" t="str">
        <f>IF($A181="","",IF(AND($B181&lt;&gt;"",ISNUMBER(SEARCH($I$7,$B181))),COUNT($I$9:I180)+1,""))</f>
        <v/>
      </c>
    </row>
    <row r="182" spans="1:9" ht="16" x14ac:dyDescent="0.25">
      <c r="A182" s="70" t="str">
        <f>Listas!E177</f>
        <v>RC Sn (Estaño) | 0.254 - 1.5 µm</v>
      </c>
      <c r="B182" s="70" t="str">
        <f t="shared" si="2"/>
        <v>Estaño</v>
      </c>
      <c r="C182" s="70" t="str">
        <f>IF($A182="","",IF(AND($B182&lt;&gt;"",IF($F$2="Otros",$B182="Otros",ISNUMBER(SEARCH($B182,$F$2)))),COUNT($C$2:C181)+1,""))</f>
        <v/>
      </c>
      <c r="G182" s="134" t="str">
        <f>IFERROR(INDEX($A$2:$A$507,MATCH(ROWS($G$2:G182),$C$2:$C$507,0)),IF(ROWS($G$2:G182)=1,"(sin matches)",""))</f>
        <v/>
      </c>
      <c r="I182" s="70" t="str">
        <f>IF($A182="","",IF(AND($B182&lt;&gt;"",ISNUMBER(SEARCH($I$7,$B182))),COUNT($I$9:I181)+1,""))</f>
        <v/>
      </c>
    </row>
    <row r="183" spans="1:9" ht="16" x14ac:dyDescent="0.25">
      <c r="A183" s="70" t="str">
        <f>Listas!E178</f>
        <v>RC Sn (Estaño) | 0.3 - 0.8 µm</v>
      </c>
      <c r="B183" s="70" t="str">
        <f t="shared" si="2"/>
        <v>Estaño</v>
      </c>
      <c r="C183" s="70" t="str">
        <f>IF($A183="","",IF(AND($B183&lt;&gt;"",IF($F$2="Otros",$B183="Otros",ISNUMBER(SEARCH($B183,$F$2)))),COUNT($C$2:C182)+1,""))</f>
        <v/>
      </c>
      <c r="G183" s="134" t="str">
        <f>IFERROR(INDEX($A$2:$A$507,MATCH(ROWS($G$2:G183),$C$2:$C$507,0)),IF(ROWS($G$2:G183)=1,"(sin matches)",""))</f>
        <v/>
      </c>
      <c r="I183" s="70" t="str">
        <f>IF($A183="","",IF(AND($B183&lt;&gt;"",ISNUMBER(SEARCH($I$7,$B183))),COUNT($I$9:I182)+1,""))</f>
        <v/>
      </c>
    </row>
    <row r="184" spans="1:9" ht="16" x14ac:dyDescent="0.25">
      <c r="A184" s="70" t="str">
        <f>Listas!E179</f>
        <v>RC Sn (Estaño) | 0.508 - 1.016 µm</v>
      </c>
      <c r="B184" s="70" t="str">
        <f t="shared" si="2"/>
        <v>Estaño</v>
      </c>
      <c r="C184" s="70" t="str">
        <f>IF($A184="","",IF(AND($B184&lt;&gt;"",IF($F$2="Otros",$B184="Otros",ISNUMBER(SEARCH($B184,$F$2)))),COUNT($C$2:C183)+1,""))</f>
        <v/>
      </c>
      <c r="G184" s="134" t="str">
        <f>IFERROR(INDEX($A$2:$A$507,MATCH(ROWS($G$2:G184),$C$2:$C$507,0)),IF(ROWS($G$2:G184)=1,"(sin matches)",""))</f>
        <v/>
      </c>
      <c r="I184" s="70" t="str">
        <f>IF($A184="","",IF(AND($B184&lt;&gt;"",ISNUMBER(SEARCH($I$7,$B184))),COUNT($I$9:I183)+1,""))</f>
        <v/>
      </c>
    </row>
    <row r="185" spans="1:9" ht="16" x14ac:dyDescent="0.25">
      <c r="A185" s="70" t="str">
        <f>Listas!E180</f>
        <v>RC Sn (Estaño) | 0.6 - 2 µm</v>
      </c>
      <c r="B185" s="70" t="str">
        <f t="shared" si="2"/>
        <v>Estaño</v>
      </c>
      <c r="C185" s="70" t="str">
        <f>IF($A185="","",IF(AND($B185&lt;&gt;"",IF($F$2="Otros",$B185="Otros",ISNUMBER(SEARCH($B185,$F$2)))),COUNT($C$2:C184)+1,""))</f>
        <v/>
      </c>
      <c r="G185" s="134" t="str">
        <f>IFERROR(INDEX($A$2:$A$507,MATCH(ROWS($G$2:G185),$C$2:$C$507,0)),IF(ROWS($G$2:G185)=1,"(sin matches)",""))</f>
        <v/>
      </c>
      <c r="I185" s="70" t="str">
        <f>IF($A185="","",IF(AND($B185&lt;&gt;"",ISNUMBER(SEARCH($I$7,$B185))),COUNT($I$9:I184)+1,""))</f>
        <v/>
      </c>
    </row>
    <row r="186" spans="1:9" ht="16" x14ac:dyDescent="0.25">
      <c r="A186" s="70" t="str">
        <f>Listas!E181</f>
        <v>RC Sn (Estaño) | 1 - 7.3 µm</v>
      </c>
      <c r="B186" s="70" t="str">
        <f t="shared" si="2"/>
        <v>Estaño</v>
      </c>
      <c r="C186" s="70" t="str">
        <f>IF($A186="","",IF(AND($B186&lt;&gt;"",IF($F$2="Otros",$B186="Otros",ISNUMBER(SEARCH($B186,$F$2)))),COUNT($C$2:C185)+1,""))</f>
        <v/>
      </c>
      <c r="G186" s="134" t="str">
        <f>IFERROR(INDEX($A$2:$A$507,MATCH(ROWS($G$2:G186),$C$2:$C$507,0)),IF(ROWS($G$2:G186)=1,"(sin matches)",""))</f>
        <v/>
      </c>
      <c r="I186" s="70" t="str">
        <f>IF($A186="","",IF(AND($B186&lt;&gt;"",ISNUMBER(SEARCH($I$7,$B186))),COUNT($I$9:I185)+1,""))</f>
        <v/>
      </c>
    </row>
    <row r="187" spans="1:9" ht="16" x14ac:dyDescent="0.25">
      <c r="A187" s="70" t="str">
        <f>Listas!E182</f>
        <v>RC Sn (Estaño) | 1.0 - 5.0 µm</v>
      </c>
      <c r="B187" s="70" t="str">
        <f t="shared" si="2"/>
        <v>Estaño</v>
      </c>
      <c r="C187" s="70" t="str">
        <f>IF($A187="","",IF(AND($B187&lt;&gt;"",IF($F$2="Otros",$B187="Otros",ISNUMBER(SEARCH($B187,$F$2)))),COUNT($C$2:C186)+1,""))</f>
        <v/>
      </c>
      <c r="G187" s="134" t="str">
        <f>IFERROR(INDEX($A$2:$A$507,MATCH(ROWS($G$2:G187),$C$2:$C$507,0)),IF(ROWS($G$2:G187)=1,"(sin matches)",""))</f>
        <v/>
      </c>
      <c r="I187" s="70" t="str">
        <f>IF($A187="","",IF(AND($B187&lt;&gt;"",ISNUMBER(SEARCH($I$7,$B187))),COUNT($I$9:I186)+1,""))</f>
        <v/>
      </c>
    </row>
    <row r="188" spans="1:9" ht="16" x14ac:dyDescent="0.25">
      <c r="A188" s="70" t="str">
        <f>Listas!E183</f>
        <v>RC Sn (Estaño) | 1.27 - 10.16 µm</v>
      </c>
      <c r="B188" s="70" t="str">
        <f t="shared" si="2"/>
        <v>Estaño</v>
      </c>
      <c r="C188" s="70" t="str">
        <f>IF($A188="","",IF(AND($B188&lt;&gt;"",IF($F$2="Otros",$B188="Otros",ISNUMBER(SEARCH($B188,$F$2)))),COUNT($C$2:C187)+1,""))</f>
        <v/>
      </c>
      <c r="G188" s="134" t="str">
        <f>IFERROR(INDEX($A$2:$A$507,MATCH(ROWS($G$2:G188),$C$2:$C$507,0)),IF(ROWS($G$2:G188)=1,"(sin matches)",""))</f>
        <v/>
      </c>
      <c r="I188" s="70" t="str">
        <f>IF($A188="","",IF(AND($B188&lt;&gt;"",ISNUMBER(SEARCH($I$7,$B188))),COUNT($I$9:I187)+1,""))</f>
        <v/>
      </c>
    </row>
    <row r="189" spans="1:9" ht="16" x14ac:dyDescent="0.25">
      <c r="A189" s="70" t="str">
        <f>Listas!E184</f>
        <v>RC Sn (Estaño) | 1.27 - 2.54 µm</v>
      </c>
      <c r="B189" s="70" t="str">
        <f t="shared" si="2"/>
        <v>Estaño</v>
      </c>
      <c r="C189" s="70" t="str">
        <f>IF($A189="","",IF(AND($B189&lt;&gt;"",IF($F$2="Otros",$B189="Otros",ISNUMBER(SEARCH($B189,$F$2)))),COUNT($C$2:C188)+1,""))</f>
        <v/>
      </c>
      <c r="G189" s="134" t="str">
        <f>IFERROR(INDEX($A$2:$A$507,MATCH(ROWS($G$2:G189),$C$2:$C$507,0)),IF(ROWS($G$2:G189)=1,"(sin matches)",""))</f>
        <v/>
      </c>
      <c r="I189" s="70" t="str">
        <f>IF($A189="","",IF(AND($B189&lt;&gt;"",ISNUMBER(SEARCH($I$7,$B189))),COUNT($I$9:I188)+1,""))</f>
        <v/>
      </c>
    </row>
    <row r="190" spans="1:9" ht="16" x14ac:dyDescent="0.25">
      <c r="A190" s="70" t="str">
        <f>Listas!E185</f>
        <v>RC Sn (Estaño) | 10 - 12 µm</v>
      </c>
      <c r="B190" s="70" t="str">
        <f t="shared" si="2"/>
        <v>Estaño</v>
      </c>
      <c r="C190" s="70" t="str">
        <f>IF($A190="","",IF(AND($B190&lt;&gt;"",IF($F$2="Otros",$B190="Otros",ISNUMBER(SEARCH($B190,$F$2)))),COUNT($C$2:C189)+1,""))</f>
        <v/>
      </c>
      <c r="G190" s="134" t="str">
        <f>IFERROR(INDEX($A$2:$A$507,MATCH(ROWS($G$2:G190),$C$2:$C$507,0)),IF(ROWS($G$2:G190)=1,"(sin matches)",""))</f>
        <v/>
      </c>
      <c r="I190" s="70" t="str">
        <f>IF($A190="","",IF(AND($B190&lt;&gt;"",ISNUMBER(SEARCH($I$7,$B190))),COUNT($I$9:I189)+1,""))</f>
        <v/>
      </c>
    </row>
    <row r="191" spans="1:9" ht="16" x14ac:dyDescent="0.25">
      <c r="A191" s="70" t="str">
        <f>Listas!E186</f>
        <v>RC Sn (Estaño) | 12.7 -18.0 µm</v>
      </c>
      <c r="B191" s="70" t="str">
        <f t="shared" si="2"/>
        <v>Estaño</v>
      </c>
      <c r="C191" s="70" t="str">
        <f>IF($A191="","",IF(AND($B191&lt;&gt;"",IF($F$2="Otros",$B191="Otros",ISNUMBER(SEARCH($B191,$F$2)))),COUNT($C$2:C190)+1,""))</f>
        <v/>
      </c>
      <c r="G191" s="134" t="str">
        <f>IFERROR(INDEX($A$2:$A$507,MATCH(ROWS($G$2:G191),$C$2:$C$507,0)),IF(ROWS($G$2:G191)=1,"(sin matches)",""))</f>
        <v/>
      </c>
      <c r="I191" s="70" t="str">
        <f>IF($A191="","",IF(AND($B191&lt;&gt;"",ISNUMBER(SEARCH($I$7,$B191))),COUNT($I$9:I190)+1,""))</f>
        <v/>
      </c>
    </row>
    <row r="192" spans="1:9" ht="16" x14ac:dyDescent="0.25">
      <c r="A192" s="70" t="str">
        <f>Listas!E187</f>
        <v>RC Sn (Estaño) | 2.5 - 7.6 µm</v>
      </c>
      <c r="B192" s="70" t="str">
        <f t="shared" si="2"/>
        <v>Estaño</v>
      </c>
      <c r="C192" s="70" t="str">
        <f>IF($A192="","",IF(AND($B192&lt;&gt;"",IF($F$2="Otros",$B192="Otros",ISNUMBER(SEARCH($B192,$F$2)))),COUNT($C$2:C191)+1,""))</f>
        <v/>
      </c>
      <c r="G192" s="134" t="str">
        <f>IFERROR(INDEX($A$2:$A$507,MATCH(ROWS($G$2:G192),$C$2:$C$507,0)),IF(ROWS($G$2:G192)=1,"(sin matches)",""))</f>
        <v/>
      </c>
      <c r="I192" s="70" t="str">
        <f>IF($A192="","",IF(AND($B192&lt;&gt;"",ISNUMBER(SEARCH($I$7,$B192))),COUNT($I$9:I191)+1,""))</f>
        <v/>
      </c>
    </row>
    <row r="193" spans="1:9" ht="16" x14ac:dyDescent="0.25">
      <c r="A193" s="70" t="str">
        <f>Listas!E188</f>
        <v>RC Sn (Estaño) | 250 - 255 µm</v>
      </c>
      <c r="B193" s="70" t="str">
        <f t="shared" si="2"/>
        <v>Estaño</v>
      </c>
      <c r="C193" s="70" t="str">
        <f>IF($A193="","",IF(AND($B193&lt;&gt;"",IF($F$2="Otros",$B193="Otros",ISNUMBER(SEARCH($B193,$F$2)))),COUNT($C$2:C192)+1,""))</f>
        <v/>
      </c>
      <c r="G193" s="134" t="str">
        <f>IFERROR(INDEX($A$2:$A$507,MATCH(ROWS($G$2:G193),$C$2:$C$507,0)),IF(ROWS($G$2:G193)=1,"(sin matches)",""))</f>
        <v/>
      </c>
      <c r="I193" s="70" t="str">
        <f>IF($A193="","",IF(AND($B193&lt;&gt;"",ISNUMBER(SEARCH($I$7,$B193))),COUNT($I$9:I192)+1,""))</f>
        <v/>
      </c>
    </row>
    <row r="194" spans="1:9" ht="16" x14ac:dyDescent="0.25">
      <c r="A194" s="70" t="str">
        <f>Listas!E189</f>
        <v>RC Sn (Estaño) | 3 - 5 µm</v>
      </c>
      <c r="B194" s="70" t="str">
        <f t="shared" si="2"/>
        <v>Estaño</v>
      </c>
      <c r="C194" s="70" t="str">
        <f>IF($A194="","",IF(AND($B194&lt;&gt;"",IF($F$2="Otros",$B194="Otros",ISNUMBER(SEARCH($B194,$F$2)))),COUNT($C$2:C193)+1,""))</f>
        <v/>
      </c>
      <c r="G194" s="134" t="str">
        <f>IFERROR(INDEX($A$2:$A$507,MATCH(ROWS($G$2:G194),$C$2:$C$507,0)),IF(ROWS($G$2:G194)=1,"(sin matches)",""))</f>
        <v/>
      </c>
      <c r="I194" s="70" t="str">
        <f>IF($A194="","",IF(AND($B194&lt;&gt;"",ISNUMBER(SEARCH($I$7,$B194))),COUNT($I$9:I193)+1,""))</f>
        <v/>
      </c>
    </row>
    <row r="195" spans="1:9" ht="16" x14ac:dyDescent="0.25">
      <c r="A195" s="70" t="str">
        <f>Listas!E190</f>
        <v>RC Sn (Estaño) | 3.8 - 12.7 µm</v>
      </c>
      <c r="B195" s="70" t="str">
        <f t="shared" si="2"/>
        <v>Estaño</v>
      </c>
      <c r="C195" s="70" t="str">
        <f>IF($A195="","",IF(AND($B195&lt;&gt;"",IF($F$2="Otros",$B195="Otros",ISNUMBER(SEARCH($B195,$F$2)))),COUNT($C$2:C194)+1,""))</f>
        <v/>
      </c>
      <c r="G195" s="134" t="str">
        <f>IFERROR(INDEX($A$2:$A$507,MATCH(ROWS($G$2:G195),$C$2:$C$507,0)),IF(ROWS($G$2:G195)=1,"(sin matches)",""))</f>
        <v/>
      </c>
      <c r="I195" s="70" t="str">
        <f>IF($A195="","",IF(AND($B195&lt;&gt;"",ISNUMBER(SEARCH($I$7,$B195))),COUNT($I$9:I194)+1,""))</f>
        <v/>
      </c>
    </row>
    <row r="196" spans="1:9" ht="16" x14ac:dyDescent="0.25">
      <c r="A196" s="70" t="str">
        <f>Listas!E191</f>
        <v>RC Sn (Estaño) | 5 - 10 µm</v>
      </c>
      <c r="B196" s="70" t="str">
        <f t="shared" si="2"/>
        <v>Estaño</v>
      </c>
      <c r="C196" s="70" t="str">
        <f>IF($A196="","",IF(AND($B196&lt;&gt;"",IF($F$2="Otros",$B196="Otros",ISNUMBER(SEARCH($B196,$F$2)))),COUNT($C$2:C195)+1,""))</f>
        <v/>
      </c>
      <c r="G196" s="134" t="str">
        <f>IFERROR(INDEX($A$2:$A$507,MATCH(ROWS($G$2:G196),$C$2:$C$507,0)),IF(ROWS($G$2:G196)=1,"(sin matches)",""))</f>
        <v/>
      </c>
      <c r="I196" s="70" t="str">
        <f>IF($A196="","",IF(AND($B196&lt;&gt;"",ISNUMBER(SEARCH($I$7,$B196))),COUNT($I$9:I195)+1,""))</f>
        <v/>
      </c>
    </row>
    <row r="197" spans="1:9" ht="16" x14ac:dyDescent="0.25">
      <c r="A197" s="70" t="str">
        <f>Listas!E192</f>
        <v>RC Sn (Estaño) | 5 - 12 µm</v>
      </c>
      <c r="B197" s="70" t="str">
        <f t="shared" si="2"/>
        <v>Estaño</v>
      </c>
      <c r="C197" s="70" t="str">
        <f>IF($A197="","",IF(AND($B197&lt;&gt;"",IF($F$2="Otros",$B197="Otros",ISNUMBER(SEARCH($B197,$F$2)))),COUNT($C$2:C196)+1,""))</f>
        <v/>
      </c>
      <c r="G197" s="134" t="str">
        <f>IFERROR(INDEX($A$2:$A$507,MATCH(ROWS($G$2:G197),$C$2:$C$507,0)),IF(ROWS($G$2:G197)=1,"(sin matches)",""))</f>
        <v/>
      </c>
      <c r="I197" s="70" t="str">
        <f>IF($A197="","",IF(AND($B197&lt;&gt;"",ISNUMBER(SEARCH($I$7,$B197))),COUNT($I$9:I196)+1,""))</f>
        <v/>
      </c>
    </row>
    <row r="198" spans="1:9" ht="16" x14ac:dyDescent="0.25">
      <c r="A198" s="70" t="str">
        <f>Listas!E193</f>
        <v>RC Sn (Estaño) | 5 - 8 µm</v>
      </c>
      <c r="B198" s="70" t="str">
        <f t="shared" si="2"/>
        <v>Estaño</v>
      </c>
      <c r="C198" s="70" t="str">
        <f>IF($A198="","",IF(AND($B198&lt;&gt;"",IF($F$2="Otros",$B198="Otros",ISNUMBER(SEARCH($B198,$F$2)))),COUNT($C$2:C197)+1,""))</f>
        <v/>
      </c>
      <c r="G198" s="134" t="str">
        <f>IFERROR(INDEX($A$2:$A$507,MATCH(ROWS($G$2:G198),$C$2:$C$507,0)),IF(ROWS($G$2:G198)=1,"(sin matches)",""))</f>
        <v/>
      </c>
      <c r="I198" s="70" t="str">
        <f>IF($A198="","",IF(AND($B198&lt;&gt;"",ISNUMBER(SEARCH($I$7,$B198))),COUNT($I$9:I197)+1,""))</f>
        <v/>
      </c>
    </row>
    <row r="199" spans="1:9" ht="16" x14ac:dyDescent="0.25">
      <c r="A199" s="70" t="str">
        <f>Listas!E194</f>
        <v>RC Sn (Estaño) | 6.1 - 12.0 µm</v>
      </c>
      <c r="B199" s="70" t="str">
        <f t="shared" si="2"/>
        <v>Estaño</v>
      </c>
      <c r="C199" s="70" t="str">
        <f>IF($A199="","",IF(AND($B199&lt;&gt;"",IF($F$2="Otros",$B199="Otros",ISNUMBER(SEARCH($B199,$F$2)))),COUNT($C$2:C198)+1,""))</f>
        <v/>
      </c>
      <c r="G199" s="134" t="str">
        <f>IFERROR(INDEX($A$2:$A$507,MATCH(ROWS($G$2:G199),$C$2:$C$507,0)),IF(ROWS($G$2:G199)=1,"(sin matches)",""))</f>
        <v/>
      </c>
      <c r="I199" s="70" t="str">
        <f>IF($A199="","",IF(AND($B199&lt;&gt;"",ISNUMBER(SEARCH($I$7,$B199))),COUNT($I$9:I198)+1,""))</f>
        <v/>
      </c>
    </row>
    <row r="200" spans="1:9" ht="16" x14ac:dyDescent="0.25">
      <c r="A200" s="70" t="str">
        <f>Listas!E195</f>
        <v>RC Sn (Estaño) | 8 - 12 µm</v>
      </c>
      <c r="B200" s="70" t="str">
        <f t="shared" si="2"/>
        <v>Estaño</v>
      </c>
      <c r="C200" s="70" t="str">
        <f>IF($A200="","",IF(AND($B200&lt;&gt;"",IF($F$2="Otros",$B200="Otros",ISNUMBER(SEARCH($B200,$F$2)))),COUNT($C$2:C199)+1,""))</f>
        <v/>
      </c>
      <c r="G200" s="134" t="str">
        <f>IFERROR(INDEX($A$2:$A$507,MATCH(ROWS($G$2:G200),$C$2:$C$507,0)),IF(ROWS($G$2:G200)=1,"(sin matches)",""))</f>
        <v/>
      </c>
      <c r="I200" s="70" t="str">
        <f>IF($A200="","",IF(AND($B200&lt;&gt;"",ISNUMBER(SEARCH($I$7,$B200))),COUNT($I$9:I199)+1,""))</f>
        <v/>
      </c>
    </row>
    <row r="201" spans="1:9" ht="16" x14ac:dyDescent="0.25">
      <c r="A201" s="70" t="str">
        <f>Listas!E196</f>
        <v>RC Sn (Estaño) | 9 - 25 µm</v>
      </c>
      <c r="B201" s="70" t="str">
        <f t="shared" si="2"/>
        <v>Estaño</v>
      </c>
      <c r="C201" s="70" t="str">
        <f>IF($A201="","",IF(AND($B201&lt;&gt;"",IF($F$2="Otros",$B201="Otros",ISNUMBER(SEARCH($B201,$F$2)))),COUNT($C$2:C200)+1,""))</f>
        <v/>
      </c>
      <c r="G201" s="134" t="str">
        <f>IFERROR(INDEX($A$2:$A$507,MATCH(ROWS($G$2:G201),$C$2:$C$507,0)),IF(ROWS($G$2:G201)=1,"(sin matches)",""))</f>
        <v/>
      </c>
      <c r="I201" s="70" t="str">
        <f>IF($A201="","",IF(AND($B201&lt;&gt;"",ISNUMBER(SEARCH($I$7,$B201))),COUNT($I$9:I200)+1,""))</f>
        <v/>
      </c>
    </row>
    <row r="202" spans="1:9" ht="16" x14ac:dyDescent="0.25">
      <c r="A202" s="70" t="str">
        <f>Listas!E197</f>
        <v>RC Zn (Zinc) | 12 - 16 µm</v>
      </c>
      <c r="B202" s="70"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Zinc</v>
      </c>
      <c r="C202" s="70" t="str">
        <f>IF($A202="","",IF(AND($B202&lt;&gt;"",IF($F$2="Otros",$B202="Otros",ISNUMBER(SEARCH($B202,$F$2)))),COUNT($C$2:C201)+1,""))</f>
        <v/>
      </c>
      <c r="G202" s="134" t="str">
        <f>IFERROR(INDEX($A$2:$A$507,MATCH(ROWS($G$2:G202),$C$2:$C$507,0)),IF(ROWS($G$2:G202)=1,"(sin matches)",""))</f>
        <v/>
      </c>
      <c r="I202" s="70" t="str">
        <f>IF($A202="","",IF(AND($B202&lt;&gt;"",ISNUMBER(SEARCH($I$7,$B202))),COUNT($I$9:I201)+1,""))</f>
        <v/>
      </c>
    </row>
    <row r="203" spans="1:9" ht="16" x14ac:dyDescent="0.25">
      <c r="A203" s="70" t="str">
        <f>Listas!E198</f>
        <v>RC Zn (Zinc) | 15 - 18 µm</v>
      </c>
      <c r="B203" s="70" t="str">
        <f t="shared" si="3"/>
        <v>Zinc</v>
      </c>
      <c r="C203" s="70" t="str">
        <f>IF($A203="","",IF(AND($B203&lt;&gt;"",IF($F$2="Otros",$B203="Otros",ISNUMBER(SEARCH($B203,$F$2)))),COUNT($C$2:C202)+1,""))</f>
        <v/>
      </c>
      <c r="G203" s="134" t="str">
        <f>IFERROR(INDEX($A$2:$A$507,MATCH(ROWS($G$2:G203),$C$2:$C$507,0)),IF(ROWS($G$2:G203)=1,"(sin matches)",""))</f>
        <v/>
      </c>
      <c r="I203" s="70" t="str">
        <f>IF($A203="","",IF(AND($B203&lt;&gt;"",ISNUMBER(SEARCH($I$7,$B203))),COUNT($I$9:I202)+1,""))</f>
        <v/>
      </c>
    </row>
    <row r="204" spans="1:9" ht="16" x14ac:dyDescent="0.25">
      <c r="A204" s="70" t="str">
        <f>Listas!E199</f>
        <v>RC Zn (Zinc) | 20 - 24 µm</v>
      </c>
      <c r="B204" s="70" t="str">
        <f t="shared" si="3"/>
        <v>Zinc</v>
      </c>
      <c r="C204" s="70" t="str">
        <f>IF($A204="","",IF(AND($B204&lt;&gt;"",IF($F$2="Otros",$B204="Otros",ISNUMBER(SEARCH($B204,$F$2)))),COUNT($C$2:C203)+1,""))</f>
        <v/>
      </c>
      <c r="G204" s="134" t="str">
        <f>IFERROR(INDEX($A$2:$A$507,MATCH(ROWS($G$2:G204),$C$2:$C$507,0)),IF(ROWS($G$2:G204)=1,"(sin matches)",""))</f>
        <v/>
      </c>
      <c r="I204" s="70" t="str">
        <f>IF($A204="","",IF(AND($B204&lt;&gt;"",ISNUMBER(SEARCH($I$7,$B204))),COUNT($I$9:I203)+1,""))</f>
        <v/>
      </c>
    </row>
    <row r="205" spans="1:9" ht="16" x14ac:dyDescent="0.25">
      <c r="A205" s="70" t="str">
        <f>Listas!E200</f>
        <v>RC Zn (Zinc) | 5 - 10 µm</v>
      </c>
      <c r="B205" s="70" t="str">
        <f t="shared" si="3"/>
        <v>Zinc</v>
      </c>
      <c r="C205" s="70" t="str">
        <f>IF($A205="","",IF(AND($B205&lt;&gt;"",IF($F$2="Otros",$B205="Otros",ISNUMBER(SEARCH($B205,$F$2)))),COUNT($C$2:C204)+1,""))</f>
        <v/>
      </c>
      <c r="G205" s="134" t="str">
        <f>IFERROR(INDEX($A$2:$A$507,MATCH(ROWS($G$2:G205),$C$2:$C$507,0)),IF(ROWS($G$2:G205)=1,"(sin matches)",""))</f>
        <v/>
      </c>
      <c r="I205" s="70" t="str">
        <f>IF($A205="","",IF(AND($B205&lt;&gt;"",ISNUMBER(SEARCH($I$7,$B205))),COUNT($I$9:I204)+1,""))</f>
        <v/>
      </c>
    </row>
    <row r="206" spans="1:9" ht="16" x14ac:dyDescent="0.25">
      <c r="A206" s="70" t="str">
        <f>Listas!E201</f>
        <v>RC Zn (Zinc) | 6 - 8 µm</v>
      </c>
      <c r="B206" s="70" t="str">
        <f t="shared" si="3"/>
        <v>Zinc</v>
      </c>
      <c r="C206" s="70" t="str">
        <f>IF($A206="","",IF(AND($B206&lt;&gt;"",IF($F$2="Otros",$B206="Otros",ISNUMBER(SEARCH($B206,$F$2)))),COUNT($C$2:C205)+1,""))</f>
        <v/>
      </c>
      <c r="G206" s="134" t="str">
        <f>IFERROR(INDEX($A$2:$A$507,MATCH(ROWS($G$2:G206),$C$2:$C$507,0)),IF(ROWS($G$2:G206)=1,"(sin matches)",""))</f>
        <v/>
      </c>
      <c r="I206" s="70" t="str">
        <f>IF($A206="","",IF(AND($B206&lt;&gt;"",ISNUMBER(SEARCH($I$7,$B206))),COUNT($I$9:I205)+1,""))</f>
        <v/>
      </c>
    </row>
    <row r="207" spans="1:9" ht="16" x14ac:dyDescent="0.25">
      <c r="A207" s="70" t="str">
        <f>Listas!E202</f>
        <v>RC Zn (Zinc) | 8 - 12 µm</v>
      </c>
      <c r="B207" s="70" t="str">
        <f t="shared" si="3"/>
        <v>Zinc</v>
      </c>
      <c r="C207" s="70" t="str">
        <f>IF($A207="","",IF(AND($B207&lt;&gt;"",IF($F$2="Otros",$B207="Otros",ISNUMBER(SEARCH($B207,$F$2)))),COUNT($C$2:C206)+1,""))</f>
        <v/>
      </c>
      <c r="G207" s="134" t="str">
        <f>IFERROR(INDEX($A$2:$A$507,MATCH(ROWS($G$2:G207),$C$2:$C$507,0)),IF(ROWS($G$2:G207)=1,"(sin matches)",""))</f>
        <v/>
      </c>
      <c r="I207" s="70" t="str">
        <f>IF($A207="","",IF(AND($B207&lt;&gt;"",ISNUMBER(SEARCH($I$7,$B207))),COUNT($I$9:I206)+1,""))</f>
        <v/>
      </c>
    </row>
    <row r="208" spans="1:9" ht="16" x14ac:dyDescent="0.25">
      <c r="A208" s="70" t="str">
        <f>Listas!E203</f>
        <v>RC Zn-Ni (Zinc Níquel - Bonete) | 8 - 25 µm</v>
      </c>
      <c r="B208" s="70" t="str">
        <f t="shared" si="3"/>
        <v>Níquel+Zinc</v>
      </c>
      <c r="C208" s="70" t="str">
        <f>IF($A208="","",IF(AND($B208&lt;&gt;"",IF($F$2="Otros",$B208="Otros",ISNUMBER(SEARCH($B208,$F$2)))),COUNT($C$2:C207)+1,""))</f>
        <v/>
      </c>
      <c r="G208" s="134" t="str">
        <f>IFERROR(INDEX($A$2:$A$507,MATCH(ROWS($G$2:G208),$C$2:$C$507,0)),IF(ROWS($G$2:G208)=1,"(sin matches)",""))</f>
        <v/>
      </c>
      <c r="I208" s="70" t="str">
        <f>IF($A208="","",IF(AND($B208&lt;&gt;"",ISNUMBER(SEARCH($I$7,$B208))),COUNT($I$9:I207)+1,""))</f>
        <v/>
      </c>
    </row>
    <row r="209" spans="1:9" ht="16" x14ac:dyDescent="0.25">
      <c r="A209" s="70" t="str">
        <f>Listas!E204</f>
        <v>S30793-507 (Estaño) | 2.5 - 5 µm</v>
      </c>
      <c r="B209" s="70" t="str">
        <f t="shared" si="3"/>
        <v>Estaño</v>
      </c>
      <c r="C209" s="70" t="str">
        <f>IF($A209="","",IF(AND($B209&lt;&gt;"",IF($F$2="Otros",$B209="Otros",ISNUMBER(SEARCH($B209,$F$2)))),COUNT($C$2:C208)+1,""))</f>
        <v/>
      </c>
      <c r="G209" s="134" t="str">
        <f>IFERROR(INDEX($A$2:$A$507,MATCH(ROWS($G$2:G209),$C$2:$C$507,0)),IF(ROWS($G$2:G209)=1,"(sin matches)",""))</f>
        <v/>
      </c>
      <c r="I209" s="70" t="str">
        <f>IF($A209="","",IF(AND($B209&lt;&gt;"",ISNUMBER(SEARCH($I$7,$B209))),COUNT($I$9:I208)+1,""))</f>
        <v/>
      </c>
    </row>
    <row r="210" spans="1:9" ht="16" x14ac:dyDescent="0.25">
      <c r="A210" s="70" t="str">
        <f>Listas!E205</f>
        <v>TL 203 (Níquel Cromo) | 10 - 13 µm</v>
      </c>
      <c r="B210" s="70" t="str">
        <f t="shared" si="3"/>
        <v>Níquel</v>
      </c>
      <c r="C210" s="70" t="str">
        <f>IF($A210="","",IF(AND($B210&lt;&gt;"",IF($F$2="Otros",$B210="Otros",ISNUMBER(SEARCH($B210,$F$2)))),COUNT($C$2:C209)+1,""))</f>
        <v/>
      </c>
      <c r="G210" s="134" t="str">
        <f>IFERROR(INDEX($A$2:$A$507,MATCH(ROWS($G$2:G210),$C$2:$C$507,0)),IF(ROWS($G$2:G210)=1,"(sin matches)",""))</f>
        <v/>
      </c>
      <c r="I210" s="70" t="str">
        <f>IF($A210="","",IF(AND($B210&lt;&gt;"",ISNUMBER(SEARCH($I$7,$B210))),COUNT($I$9:I209)+1,""))</f>
        <v/>
      </c>
    </row>
    <row r="211" spans="1:9" ht="16" x14ac:dyDescent="0.25">
      <c r="A211" s="70" t="str">
        <f>Listas!E206</f>
        <v>TS1E-010-103 (Fosfato de Manganeso - Medición de Grano - GM) | 5 - 11 µm</v>
      </c>
      <c r="B211" s="70" t="str">
        <f t="shared" si="3"/>
        <v>Otros</v>
      </c>
      <c r="C211" s="70">
        <f>IF($A211="","",IF(AND($B211&lt;&gt;"",IF($F$2="Otros",$B211="Otros",ISNUMBER(SEARCH($B211,$F$2)))),COUNT($C$2:C210)+1,""))</f>
        <v>47</v>
      </c>
      <c r="G211" s="134" t="str">
        <f>IFERROR(INDEX($A$2:$A$507,MATCH(ROWS($G$2:G211),$C$2:$C$507,0)),IF(ROWS($G$2:G211)=1,"(sin matches)",""))</f>
        <v/>
      </c>
      <c r="I211" s="70">
        <f>IF($A211="","",IF(AND($B211&lt;&gt;"",ISNUMBER(SEARCH($I$7,$B211))),COUNT($I$9:I210)+1,""))</f>
        <v>46</v>
      </c>
    </row>
    <row r="212" spans="1:9" ht="16" x14ac:dyDescent="0.25">
      <c r="A212" s="70">
        <f>Listas!E207</f>
        <v>0</v>
      </c>
      <c r="B212" s="70" t="str">
        <f t="shared" si="3"/>
        <v/>
      </c>
      <c r="C212" s="70" t="str">
        <f>IF($A212="","",IF(AND($B212&lt;&gt;"",IF($F$2="Otros",$B212="Otros",ISNUMBER(SEARCH($B212,$F$2)))),COUNT($C$2:C211)+1,""))</f>
        <v/>
      </c>
      <c r="G212" s="134" t="str">
        <f>IFERROR(INDEX($A$2:$A$507,MATCH(ROWS($G$2:G212),$C$2:$C$507,0)),IF(ROWS($G$2:G212)=1,"(sin matches)",""))</f>
        <v/>
      </c>
      <c r="I212" s="70" t="str">
        <f>IF($A212="","",IF(AND($B212&lt;&gt;"",ISNUMBER(SEARCH($I$7,$B212))),COUNT($I$9:I211)+1,""))</f>
        <v/>
      </c>
    </row>
    <row r="213" spans="1:9" ht="16" x14ac:dyDescent="0.25">
      <c r="A213" s="70">
        <f>Listas!E208</f>
        <v>0</v>
      </c>
      <c r="B213" s="70" t="str">
        <f t="shared" si="3"/>
        <v/>
      </c>
      <c r="C213" s="70" t="str">
        <f>IF($A213="","",IF(AND($B213&lt;&gt;"",IF($F$2="Otros",$B213="Otros",ISNUMBER(SEARCH($B213,$F$2)))),COUNT($C$2:C212)+1,""))</f>
        <v/>
      </c>
      <c r="G213" s="134" t="str">
        <f>IFERROR(INDEX($A$2:$A$507,MATCH(ROWS($G$2:G213),$C$2:$C$507,0)),IF(ROWS($G$2:G213)=1,"(sin matches)",""))</f>
        <v/>
      </c>
      <c r="I213" s="70" t="str">
        <f>IF($A213="","",IF(AND($B213&lt;&gt;"",ISNUMBER(SEARCH($I$7,$B213))),COUNT($I$9:I212)+1,""))</f>
        <v/>
      </c>
    </row>
    <row r="214" spans="1:9" ht="16" x14ac:dyDescent="0.25">
      <c r="A214" s="70">
        <f>Listas!E209</f>
        <v>0</v>
      </c>
      <c r="B214" s="70" t="str">
        <f t="shared" si="3"/>
        <v/>
      </c>
      <c r="C214" s="70" t="str">
        <f>IF($A214="","",IF(AND($B214&lt;&gt;"",IF($F$2="Otros",$B214="Otros",ISNUMBER(SEARCH($B214,$F$2)))),COUNT($C$2:C213)+1,""))</f>
        <v/>
      </c>
      <c r="G214" s="134" t="str">
        <f>IFERROR(INDEX($A$2:$A$507,MATCH(ROWS($G$2:G214),$C$2:$C$507,0)),IF(ROWS($G$2:G214)=1,"(sin matches)",""))</f>
        <v/>
      </c>
      <c r="I214" s="70" t="str">
        <f>IF($A214="","",IF(AND($B214&lt;&gt;"",ISNUMBER(SEARCH($I$7,$B214))),COUNT($I$9:I213)+1,""))</f>
        <v/>
      </c>
    </row>
    <row r="215" spans="1:9" ht="16" x14ac:dyDescent="0.25">
      <c r="A215" s="70">
        <f>Listas!E210</f>
        <v>0</v>
      </c>
      <c r="B215" s="70" t="str">
        <f t="shared" si="3"/>
        <v/>
      </c>
      <c r="C215" s="70" t="str">
        <f>IF($A215="","",IF(AND($B215&lt;&gt;"",IF($F$2="Otros",$B215="Otros",ISNUMBER(SEARCH($B215,$F$2)))),COUNT($C$2:C214)+1,""))</f>
        <v/>
      </c>
      <c r="G215" s="134" t="str">
        <f>IFERROR(INDEX($A$2:$A$507,MATCH(ROWS($G$2:G215),$C$2:$C$507,0)),IF(ROWS($G$2:G215)=1,"(sin matches)",""))</f>
        <v/>
      </c>
      <c r="I215" s="70" t="str">
        <f>IF($A215="","",IF(AND($B215&lt;&gt;"",ISNUMBER(SEARCH($I$7,$B215))),COUNT($I$9:I214)+1,""))</f>
        <v/>
      </c>
    </row>
    <row r="216" spans="1:9" ht="16" x14ac:dyDescent="0.25">
      <c r="A216" s="70">
        <f>Listas!E211</f>
        <v>0</v>
      </c>
      <c r="B216" s="70" t="str">
        <f t="shared" si="3"/>
        <v/>
      </c>
      <c r="C216" s="70" t="str">
        <f>IF($A216="","",IF(AND($B216&lt;&gt;"",IF($F$2="Otros",$B216="Otros",ISNUMBER(SEARCH($B216,$F$2)))),COUNT($C$2:C215)+1,""))</f>
        <v/>
      </c>
      <c r="G216" s="134" t="str">
        <f>IFERROR(INDEX($A$2:$A$507,MATCH(ROWS($G$2:G216),$C$2:$C$507,0)),IF(ROWS($G$2:G216)=1,"(sin matches)",""))</f>
        <v/>
      </c>
      <c r="I216" s="70" t="str">
        <f>IF($A216="","",IF(AND($B216&lt;&gt;"",ISNUMBER(SEARCH($I$7,$B216))),COUNT($I$9:I215)+1,""))</f>
        <v/>
      </c>
    </row>
    <row r="217" spans="1:9" ht="16" x14ac:dyDescent="0.25">
      <c r="A217" s="70">
        <f>Listas!E212</f>
        <v>0</v>
      </c>
      <c r="B217" s="70" t="str">
        <f t="shared" si="3"/>
        <v/>
      </c>
      <c r="C217" s="70" t="str">
        <f>IF($A217="","",IF(AND($B217&lt;&gt;"",IF($F$2="Otros",$B217="Otros",ISNUMBER(SEARCH($B217,$F$2)))),COUNT($C$2:C216)+1,""))</f>
        <v/>
      </c>
      <c r="G217" s="134" t="str">
        <f>IFERROR(INDEX($A$2:$A$507,MATCH(ROWS($G$2:G217),$C$2:$C$507,0)),IF(ROWS($G$2:G217)=1,"(sin matches)",""))</f>
        <v/>
      </c>
      <c r="I217" s="70" t="str">
        <f>IF($A217="","",IF(AND($B217&lt;&gt;"",ISNUMBER(SEARCH($I$7,$B217))),COUNT($I$9:I216)+1,""))</f>
        <v/>
      </c>
    </row>
    <row r="218" spans="1:9" ht="16" x14ac:dyDescent="0.25">
      <c r="A218" s="70">
        <f>Listas!E213</f>
        <v>0</v>
      </c>
      <c r="B218" s="70" t="str">
        <f t="shared" si="3"/>
        <v/>
      </c>
      <c r="C218" s="70" t="str">
        <f>IF($A218="","",IF(AND($B218&lt;&gt;"",IF($F$2="Otros",$B218="Otros",ISNUMBER(SEARCH($B218,$F$2)))),COUNT($C$2:C217)+1,""))</f>
        <v/>
      </c>
      <c r="G218" s="134" t="str">
        <f>IFERROR(INDEX($A$2:$A$507,MATCH(ROWS($G$2:G218),$C$2:$C$507,0)),IF(ROWS($G$2:G218)=1,"(sin matches)",""))</f>
        <v/>
      </c>
      <c r="I218" s="70" t="str">
        <f>IF($A218="","",IF(AND($B218&lt;&gt;"",ISNUMBER(SEARCH($I$7,$B218))),COUNT($I$9:I217)+1,""))</f>
        <v/>
      </c>
    </row>
    <row r="219" spans="1:9" ht="16" x14ac:dyDescent="0.25">
      <c r="A219" s="70">
        <f>Listas!E214</f>
        <v>0</v>
      </c>
      <c r="B219" s="70" t="str">
        <f t="shared" si="3"/>
        <v/>
      </c>
      <c r="C219" s="70" t="str">
        <f>IF($A219="","",IF(AND($B219&lt;&gt;"",IF($F$2="Otros",$B219="Otros",ISNUMBER(SEARCH($B219,$F$2)))),COUNT($C$2:C218)+1,""))</f>
        <v/>
      </c>
      <c r="G219" s="134" t="str">
        <f>IFERROR(INDEX($A$2:$A$507,MATCH(ROWS($G$2:G219),$C$2:$C$507,0)),IF(ROWS($G$2:G219)=1,"(sin matches)",""))</f>
        <v/>
      </c>
      <c r="I219" s="70" t="str">
        <f>IF($A219="","",IF(AND($B219&lt;&gt;"",ISNUMBER(SEARCH($I$7,$B219))),COUNT($I$9:I218)+1,""))</f>
        <v/>
      </c>
    </row>
    <row r="220" spans="1:9" ht="16" x14ac:dyDescent="0.25">
      <c r="A220" s="70">
        <f>Listas!E215</f>
        <v>0</v>
      </c>
      <c r="B220" s="70" t="str">
        <f t="shared" si="3"/>
        <v/>
      </c>
      <c r="C220" s="70" t="str">
        <f>IF($A220="","",IF(AND($B220&lt;&gt;"",IF($F$2="Otros",$B220="Otros",ISNUMBER(SEARCH($B220,$F$2)))),COUNT($C$2:C219)+1,""))</f>
        <v/>
      </c>
      <c r="G220" s="134" t="str">
        <f>IFERROR(INDEX($A$2:$A$507,MATCH(ROWS($G$2:G220),$C$2:$C$507,0)),IF(ROWS($G$2:G220)=1,"(sin matches)",""))</f>
        <v/>
      </c>
      <c r="I220" s="70" t="str">
        <f>IF($A220="","",IF(AND($B220&lt;&gt;"",ISNUMBER(SEARCH($I$7,$B220))),COUNT($I$9:I219)+1,""))</f>
        <v/>
      </c>
    </row>
    <row r="221" spans="1:9" ht="16" x14ac:dyDescent="0.25">
      <c r="A221" s="70">
        <f>Listas!E216</f>
        <v>0</v>
      </c>
      <c r="B221" s="70" t="str">
        <f t="shared" si="3"/>
        <v/>
      </c>
      <c r="C221" s="70" t="str">
        <f>IF($A221="","",IF(AND($B221&lt;&gt;"",IF($F$2="Otros",$B221="Otros",ISNUMBER(SEARCH($B221,$F$2)))),COUNT($C$2:C220)+1,""))</f>
        <v/>
      </c>
      <c r="G221" s="134" t="str">
        <f>IFERROR(INDEX($A$2:$A$507,MATCH(ROWS($G$2:G221),$C$2:$C$507,0)),IF(ROWS($G$2:G221)=1,"(sin matches)",""))</f>
        <v/>
      </c>
      <c r="I221" s="70" t="str">
        <f>IF($A221="","",IF(AND($B221&lt;&gt;"",ISNUMBER(SEARCH($I$7,$B221))),COUNT($I$9:I220)+1,""))</f>
        <v/>
      </c>
    </row>
    <row r="222" spans="1:9" ht="16" x14ac:dyDescent="0.25">
      <c r="A222" s="70">
        <f>Listas!E217</f>
        <v>0</v>
      </c>
      <c r="B222" s="70" t="str">
        <f t="shared" si="3"/>
        <v/>
      </c>
      <c r="C222" s="70" t="str">
        <f>IF($A222="","",IF(AND($B222&lt;&gt;"",IF($F$2="Otros",$B222="Otros",ISNUMBER(SEARCH($B222,$F$2)))),COUNT($C$2:C221)+1,""))</f>
        <v/>
      </c>
      <c r="G222" s="134" t="str">
        <f>IFERROR(INDEX($A$2:$A$507,MATCH(ROWS($G$2:G222),$C$2:$C$507,0)),IF(ROWS($G$2:G222)=1,"(sin matches)",""))</f>
        <v/>
      </c>
      <c r="I222" s="70" t="str">
        <f>IF($A222="","",IF(AND($B222&lt;&gt;"",ISNUMBER(SEARCH($I$7,$B222))),COUNT($I$9:I221)+1,""))</f>
        <v/>
      </c>
    </row>
    <row r="223" spans="1:9" ht="16" x14ac:dyDescent="0.25">
      <c r="A223" s="70">
        <f>Listas!E218</f>
        <v>0</v>
      </c>
      <c r="B223" s="70" t="str">
        <f t="shared" si="3"/>
        <v/>
      </c>
      <c r="C223" s="70" t="str">
        <f>IF($A223="","",IF(AND($B223&lt;&gt;"",IF($F$2="Otros",$B223="Otros",ISNUMBER(SEARCH($B223,$F$2)))),COUNT($C$2:C222)+1,""))</f>
        <v/>
      </c>
      <c r="G223" s="134" t="str">
        <f>IFERROR(INDEX($A$2:$A$507,MATCH(ROWS($G$2:G223),$C$2:$C$507,0)),IF(ROWS($G$2:G223)=1,"(sin matches)",""))</f>
        <v/>
      </c>
      <c r="I223" s="70" t="str">
        <f>IF($A223="","",IF(AND($B223&lt;&gt;"",ISNUMBER(SEARCH($I$7,$B223))),COUNT($I$9:I222)+1,""))</f>
        <v/>
      </c>
    </row>
    <row r="224" spans="1:9" ht="16" x14ac:dyDescent="0.25">
      <c r="A224" s="70">
        <f>Listas!E219</f>
        <v>0</v>
      </c>
      <c r="B224" s="70" t="str">
        <f t="shared" si="3"/>
        <v/>
      </c>
      <c r="C224" s="70" t="str">
        <f>IF($A224="","",IF(AND($B224&lt;&gt;"",IF($F$2="Otros",$B224="Otros",ISNUMBER(SEARCH($B224,$F$2)))),COUNT($C$2:C223)+1,""))</f>
        <v/>
      </c>
      <c r="G224" s="134" t="str">
        <f>IFERROR(INDEX($A$2:$A$507,MATCH(ROWS($G$2:G224),$C$2:$C$507,0)),IF(ROWS($G$2:G224)=1,"(sin matches)",""))</f>
        <v/>
      </c>
      <c r="I224" s="70" t="str">
        <f>IF($A224="","",IF(AND($B224&lt;&gt;"",ISNUMBER(SEARCH($I$7,$B224))),COUNT($I$9:I223)+1,""))</f>
        <v/>
      </c>
    </row>
    <row r="225" spans="1:9" ht="16" x14ac:dyDescent="0.25">
      <c r="A225" s="70">
        <f>Listas!E220</f>
        <v>0</v>
      </c>
      <c r="B225" s="70" t="str">
        <f t="shared" si="3"/>
        <v/>
      </c>
      <c r="C225" s="70" t="str">
        <f>IF($A225="","",IF(AND($B225&lt;&gt;"",IF($F$2="Otros",$B225="Otros",ISNUMBER(SEARCH($B225,$F$2)))),COUNT($C$2:C224)+1,""))</f>
        <v/>
      </c>
      <c r="G225" s="134" t="str">
        <f>IFERROR(INDEX($A$2:$A$507,MATCH(ROWS($G$2:G225),$C$2:$C$507,0)),IF(ROWS($G$2:G225)=1,"(sin matches)",""))</f>
        <v/>
      </c>
      <c r="I225" s="70" t="str">
        <f>IF($A225="","",IF(AND($B225&lt;&gt;"",ISNUMBER(SEARCH($I$7,$B225))),COUNT($I$9:I224)+1,""))</f>
        <v/>
      </c>
    </row>
    <row r="226" spans="1:9" ht="16" x14ac:dyDescent="0.25">
      <c r="A226" s="70">
        <f>Listas!E221</f>
        <v>0</v>
      </c>
      <c r="B226" s="70" t="str">
        <f t="shared" si="3"/>
        <v/>
      </c>
      <c r="C226" s="70" t="str">
        <f>IF($A226="","",IF(AND($B226&lt;&gt;"",IF($F$2="Otros",$B226="Otros",ISNUMBER(SEARCH($B226,$F$2)))),COUNT($C$2:C225)+1,""))</f>
        <v/>
      </c>
      <c r="G226" s="134" t="str">
        <f>IFERROR(INDEX($A$2:$A$507,MATCH(ROWS($G$2:G226),$C$2:$C$507,0)),IF(ROWS($G$2:G226)=1,"(sin matches)",""))</f>
        <v/>
      </c>
      <c r="I226" s="70" t="str">
        <f>IF($A226="","",IF(AND($B226&lt;&gt;"",ISNUMBER(SEARCH($I$7,$B226))),COUNT($I$9:I225)+1,""))</f>
        <v/>
      </c>
    </row>
    <row r="227" spans="1:9" ht="16" x14ac:dyDescent="0.25">
      <c r="A227" s="70">
        <f>Listas!E222</f>
        <v>0</v>
      </c>
      <c r="B227" s="70" t="str">
        <f t="shared" si="3"/>
        <v/>
      </c>
      <c r="C227" s="70" t="str">
        <f>IF($A227="","",IF(AND($B227&lt;&gt;"",IF($F$2="Otros",$B227="Otros",ISNUMBER(SEARCH($B227,$F$2)))),COUNT($C$2:C226)+1,""))</f>
        <v/>
      </c>
      <c r="G227" s="134" t="str">
        <f>IFERROR(INDEX($A$2:$A$507,MATCH(ROWS($G$2:G227),$C$2:$C$507,0)),IF(ROWS($G$2:G227)=1,"(sin matches)",""))</f>
        <v/>
      </c>
      <c r="I227" s="70" t="str">
        <f>IF($A227="","",IF(AND($B227&lt;&gt;"",ISNUMBER(SEARCH($I$7,$B227))),COUNT($I$9:I226)+1,""))</f>
        <v/>
      </c>
    </row>
    <row r="228" spans="1:9" ht="16" x14ac:dyDescent="0.25">
      <c r="A228" s="70">
        <f>Listas!E223</f>
        <v>0</v>
      </c>
      <c r="B228" s="70" t="str">
        <f t="shared" si="3"/>
        <v/>
      </c>
      <c r="C228" s="70" t="str">
        <f>IF($A228="","",IF(AND($B228&lt;&gt;"",IF($F$2="Otros",$B228="Otros",ISNUMBER(SEARCH($B228,$F$2)))),COUNT($C$2:C227)+1,""))</f>
        <v/>
      </c>
      <c r="G228" s="134" t="str">
        <f>IFERROR(INDEX($A$2:$A$507,MATCH(ROWS($G$2:G228),$C$2:$C$507,0)),IF(ROWS($G$2:G228)=1,"(sin matches)",""))</f>
        <v/>
      </c>
      <c r="I228" s="70" t="str">
        <f>IF($A228="","",IF(AND($B228&lt;&gt;"",ISNUMBER(SEARCH($I$7,$B228))),COUNT($I$9:I227)+1,""))</f>
        <v/>
      </c>
    </row>
    <row r="229" spans="1:9" ht="16" x14ac:dyDescent="0.25">
      <c r="A229" s="70">
        <f>Listas!E224</f>
        <v>0</v>
      </c>
      <c r="B229" s="70" t="str">
        <f t="shared" si="3"/>
        <v/>
      </c>
      <c r="C229" s="70" t="str">
        <f>IF($A229="","",IF(AND($B229&lt;&gt;"",IF($F$2="Otros",$B229="Otros",ISNUMBER(SEARCH($B229,$F$2)))),COUNT($C$2:C228)+1,""))</f>
        <v/>
      </c>
      <c r="G229" s="134" t="str">
        <f>IFERROR(INDEX($A$2:$A$507,MATCH(ROWS($G$2:G229),$C$2:$C$507,0)),IF(ROWS($G$2:G229)=1,"(sin matches)",""))</f>
        <v/>
      </c>
      <c r="I229" s="70" t="str">
        <f>IF($A229="","",IF(AND($B229&lt;&gt;"",ISNUMBER(SEARCH($I$7,$B229))),COUNT($I$9:I228)+1,""))</f>
        <v/>
      </c>
    </row>
    <row r="230" spans="1:9" ht="16" x14ac:dyDescent="0.25">
      <c r="A230" s="70">
        <f>Listas!E225</f>
        <v>0</v>
      </c>
      <c r="B230" s="70" t="str">
        <f t="shared" si="3"/>
        <v/>
      </c>
      <c r="C230" s="70" t="str">
        <f>IF($A230="","",IF(AND($B230&lt;&gt;"",IF($F$2="Otros",$B230="Otros",ISNUMBER(SEARCH($B230,$F$2)))),COUNT($C$2:C229)+1,""))</f>
        <v/>
      </c>
      <c r="G230" s="134" t="str">
        <f>IFERROR(INDEX($A$2:$A$507,MATCH(ROWS($G$2:G230),$C$2:$C$507,0)),IF(ROWS($G$2:G230)=1,"(sin matches)",""))</f>
        <v/>
      </c>
      <c r="I230" s="70" t="str">
        <f>IF($A230="","",IF(AND($B230&lt;&gt;"",ISNUMBER(SEARCH($I$7,$B230))),COUNT($I$9:I229)+1,""))</f>
        <v/>
      </c>
    </row>
    <row r="231" spans="1:9" ht="16" x14ac:dyDescent="0.25">
      <c r="A231" s="70">
        <f>Listas!E226</f>
        <v>0</v>
      </c>
      <c r="B231" s="70" t="str">
        <f t="shared" si="3"/>
        <v/>
      </c>
      <c r="C231" s="70" t="str">
        <f>IF($A231="","",IF(AND($B231&lt;&gt;"",IF($F$2="Otros",$B231="Otros",ISNUMBER(SEARCH($B231,$F$2)))),COUNT($C$2:C230)+1,""))</f>
        <v/>
      </c>
      <c r="G231" s="134" t="str">
        <f>IFERROR(INDEX($A$2:$A$507,MATCH(ROWS($G$2:G231),$C$2:$C$507,0)),IF(ROWS($G$2:G231)=1,"(sin matches)",""))</f>
        <v/>
      </c>
      <c r="I231" s="70" t="str">
        <f>IF($A231="","",IF(AND($B231&lt;&gt;"",ISNUMBER(SEARCH($I$7,$B231))),COUNT($I$9:I230)+1,""))</f>
        <v/>
      </c>
    </row>
    <row r="232" spans="1:9" ht="16" x14ac:dyDescent="0.25">
      <c r="A232" s="70">
        <f>Listas!E227</f>
        <v>0</v>
      </c>
      <c r="B232" s="70" t="str">
        <f t="shared" si="3"/>
        <v/>
      </c>
      <c r="C232" s="70" t="str">
        <f>IF($A232="","",IF(AND($B232&lt;&gt;"",IF($F$2="Otros",$B232="Otros",ISNUMBER(SEARCH($B232,$F$2)))),COUNT($C$2:C231)+1,""))</f>
        <v/>
      </c>
      <c r="G232" s="134" t="str">
        <f>IFERROR(INDEX($A$2:$A$507,MATCH(ROWS($G$2:G232),$C$2:$C$507,0)),IF(ROWS($G$2:G232)=1,"(sin matches)",""))</f>
        <v/>
      </c>
      <c r="I232" s="70" t="str">
        <f>IF($A232="","",IF(AND($B232&lt;&gt;"",ISNUMBER(SEARCH($I$7,$B232))),COUNT($I$9:I231)+1,""))</f>
        <v/>
      </c>
    </row>
    <row r="233" spans="1:9" ht="16" x14ac:dyDescent="0.25">
      <c r="A233" s="70">
        <f>Listas!E228</f>
        <v>0</v>
      </c>
      <c r="B233" s="70" t="str">
        <f t="shared" si="3"/>
        <v/>
      </c>
      <c r="C233" s="70" t="str">
        <f>IF($A233="","",IF(AND($B233&lt;&gt;"",IF($F$2="Otros",$B233="Otros",ISNUMBER(SEARCH($B233,$F$2)))),COUNT($C$2:C232)+1,""))</f>
        <v/>
      </c>
      <c r="G233" s="134" t="str">
        <f>IFERROR(INDEX($A$2:$A$507,MATCH(ROWS($G$2:G233),$C$2:$C$507,0)),IF(ROWS($G$2:G233)=1,"(sin matches)",""))</f>
        <v/>
      </c>
      <c r="I233" s="70" t="str">
        <f>IF($A233="","",IF(AND($B233&lt;&gt;"",ISNUMBER(SEARCH($I$7,$B233))),COUNT($I$9:I232)+1,""))</f>
        <v/>
      </c>
    </row>
    <row r="234" spans="1:9" ht="16" x14ac:dyDescent="0.25">
      <c r="A234" s="70">
        <f>Listas!E229</f>
        <v>0</v>
      </c>
      <c r="B234" s="70" t="str">
        <f t="shared" si="3"/>
        <v/>
      </c>
      <c r="C234" s="70" t="str">
        <f>IF($A234="","",IF(AND($B234&lt;&gt;"",IF($F$2="Otros",$B234="Otros",ISNUMBER(SEARCH($B234,$F$2)))),COUNT($C$2:C233)+1,""))</f>
        <v/>
      </c>
      <c r="G234" s="134" t="str">
        <f>IFERROR(INDEX($A$2:$A$507,MATCH(ROWS($G$2:G234),$C$2:$C$507,0)),IF(ROWS($G$2:G234)=1,"(sin matches)",""))</f>
        <v/>
      </c>
      <c r="I234" s="70" t="str">
        <f>IF($A234="","",IF(AND($B234&lt;&gt;"",ISNUMBER(SEARCH($I$7,$B234))),COUNT($I$9:I233)+1,""))</f>
        <v/>
      </c>
    </row>
    <row r="235" spans="1:9" ht="16" x14ac:dyDescent="0.25">
      <c r="A235" s="70">
        <f>Listas!E230</f>
        <v>0</v>
      </c>
      <c r="B235" s="70" t="str">
        <f t="shared" si="3"/>
        <v/>
      </c>
      <c r="C235" s="70" t="str">
        <f>IF($A235="","",IF(AND($B235&lt;&gt;"",IF($F$2="Otros",$B235="Otros",ISNUMBER(SEARCH($B235,$F$2)))),COUNT($C$2:C234)+1,""))</f>
        <v/>
      </c>
      <c r="G235" s="134" t="str">
        <f>IFERROR(INDEX($A$2:$A$507,MATCH(ROWS($G$2:G235),$C$2:$C$507,0)),IF(ROWS($G$2:G235)=1,"(sin matches)",""))</f>
        <v/>
      </c>
      <c r="I235" s="70" t="str">
        <f>IF($A235="","",IF(AND($B235&lt;&gt;"",ISNUMBER(SEARCH($I$7,$B235))),COUNT($I$9:I234)+1,""))</f>
        <v/>
      </c>
    </row>
    <row r="236" spans="1:9" ht="16" x14ac:dyDescent="0.25">
      <c r="A236" s="70">
        <f>Listas!E231</f>
        <v>0</v>
      </c>
      <c r="B236" s="70" t="str">
        <f t="shared" si="3"/>
        <v/>
      </c>
      <c r="C236" s="70" t="str">
        <f>IF($A236="","",IF(AND($B236&lt;&gt;"",IF($F$2="Otros",$B236="Otros",ISNUMBER(SEARCH($B236,$F$2)))),COUNT($C$2:C235)+1,""))</f>
        <v/>
      </c>
      <c r="G236" s="134" t="str">
        <f>IFERROR(INDEX($A$2:$A$507,MATCH(ROWS($G$2:G236),$C$2:$C$507,0)),IF(ROWS($G$2:G236)=1,"(sin matches)",""))</f>
        <v/>
      </c>
      <c r="I236" s="70" t="str">
        <f>IF($A236="","",IF(AND($B236&lt;&gt;"",ISNUMBER(SEARCH($I$7,$B236))),COUNT($I$9:I235)+1,""))</f>
        <v/>
      </c>
    </row>
    <row r="237" spans="1:9" ht="16" x14ac:dyDescent="0.25">
      <c r="A237" s="70">
        <f>Listas!E232</f>
        <v>0</v>
      </c>
      <c r="B237" s="70" t="str">
        <f t="shared" si="3"/>
        <v/>
      </c>
      <c r="C237" s="70" t="str">
        <f>IF($A237="","",IF(AND($B237&lt;&gt;"",IF($F$2="Otros",$B237="Otros",ISNUMBER(SEARCH($B237,$F$2)))),COUNT($C$2:C236)+1,""))</f>
        <v/>
      </c>
      <c r="G237" s="134" t="str">
        <f>IFERROR(INDEX($A$2:$A$507,MATCH(ROWS($G$2:G237),$C$2:$C$507,0)),IF(ROWS($G$2:G237)=1,"(sin matches)",""))</f>
        <v/>
      </c>
      <c r="I237" s="70" t="str">
        <f>IF($A237="","",IF(AND($B237&lt;&gt;"",ISNUMBER(SEARCH($I$7,$B237))),COUNT($I$9:I236)+1,""))</f>
        <v/>
      </c>
    </row>
    <row r="238" spans="1:9" ht="16" x14ac:dyDescent="0.25">
      <c r="A238" s="70">
        <f>Listas!E233</f>
        <v>0</v>
      </c>
      <c r="B238" s="70" t="str">
        <f t="shared" si="3"/>
        <v/>
      </c>
      <c r="C238" s="70" t="str">
        <f>IF($A238="","",IF(AND($B238&lt;&gt;"",IF($F$2="Otros",$B238="Otros",ISNUMBER(SEARCH($B238,$F$2)))),COUNT($C$2:C237)+1,""))</f>
        <v/>
      </c>
      <c r="G238" s="134" t="str">
        <f>IFERROR(INDEX($A$2:$A$507,MATCH(ROWS($G$2:G238),$C$2:$C$507,0)),IF(ROWS($G$2:G238)=1,"(sin matches)",""))</f>
        <v/>
      </c>
      <c r="I238" s="70" t="str">
        <f>IF($A238="","",IF(AND($B238&lt;&gt;"",ISNUMBER(SEARCH($I$7,$B238))),COUNT($I$9:I237)+1,""))</f>
        <v/>
      </c>
    </row>
    <row r="239" spans="1:9" ht="16" x14ac:dyDescent="0.25">
      <c r="A239" s="70">
        <f>Listas!E234</f>
        <v>0</v>
      </c>
      <c r="B239" s="70" t="str">
        <f t="shared" si="3"/>
        <v/>
      </c>
      <c r="C239" s="70" t="str">
        <f>IF($A239="","",IF(AND($B239&lt;&gt;"",IF($F$2="Otros",$B239="Otros",ISNUMBER(SEARCH($B239,$F$2)))),COUNT($C$2:C238)+1,""))</f>
        <v/>
      </c>
      <c r="G239" s="134" t="str">
        <f>IFERROR(INDEX($A$2:$A$507,MATCH(ROWS($G$2:G239),$C$2:$C$507,0)),IF(ROWS($G$2:G239)=1,"(sin matches)",""))</f>
        <v/>
      </c>
      <c r="I239" s="70" t="str">
        <f>IF($A239="","",IF(AND($B239&lt;&gt;"",ISNUMBER(SEARCH($I$7,$B239))),COUNT($I$9:I238)+1,""))</f>
        <v/>
      </c>
    </row>
    <row r="240" spans="1:9" ht="16" x14ac:dyDescent="0.25">
      <c r="A240" s="70">
        <f>Listas!E235</f>
        <v>0</v>
      </c>
      <c r="B240" s="70" t="str">
        <f t="shared" si="3"/>
        <v/>
      </c>
      <c r="C240" s="70" t="str">
        <f>IF($A240="","",IF(AND($B240&lt;&gt;"",IF($F$2="Otros",$B240="Otros",ISNUMBER(SEARCH($B240,$F$2)))),COUNT($C$2:C239)+1,""))</f>
        <v/>
      </c>
      <c r="G240" s="134" t="str">
        <f>IFERROR(INDEX($A$2:$A$507,MATCH(ROWS($G$2:G240),$C$2:$C$507,0)),IF(ROWS($G$2:G240)=1,"(sin matches)",""))</f>
        <v/>
      </c>
      <c r="I240" s="70" t="str">
        <f>IF($A240="","",IF(AND($B240&lt;&gt;"",ISNUMBER(SEARCH($I$7,$B240))),COUNT($I$9:I239)+1,""))</f>
        <v/>
      </c>
    </row>
    <row r="241" spans="1:9" ht="16" x14ac:dyDescent="0.25">
      <c r="A241" s="70">
        <f>Listas!E236</f>
        <v>0</v>
      </c>
      <c r="B241" s="70" t="str">
        <f t="shared" si="3"/>
        <v/>
      </c>
      <c r="C241" s="70" t="str">
        <f>IF($A241="","",IF(AND($B241&lt;&gt;"",IF($F$2="Otros",$B241="Otros",ISNUMBER(SEARCH($B241,$F$2)))),COUNT($C$2:C240)+1,""))</f>
        <v/>
      </c>
      <c r="G241" s="134" t="str">
        <f>IFERROR(INDEX($A$2:$A$507,MATCH(ROWS($G$2:G241),$C$2:$C$507,0)),IF(ROWS($G$2:G241)=1,"(sin matches)",""))</f>
        <v/>
      </c>
      <c r="I241" s="70" t="str">
        <f>IF($A241="","",IF(AND($B241&lt;&gt;"",ISNUMBER(SEARCH($I$7,$B241))),COUNT($I$9:I240)+1,""))</f>
        <v/>
      </c>
    </row>
    <row r="242" spans="1:9" ht="16" x14ac:dyDescent="0.25">
      <c r="A242" s="70">
        <f>Listas!E237</f>
        <v>0</v>
      </c>
      <c r="B242" s="70" t="str">
        <f t="shared" si="3"/>
        <v/>
      </c>
      <c r="C242" s="70" t="str">
        <f>IF($A242="","",IF(AND($B242&lt;&gt;"",IF($F$2="Otros",$B242="Otros",ISNUMBER(SEARCH($B242,$F$2)))),COUNT($C$2:C241)+1,""))</f>
        <v/>
      </c>
      <c r="G242" s="134" t="str">
        <f>IFERROR(INDEX($A$2:$A$507,MATCH(ROWS($G$2:G242),$C$2:$C$507,0)),IF(ROWS($G$2:G242)=1,"(sin matches)",""))</f>
        <v/>
      </c>
      <c r="I242" s="70" t="str">
        <f>IF($A242="","",IF(AND($B242&lt;&gt;"",ISNUMBER(SEARCH($I$7,$B242))),COUNT($I$9:I241)+1,""))</f>
        <v/>
      </c>
    </row>
    <row r="243" spans="1:9" ht="16" x14ac:dyDescent="0.25">
      <c r="A243" s="70">
        <f>Listas!E238</f>
        <v>0</v>
      </c>
      <c r="B243" s="70" t="str">
        <f t="shared" si="3"/>
        <v/>
      </c>
      <c r="C243" s="70" t="str">
        <f>IF($A243="","",IF(AND($B243&lt;&gt;"",IF($F$2="Otros",$B243="Otros",ISNUMBER(SEARCH($B243,$F$2)))),COUNT($C$2:C242)+1,""))</f>
        <v/>
      </c>
      <c r="G243" s="134" t="str">
        <f>IFERROR(INDEX($A$2:$A$507,MATCH(ROWS($G$2:G243),$C$2:$C$507,0)),IF(ROWS($G$2:G243)=1,"(sin matches)",""))</f>
        <v/>
      </c>
      <c r="I243" s="70" t="str">
        <f>IF($A243="","",IF(AND($B243&lt;&gt;"",ISNUMBER(SEARCH($I$7,$B243))),COUNT($I$9:I242)+1,""))</f>
        <v/>
      </c>
    </row>
    <row r="244" spans="1:9" ht="16" x14ac:dyDescent="0.25">
      <c r="A244" s="70">
        <f>Listas!E239</f>
        <v>0</v>
      </c>
      <c r="B244" s="70" t="str">
        <f t="shared" si="3"/>
        <v/>
      </c>
      <c r="C244" s="70" t="str">
        <f>IF($A244="","",IF(AND($B244&lt;&gt;"",IF($F$2="Otros",$B244="Otros",ISNUMBER(SEARCH($B244,$F$2)))),COUNT($C$2:C243)+1,""))</f>
        <v/>
      </c>
      <c r="G244" s="134" t="str">
        <f>IFERROR(INDEX($A$2:$A$507,MATCH(ROWS($G$2:G244),$C$2:$C$507,0)),IF(ROWS($G$2:G244)=1,"(sin matches)",""))</f>
        <v/>
      </c>
      <c r="I244" s="70" t="str">
        <f>IF($A244="","",IF(AND($B244&lt;&gt;"",ISNUMBER(SEARCH($I$7,$B244))),COUNT($I$9:I243)+1,""))</f>
        <v/>
      </c>
    </row>
    <row r="245" spans="1:9" ht="16" x14ac:dyDescent="0.25">
      <c r="A245" s="70">
        <f>Listas!E240</f>
        <v>0</v>
      </c>
      <c r="B245" s="70" t="str">
        <f t="shared" si="3"/>
        <v/>
      </c>
      <c r="C245" s="70" t="str">
        <f>IF($A245="","",IF(AND($B245&lt;&gt;"",IF($F$2="Otros",$B245="Otros",ISNUMBER(SEARCH($B245,$F$2)))),COUNT($C$2:C244)+1,""))</f>
        <v/>
      </c>
      <c r="G245" s="134" t="str">
        <f>IFERROR(INDEX($A$2:$A$507,MATCH(ROWS($G$2:G245),$C$2:$C$507,0)),IF(ROWS($G$2:G245)=1,"(sin matches)",""))</f>
        <v/>
      </c>
      <c r="I245" s="70" t="str">
        <f>IF($A245="","",IF(AND($B245&lt;&gt;"",ISNUMBER(SEARCH($I$7,$B245))),COUNT($I$9:I244)+1,""))</f>
        <v/>
      </c>
    </row>
    <row r="246" spans="1:9" ht="16" x14ac:dyDescent="0.25">
      <c r="A246" s="70">
        <f>Listas!E241</f>
        <v>0</v>
      </c>
      <c r="B246" s="70" t="str">
        <f t="shared" si="3"/>
        <v/>
      </c>
      <c r="C246" s="70" t="str">
        <f>IF($A246="","",IF(AND($B246&lt;&gt;"",IF($F$2="Otros",$B246="Otros",ISNUMBER(SEARCH($B246,$F$2)))),COUNT($C$2:C245)+1,""))</f>
        <v/>
      </c>
      <c r="G246" s="134" t="str">
        <f>IFERROR(INDEX($A$2:$A$507,MATCH(ROWS($G$2:G246),$C$2:$C$507,0)),IF(ROWS($G$2:G246)=1,"(sin matches)",""))</f>
        <v/>
      </c>
      <c r="I246" s="70" t="str">
        <f>IF($A246="","",IF(AND($B246&lt;&gt;"",ISNUMBER(SEARCH($I$7,$B246))),COUNT($I$9:I245)+1,""))</f>
        <v/>
      </c>
    </row>
    <row r="247" spans="1:9" ht="16" x14ac:dyDescent="0.25">
      <c r="A247" s="70">
        <f>Listas!E242</f>
        <v>0</v>
      </c>
      <c r="B247" s="70" t="str">
        <f t="shared" si="3"/>
        <v/>
      </c>
      <c r="C247" s="70" t="str">
        <f>IF($A247="","",IF(AND($B247&lt;&gt;"",IF($F$2="Otros",$B247="Otros",ISNUMBER(SEARCH($B247,$F$2)))),COUNT($C$2:C246)+1,""))</f>
        <v/>
      </c>
      <c r="G247" s="134" t="str">
        <f>IFERROR(INDEX($A$2:$A$507,MATCH(ROWS($G$2:G247),$C$2:$C$507,0)),IF(ROWS($G$2:G247)=1,"(sin matches)",""))</f>
        <v/>
      </c>
      <c r="I247" s="70" t="str">
        <f>IF($A247="","",IF(AND($B247&lt;&gt;"",ISNUMBER(SEARCH($I$7,$B247))),COUNT($I$9:I246)+1,""))</f>
        <v/>
      </c>
    </row>
    <row r="248" spans="1:9" ht="16" x14ac:dyDescent="0.25">
      <c r="A248" s="70">
        <f>Listas!E243</f>
        <v>0</v>
      </c>
      <c r="B248" s="70" t="str">
        <f t="shared" si="3"/>
        <v/>
      </c>
      <c r="C248" s="70" t="str">
        <f>IF($A248="","",IF(AND($B248&lt;&gt;"",IF($F$2="Otros",$B248="Otros",ISNUMBER(SEARCH($B248,$F$2)))),COUNT($C$2:C247)+1,""))</f>
        <v/>
      </c>
      <c r="G248" s="134" t="str">
        <f>IFERROR(INDEX($A$2:$A$507,MATCH(ROWS($G$2:G248),$C$2:$C$507,0)),IF(ROWS($G$2:G248)=1,"(sin matches)",""))</f>
        <v/>
      </c>
      <c r="I248" s="70" t="str">
        <f>IF($A248="","",IF(AND($B248&lt;&gt;"",ISNUMBER(SEARCH($I$7,$B248))),COUNT($I$9:I247)+1,""))</f>
        <v/>
      </c>
    </row>
    <row r="249" spans="1:9" ht="16" x14ac:dyDescent="0.25">
      <c r="A249" s="70">
        <f>Listas!E244</f>
        <v>0</v>
      </c>
      <c r="B249" s="70" t="str">
        <f t="shared" si="3"/>
        <v/>
      </c>
      <c r="C249" s="70" t="str">
        <f>IF($A249="","",IF(AND($B249&lt;&gt;"",IF($F$2="Otros",$B249="Otros",ISNUMBER(SEARCH($B249,$F$2)))),COUNT($C$2:C248)+1,""))</f>
        <v/>
      </c>
      <c r="G249" s="134" t="str">
        <f>IFERROR(INDEX($A$2:$A$507,MATCH(ROWS($G$2:G249),$C$2:$C$507,0)),IF(ROWS($G$2:G249)=1,"(sin matches)",""))</f>
        <v/>
      </c>
      <c r="I249" s="70" t="str">
        <f>IF($A249="","",IF(AND($B249&lt;&gt;"",ISNUMBER(SEARCH($I$7,$B249))),COUNT($I$9:I248)+1,""))</f>
        <v/>
      </c>
    </row>
    <row r="250" spans="1:9" ht="16" x14ac:dyDescent="0.25">
      <c r="A250" s="70">
        <f>Listas!E245</f>
        <v>0</v>
      </c>
      <c r="B250" s="70" t="str">
        <f t="shared" si="3"/>
        <v/>
      </c>
      <c r="C250" s="70" t="str">
        <f>IF($A250="","",IF(AND($B250&lt;&gt;"",IF($F$2="Otros",$B250="Otros",ISNUMBER(SEARCH($B250,$F$2)))),COUNT($C$2:C249)+1,""))</f>
        <v/>
      </c>
      <c r="G250" s="134" t="str">
        <f>IFERROR(INDEX($A$2:$A$507,MATCH(ROWS($G$2:G250),$C$2:$C$507,0)),IF(ROWS($G$2:G250)=1,"(sin matches)",""))</f>
        <v/>
      </c>
      <c r="I250" s="70" t="str">
        <f>IF($A250="","",IF(AND($B250&lt;&gt;"",ISNUMBER(SEARCH($I$7,$B250))),COUNT($I$9:I249)+1,""))</f>
        <v/>
      </c>
    </row>
    <row r="251" spans="1:9" ht="16" x14ac:dyDescent="0.25">
      <c r="A251" s="70">
        <f>Listas!E246</f>
        <v>0</v>
      </c>
      <c r="B251" s="70" t="str">
        <f t="shared" si="3"/>
        <v/>
      </c>
      <c r="C251" s="70" t="str">
        <f>IF($A251="","",IF(AND($B251&lt;&gt;"",IF($F$2="Otros",$B251="Otros",ISNUMBER(SEARCH($B251,$F$2)))),COUNT($C$2:C250)+1,""))</f>
        <v/>
      </c>
      <c r="G251" s="134" t="str">
        <f>IFERROR(INDEX($A$2:$A$507,MATCH(ROWS($G$2:G251),$C$2:$C$507,0)),IF(ROWS($G$2:G251)=1,"(sin matches)",""))</f>
        <v/>
      </c>
      <c r="I251" s="70" t="str">
        <f>IF($A251="","",IF(AND($B251&lt;&gt;"",ISNUMBER(SEARCH($I$7,$B251))),COUNT($I$9:I250)+1,""))</f>
        <v/>
      </c>
    </row>
    <row r="252" spans="1:9" ht="16" x14ac:dyDescent="0.25">
      <c r="A252" s="70">
        <f>Listas!E247</f>
        <v>0</v>
      </c>
      <c r="B252" s="70" t="str">
        <f t="shared" si="3"/>
        <v/>
      </c>
      <c r="C252" s="70" t="str">
        <f>IF($A252="","",IF(AND($B252&lt;&gt;"",IF($F$2="Otros",$B252="Otros",ISNUMBER(SEARCH($B252,$F$2)))),COUNT($C$2:C251)+1,""))</f>
        <v/>
      </c>
      <c r="G252" s="134" t="str">
        <f>IFERROR(INDEX($A$2:$A$507,MATCH(ROWS($G$2:G252),$C$2:$C$507,0)),IF(ROWS($G$2:G252)=1,"(sin matches)",""))</f>
        <v/>
      </c>
      <c r="I252" s="70" t="str">
        <f>IF($A252="","",IF(AND($B252&lt;&gt;"",ISNUMBER(SEARCH($I$7,$B252))),COUNT($I$9:I251)+1,""))</f>
        <v/>
      </c>
    </row>
    <row r="253" spans="1:9" ht="16" x14ac:dyDescent="0.25">
      <c r="A253" s="70">
        <f>Listas!E248</f>
        <v>0</v>
      </c>
      <c r="B253" s="70" t="str">
        <f t="shared" si="3"/>
        <v/>
      </c>
      <c r="C253" s="70" t="str">
        <f>IF($A253="","",IF(AND($B253&lt;&gt;"",IF($F$2="Otros",$B253="Otros",ISNUMBER(SEARCH($B253,$F$2)))),COUNT($C$2:C252)+1,""))</f>
        <v/>
      </c>
      <c r="G253" s="134" t="str">
        <f>IFERROR(INDEX($A$2:$A$507,MATCH(ROWS($G$2:G253),$C$2:$C$507,0)),IF(ROWS($G$2:G253)=1,"(sin matches)",""))</f>
        <v/>
      </c>
      <c r="I253" s="70" t="str">
        <f>IF($A253="","",IF(AND($B253&lt;&gt;"",ISNUMBER(SEARCH($I$7,$B253))),COUNT($I$9:I252)+1,""))</f>
        <v/>
      </c>
    </row>
    <row r="254" spans="1:9" ht="16" x14ac:dyDescent="0.25">
      <c r="A254" s="70">
        <f>Listas!E249</f>
        <v>0</v>
      </c>
      <c r="B254" s="70" t="str">
        <f t="shared" si="3"/>
        <v/>
      </c>
      <c r="C254" s="70" t="str">
        <f>IF($A254="","",IF(AND($B254&lt;&gt;"",IF($F$2="Otros",$B254="Otros",ISNUMBER(SEARCH($B254,$F$2)))),COUNT($C$2:C253)+1,""))</f>
        <v/>
      </c>
      <c r="G254" s="134" t="str">
        <f>IFERROR(INDEX($A$2:$A$507,MATCH(ROWS($G$2:G254),$C$2:$C$507,0)),IF(ROWS($G$2:G254)=1,"(sin matches)",""))</f>
        <v/>
      </c>
      <c r="I254" s="70" t="str">
        <f>IF($A254="","",IF(AND($B254&lt;&gt;"",ISNUMBER(SEARCH($I$7,$B254))),COUNT($I$9:I253)+1,""))</f>
        <v/>
      </c>
    </row>
    <row r="255" spans="1:9" ht="16" x14ac:dyDescent="0.25">
      <c r="A255" s="70">
        <f>Listas!E250</f>
        <v>0</v>
      </c>
      <c r="B255" s="70" t="str">
        <f t="shared" si="3"/>
        <v/>
      </c>
      <c r="C255" s="70" t="str">
        <f>IF($A255="","",IF(AND($B255&lt;&gt;"",IF($F$2="Otros",$B255="Otros",ISNUMBER(SEARCH($B255,$F$2)))),COUNT($C$2:C254)+1,""))</f>
        <v/>
      </c>
      <c r="G255" s="134" t="str">
        <f>IFERROR(INDEX($A$2:$A$507,MATCH(ROWS($G$2:G255),$C$2:$C$507,0)),IF(ROWS($G$2:G255)=1,"(sin matches)",""))</f>
        <v/>
      </c>
      <c r="I255" s="70" t="str">
        <f>IF($A255="","",IF(AND($B255&lt;&gt;"",ISNUMBER(SEARCH($I$7,$B255))),COUNT($I$9:I254)+1,""))</f>
        <v/>
      </c>
    </row>
    <row r="256" spans="1:9" ht="16" x14ac:dyDescent="0.25">
      <c r="A256" s="70">
        <f>Listas!E251</f>
        <v>0</v>
      </c>
      <c r="B256" s="70" t="str">
        <f t="shared" si="3"/>
        <v/>
      </c>
      <c r="C256" s="70" t="str">
        <f>IF($A256="","",IF(AND($B256&lt;&gt;"",IF($F$2="Otros",$B256="Otros",ISNUMBER(SEARCH($B256,$F$2)))),COUNT($C$2:C255)+1,""))</f>
        <v/>
      </c>
      <c r="G256" s="134" t="str">
        <f>IFERROR(INDEX($A$2:$A$507,MATCH(ROWS($G$2:G256),$C$2:$C$507,0)),IF(ROWS($G$2:G256)=1,"(sin matches)",""))</f>
        <v/>
      </c>
      <c r="I256" s="70" t="str">
        <f>IF($A256="","",IF(AND($B256&lt;&gt;"",ISNUMBER(SEARCH($I$7,$B256))),COUNT($I$9:I255)+1,""))</f>
        <v/>
      </c>
    </row>
    <row r="257" spans="1:9" ht="16" x14ac:dyDescent="0.25">
      <c r="A257" s="70">
        <f>Listas!E252</f>
        <v>0</v>
      </c>
      <c r="B257" s="70" t="str">
        <f t="shared" si="3"/>
        <v/>
      </c>
      <c r="C257" s="70" t="str">
        <f>IF($A257="","",IF(AND($B257&lt;&gt;"",IF($F$2="Otros",$B257="Otros",ISNUMBER(SEARCH($B257,$F$2)))),COUNT($C$2:C256)+1,""))</f>
        <v/>
      </c>
      <c r="G257" s="134" t="str">
        <f>IFERROR(INDEX($A$2:$A$507,MATCH(ROWS($G$2:G257),$C$2:$C$507,0)),IF(ROWS($G$2:G257)=1,"(sin matches)",""))</f>
        <v/>
      </c>
      <c r="I257" s="70" t="str">
        <f>IF($A257="","",IF(AND($B257&lt;&gt;"",ISNUMBER(SEARCH($I$7,$B257))),COUNT($I$9:I256)+1,""))</f>
        <v/>
      </c>
    </row>
    <row r="258" spans="1:9" ht="16" x14ac:dyDescent="0.25">
      <c r="A258" s="70">
        <f>Listas!E253</f>
        <v>0</v>
      </c>
      <c r="B258" s="70" t="str">
        <f t="shared" si="3"/>
        <v/>
      </c>
      <c r="C258" s="70" t="str">
        <f>IF($A258="","",IF(AND($B258&lt;&gt;"",IF($F$2="Otros",$B258="Otros",ISNUMBER(SEARCH($B258,$F$2)))),COUNT($C$2:C257)+1,""))</f>
        <v/>
      </c>
      <c r="G258" s="134" t="str">
        <f>IFERROR(INDEX($A$2:$A$507,MATCH(ROWS($G$2:G258),$C$2:$C$507,0)),IF(ROWS($G$2:G258)=1,"(sin matches)",""))</f>
        <v/>
      </c>
      <c r="I258" s="70" t="str">
        <f>IF($A258="","",IF(AND($B258&lt;&gt;"",ISNUMBER(SEARCH($I$7,$B258))),COUNT($I$9:I257)+1,""))</f>
        <v/>
      </c>
    </row>
    <row r="259" spans="1:9" ht="16" x14ac:dyDescent="0.25">
      <c r="A259" s="70">
        <f>Listas!E254</f>
        <v>0</v>
      </c>
      <c r="B259" s="70" t="str">
        <f t="shared" si="3"/>
        <v/>
      </c>
      <c r="C259" s="70" t="str">
        <f>IF($A259="","",IF(AND($B259&lt;&gt;"",IF($F$2="Otros",$B259="Otros",ISNUMBER(SEARCH($B259,$F$2)))),COUNT($C$2:C258)+1,""))</f>
        <v/>
      </c>
      <c r="G259" s="134" t="str">
        <f>IFERROR(INDEX($A$2:$A$507,MATCH(ROWS($G$2:G259),$C$2:$C$507,0)),IF(ROWS($G$2:G259)=1,"(sin matches)",""))</f>
        <v/>
      </c>
      <c r="I259" s="70" t="str">
        <f>IF($A259="","",IF(AND($B259&lt;&gt;"",ISNUMBER(SEARCH($I$7,$B259))),COUNT($I$9:I258)+1,""))</f>
        <v/>
      </c>
    </row>
    <row r="260" spans="1:9" ht="16" x14ac:dyDescent="0.25">
      <c r="A260" s="70">
        <f>Listas!E255</f>
        <v>0</v>
      </c>
      <c r="B260" s="70" t="str">
        <f t="shared" si="3"/>
        <v/>
      </c>
      <c r="C260" s="70" t="str">
        <f>IF($A260="","",IF(AND($B260&lt;&gt;"",IF($F$2="Otros",$B260="Otros",ISNUMBER(SEARCH($B260,$F$2)))),COUNT($C$2:C259)+1,""))</f>
        <v/>
      </c>
      <c r="G260" s="134" t="str">
        <f>IFERROR(INDEX($A$2:$A$507,MATCH(ROWS($G$2:G260),$C$2:$C$507,0)),IF(ROWS($G$2:G260)=1,"(sin matches)",""))</f>
        <v/>
      </c>
      <c r="I260" s="70" t="str">
        <f>IF($A260="","",IF(AND($B260&lt;&gt;"",ISNUMBER(SEARCH($I$7,$B260))),COUNT($I$9:I259)+1,""))</f>
        <v/>
      </c>
    </row>
    <row r="261" spans="1:9" ht="16" x14ac:dyDescent="0.25">
      <c r="A261" s="70">
        <f>Listas!E256</f>
        <v>0</v>
      </c>
      <c r="B261" s="70" t="str">
        <f t="shared" si="3"/>
        <v/>
      </c>
      <c r="C261" s="70" t="str">
        <f>IF($A261="","",IF(AND($B261&lt;&gt;"",IF($F$2="Otros",$B261="Otros",ISNUMBER(SEARCH($B261,$F$2)))),COUNT($C$2:C260)+1,""))</f>
        <v/>
      </c>
      <c r="G261" s="134" t="str">
        <f>IFERROR(INDEX($A$2:$A$507,MATCH(ROWS($G$2:G261),$C$2:$C$507,0)),IF(ROWS($G$2:G261)=1,"(sin matches)",""))</f>
        <v/>
      </c>
      <c r="I261" s="70" t="str">
        <f>IF($A261="","",IF(AND($B261&lt;&gt;"",ISNUMBER(SEARCH($I$7,$B261))),COUNT($I$9:I260)+1,""))</f>
        <v/>
      </c>
    </row>
    <row r="262" spans="1:9" ht="16" x14ac:dyDescent="0.25">
      <c r="A262" s="70">
        <f>Listas!E257</f>
        <v>0</v>
      </c>
      <c r="B262" s="70" t="str">
        <f t="shared" si="3"/>
        <v/>
      </c>
      <c r="C262" s="70" t="str">
        <f>IF($A262="","",IF(AND($B262&lt;&gt;"",IF($F$2="Otros",$B262="Otros",ISNUMBER(SEARCH($B262,$F$2)))),COUNT($C$2:C261)+1,""))</f>
        <v/>
      </c>
      <c r="G262" s="134" t="str">
        <f>IFERROR(INDEX($A$2:$A$507,MATCH(ROWS($G$2:G262),$C$2:$C$507,0)),IF(ROWS($G$2:G262)=1,"(sin matches)",""))</f>
        <v/>
      </c>
      <c r="I262" s="70" t="str">
        <f>IF($A262="","",IF(AND($B262&lt;&gt;"",ISNUMBER(SEARCH($I$7,$B262))),COUNT($I$9:I261)+1,""))</f>
        <v/>
      </c>
    </row>
    <row r="263" spans="1:9" ht="16" x14ac:dyDescent="0.25">
      <c r="A263" s="70">
        <f>Listas!E258</f>
        <v>0</v>
      </c>
      <c r="B263" s="70" t="str">
        <f t="shared" si="3"/>
        <v/>
      </c>
      <c r="C263" s="70" t="str">
        <f>IF($A263="","",IF(AND($B263&lt;&gt;"",IF($F$2="Otros",$B263="Otros",ISNUMBER(SEARCH($B263,$F$2)))),COUNT($C$2:C262)+1,""))</f>
        <v/>
      </c>
      <c r="G263" s="134" t="str">
        <f>IFERROR(INDEX($A$2:$A$507,MATCH(ROWS($G$2:G263),$C$2:$C$507,0)),IF(ROWS($G$2:G263)=1,"(sin matches)",""))</f>
        <v/>
      </c>
      <c r="I263" s="70" t="str">
        <f>IF($A263="","",IF(AND($B263&lt;&gt;"",ISNUMBER(SEARCH($I$7,$B263))),COUNT($I$9:I262)+1,""))</f>
        <v/>
      </c>
    </row>
    <row r="264" spans="1:9" ht="16" x14ac:dyDescent="0.25">
      <c r="A264" s="70">
        <f>Listas!E259</f>
        <v>0</v>
      </c>
      <c r="B264" s="70" t="str">
        <f t="shared" si="3"/>
        <v/>
      </c>
      <c r="C264" s="70" t="str">
        <f>IF($A264="","",IF(AND($B264&lt;&gt;"",IF($F$2="Otros",$B264="Otros",ISNUMBER(SEARCH($B264,$F$2)))),COUNT($C$2:C263)+1,""))</f>
        <v/>
      </c>
      <c r="G264" s="134" t="str">
        <f>IFERROR(INDEX($A$2:$A$507,MATCH(ROWS($G$2:G264),$C$2:$C$507,0)),IF(ROWS($G$2:G264)=1,"(sin matches)",""))</f>
        <v/>
      </c>
      <c r="I264" s="70" t="str">
        <f>IF($A264="","",IF(AND($B264&lt;&gt;"",ISNUMBER(SEARCH($I$7,$B264))),COUNT($I$9:I263)+1,""))</f>
        <v/>
      </c>
    </row>
    <row r="265" spans="1:9" ht="16" x14ac:dyDescent="0.25">
      <c r="A265" s="70">
        <f>Listas!E260</f>
        <v>0</v>
      </c>
      <c r="B265" s="70" t="str">
        <f t="shared" si="3"/>
        <v/>
      </c>
      <c r="C265" s="70" t="str">
        <f>IF($A265="","",IF(AND($B265&lt;&gt;"",IF($F$2="Otros",$B265="Otros",ISNUMBER(SEARCH($B265,$F$2)))),COUNT($C$2:C264)+1,""))</f>
        <v/>
      </c>
      <c r="G265" s="134" t="str">
        <f>IFERROR(INDEX($A$2:$A$507,MATCH(ROWS($G$2:G265),$C$2:$C$507,0)),IF(ROWS($G$2:G265)=1,"(sin matches)",""))</f>
        <v/>
      </c>
      <c r="I265" s="70" t="str">
        <f>IF($A265="","",IF(AND($B265&lt;&gt;"",ISNUMBER(SEARCH($I$7,$B265))),COUNT($I$9:I264)+1,""))</f>
        <v/>
      </c>
    </row>
    <row r="266" spans="1:9" ht="16" x14ac:dyDescent="0.25">
      <c r="A266" s="70">
        <f>Listas!E261</f>
        <v>0</v>
      </c>
      <c r="B266" s="70"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
      </c>
      <c r="C266" s="70" t="str">
        <f>IF($A266="","",IF(AND($B266&lt;&gt;"",IF($F$2="Otros",$B266="Otros",ISNUMBER(SEARCH($B266,$F$2)))),COUNT($C$2:C265)+1,""))</f>
        <v/>
      </c>
      <c r="G266" s="134" t="str">
        <f>IFERROR(INDEX($A$2:$A$507,MATCH(ROWS($G$2:G266),$C$2:$C$507,0)),IF(ROWS($G$2:G266)=1,"(sin matches)",""))</f>
        <v/>
      </c>
      <c r="I266" s="70" t="str">
        <f>IF($A266="","",IF(AND($B266&lt;&gt;"",ISNUMBER(SEARCH($I$7,$B266))),COUNT($I$9:I265)+1,""))</f>
        <v/>
      </c>
    </row>
    <row r="267" spans="1:9" ht="16" x14ac:dyDescent="0.25">
      <c r="A267" s="70">
        <f>Listas!E262</f>
        <v>0</v>
      </c>
      <c r="B267" s="70" t="str">
        <f t="shared" si="4"/>
        <v/>
      </c>
      <c r="C267" s="70" t="str">
        <f>IF($A267="","",IF(AND($B267&lt;&gt;"",IF($F$2="Otros",$B267="Otros",ISNUMBER(SEARCH($B267,$F$2)))),COUNT($C$2:C266)+1,""))</f>
        <v/>
      </c>
      <c r="G267" s="134" t="str">
        <f>IFERROR(INDEX($A$2:$A$507,MATCH(ROWS($G$2:G267),$C$2:$C$507,0)),IF(ROWS($G$2:G267)=1,"(sin matches)",""))</f>
        <v/>
      </c>
      <c r="I267" s="70" t="str">
        <f>IF($A267="","",IF(AND($B267&lt;&gt;"",ISNUMBER(SEARCH($I$7,$B267))),COUNT($I$9:I266)+1,""))</f>
        <v/>
      </c>
    </row>
    <row r="268" spans="1:9" ht="16" x14ac:dyDescent="0.25">
      <c r="A268" s="70">
        <f>Listas!E263</f>
        <v>0</v>
      </c>
      <c r="B268" s="70" t="str">
        <f t="shared" si="4"/>
        <v/>
      </c>
      <c r="C268" s="70" t="str">
        <f>IF($A268="","",IF(AND($B268&lt;&gt;"",IF($F$2="Otros",$B268="Otros",ISNUMBER(SEARCH($B268,$F$2)))),COUNT($C$2:C267)+1,""))</f>
        <v/>
      </c>
      <c r="G268" s="134" t="str">
        <f>IFERROR(INDEX($A$2:$A$507,MATCH(ROWS($G$2:G268),$C$2:$C$507,0)),IF(ROWS($G$2:G268)=1,"(sin matches)",""))</f>
        <v/>
      </c>
      <c r="I268" s="70" t="str">
        <f>IF($A268="","",IF(AND($B268&lt;&gt;"",ISNUMBER(SEARCH($I$7,$B268))),COUNT($I$9:I267)+1,""))</f>
        <v/>
      </c>
    </row>
    <row r="269" spans="1:9" ht="16" x14ac:dyDescent="0.25">
      <c r="A269" s="70">
        <f>Listas!E264</f>
        <v>0</v>
      </c>
      <c r="B269" s="70" t="str">
        <f t="shared" si="4"/>
        <v/>
      </c>
      <c r="C269" s="70" t="str">
        <f>IF($A269="","",IF(AND($B269&lt;&gt;"",IF($F$2="Otros",$B269="Otros",ISNUMBER(SEARCH($B269,$F$2)))),COUNT($C$2:C268)+1,""))</f>
        <v/>
      </c>
      <c r="G269" s="134" t="str">
        <f>IFERROR(INDEX($A$2:$A$507,MATCH(ROWS($G$2:G269),$C$2:$C$507,0)),IF(ROWS($G$2:G269)=1,"(sin matches)",""))</f>
        <v/>
      </c>
      <c r="I269" s="70" t="str">
        <f>IF($A269="","",IF(AND($B269&lt;&gt;"",ISNUMBER(SEARCH($I$7,$B269))),COUNT($I$9:I268)+1,""))</f>
        <v/>
      </c>
    </row>
    <row r="270" spans="1:9" ht="16" x14ac:dyDescent="0.25">
      <c r="A270" s="70">
        <f>Listas!E265</f>
        <v>0</v>
      </c>
      <c r="B270" s="70" t="str">
        <f t="shared" si="4"/>
        <v/>
      </c>
      <c r="C270" s="70" t="str">
        <f>IF($A270="","",IF(AND($B270&lt;&gt;"",IF($F$2="Otros",$B270="Otros",ISNUMBER(SEARCH($B270,$F$2)))),COUNT($C$2:C269)+1,""))</f>
        <v/>
      </c>
      <c r="G270" s="134" t="str">
        <f>IFERROR(INDEX($A$2:$A$507,MATCH(ROWS($G$2:G270),$C$2:$C$507,0)),IF(ROWS($G$2:G270)=1,"(sin matches)",""))</f>
        <v/>
      </c>
      <c r="I270" s="70" t="str">
        <f>IF($A270="","",IF(AND($B270&lt;&gt;"",ISNUMBER(SEARCH($I$7,$B270))),COUNT($I$9:I269)+1,""))</f>
        <v/>
      </c>
    </row>
    <row r="271" spans="1:9" ht="16" x14ac:dyDescent="0.25">
      <c r="A271" s="70">
        <f>Listas!E266</f>
        <v>0</v>
      </c>
      <c r="B271" s="70" t="str">
        <f t="shared" si="4"/>
        <v/>
      </c>
      <c r="C271" s="70" t="str">
        <f>IF($A271="","",IF(AND($B271&lt;&gt;"",IF($F$2="Otros",$B271="Otros",ISNUMBER(SEARCH($B271,$F$2)))),COUNT($C$2:C270)+1,""))</f>
        <v/>
      </c>
      <c r="G271" s="134" t="str">
        <f>IFERROR(INDEX($A$2:$A$507,MATCH(ROWS($G$2:G271),$C$2:$C$507,0)),IF(ROWS($G$2:G271)=1,"(sin matches)",""))</f>
        <v/>
      </c>
      <c r="I271" s="70" t="str">
        <f>IF($A271="","",IF(AND($B271&lt;&gt;"",ISNUMBER(SEARCH($I$7,$B271))),COUNT($I$9:I270)+1,""))</f>
        <v/>
      </c>
    </row>
    <row r="272" spans="1:9" ht="16" x14ac:dyDescent="0.25">
      <c r="A272" s="70">
        <f>Listas!E267</f>
        <v>0</v>
      </c>
      <c r="B272" s="70" t="str">
        <f t="shared" si="4"/>
        <v/>
      </c>
      <c r="C272" s="70" t="str">
        <f>IF($A272="","",IF(AND($B272&lt;&gt;"",IF($F$2="Otros",$B272="Otros",ISNUMBER(SEARCH($B272,$F$2)))),COUNT($C$2:C271)+1,""))</f>
        <v/>
      </c>
      <c r="G272" s="134" t="str">
        <f>IFERROR(INDEX($A$2:$A$507,MATCH(ROWS($G$2:G272),$C$2:$C$507,0)),IF(ROWS($G$2:G272)=1,"(sin matches)",""))</f>
        <v/>
      </c>
      <c r="I272" s="70" t="str">
        <f>IF($A272="","",IF(AND($B272&lt;&gt;"",ISNUMBER(SEARCH($I$7,$B272))),COUNT($I$9:I271)+1,""))</f>
        <v/>
      </c>
    </row>
    <row r="273" spans="1:9" ht="16" x14ac:dyDescent="0.25">
      <c r="A273" s="70">
        <f>Listas!E268</f>
        <v>0</v>
      </c>
      <c r="B273" s="70" t="str">
        <f t="shared" si="4"/>
        <v/>
      </c>
      <c r="C273" s="70" t="str">
        <f>IF($A273="","",IF(AND($B273&lt;&gt;"",IF($F$2="Otros",$B273="Otros",ISNUMBER(SEARCH($B273,$F$2)))),COUNT($C$2:C272)+1,""))</f>
        <v/>
      </c>
      <c r="G273" s="134" t="str">
        <f>IFERROR(INDEX($A$2:$A$507,MATCH(ROWS($G$2:G273),$C$2:$C$507,0)),IF(ROWS($G$2:G273)=1,"(sin matches)",""))</f>
        <v/>
      </c>
      <c r="I273" s="70" t="str">
        <f>IF($A273="","",IF(AND($B273&lt;&gt;"",ISNUMBER(SEARCH($I$7,$B273))),COUNT($I$9:I272)+1,""))</f>
        <v/>
      </c>
    </row>
    <row r="274" spans="1:9" ht="16" x14ac:dyDescent="0.25">
      <c r="A274" s="70">
        <f>Listas!E269</f>
        <v>0</v>
      </c>
      <c r="B274" s="70" t="str">
        <f t="shared" si="4"/>
        <v/>
      </c>
      <c r="C274" s="70" t="str">
        <f>IF($A274="","",IF(AND($B274&lt;&gt;"",IF($F$2="Otros",$B274="Otros",ISNUMBER(SEARCH($B274,$F$2)))),COUNT($C$2:C273)+1,""))</f>
        <v/>
      </c>
      <c r="G274" s="134" t="str">
        <f>IFERROR(INDEX($A$2:$A$507,MATCH(ROWS($G$2:G274),$C$2:$C$507,0)),IF(ROWS($G$2:G274)=1,"(sin matches)",""))</f>
        <v/>
      </c>
      <c r="I274" s="70" t="str">
        <f>IF($A274="","",IF(AND($B274&lt;&gt;"",ISNUMBER(SEARCH($I$7,$B274))),COUNT($I$9:I273)+1,""))</f>
        <v/>
      </c>
    </row>
    <row r="275" spans="1:9" ht="16" x14ac:dyDescent="0.25">
      <c r="A275" s="70">
        <f>Listas!E270</f>
        <v>0</v>
      </c>
      <c r="B275" s="70" t="str">
        <f t="shared" si="4"/>
        <v/>
      </c>
      <c r="C275" s="70" t="str">
        <f>IF($A275="","",IF(AND($B275&lt;&gt;"",IF($F$2="Otros",$B275="Otros",ISNUMBER(SEARCH($B275,$F$2)))),COUNT($C$2:C274)+1,""))</f>
        <v/>
      </c>
      <c r="G275" s="134" t="str">
        <f>IFERROR(INDEX($A$2:$A$507,MATCH(ROWS($G$2:G275),$C$2:$C$507,0)),IF(ROWS($G$2:G275)=1,"(sin matches)",""))</f>
        <v/>
      </c>
      <c r="I275" s="70" t="str">
        <f>IF($A275="","",IF(AND($B275&lt;&gt;"",ISNUMBER(SEARCH($I$7,$B275))),COUNT($I$9:I274)+1,""))</f>
        <v/>
      </c>
    </row>
    <row r="276" spans="1:9" ht="16" x14ac:dyDescent="0.25">
      <c r="A276" s="70">
        <f>Listas!E271</f>
        <v>0</v>
      </c>
      <c r="B276" s="70" t="str">
        <f t="shared" si="4"/>
        <v/>
      </c>
      <c r="C276" s="70" t="str">
        <f>IF($A276="","",IF(AND($B276&lt;&gt;"",IF($F$2="Otros",$B276="Otros",ISNUMBER(SEARCH($B276,$F$2)))),COUNT($C$2:C275)+1,""))</f>
        <v/>
      </c>
      <c r="G276" s="134" t="str">
        <f>IFERROR(INDEX($A$2:$A$507,MATCH(ROWS($G$2:G276),$C$2:$C$507,0)),IF(ROWS($G$2:G276)=1,"(sin matches)",""))</f>
        <v/>
      </c>
      <c r="I276" s="70" t="str">
        <f>IF($A276="","",IF(AND($B276&lt;&gt;"",ISNUMBER(SEARCH($I$7,$B276))),COUNT($I$9:I275)+1,""))</f>
        <v/>
      </c>
    </row>
    <row r="277" spans="1:9" ht="16" x14ac:dyDescent="0.25">
      <c r="A277" s="70">
        <f>Listas!E272</f>
        <v>0</v>
      </c>
      <c r="B277" s="70" t="str">
        <f t="shared" si="4"/>
        <v/>
      </c>
      <c r="C277" s="70" t="str">
        <f>IF($A277="","",IF(AND($B277&lt;&gt;"",IF($F$2="Otros",$B277="Otros",ISNUMBER(SEARCH($B277,$F$2)))),COUNT($C$2:C276)+1,""))</f>
        <v/>
      </c>
      <c r="G277" s="134" t="str">
        <f>IFERROR(INDEX($A$2:$A$507,MATCH(ROWS($G$2:G277),$C$2:$C$507,0)),IF(ROWS($G$2:G277)=1,"(sin matches)",""))</f>
        <v/>
      </c>
      <c r="I277" s="70" t="str">
        <f>IF($A277="","",IF(AND($B277&lt;&gt;"",ISNUMBER(SEARCH($I$7,$B277))),COUNT($I$9:I276)+1,""))</f>
        <v/>
      </c>
    </row>
    <row r="278" spans="1:9" ht="16" x14ac:dyDescent="0.25">
      <c r="A278" s="70">
        <f>Listas!E273</f>
        <v>0</v>
      </c>
      <c r="B278" s="70" t="str">
        <f t="shared" si="4"/>
        <v/>
      </c>
      <c r="C278" s="70" t="str">
        <f>IF($A278="","",IF(AND($B278&lt;&gt;"",IF($F$2="Otros",$B278="Otros",ISNUMBER(SEARCH($B278,$F$2)))),COUNT($C$2:C277)+1,""))</f>
        <v/>
      </c>
      <c r="G278" s="134" t="str">
        <f>IFERROR(INDEX($A$2:$A$507,MATCH(ROWS($G$2:G278),$C$2:$C$507,0)),IF(ROWS($G$2:G278)=1,"(sin matches)",""))</f>
        <v/>
      </c>
      <c r="I278" s="70" t="str">
        <f>IF($A278="","",IF(AND($B278&lt;&gt;"",ISNUMBER(SEARCH($I$7,$B278))),COUNT($I$9:I277)+1,""))</f>
        <v/>
      </c>
    </row>
    <row r="279" spans="1:9" ht="16" x14ac:dyDescent="0.25">
      <c r="A279" s="70">
        <f>Listas!E274</f>
        <v>0</v>
      </c>
      <c r="B279" s="70" t="str">
        <f t="shared" si="4"/>
        <v/>
      </c>
      <c r="C279" s="70" t="str">
        <f>IF($A279="","",IF(AND($B279&lt;&gt;"",IF($F$2="Otros",$B279="Otros",ISNUMBER(SEARCH($B279,$F$2)))),COUNT($C$2:C278)+1,""))</f>
        <v/>
      </c>
      <c r="G279" s="134" t="str">
        <f>IFERROR(INDEX($A$2:$A$507,MATCH(ROWS($G$2:G279),$C$2:$C$507,0)),IF(ROWS($G$2:G279)=1,"(sin matches)",""))</f>
        <v/>
      </c>
      <c r="I279" s="70" t="str">
        <f>IF($A279="","",IF(AND($B279&lt;&gt;"",ISNUMBER(SEARCH($I$7,$B279))),COUNT($I$9:I278)+1,""))</f>
        <v/>
      </c>
    </row>
    <row r="280" spans="1:9" ht="16" x14ac:dyDescent="0.25">
      <c r="A280" s="70">
        <f>Listas!E275</f>
        <v>0</v>
      </c>
      <c r="B280" s="70" t="str">
        <f t="shared" si="4"/>
        <v/>
      </c>
      <c r="C280" s="70" t="str">
        <f>IF($A280="","",IF(AND($B280&lt;&gt;"",IF($F$2="Otros",$B280="Otros",ISNUMBER(SEARCH($B280,$F$2)))),COUNT($C$2:C279)+1,""))</f>
        <v/>
      </c>
      <c r="G280" s="134" t="str">
        <f>IFERROR(INDEX($A$2:$A$507,MATCH(ROWS($G$2:G280),$C$2:$C$507,0)),IF(ROWS($G$2:G280)=1,"(sin matches)",""))</f>
        <v/>
      </c>
      <c r="I280" s="70" t="str">
        <f>IF($A280="","",IF(AND($B280&lt;&gt;"",ISNUMBER(SEARCH($I$7,$B280))),COUNT($I$9:I279)+1,""))</f>
        <v/>
      </c>
    </row>
    <row r="281" spans="1:9" ht="16" x14ac:dyDescent="0.25">
      <c r="A281" s="70">
        <f>Listas!E276</f>
        <v>0</v>
      </c>
      <c r="B281" s="70" t="str">
        <f t="shared" si="4"/>
        <v/>
      </c>
      <c r="C281" s="70" t="str">
        <f>IF($A281="","",IF(AND($B281&lt;&gt;"",IF($F$2="Otros",$B281="Otros",ISNUMBER(SEARCH($B281,$F$2)))),COUNT($C$2:C280)+1,""))</f>
        <v/>
      </c>
      <c r="G281" s="134" t="str">
        <f>IFERROR(INDEX($A$2:$A$507,MATCH(ROWS($G$2:G281),$C$2:$C$507,0)),IF(ROWS($G$2:G281)=1,"(sin matches)",""))</f>
        <v/>
      </c>
      <c r="I281" s="70" t="str">
        <f>IF($A281="","",IF(AND($B281&lt;&gt;"",ISNUMBER(SEARCH($I$7,$B281))),COUNT($I$9:I280)+1,""))</f>
        <v/>
      </c>
    </row>
    <row r="282" spans="1:9" ht="16" x14ac:dyDescent="0.25">
      <c r="A282" s="70">
        <f>Listas!E277</f>
        <v>0</v>
      </c>
      <c r="B282" s="70" t="str">
        <f t="shared" si="4"/>
        <v/>
      </c>
      <c r="C282" s="70" t="str">
        <f>IF($A282="","",IF(AND($B282&lt;&gt;"",IF($F$2="Otros",$B282="Otros",ISNUMBER(SEARCH($B282,$F$2)))),COUNT($C$2:C281)+1,""))</f>
        <v/>
      </c>
      <c r="G282" s="134" t="str">
        <f>IFERROR(INDEX($A$2:$A$507,MATCH(ROWS($G$2:G282),$C$2:$C$507,0)),IF(ROWS($G$2:G282)=1,"(sin matches)",""))</f>
        <v/>
      </c>
      <c r="I282" s="70" t="str">
        <f>IF($A282="","",IF(AND($B282&lt;&gt;"",ISNUMBER(SEARCH($I$7,$B282))),COUNT($I$9:I281)+1,""))</f>
        <v/>
      </c>
    </row>
    <row r="283" spans="1:9" ht="16" x14ac:dyDescent="0.25">
      <c r="A283" s="70">
        <f>Listas!E278</f>
        <v>0</v>
      </c>
      <c r="B283" s="70" t="str">
        <f t="shared" si="4"/>
        <v/>
      </c>
      <c r="C283" s="70" t="str">
        <f>IF($A283="","",IF(AND($B283&lt;&gt;"",IF($F$2="Otros",$B283="Otros",ISNUMBER(SEARCH($B283,$F$2)))),COUNT($C$2:C282)+1,""))</f>
        <v/>
      </c>
      <c r="G283" s="134" t="str">
        <f>IFERROR(INDEX($A$2:$A$507,MATCH(ROWS($G$2:G283),$C$2:$C$507,0)),IF(ROWS($G$2:G283)=1,"(sin matches)",""))</f>
        <v/>
      </c>
      <c r="I283" s="70" t="str">
        <f>IF($A283="","",IF(AND($B283&lt;&gt;"",ISNUMBER(SEARCH($I$7,$B283))),COUNT($I$9:I282)+1,""))</f>
        <v/>
      </c>
    </row>
    <row r="284" spans="1:9" ht="16" x14ac:dyDescent="0.25">
      <c r="A284" s="70">
        <f>Listas!E279</f>
        <v>0</v>
      </c>
      <c r="B284" s="70" t="str">
        <f t="shared" si="4"/>
        <v/>
      </c>
      <c r="C284" s="70" t="str">
        <f>IF($A284="","",IF(AND($B284&lt;&gt;"",IF($F$2="Otros",$B284="Otros",ISNUMBER(SEARCH($B284,$F$2)))),COUNT($C$2:C283)+1,""))</f>
        <v/>
      </c>
      <c r="G284" s="134" t="str">
        <f>IFERROR(INDEX($A$2:$A$507,MATCH(ROWS($G$2:G284),$C$2:$C$507,0)),IF(ROWS($G$2:G284)=1,"(sin matches)",""))</f>
        <v/>
      </c>
      <c r="I284" s="70" t="str">
        <f>IF($A284="","",IF(AND($B284&lt;&gt;"",ISNUMBER(SEARCH($I$7,$B284))),COUNT($I$9:I283)+1,""))</f>
        <v/>
      </c>
    </row>
    <row r="285" spans="1:9" ht="16" x14ac:dyDescent="0.25">
      <c r="A285" s="70">
        <f>Listas!E280</f>
        <v>0</v>
      </c>
      <c r="B285" s="70" t="str">
        <f t="shared" si="4"/>
        <v/>
      </c>
      <c r="C285" s="70" t="str">
        <f>IF($A285="","",IF(AND($B285&lt;&gt;"",IF($F$2="Otros",$B285="Otros",ISNUMBER(SEARCH($B285,$F$2)))),COUNT($C$2:C284)+1,""))</f>
        <v/>
      </c>
      <c r="G285" s="134" t="str">
        <f>IFERROR(INDEX($A$2:$A$507,MATCH(ROWS($G$2:G285),$C$2:$C$507,0)),IF(ROWS($G$2:G285)=1,"(sin matches)",""))</f>
        <v/>
      </c>
      <c r="I285" s="70" t="str">
        <f>IF($A285="","",IF(AND($B285&lt;&gt;"",ISNUMBER(SEARCH($I$7,$B285))),COUNT($I$9:I284)+1,""))</f>
        <v/>
      </c>
    </row>
    <row r="286" spans="1:9" ht="16" x14ac:dyDescent="0.25">
      <c r="A286" s="70">
        <f>Listas!E281</f>
        <v>0</v>
      </c>
      <c r="B286" s="70" t="str">
        <f t="shared" si="4"/>
        <v/>
      </c>
      <c r="C286" s="70" t="str">
        <f>IF($A286="","",IF(AND($B286&lt;&gt;"",IF($F$2="Otros",$B286="Otros",ISNUMBER(SEARCH($B286,$F$2)))),COUNT($C$2:C285)+1,""))</f>
        <v/>
      </c>
      <c r="G286" s="134" t="str">
        <f>IFERROR(INDEX($A$2:$A$507,MATCH(ROWS($G$2:G286),$C$2:$C$507,0)),IF(ROWS($G$2:G286)=1,"(sin matches)",""))</f>
        <v/>
      </c>
      <c r="I286" s="70" t="str">
        <f>IF($A286="","",IF(AND($B286&lt;&gt;"",ISNUMBER(SEARCH($I$7,$B286))),COUNT($I$9:I285)+1,""))</f>
        <v/>
      </c>
    </row>
    <row r="287" spans="1:9" ht="16" x14ac:dyDescent="0.25">
      <c r="A287" s="70">
        <f>Listas!E282</f>
        <v>0</v>
      </c>
      <c r="B287" s="70" t="str">
        <f t="shared" si="4"/>
        <v/>
      </c>
      <c r="C287" s="70" t="str">
        <f>IF($A287="","",IF(AND($B287&lt;&gt;"",IF($F$2="Otros",$B287="Otros",ISNUMBER(SEARCH($B287,$F$2)))),COUNT($C$2:C286)+1,""))</f>
        <v/>
      </c>
      <c r="G287" s="134" t="str">
        <f>IFERROR(INDEX($A$2:$A$507,MATCH(ROWS($G$2:G287),$C$2:$C$507,0)),IF(ROWS($G$2:G287)=1,"(sin matches)",""))</f>
        <v/>
      </c>
      <c r="I287" s="70" t="str">
        <f>IF($A287="","",IF(AND($B287&lt;&gt;"",ISNUMBER(SEARCH($I$7,$B287))),COUNT($I$9:I286)+1,""))</f>
        <v/>
      </c>
    </row>
    <row r="288" spans="1:9" ht="16" x14ac:dyDescent="0.25">
      <c r="A288" s="70">
        <f>Listas!E283</f>
        <v>0</v>
      </c>
      <c r="B288" s="70" t="str">
        <f t="shared" si="4"/>
        <v/>
      </c>
      <c r="C288" s="70" t="str">
        <f>IF($A288="","",IF(AND($B288&lt;&gt;"",IF($F$2="Otros",$B288="Otros",ISNUMBER(SEARCH($B288,$F$2)))),COUNT($C$2:C287)+1,""))</f>
        <v/>
      </c>
      <c r="G288" s="134" t="str">
        <f>IFERROR(INDEX($A$2:$A$507,MATCH(ROWS($G$2:G288),$C$2:$C$507,0)),IF(ROWS($G$2:G288)=1,"(sin matches)",""))</f>
        <v/>
      </c>
      <c r="I288" s="70" t="str">
        <f>IF($A288="","",IF(AND($B288&lt;&gt;"",ISNUMBER(SEARCH($I$7,$B288))),COUNT($I$9:I287)+1,""))</f>
        <v/>
      </c>
    </row>
    <row r="289" spans="1:9" ht="16" x14ac:dyDescent="0.25">
      <c r="A289" s="70">
        <f>Listas!E284</f>
        <v>0</v>
      </c>
      <c r="B289" s="70" t="str">
        <f t="shared" si="4"/>
        <v/>
      </c>
      <c r="C289" s="70" t="str">
        <f>IF($A289="","",IF(AND($B289&lt;&gt;"",IF($F$2="Otros",$B289="Otros",ISNUMBER(SEARCH($B289,$F$2)))),COUNT($C$2:C288)+1,""))</f>
        <v/>
      </c>
      <c r="G289" s="134" t="str">
        <f>IFERROR(INDEX($A$2:$A$507,MATCH(ROWS($G$2:G289),$C$2:$C$507,0)),IF(ROWS($G$2:G289)=1,"(sin matches)",""))</f>
        <v/>
      </c>
      <c r="I289" s="70" t="str">
        <f>IF($A289="","",IF(AND($B289&lt;&gt;"",ISNUMBER(SEARCH($I$7,$B289))),COUNT($I$9:I288)+1,""))</f>
        <v/>
      </c>
    </row>
    <row r="290" spans="1:9" ht="16" x14ac:dyDescent="0.25">
      <c r="A290" s="70">
        <f>Listas!E285</f>
        <v>0</v>
      </c>
      <c r="B290" s="70" t="str">
        <f t="shared" si="4"/>
        <v/>
      </c>
      <c r="C290" s="70" t="str">
        <f>IF($A290="","",IF(AND($B290&lt;&gt;"",IF($F$2="Otros",$B290="Otros",ISNUMBER(SEARCH($B290,$F$2)))),COUNT($C$2:C289)+1,""))</f>
        <v/>
      </c>
      <c r="G290" s="134" t="str">
        <f>IFERROR(INDEX($A$2:$A$507,MATCH(ROWS($G$2:G290),$C$2:$C$507,0)),IF(ROWS($G$2:G290)=1,"(sin matches)",""))</f>
        <v/>
      </c>
      <c r="I290" s="70" t="str">
        <f>IF($A290="","",IF(AND($B290&lt;&gt;"",ISNUMBER(SEARCH($I$7,$B290))),COUNT($I$9:I289)+1,""))</f>
        <v/>
      </c>
    </row>
    <row r="291" spans="1:9" ht="16" x14ac:dyDescent="0.25">
      <c r="A291" s="70">
        <f>Listas!E286</f>
        <v>0</v>
      </c>
      <c r="B291" s="70" t="str">
        <f t="shared" si="4"/>
        <v/>
      </c>
      <c r="C291" s="70" t="str">
        <f>IF($A291="","",IF(AND($B291&lt;&gt;"",IF($F$2="Otros",$B291="Otros",ISNUMBER(SEARCH($B291,$F$2)))),COUNT($C$2:C290)+1,""))</f>
        <v/>
      </c>
      <c r="G291" s="134" t="str">
        <f>IFERROR(INDEX($A$2:$A$507,MATCH(ROWS($G$2:G291),$C$2:$C$507,0)),IF(ROWS($G$2:G291)=1,"(sin matches)",""))</f>
        <v/>
      </c>
      <c r="I291" s="70" t="str">
        <f>IF($A291="","",IF(AND($B291&lt;&gt;"",ISNUMBER(SEARCH($I$7,$B291))),COUNT($I$9:I290)+1,""))</f>
        <v/>
      </c>
    </row>
    <row r="292" spans="1:9" ht="16" x14ac:dyDescent="0.25">
      <c r="A292" s="70">
        <f>Listas!E287</f>
        <v>0</v>
      </c>
      <c r="B292" s="70" t="str">
        <f t="shared" si="4"/>
        <v/>
      </c>
      <c r="C292" s="70" t="str">
        <f>IF($A292="","",IF(AND($B292&lt;&gt;"",IF($F$2="Otros",$B292="Otros",ISNUMBER(SEARCH($B292,$F$2)))),COUNT($C$2:C291)+1,""))</f>
        <v/>
      </c>
      <c r="G292" s="134" t="str">
        <f>IFERROR(INDEX($A$2:$A$507,MATCH(ROWS($G$2:G292),$C$2:$C$507,0)),IF(ROWS($G$2:G292)=1,"(sin matches)",""))</f>
        <v/>
      </c>
      <c r="I292" s="70" t="str">
        <f>IF($A292="","",IF(AND($B292&lt;&gt;"",ISNUMBER(SEARCH($I$7,$B292))),COUNT($I$9:I291)+1,""))</f>
        <v/>
      </c>
    </row>
    <row r="293" spans="1:9" ht="16" x14ac:dyDescent="0.25">
      <c r="A293" s="70">
        <f>Listas!E288</f>
        <v>0</v>
      </c>
      <c r="B293" s="70" t="str">
        <f t="shared" si="4"/>
        <v/>
      </c>
      <c r="C293" s="70" t="str">
        <f>IF($A293="","",IF(AND($B293&lt;&gt;"",IF($F$2="Otros",$B293="Otros",ISNUMBER(SEARCH($B293,$F$2)))),COUNT($C$2:C292)+1,""))</f>
        <v/>
      </c>
      <c r="G293" s="134" t="str">
        <f>IFERROR(INDEX($A$2:$A$507,MATCH(ROWS($G$2:G293),$C$2:$C$507,0)),IF(ROWS($G$2:G293)=1,"(sin matches)",""))</f>
        <v/>
      </c>
      <c r="I293" s="70" t="str">
        <f>IF($A293="","",IF(AND($B293&lt;&gt;"",ISNUMBER(SEARCH($I$7,$B293))),COUNT($I$9:I292)+1,""))</f>
        <v/>
      </c>
    </row>
    <row r="294" spans="1:9" ht="16" x14ac:dyDescent="0.25">
      <c r="A294" s="70">
        <f>Listas!E289</f>
        <v>0</v>
      </c>
      <c r="B294" s="70" t="str">
        <f t="shared" si="4"/>
        <v/>
      </c>
      <c r="C294" s="70" t="str">
        <f>IF($A294="","",IF(AND($B294&lt;&gt;"",IF($F$2="Otros",$B294="Otros",ISNUMBER(SEARCH($B294,$F$2)))),COUNT($C$2:C293)+1,""))</f>
        <v/>
      </c>
      <c r="G294" s="134" t="str">
        <f>IFERROR(INDEX($A$2:$A$507,MATCH(ROWS($G$2:G294),$C$2:$C$507,0)),IF(ROWS($G$2:G294)=1,"(sin matches)",""))</f>
        <v/>
      </c>
      <c r="I294" s="70" t="str">
        <f>IF($A294="","",IF(AND($B294&lt;&gt;"",ISNUMBER(SEARCH($I$7,$B294))),COUNT($I$9:I293)+1,""))</f>
        <v/>
      </c>
    </row>
    <row r="295" spans="1:9" ht="16" x14ac:dyDescent="0.25">
      <c r="A295" s="70">
        <f>Listas!E290</f>
        <v>0</v>
      </c>
      <c r="B295" s="70" t="str">
        <f t="shared" si="4"/>
        <v/>
      </c>
      <c r="C295" s="70" t="str">
        <f>IF($A295="","",IF(AND($B295&lt;&gt;"",IF($F$2="Otros",$B295="Otros",ISNUMBER(SEARCH($B295,$F$2)))),COUNT($C$2:C294)+1,""))</f>
        <v/>
      </c>
      <c r="G295" s="134" t="str">
        <f>IFERROR(INDEX($A$2:$A$507,MATCH(ROWS($G$2:G295),$C$2:$C$507,0)),IF(ROWS($G$2:G295)=1,"(sin matches)",""))</f>
        <v/>
      </c>
      <c r="I295" s="70" t="str">
        <f>IF($A295="","",IF(AND($B295&lt;&gt;"",ISNUMBER(SEARCH($I$7,$B295))),COUNT($I$9:I294)+1,""))</f>
        <v/>
      </c>
    </row>
    <row r="296" spans="1:9" ht="16" x14ac:dyDescent="0.25">
      <c r="A296" s="70">
        <f>Listas!E291</f>
        <v>0</v>
      </c>
      <c r="B296" s="70" t="str">
        <f t="shared" si="4"/>
        <v/>
      </c>
      <c r="C296" s="70" t="str">
        <f>IF($A296="","",IF(AND($B296&lt;&gt;"",IF($F$2="Otros",$B296="Otros",ISNUMBER(SEARCH($B296,$F$2)))),COUNT($C$2:C295)+1,""))</f>
        <v/>
      </c>
      <c r="G296" s="134" t="str">
        <f>IFERROR(INDEX($A$2:$A$507,MATCH(ROWS($G$2:G296),$C$2:$C$507,0)),IF(ROWS($G$2:G296)=1,"(sin matches)",""))</f>
        <v/>
      </c>
      <c r="I296" s="70" t="str">
        <f>IF($A296="","",IF(AND($B296&lt;&gt;"",ISNUMBER(SEARCH($I$7,$B296))),COUNT($I$9:I295)+1,""))</f>
        <v/>
      </c>
    </row>
    <row r="297" spans="1:9" ht="16" x14ac:dyDescent="0.25">
      <c r="A297" s="70">
        <f>Listas!E292</f>
        <v>0</v>
      </c>
      <c r="B297" s="70" t="str">
        <f t="shared" si="4"/>
        <v/>
      </c>
      <c r="C297" s="70" t="str">
        <f>IF($A297="","",IF(AND($B297&lt;&gt;"",IF($F$2="Otros",$B297="Otros",ISNUMBER(SEARCH($B297,$F$2)))),COUNT($C$2:C296)+1,""))</f>
        <v/>
      </c>
      <c r="G297" s="134" t="str">
        <f>IFERROR(INDEX($A$2:$A$507,MATCH(ROWS($G$2:G297),$C$2:$C$507,0)),IF(ROWS($G$2:G297)=1,"(sin matches)",""))</f>
        <v/>
      </c>
      <c r="I297" s="70" t="str">
        <f>IF($A297="","",IF(AND($B297&lt;&gt;"",ISNUMBER(SEARCH($I$7,$B297))),COUNT($I$9:I296)+1,""))</f>
        <v/>
      </c>
    </row>
    <row r="298" spans="1:9" ht="16" x14ac:dyDescent="0.25">
      <c r="A298" s="70">
        <f>Listas!E293</f>
        <v>0</v>
      </c>
      <c r="B298" s="70" t="str">
        <f t="shared" si="4"/>
        <v/>
      </c>
      <c r="C298" s="70" t="str">
        <f>IF($A298="","",IF(AND($B298&lt;&gt;"",IF($F$2="Otros",$B298="Otros",ISNUMBER(SEARCH($B298,$F$2)))),COUNT($C$2:C297)+1,""))</f>
        <v/>
      </c>
      <c r="G298" s="134" t="str">
        <f>IFERROR(INDEX($A$2:$A$507,MATCH(ROWS($G$2:G298),$C$2:$C$507,0)),IF(ROWS($G$2:G298)=1,"(sin matches)",""))</f>
        <v/>
      </c>
      <c r="I298" s="70" t="str">
        <f>IF($A298="","",IF(AND($B298&lt;&gt;"",ISNUMBER(SEARCH($I$7,$B298))),COUNT($I$9:I297)+1,""))</f>
        <v/>
      </c>
    </row>
    <row r="299" spans="1:9" ht="16" x14ac:dyDescent="0.25">
      <c r="A299" s="70">
        <f>Listas!E294</f>
        <v>0</v>
      </c>
      <c r="B299" s="70" t="str">
        <f t="shared" si="4"/>
        <v/>
      </c>
      <c r="C299" s="70" t="str">
        <f>IF($A299="","",IF(AND($B299&lt;&gt;"",IF($F$2="Otros",$B299="Otros",ISNUMBER(SEARCH($B299,$F$2)))),COUNT($C$2:C298)+1,""))</f>
        <v/>
      </c>
      <c r="G299" s="134" t="str">
        <f>IFERROR(INDEX($A$2:$A$507,MATCH(ROWS($G$2:G299),$C$2:$C$507,0)),IF(ROWS($G$2:G299)=1,"(sin matches)",""))</f>
        <v/>
      </c>
      <c r="I299" s="70" t="str">
        <f>IF($A299="","",IF(AND($B299&lt;&gt;"",ISNUMBER(SEARCH($I$7,$B299))),COUNT($I$9:I298)+1,""))</f>
        <v/>
      </c>
    </row>
    <row r="300" spans="1:9" ht="16" x14ac:dyDescent="0.25">
      <c r="A300" s="70">
        <f>Listas!E295</f>
        <v>0</v>
      </c>
      <c r="B300" s="70" t="str">
        <f t="shared" si="4"/>
        <v/>
      </c>
      <c r="C300" s="70" t="str">
        <f>IF($A300="","",IF(AND($B300&lt;&gt;"",IF($F$2="Otros",$B300="Otros",ISNUMBER(SEARCH($B300,$F$2)))),COUNT($C$2:C299)+1,""))</f>
        <v/>
      </c>
      <c r="G300" s="134" t="str">
        <f>IFERROR(INDEX($A$2:$A$507,MATCH(ROWS($G$2:G300),$C$2:$C$507,0)),IF(ROWS($G$2:G300)=1,"(sin matches)",""))</f>
        <v/>
      </c>
      <c r="I300" s="70" t="str">
        <f>IF($A300="","",IF(AND($B300&lt;&gt;"",ISNUMBER(SEARCH($I$7,$B300))),COUNT($I$9:I299)+1,""))</f>
        <v/>
      </c>
    </row>
    <row r="301" spans="1:9" ht="16" x14ac:dyDescent="0.25">
      <c r="A301" s="70">
        <f>Listas!E296</f>
        <v>0</v>
      </c>
      <c r="B301" s="70" t="str">
        <f t="shared" si="4"/>
        <v/>
      </c>
      <c r="C301" s="70" t="str">
        <f>IF($A301="","",IF(AND($B301&lt;&gt;"",IF($F$2="Otros",$B301="Otros",ISNUMBER(SEARCH($B301,$F$2)))),COUNT($C$2:C300)+1,""))</f>
        <v/>
      </c>
      <c r="G301" s="134" t="str">
        <f>IFERROR(INDEX($A$2:$A$507,MATCH(ROWS($G$2:G301),$C$2:$C$507,0)),IF(ROWS($G$2:G301)=1,"(sin matches)",""))</f>
        <v/>
      </c>
      <c r="I301" s="70" t="str">
        <f>IF($A301="","",IF(AND($B301&lt;&gt;"",ISNUMBER(SEARCH($I$7,$B301))),COUNT($I$9:I300)+1,""))</f>
        <v/>
      </c>
    </row>
    <row r="302" spans="1:9" ht="16" x14ac:dyDescent="0.25">
      <c r="A302" s="70">
        <f>Listas!E297</f>
        <v>0</v>
      </c>
      <c r="B302" s="70" t="str">
        <f t="shared" si="4"/>
        <v/>
      </c>
      <c r="C302" s="70" t="str">
        <f>IF($A302="","",IF(AND($B302&lt;&gt;"",IF($F$2="Otros",$B302="Otros",ISNUMBER(SEARCH($B302,$F$2)))),COUNT($C$2:C301)+1,""))</f>
        <v/>
      </c>
      <c r="G302" s="134" t="str">
        <f>IFERROR(INDEX($A$2:$A$507,MATCH(ROWS($G$2:G302),$C$2:$C$507,0)),IF(ROWS($G$2:G302)=1,"(sin matches)",""))</f>
        <v/>
      </c>
      <c r="I302" s="70" t="str">
        <f>IF($A302="","",IF(AND($B302&lt;&gt;"",ISNUMBER(SEARCH($I$7,$B302))),COUNT($I$9:I301)+1,""))</f>
        <v/>
      </c>
    </row>
    <row r="303" spans="1:9" ht="16" x14ac:dyDescent="0.25">
      <c r="A303" s="70">
        <f>Listas!E298</f>
        <v>0</v>
      </c>
      <c r="B303" s="70" t="str">
        <f t="shared" si="4"/>
        <v/>
      </c>
      <c r="C303" s="70" t="str">
        <f>IF($A303="","",IF(AND($B303&lt;&gt;"",IF($F$2="Otros",$B303="Otros",ISNUMBER(SEARCH($B303,$F$2)))),COUNT($C$2:C302)+1,""))</f>
        <v/>
      </c>
      <c r="G303" s="134" t="str">
        <f>IFERROR(INDEX($A$2:$A$507,MATCH(ROWS($G$2:G303),$C$2:$C$507,0)),IF(ROWS($G$2:G303)=1,"(sin matches)",""))</f>
        <v/>
      </c>
      <c r="I303" s="70" t="str">
        <f>IF($A303="","",IF(AND($B303&lt;&gt;"",ISNUMBER(SEARCH($I$7,$B303))),COUNT($I$9:I302)+1,""))</f>
        <v/>
      </c>
    </row>
    <row r="304" spans="1:9" ht="16" x14ac:dyDescent="0.25">
      <c r="A304" s="70">
        <f>Listas!E299</f>
        <v>0</v>
      </c>
      <c r="B304" s="70" t="str">
        <f t="shared" si="4"/>
        <v/>
      </c>
      <c r="C304" s="70" t="str">
        <f>IF($A304="","",IF(AND($B304&lt;&gt;"",IF($F$2="Otros",$B304="Otros",ISNUMBER(SEARCH($B304,$F$2)))),COUNT($C$2:C303)+1,""))</f>
        <v/>
      </c>
      <c r="G304" s="134" t="str">
        <f>IFERROR(INDEX($A$2:$A$507,MATCH(ROWS($G$2:G304),$C$2:$C$507,0)),IF(ROWS($G$2:G304)=1,"(sin matches)",""))</f>
        <v/>
      </c>
      <c r="I304" s="70" t="str">
        <f>IF($A304="","",IF(AND($B304&lt;&gt;"",ISNUMBER(SEARCH($I$7,$B304))),COUNT($I$9:I303)+1,""))</f>
        <v/>
      </c>
    </row>
    <row r="305" spans="1:9" ht="16" x14ac:dyDescent="0.25">
      <c r="A305" s="70">
        <f>Listas!E300</f>
        <v>0</v>
      </c>
      <c r="B305" s="70" t="str">
        <f t="shared" si="4"/>
        <v/>
      </c>
      <c r="C305" s="70" t="str">
        <f>IF($A305="","",IF(AND($B305&lt;&gt;"",IF($F$2="Otros",$B305="Otros",ISNUMBER(SEARCH($B305,$F$2)))),COUNT($C$2:C304)+1,""))</f>
        <v/>
      </c>
      <c r="G305" s="134" t="str">
        <f>IFERROR(INDEX($A$2:$A$507,MATCH(ROWS($G$2:G305),$C$2:$C$507,0)),IF(ROWS($G$2:G305)=1,"(sin matches)",""))</f>
        <v/>
      </c>
      <c r="I305" s="70" t="str">
        <f>IF($A305="","",IF(AND($B305&lt;&gt;"",ISNUMBER(SEARCH($I$7,$B305))),COUNT($I$9:I304)+1,""))</f>
        <v/>
      </c>
    </row>
    <row r="306" spans="1:9" ht="16" x14ac:dyDescent="0.25">
      <c r="A306" s="70">
        <f>Listas!E301</f>
        <v>0</v>
      </c>
      <c r="B306" s="70" t="str">
        <f t="shared" si="4"/>
        <v/>
      </c>
      <c r="C306" s="70" t="str">
        <f>IF($A306="","",IF(AND($B306&lt;&gt;"",IF($F$2="Otros",$B306="Otros",ISNUMBER(SEARCH($B306,$F$2)))),COUNT($C$2:C305)+1,""))</f>
        <v/>
      </c>
      <c r="G306" s="134" t="str">
        <f>IFERROR(INDEX($A$2:$A$507,MATCH(ROWS($G$2:G306),$C$2:$C$507,0)),IF(ROWS($G$2:G306)=1,"(sin matches)",""))</f>
        <v/>
      </c>
      <c r="I306" s="70" t="str">
        <f>IF($A306="","",IF(AND($B306&lt;&gt;"",ISNUMBER(SEARCH($I$7,$B306))),COUNT($I$9:I305)+1,""))</f>
        <v/>
      </c>
    </row>
    <row r="307" spans="1:9" ht="16" x14ac:dyDescent="0.25">
      <c r="A307" s="70">
        <f>Listas!E302</f>
        <v>0</v>
      </c>
      <c r="B307" s="70" t="str">
        <f t="shared" si="4"/>
        <v/>
      </c>
      <c r="C307" s="70" t="str">
        <f>IF($A307="","",IF(AND($B307&lt;&gt;"",IF($F$2="Otros",$B307="Otros",ISNUMBER(SEARCH($B307,$F$2)))),COUNT($C$2:C306)+1,""))</f>
        <v/>
      </c>
      <c r="G307" s="134" t="str">
        <f>IFERROR(INDEX($A$2:$A$507,MATCH(ROWS($G$2:G307),$C$2:$C$507,0)),IF(ROWS($G$2:G307)=1,"(sin matches)",""))</f>
        <v/>
      </c>
      <c r="I307" s="70" t="str">
        <f>IF($A307="","",IF(AND($B307&lt;&gt;"",ISNUMBER(SEARCH($I$7,$B307))),COUNT($I$9:I306)+1,""))</f>
        <v/>
      </c>
    </row>
    <row r="308" spans="1:9" ht="16" x14ac:dyDescent="0.25">
      <c r="A308" s="70">
        <f>Listas!E303</f>
        <v>0</v>
      </c>
      <c r="B308" s="70" t="str">
        <f t="shared" si="4"/>
        <v/>
      </c>
      <c r="C308" s="70" t="str">
        <f>IF($A308="","",IF(AND($B308&lt;&gt;"",IF($F$2="Otros",$B308="Otros",ISNUMBER(SEARCH($B308,$F$2)))),COUNT($C$2:C307)+1,""))</f>
        <v/>
      </c>
      <c r="G308" s="134" t="str">
        <f>IFERROR(INDEX($A$2:$A$507,MATCH(ROWS($G$2:G308),$C$2:$C$507,0)),IF(ROWS($G$2:G308)=1,"(sin matches)",""))</f>
        <v/>
      </c>
      <c r="I308" s="70" t="str">
        <f>IF($A308="","",IF(AND($B308&lt;&gt;"",ISNUMBER(SEARCH($I$7,$B308))),COUNT($I$9:I307)+1,""))</f>
        <v/>
      </c>
    </row>
    <row r="309" spans="1:9" ht="16" x14ac:dyDescent="0.25">
      <c r="A309" s="70">
        <f>Listas!E304</f>
        <v>0</v>
      </c>
      <c r="B309" s="70" t="str">
        <f t="shared" si="4"/>
        <v/>
      </c>
      <c r="C309" s="70" t="str">
        <f>IF($A309="","",IF(AND($B309&lt;&gt;"",IF($F$2="Otros",$B309="Otros",ISNUMBER(SEARCH($B309,$F$2)))),COUNT($C$2:C308)+1,""))</f>
        <v/>
      </c>
      <c r="G309" s="134" t="str">
        <f>IFERROR(INDEX($A$2:$A$507,MATCH(ROWS($G$2:G309),$C$2:$C$507,0)),IF(ROWS($G$2:G309)=1,"(sin matches)",""))</f>
        <v/>
      </c>
      <c r="I309" s="70" t="str">
        <f>IF($A309="","",IF(AND($B309&lt;&gt;"",ISNUMBER(SEARCH($I$7,$B309))),COUNT($I$9:I308)+1,""))</f>
        <v/>
      </c>
    </row>
    <row r="310" spans="1:9" ht="16" x14ac:dyDescent="0.25">
      <c r="A310" s="70">
        <f>Listas!E305</f>
        <v>0</v>
      </c>
      <c r="B310" s="70" t="str">
        <f t="shared" si="4"/>
        <v/>
      </c>
      <c r="C310" s="70" t="str">
        <f>IF($A310="","",IF(AND($B310&lt;&gt;"",IF($F$2="Otros",$B310="Otros",ISNUMBER(SEARCH($B310,$F$2)))),COUNT($C$2:C309)+1,""))</f>
        <v/>
      </c>
      <c r="G310" s="134" t="str">
        <f>IFERROR(INDEX($A$2:$A$507,MATCH(ROWS($G$2:G310),$C$2:$C$507,0)),IF(ROWS($G$2:G310)=1,"(sin matches)",""))</f>
        <v/>
      </c>
      <c r="I310" s="70" t="str">
        <f>IF($A310="","",IF(AND($B310&lt;&gt;"",ISNUMBER(SEARCH($I$7,$B310))),COUNT($I$9:I309)+1,""))</f>
        <v/>
      </c>
    </row>
    <row r="311" spans="1:9" ht="16" x14ac:dyDescent="0.25">
      <c r="A311" s="70">
        <f>Listas!E306</f>
        <v>0</v>
      </c>
      <c r="B311" s="70" t="str">
        <f t="shared" si="4"/>
        <v/>
      </c>
      <c r="C311" s="70" t="str">
        <f>IF($A311="","",IF(AND($B311&lt;&gt;"",IF($F$2="Otros",$B311="Otros",ISNUMBER(SEARCH($B311,$F$2)))),COUNT($C$2:C310)+1,""))</f>
        <v/>
      </c>
      <c r="G311" s="134" t="str">
        <f>IFERROR(INDEX($A$2:$A$507,MATCH(ROWS($G$2:G311),$C$2:$C$507,0)),IF(ROWS($G$2:G311)=1,"(sin matches)",""))</f>
        <v/>
      </c>
      <c r="I311" s="70" t="str">
        <f>IF($A311="","",IF(AND($B311&lt;&gt;"",ISNUMBER(SEARCH($I$7,$B311))),COUNT($I$9:I310)+1,""))</f>
        <v/>
      </c>
    </row>
    <row r="312" spans="1:9" ht="16" x14ac:dyDescent="0.25">
      <c r="A312" s="70">
        <f>Listas!E307</f>
        <v>0</v>
      </c>
      <c r="B312" s="70" t="str">
        <f t="shared" si="4"/>
        <v/>
      </c>
      <c r="C312" s="70" t="str">
        <f>IF($A312="","",IF(AND($B312&lt;&gt;"",IF($F$2="Otros",$B312="Otros",ISNUMBER(SEARCH($B312,$F$2)))),COUNT($C$2:C311)+1,""))</f>
        <v/>
      </c>
      <c r="G312" s="134" t="str">
        <f>IFERROR(INDEX($A$2:$A$507,MATCH(ROWS($G$2:G312),$C$2:$C$507,0)),IF(ROWS($G$2:G312)=1,"(sin matches)",""))</f>
        <v/>
      </c>
      <c r="I312" s="70" t="str">
        <f>IF($A312="","",IF(AND($B312&lt;&gt;"",ISNUMBER(SEARCH($I$7,$B312))),COUNT($I$9:I311)+1,""))</f>
        <v/>
      </c>
    </row>
    <row r="313" spans="1:9" ht="16" x14ac:dyDescent="0.25">
      <c r="A313" s="70">
        <f>Listas!E308</f>
        <v>0</v>
      </c>
      <c r="B313" s="70" t="str">
        <f t="shared" si="4"/>
        <v/>
      </c>
      <c r="C313" s="70" t="str">
        <f>IF($A313="","",IF(AND($B313&lt;&gt;"",IF($F$2="Otros",$B313="Otros",ISNUMBER(SEARCH($B313,$F$2)))),COUNT($C$2:C312)+1,""))</f>
        <v/>
      </c>
      <c r="G313" s="134" t="str">
        <f>IFERROR(INDEX($A$2:$A$507,MATCH(ROWS($G$2:G313),$C$2:$C$507,0)),IF(ROWS($G$2:G313)=1,"(sin matches)",""))</f>
        <v/>
      </c>
      <c r="I313" s="70" t="str">
        <f>IF($A313="","",IF(AND($B313&lt;&gt;"",ISNUMBER(SEARCH($I$7,$B313))),COUNT($I$9:I312)+1,""))</f>
        <v/>
      </c>
    </row>
    <row r="314" spans="1:9" ht="16" x14ac:dyDescent="0.25">
      <c r="A314" s="70">
        <f>Listas!E309</f>
        <v>0</v>
      </c>
      <c r="B314" s="70" t="str">
        <f t="shared" si="4"/>
        <v/>
      </c>
      <c r="C314" s="70" t="str">
        <f>IF($A314="","",IF(AND($B314&lt;&gt;"",IF($F$2="Otros",$B314="Otros",ISNUMBER(SEARCH($B314,$F$2)))),COUNT($C$2:C313)+1,""))</f>
        <v/>
      </c>
      <c r="G314" s="134" t="str">
        <f>IFERROR(INDEX($A$2:$A$507,MATCH(ROWS($G$2:G314),$C$2:$C$507,0)),IF(ROWS($G$2:G314)=1,"(sin matches)",""))</f>
        <v/>
      </c>
      <c r="I314" s="70" t="str">
        <f>IF($A314="","",IF(AND($B314&lt;&gt;"",ISNUMBER(SEARCH($I$7,$B314))),COUNT($I$9:I313)+1,""))</f>
        <v/>
      </c>
    </row>
    <row r="315" spans="1:9" ht="16" x14ac:dyDescent="0.25">
      <c r="A315" s="70">
        <f>Listas!E310</f>
        <v>0</v>
      </c>
      <c r="B315" s="70" t="str">
        <f t="shared" si="4"/>
        <v/>
      </c>
      <c r="C315" s="70" t="str">
        <f>IF($A315="","",IF(AND($B315&lt;&gt;"",IF($F$2="Otros",$B315="Otros",ISNUMBER(SEARCH($B315,$F$2)))),COUNT($C$2:C314)+1,""))</f>
        <v/>
      </c>
      <c r="G315" s="134" t="str">
        <f>IFERROR(INDEX($A$2:$A$507,MATCH(ROWS($G$2:G315),$C$2:$C$507,0)),IF(ROWS($G$2:G315)=1,"(sin matches)",""))</f>
        <v/>
      </c>
      <c r="I315" s="70" t="str">
        <f>IF($A315="","",IF(AND($B315&lt;&gt;"",ISNUMBER(SEARCH($I$7,$B315))),COUNT($I$9:I314)+1,""))</f>
        <v/>
      </c>
    </row>
    <row r="316" spans="1:9" ht="16" x14ac:dyDescent="0.25">
      <c r="A316" s="70">
        <f>Listas!E311</f>
        <v>0</v>
      </c>
      <c r="B316" s="70" t="str">
        <f t="shared" si="4"/>
        <v/>
      </c>
      <c r="C316" s="70" t="str">
        <f>IF($A316="","",IF(AND($B316&lt;&gt;"",IF($F$2="Otros",$B316="Otros",ISNUMBER(SEARCH($B316,$F$2)))),COUNT($C$2:C315)+1,""))</f>
        <v/>
      </c>
      <c r="G316" s="134" t="str">
        <f>IFERROR(INDEX($A$2:$A$507,MATCH(ROWS($G$2:G316),$C$2:$C$507,0)),IF(ROWS($G$2:G316)=1,"(sin matches)",""))</f>
        <v/>
      </c>
      <c r="I316" s="70" t="str">
        <f>IF($A316="","",IF(AND($B316&lt;&gt;"",ISNUMBER(SEARCH($I$7,$B316))),COUNT($I$9:I315)+1,""))</f>
        <v/>
      </c>
    </row>
    <row r="317" spans="1:9" ht="16" x14ac:dyDescent="0.25">
      <c r="A317" s="70">
        <f>Listas!E312</f>
        <v>0</v>
      </c>
      <c r="B317" s="70" t="str">
        <f t="shared" si="4"/>
        <v/>
      </c>
      <c r="C317" s="70" t="str">
        <f>IF($A317="","",IF(AND($B317&lt;&gt;"",IF($F$2="Otros",$B317="Otros",ISNUMBER(SEARCH($B317,$F$2)))),COUNT($C$2:C316)+1,""))</f>
        <v/>
      </c>
      <c r="G317" s="134" t="str">
        <f>IFERROR(INDEX($A$2:$A$507,MATCH(ROWS($G$2:G317),$C$2:$C$507,0)),IF(ROWS($G$2:G317)=1,"(sin matches)",""))</f>
        <v/>
      </c>
      <c r="I317" s="70" t="str">
        <f>IF($A317="","",IF(AND($B317&lt;&gt;"",ISNUMBER(SEARCH($I$7,$B317))),COUNT($I$9:I316)+1,""))</f>
        <v/>
      </c>
    </row>
    <row r="318" spans="1:9" ht="16" x14ac:dyDescent="0.25">
      <c r="A318" s="70">
        <f>Listas!E313</f>
        <v>0</v>
      </c>
      <c r="B318" s="70" t="str">
        <f t="shared" si="4"/>
        <v/>
      </c>
      <c r="C318" s="70" t="str">
        <f>IF($A318="","",IF(AND($B318&lt;&gt;"",IF($F$2="Otros",$B318="Otros",ISNUMBER(SEARCH($B318,$F$2)))),COUNT($C$2:C317)+1,""))</f>
        <v/>
      </c>
      <c r="G318" s="134" t="str">
        <f>IFERROR(INDEX($A$2:$A$507,MATCH(ROWS($G$2:G318),$C$2:$C$507,0)),IF(ROWS($G$2:G318)=1,"(sin matches)",""))</f>
        <v/>
      </c>
      <c r="I318" s="70" t="str">
        <f>IF($A318="","",IF(AND($B318&lt;&gt;"",ISNUMBER(SEARCH($I$7,$B318))),COUNT($I$9:I317)+1,""))</f>
        <v/>
      </c>
    </row>
    <row r="319" spans="1:9" ht="16" x14ac:dyDescent="0.25">
      <c r="A319" s="70">
        <f>Listas!E314</f>
        <v>0</v>
      </c>
      <c r="B319" s="70" t="str">
        <f t="shared" si="4"/>
        <v/>
      </c>
      <c r="C319" s="70" t="str">
        <f>IF($A319="","",IF(AND($B319&lt;&gt;"",IF($F$2="Otros",$B319="Otros",ISNUMBER(SEARCH($B319,$F$2)))),COUNT($C$2:C318)+1,""))</f>
        <v/>
      </c>
      <c r="G319" s="134" t="str">
        <f>IFERROR(INDEX($A$2:$A$507,MATCH(ROWS($G$2:G319),$C$2:$C$507,0)),IF(ROWS($G$2:G319)=1,"(sin matches)",""))</f>
        <v/>
      </c>
      <c r="I319" s="70" t="str">
        <f>IF($A319="","",IF(AND($B319&lt;&gt;"",ISNUMBER(SEARCH($I$7,$B319))),COUNT($I$9:I318)+1,""))</f>
        <v/>
      </c>
    </row>
    <row r="320" spans="1:9" ht="16" x14ac:dyDescent="0.25">
      <c r="A320" s="70">
        <f>Listas!E315</f>
        <v>0</v>
      </c>
      <c r="B320" s="70" t="str">
        <f t="shared" si="4"/>
        <v/>
      </c>
      <c r="C320" s="70" t="str">
        <f>IF($A320="","",IF(AND($B320&lt;&gt;"",IF($F$2="Otros",$B320="Otros",ISNUMBER(SEARCH($B320,$F$2)))),COUNT($C$2:C319)+1,""))</f>
        <v/>
      </c>
      <c r="G320" s="134" t="str">
        <f>IFERROR(INDEX($A$2:$A$507,MATCH(ROWS($G$2:G320),$C$2:$C$507,0)),IF(ROWS($G$2:G320)=1,"(sin matches)",""))</f>
        <v/>
      </c>
      <c r="I320" s="70" t="str">
        <f>IF($A320="","",IF(AND($B320&lt;&gt;"",ISNUMBER(SEARCH($I$7,$B320))),COUNT($I$9:I319)+1,""))</f>
        <v/>
      </c>
    </row>
    <row r="321" spans="1:9" ht="16" x14ac:dyDescent="0.25">
      <c r="A321" s="70">
        <f>Listas!E316</f>
        <v>0</v>
      </c>
      <c r="B321" s="70" t="str">
        <f t="shared" si="4"/>
        <v/>
      </c>
      <c r="C321" s="70" t="str">
        <f>IF($A321="","",IF(AND($B321&lt;&gt;"",IF($F$2="Otros",$B321="Otros",ISNUMBER(SEARCH($B321,$F$2)))),COUNT($C$2:C320)+1,""))</f>
        <v/>
      </c>
      <c r="G321" s="134" t="str">
        <f>IFERROR(INDEX($A$2:$A$507,MATCH(ROWS($G$2:G321),$C$2:$C$507,0)),IF(ROWS($G$2:G321)=1,"(sin matches)",""))</f>
        <v/>
      </c>
      <c r="I321" s="70" t="str">
        <f>IF($A321="","",IF(AND($B321&lt;&gt;"",ISNUMBER(SEARCH($I$7,$B321))),COUNT($I$9:I320)+1,""))</f>
        <v/>
      </c>
    </row>
    <row r="322" spans="1:9" ht="16" x14ac:dyDescent="0.25">
      <c r="A322" s="70">
        <f>Listas!E317</f>
        <v>0</v>
      </c>
      <c r="B322" s="70" t="str">
        <f t="shared" si="4"/>
        <v/>
      </c>
      <c r="C322" s="70" t="str">
        <f>IF($A322="","",IF(AND($B322&lt;&gt;"",IF($F$2="Otros",$B322="Otros",ISNUMBER(SEARCH($B322,$F$2)))),COUNT($C$2:C321)+1,""))</f>
        <v/>
      </c>
      <c r="G322" s="134" t="str">
        <f>IFERROR(INDEX($A$2:$A$507,MATCH(ROWS($G$2:G322),$C$2:$C$507,0)),IF(ROWS($G$2:G322)=1,"(sin matches)",""))</f>
        <v/>
      </c>
      <c r="I322" s="70" t="str">
        <f>IF($A322="","",IF(AND($B322&lt;&gt;"",ISNUMBER(SEARCH($I$7,$B322))),COUNT($I$9:I321)+1,""))</f>
        <v/>
      </c>
    </row>
    <row r="323" spans="1:9" ht="16" x14ac:dyDescent="0.25">
      <c r="A323" s="70">
        <f>Listas!E318</f>
        <v>0</v>
      </c>
      <c r="B323" s="70" t="str">
        <f t="shared" si="4"/>
        <v/>
      </c>
      <c r="C323" s="70" t="str">
        <f>IF($A323="","",IF(AND($B323&lt;&gt;"",IF($F$2="Otros",$B323="Otros",ISNUMBER(SEARCH($B323,$F$2)))),COUNT($C$2:C322)+1,""))</f>
        <v/>
      </c>
      <c r="G323" s="134" t="str">
        <f>IFERROR(INDEX($A$2:$A$507,MATCH(ROWS($G$2:G323),$C$2:$C$507,0)),IF(ROWS($G$2:G323)=1,"(sin matches)",""))</f>
        <v/>
      </c>
      <c r="I323" s="70" t="str">
        <f>IF($A323="","",IF(AND($B323&lt;&gt;"",ISNUMBER(SEARCH($I$7,$B323))),COUNT($I$9:I322)+1,""))</f>
        <v/>
      </c>
    </row>
    <row r="324" spans="1:9" ht="16" x14ac:dyDescent="0.25">
      <c r="A324" s="70">
        <f>Listas!E319</f>
        <v>0</v>
      </c>
      <c r="B324" s="70" t="str">
        <f t="shared" si="4"/>
        <v/>
      </c>
      <c r="C324" s="70" t="str">
        <f>IF($A324="","",IF(AND($B324&lt;&gt;"",IF($F$2="Otros",$B324="Otros",ISNUMBER(SEARCH($B324,$F$2)))),COUNT($C$2:C323)+1,""))</f>
        <v/>
      </c>
      <c r="G324" s="134" t="str">
        <f>IFERROR(INDEX($A$2:$A$507,MATCH(ROWS($G$2:G324),$C$2:$C$507,0)),IF(ROWS($G$2:G324)=1,"(sin matches)",""))</f>
        <v/>
      </c>
      <c r="I324" s="70" t="str">
        <f>IF($A324="","",IF(AND($B324&lt;&gt;"",ISNUMBER(SEARCH($I$7,$B324))),COUNT($I$9:I323)+1,""))</f>
        <v/>
      </c>
    </row>
    <row r="325" spans="1:9" ht="16" x14ac:dyDescent="0.25">
      <c r="A325" s="70">
        <f>Listas!E320</f>
        <v>0</v>
      </c>
      <c r="B325" s="70" t="str">
        <f t="shared" si="4"/>
        <v/>
      </c>
      <c r="C325" s="70" t="str">
        <f>IF($A325="","",IF(AND($B325&lt;&gt;"",IF($F$2="Otros",$B325="Otros",ISNUMBER(SEARCH($B325,$F$2)))),COUNT($C$2:C324)+1,""))</f>
        <v/>
      </c>
      <c r="G325" s="134" t="str">
        <f>IFERROR(INDEX($A$2:$A$507,MATCH(ROWS($G$2:G325),$C$2:$C$507,0)),IF(ROWS($G$2:G325)=1,"(sin matches)",""))</f>
        <v/>
      </c>
      <c r="I325" s="70" t="str">
        <f>IF($A325="","",IF(AND($B325&lt;&gt;"",ISNUMBER(SEARCH($I$7,$B325))),COUNT($I$9:I324)+1,""))</f>
        <v/>
      </c>
    </row>
    <row r="326" spans="1:9" ht="16" x14ac:dyDescent="0.25">
      <c r="A326" s="70">
        <f>Listas!E321</f>
        <v>0</v>
      </c>
      <c r="B326" s="70" t="str">
        <f t="shared" si="4"/>
        <v/>
      </c>
      <c r="C326" s="70" t="str">
        <f>IF($A326="","",IF(AND($B326&lt;&gt;"",IF($F$2="Otros",$B326="Otros",ISNUMBER(SEARCH($B326,$F$2)))),COUNT($C$2:C325)+1,""))</f>
        <v/>
      </c>
      <c r="G326" s="134" t="str">
        <f>IFERROR(INDEX($A$2:$A$507,MATCH(ROWS($G$2:G326),$C$2:$C$507,0)),IF(ROWS($G$2:G326)=1,"(sin matches)",""))</f>
        <v/>
      </c>
      <c r="I326" s="70" t="str">
        <f>IF($A326="","",IF(AND($B326&lt;&gt;"",ISNUMBER(SEARCH($I$7,$B326))),COUNT($I$9:I325)+1,""))</f>
        <v/>
      </c>
    </row>
    <row r="327" spans="1:9" ht="16" x14ac:dyDescent="0.25">
      <c r="A327" s="70">
        <f>Listas!E322</f>
        <v>0</v>
      </c>
      <c r="B327" s="70" t="str">
        <f t="shared" si="4"/>
        <v/>
      </c>
      <c r="C327" s="70" t="str">
        <f>IF($A327="","",IF(AND($B327&lt;&gt;"",IF($F$2="Otros",$B327="Otros",ISNUMBER(SEARCH($B327,$F$2)))),COUNT($C$2:C326)+1,""))</f>
        <v/>
      </c>
      <c r="G327" s="134" t="str">
        <f>IFERROR(INDEX($A$2:$A$507,MATCH(ROWS($G$2:G327),$C$2:$C$507,0)),IF(ROWS($G$2:G327)=1,"(sin matches)",""))</f>
        <v/>
      </c>
      <c r="I327" s="70" t="str">
        <f>IF($A327="","",IF(AND($B327&lt;&gt;"",ISNUMBER(SEARCH($I$7,$B327))),COUNT($I$9:I326)+1,""))</f>
        <v/>
      </c>
    </row>
    <row r="328" spans="1:9" ht="16" x14ac:dyDescent="0.25">
      <c r="A328" s="70">
        <f>Listas!E323</f>
        <v>0</v>
      </c>
      <c r="B328" s="70" t="str">
        <f t="shared" si="4"/>
        <v/>
      </c>
      <c r="C328" s="70" t="str">
        <f>IF($A328="","",IF(AND($B328&lt;&gt;"",IF($F$2="Otros",$B328="Otros",ISNUMBER(SEARCH($B328,$F$2)))),COUNT($C$2:C327)+1,""))</f>
        <v/>
      </c>
      <c r="G328" s="134" t="str">
        <f>IFERROR(INDEX($A$2:$A$507,MATCH(ROWS($G$2:G328),$C$2:$C$507,0)),IF(ROWS($G$2:G328)=1,"(sin matches)",""))</f>
        <v/>
      </c>
      <c r="I328" s="70" t="str">
        <f>IF($A328="","",IF(AND($B328&lt;&gt;"",ISNUMBER(SEARCH($I$7,$B328))),COUNT($I$9:I327)+1,""))</f>
        <v/>
      </c>
    </row>
    <row r="329" spans="1:9" ht="16" x14ac:dyDescent="0.25">
      <c r="A329" s="70">
        <f>Listas!E324</f>
        <v>0</v>
      </c>
      <c r="B329" s="70" t="str">
        <f t="shared" si="4"/>
        <v/>
      </c>
      <c r="C329" s="70" t="str">
        <f>IF($A329="","",IF(AND($B329&lt;&gt;"",IF($F$2="Otros",$B329="Otros",ISNUMBER(SEARCH($B329,$F$2)))),COUNT($C$2:C328)+1,""))</f>
        <v/>
      </c>
      <c r="G329" s="134" t="str">
        <f>IFERROR(INDEX($A$2:$A$507,MATCH(ROWS($G$2:G329),$C$2:$C$507,0)),IF(ROWS($G$2:G329)=1,"(sin matches)",""))</f>
        <v/>
      </c>
      <c r="I329" s="70" t="str">
        <f>IF($A329="","",IF(AND($B329&lt;&gt;"",ISNUMBER(SEARCH($I$7,$B329))),COUNT($I$9:I328)+1,""))</f>
        <v/>
      </c>
    </row>
    <row r="330" spans="1:9" ht="16" x14ac:dyDescent="0.25">
      <c r="A330" s="70">
        <f>Listas!E325</f>
        <v>0</v>
      </c>
      <c r="B330" s="70"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
      </c>
      <c r="C330" s="70" t="str">
        <f>IF($A330="","",IF(AND($B330&lt;&gt;"",IF($F$2="Otros",$B330="Otros",ISNUMBER(SEARCH($B330,$F$2)))),COUNT($C$2:C329)+1,""))</f>
        <v/>
      </c>
      <c r="G330" s="134" t="str">
        <f>IFERROR(INDEX($A$2:$A$507,MATCH(ROWS($G$2:G330),$C$2:$C$507,0)),IF(ROWS($G$2:G330)=1,"(sin matches)",""))</f>
        <v/>
      </c>
      <c r="I330" s="70" t="str">
        <f>IF($A330="","",IF(AND($B330&lt;&gt;"",ISNUMBER(SEARCH($I$7,$B330))),COUNT($I$9:I329)+1,""))</f>
        <v/>
      </c>
    </row>
    <row r="331" spans="1:9" ht="16" x14ac:dyDescent="0.25">
      <c r="A331" s="70">
        <f>Listas!E326</f>
        <v>0</v>
      </c>
      <c r="B331" s="70" t="str">
        <f t="shared" si="5"/>
        <v/>
      </c>
      <c r="C331" s="70" t="str">
        <f>IF($A331="","",IF(AND($B331&lt;&gt;"",IF($F$2="Otros",$B331="Otros",ISNUMBER(SEARCH($B331,$F$2)))),COUNT($C$2:C330)+1,""))</f>
        <v/>
      </c>
      <c r="G331" s="134" t="str">
        <f>IFERROR(INDEX($A$2:$A$507,MATCH(ROWS($G$2:G331),$C$2:$C$507,0)),IF(ROWS($G$2:G331)=1,"(sin matches)",""))</f>
        <v/>
      </c>
      <c r="I331" s="70" t="str">
        <f>IF($A331="","",IF(AND($B331&lt;&gt;"",ISNUMBER(SEARCH($I$7,$B331))),COUNT($I$9:I330)+1,""))</f>
        <v/>
      </c>
    </row>
    <row r="332" spans="1:9" ht="16" x14ac:dyDescent="0.25">
      <c r="A332" s="70">
        <f>Listas!E327</f>
        <v>0</v>
      </c>
      <c r="B332" s="70" t="str">
        <f t="shared" si="5"/>
        <v/>
      </c>
      <c r="C332" s="70" t="str">
        <f>IF($A332="","",IF(AND($B332&lt;&gt;"",IF($F$2="Otros",$B332="Otros",ISNUMBER(SEARCH($B332,$F$2)))),COUNT($C$2:C331)+1,""))</f>
        <v/>
      </c>
      <c r="G332" s="134" t="str">
        <f>IFERROR(INDEX($A$2:$A$507,MATCH(ROWS($G$2:G332),$C$2:$C$507,0)),IF(ROWS($G$2:G332)=1,"(sin matches)",""))</f>
        <v/>
      </c>
      <c r="I332" s="70" t="str">
        <f>IF($A332="","",IF(AND($B332&lt;&gt;"",ISNUMBER(SEARCH($I$7,$B332))),COUNT($I$9:I331)+1,""))</f>
        <v/>
      </c>
    </row>
    <row r="333" spans="1:9" ht="16" x14ac:dyDescent="0.25">
      <c r="A333" s="70">
        <f>Listas!E328</f>
        <v>0</v>
      </c>
      <c r="B333" s="70" t="str">
        <f t="shared" si="5"/>
        <v/>
      </c>
      <c r="C333" s="70" t="str">
        <f>IF($A333="","",IF(AND($B333&lt;&gt;"",IF($F$2="Otros",$B333="Otros",ISNUMBER(SEARCH($B333,$F$2)))),COUNT($C$2:C332)+1,""))</f>
        <v/>
      </c>
      <c r="G333" s="134" t="str">
        <f>IFERROR(INDEX($A$2:$A$507,MATCH(ROWS($G$2:G333),$C$2:$C$507,0)),IF(ROWS($G$2:G333)=1,"(sin matches)",""))</f>
        <v/>
      </c>
      <c r="I333" s="70" t="str">
        <f>IF($A333="","",IF(AND($B333&lt;&gt;"",ISNUMBER(SEARCH($I$7,$B333))),COUNT($I$9:I332)+1,""))</f>
        <v/>
      </c>
    </row>
    <row r="334" spans="1:9" ht="16" x14ac:dyDescent="0.25">
      <c r="A334" s="70">
        <f>Listas!E329</f>
        <v>0</v>
      </c>
      <c r="B334" s="70" t="str">
        <f t="shared" si="5"/>
        <v/>
      </c>
      <c r="C334" s="70" t="str">
        <f>IF($A334="","",IF(AND($B334&lt;&gt;"",IF($F$2="Otros",$B334="Otros",ISNUMBER(SEARCH($B334,$F$2)))),COUNT($C$2:C333)+1,""))</f>
        <v/>
      </c>
      <c r="G334" s="134" t="str">
        <f>IFERROR(INDEX($A$2:$A$507,MATCH(ROWS($G$2:G334),$C$2:$C$507,0)),IF(ROWS($G$2:G334)=1,"(sin matches)",""))</f>
        <v/>
      </c>
      <c r="I334" s="70" t="str">
        <f>IF($A334="","",IF(AND($B334&lt;&gt;"",ISNUMBER(SEARCH($I$7,$B334))),COUNT($I$9:I333)+1,""))</f>
        <v/>
      </c>
    </row>
    <row r="335" spans="1:9" ht="16" x14ac:dyDescent="0.25">
      <c r="A335" s="70">
        <f>Listas!E330</f>
        <v>0</v>
      </c>
      <c r="B335" s="70" t="str">
        <f t="shared" si="5"/>
        <v/>
      </c>
      <c r="C335" s="70" t="str">
        <f>IF($A335="","",IF(AND($B335&lt;&gt;"",IF($F$2="Otros",$B335="Otros",ISNUMBER(SEARCH($B335,$F$2)))),COUNT($C$2:C334)+1,""))</f>
        <v/>
      </c>
      <c r="G335" s="134" t="str">
        <f>IFERROR(INDEX($A$2:$A$507,MATCH(ROWS($G$2:G335),$C$2:$C$507,0)),IF(ROWS($G$2:G335)=1,"(sin matches)",""))</f>
        <v/>
      </c>
      <c r="I335" s="70" t="str">
        <f>IF($A335="","",IF(AND($B335&lt;&gt;"",ISNUMBER(SEARCH($I$7,$B335))),COUNT($I$9:I334)+1,""))</f>
        <v/>
      </c>
    </row>
    <row r="336" spans="1:9" ht="16" x14ac:dyDescent="0.25">
      <c r="A336" s="70">
        <f>Listas!E331</f>
        <v>0</v>
      </c>
      <c r="B336" s="70" t="str">
        <f t="shared" si="5"/>
        <v/>
      </c>
      <c r="C336" s="70" t="str">
        <f>IF($A336="","",IF(AND($B336&lt;&gt;"",IF($F$2="Otros",$B336="Otros",ISNUMBER(SEARCH($B336,$F$2)))),COUNT($C$2:C335)+1,""))</f>
        <v/>
      </c>
      <c r="G336" s="134" t="str">
        <f>IFERROR(INDEX($A$2:$A$507,MATCH(ROWS($G$2:G336),$C$2:$C$507,0)),IF(ROWS($G$2:G336)=1,"(sin matches)",""))</f>
        <v/>
      </c>
      <c r="I336" s="70" t="str">
        <f>IF($A336="","",IF(AND($B336&lt;&gt;"",ISNUMBER(SEARCH($I$7,$B336))),COUNT($I$9:I335)+1,""))</f>
        <v/>
      </c>
    </row>
    <row r="337" spans="1:9" ht="16" x14ac:dyDescent="0.25">
      <c r="A337" s="70">
        <f>Listas!E332</f>
        <v>0</v>
      </c>
      <c r="B337" s="70" t="str">
        <f t="shared" si="5"/>
        <v/>
      </c>
      <c r="C337" s="70" t="str">
        <f>IF($A337="","",IF(AND($B337&lt;&gt;"",IF($F$2="Otros",$B337="Otros",ISNUMBER(SEARCH($B337,$F$2)))),COUNT($C$2:C336)+1,""))</f>
        <v/>
      </c>
      <c r="G337" s="134" t="str">
        <f>IFERROR(INDEX($A$2:$A$507,MATCH(ROWS($G$2:G337),$C$2:$C$507,0)),IF(ROWS($G$2:G337)=1,"(sin matches)",""))</f>
        <v/>
      </c>
      <c r="I337" s="70" t="str">
        <f>IF($A337="","",IF(AND($B337&lt;&gt;"",ISNUMBER(SEARCH($I$7,$B337))),COUNT($I$9:I336)+1,""))</f>
        <v/>
      </c>
    </row>
    <row r="338" spans="1:9" ht="16" x14ac:dyDescent="0.25">
      <c r="A338" s="70">
        <f>Listas!E333</f>
        <v>0</v>
      </c>
      <c r="B338" s="70" t="str">
        <f t="shared" si="5"/>
        <v/>
      </c>
      <c r="C338" s="70" t="str">
        <f>IF($A338="","",IF(AND($B338&lt;&gt;"",IF($F$2="Otros",$B338="Otros",ISNUMBER(SEARCH($B338,$F$2)))),COUNT($C$2:C337)+1,""))</f>
        <v/>
      </c>
      <c r="G338" s="134" t="str">
        <f>IFERROR(INDEX($A$2:$A$507,MATCH(ROWS($G$2:G338),$C$2:$C$507,0)),IF(ROWS($G$2:G338)=1,"(sin matches)",""))</f>
        <v/>
      </c>
      <c r="I338" s="70" t="str">
        <f>IF($A338="","",IF(AND($B338&lt;&gt;"",ISNUMBER(SEARCH($I$7,$B338))),COUNT($I$9:I337)+1,""))</f>
        <v/>
      </c>
    </row>
    <row r="339" spans="1:9" ht="16" x14ac:dyDescent="0.25">
      <c r="A339" s="70">
        <f>Listas!E334</f>
        <v>0</v>
      </c>
      <c r="B339" s="70" t="str">
        <f t="shared" si="5"/>
        <v/>
      </c>
      <c r="C339" s="70" t="str">
        <f>IF($A339="","",IF(AND($B339&lt;&gt;"",IF($F$2="Otros",$B339="Otros",ISNUMBER(SEARCH($B339,$F$2)))),COUNT($C$2:C338)+1,""))</f>
        <v/>
      </c>
      <c r="G339" s="134" t="str">
        <f>IFERROR(INDEX($A$2:$A$507,MATCH(ROWS($G$2:G339),$C$2:$C$507,0)),IF(ROWS($G$2:G339)=1,"(sin matches)",""))</f>
        <v/>
      </c>
      <c r="I339" s="70" t="str">
        <f>IF($A339="","",IF(AND($B339&lt;&gt;"",ISNUMBER(SEARCH($I$7,$B339))),COUNT($I$9:I338)+1,""))</f>
        <v/>
      </c>
    </row>
    <row r="340" spans="1:9" ht="16" x14ac:dyDescent="0.25">
      <c r="A340" s="70">
        <f>Listas!E335</f>
        <v>0</v>
      </c>
      <c r="B340" s="70" t="str">
        <f t="shared" si="5"/>
        <v/>
      </c>
      <c r="C340" s="70" t="str">
        <f>IF($A340="","",IF(AND($B340&lt;&gt;"",IF($F$2="Otros",$B340="Otros",ISNUMBER(SEARCH($B340,$F$2)))),COUNT($C$2:C339)+1,""))</f>
        <v/>
      </c>
      <c r="G340" s="134" t="str">
        <f>IFERROR(INDEX($A$2:$A$507,MATCH(ROWS($G$2:G340),$C$2:$C$507,0)),IF(ROWS($G$2:G340)=1,"(sin matches)",""))</f>
        <v/>
      </c>
      <c r="I340" s="70" t="str">
        <f>IF($A340="","",IF(AND($B340&lt;&gt;"",ISNUMBER(SEARCH($I$7,$B340))),COUNT($I$9:I339)+1,""))</f>
        <v/>
      </c>
    </row>
    <row r="341" spans="1:9" ht="16" x14ac:dyDescent="0.25">
      <c r="A341" s="70">
        <f>Listas!E336</f>
        <v>0</v>
      </c>
      <c r="B341" s="70" t="str">
        <f t="shared" si="5"/>
        <v/>
      </c>
      <c r="C341" s="70" t="str">
        <f>IF($A341="","",IF(AND($B341&lt;&gt;"",IF($F$2="Otros",$B341="Otros",ISNUMBER(SEARCH($B341,$F$2)))),COUNT($C$2:C340)+1,""))</f>
        <v/>
      </c>
      <c r="G341" s="134" t="str">
        <f>IFERROR(INDEX($A$2:$A$507,MATCH(ROWS($G$2:G341),$C$2:$C$507,0)),IF(ROWS($G$2:G341)=1,"(sin matches)",""))</f>
        <v/>
      </c>
      <c r="I341" s="70" t="str">
        <f>IF($A341="","",IF(AND($B341&lt;&gt;"",ISNUMBER(SEARCH($I$7,$B341))),COUNT($I$9:I340)+1,""))</f>
        <v/>
      </c>
    </row>
    <row r="342" spans="1:9" ht="16" x14ac:dyDescent="0.25">
      <c r="A342" s="70">
        <f>Listas!E337</f>
        <v>0</v>
      </c>
      <c r="B342" s="70" t="str">
        <f t="shared" si="5"/>
        <v/>
      </c>
      <c r="C342" s="70" t="str">
        <f>IF($A342="","",IF(AND($B342&lt;&gt;"",IF($F$2="Otros",$B342="Otros",ISNUMBER(SEARCH($B342,$F$2)))),COUNT($C$2:C341)+1,""))</f>
        <v/>
      </c>
      <c r="G342" s="134" t="str">
        <f>IFERROR(INDEX($A$2:$A$507,MATCH(ROWS($G$2:G342),$C$2:$C$507,0)),IF(ROWS($G$2:G342)=1,"(sin matches)",""))</f>
        <v/>
      </c>
      <c r="I342" s="70" t="str">
        <f>IF($A342="","",IF(AND($B342&lt;&gt;"",ISNUMBER(SEARCH($I$7,$B342))),COUNT($I$9:I341)+1,""))</f>
        <v/>
      </c>
    </row>
    <row r="343" spans="1:9" ht="16" x14ac:dyDescent="0.25">
      <c r="A343" s="70">
        <f>Listas!E338</f>
        <v>0</v>
      </c>
      <c r="B343" s="70" t="str">
        <f t="shared" si="5"/>
        <v/>
      </c>
      <c r="C343" s="70" t="str">
        <f>IF($A343="","",IF(AND($B343&lt;&gt;"",IF($F$2="Otros",$B343="Otros",ISNUMBER(SEARCH($B343,$F$2)))),COUNT($C$2:C342)+1,""))</f>
        <v/>
      </c>
      <c r="G343" s="134" t="str">
        <f>IFERROR(INDEX($A$2:$A$507,MATCH(ROWS($G$2:G343),$C$2:$C$507,0)),IF(ROWS($G$2:G343)=1,"(sin matches)",""))</f>
        <v/>
      </c>
      <c r="I343" s="70" t="str">
        <f>IF($A343="","",IF(AND($B343&lt;&gt;"",ISNUMBER(SEARCH($I$7,$B343))),COUNT($I$9:I342)+1,""))</f>
        <v/>
      </c>
    </row>
    <row r="344" spans="1:9" ht="16" x14ac:dyDescent="0.25">
      <c r="A344" s="70">
        <f>Listas!E339</f>
        <v>0</v>
      </c>
      <c r="B344" s="70" t="str">
        <f t="shared" si="5"/>
        <v/>
      </c>
      <c r="C344" s="70" t="str">
        <f>IF($A344="","",IF(AND($B344&lt;&gt;"",IF($F$2="Otros",$B344="Otros",ISNUMBER(SEARCH($B344,$F$2)))),COUNT($C$2:C343)+1,""))</f>
        <v/>
      </c>
      <c r="G344" s="134" t="str">
        <f>IFERROR(INDEX($A$2:$A$507,MATCH(ROWS($G$2:G344),$C$2:$C$507,0)),IF(ROWS($G$2:G344)=1,"(sin matches)",""))</f>
        <v/>
      </c>
      <c r="I344" s="70" t="str">
        <f>IF($A344="","",IF(AND($B344&lt;&gt;"",ISNUMBER(SEARCH($I$7,$B344))),COUNT($I$9:I343)+1,""))</f>
        <v/>
      </c>
    </row>
    <row r="345" spans="1:9" ht="16" x14ac:dyDescent="0.25">
      <c r="A345" s="70">
        <f>Listas!E340</f>
        <v>0</v>
      </c>
      <c r="B345" s="70" t="str">
        <f t="shared" si="5"/>
        <v/>
      </c>
      <c r="C345" s="70" t="str">
        <f>IF($A345="","",IF(AND($B345&lt;&gt;"",IF($F$2="Otros",$B345="Otros",ISNUMBER(SEARCH($B345,$F$2)))),COUNT($C$2:C344)+1,""))</f>
        <v/>
      </c>
      <c r="G345" s="134" t="str">
        <f>IFERROR(INDEX($A$2:$A$507,MATCH(ROWS($G$2:G345),$C$2:$C$507,0)),IF(ROWS($G$2:G345)=1,"(sin matches)",""))</f>
        <v/>
      </c>
      <c r="I345" s="70" t="str">
        <f>IF($A345="","",IF(AND($B345&lt;&gt;"",ISNUMBER(SEARCH($I$7,$B345))),COUNT($I$9:I344)+1,""))</f>
        <v/>
      </c>
    </row>
    <row r="346" spans="1:9" ht="16" x14ac:dyDescent="0.25">
      <c r="A346" s="70">
        <f>Listas!E341</f>
        <v>0</v>
      </c>
      <c r="B346" s="70" t="str">
        <f t="shared" si="5"/>
        <v/>
      </c>
      <c r="C346" s="70" t="str">
        <f>IF($A346="","",IF(AND($B346&lt;&gt;"",IF($F$2="Otros",$B346="Otros",ISNUMBER(SEARCH($B346,$F$2)))),COUNT($C$2:C345)+1,""))</f>
        <v/>
      </c>
      <c r="G346" s="134" t="str">
        <f>IFERROR(INDEX($A$2:$A$507,MATCH(ROWS($G$2:G346),$C$2:$C$507,0)),IF(ROWS($G$2:G346)=1,"(sin matches)",""))</f>
        <v/>
      </c>
      <c r="I346" s="70" t="str">
        <f>IF($A346="","",IF(AND($B346&lt;&gt;"",ISNUMBER(SEARCH($I$7,$B346))),COUNT($I$9:I345)+1,""))</f>
        <v/>
      </c>
    </row>
    <row r="347" spans="1:9" ht="16" x14ac:dyDescent="0.25">
      <c r="A347" s="70">
        <f>Listas!E342</f>
        <v>0</v>
      </c>
      <c r="B347" s="70" t="str">
        <f t="shared" si="5"/>
        <v/>
      </c>
      <c r="C347" s="70" t="str">
        <f>IF($A347="","",IF(AND($B347&lt;&gt;"",IF($F$2="Otros",$B347="Otros",ISNUMBER(SEARCH($B347,$F$2)))),COUNT($C$2:C346)+1,""))</f>
        <v/>
      </c>
      <c r="G347" s="134" t="str">
        <f>IFERROR(INDEX($A$2:$A$507,MATCH(ROWS($G$2:G347),$C$2:$C$507,0)),IF(ROWS($G$2:G347)=1,"(sin matches)",""))</f>
        <v/>
      </c>
      <c r="I347" s="70" t="str">
        <f>IF($A347="","",IF(AND($B347&lt;&gt;"",ISNUMBER(SEARCH($I$7,$B347))),COUNT($I$9:I346)+1,""))</f>
        <v/>
      </c>
    </row>
    <row r="348" spans="1:9" ht="16" x14ac:dyDescent="0.25">
      <c r="A348" s="70">
        <f>Listas!E343</f>
        <v>0</v>
      </c>
      <c r="B348" s="70" t="str">
        <f t="shared" si="5"/>
        <v/>
      </c>
      <c r="C348" s="70" t="str">
        <f>IF($A348="","",IF(AND($B348&lt;&gt;"",IF($F$2="Otros",$B348="Otros",ISNUMBER(SEARCH($B348,$F$2)))),COUNT($C$2:C347)+1,""))</f>
        <v/>
      </c>
      <c r="G348" s="134" t="str">
        <f>IFERROR(INDEX($A$2:$A$507,MATCH(ROWS($G$2:G348),$C$2:$C$507,0)),IF(ROWS($G$2:G348)=1,"(sin matches)",""))</f>
        <v/>
      </c>
      <c r="I348" s="70" t="str">
        <f>IF($A348="","",IF(AND($B348&lt;&gt;"",ISNUMBER(SEARCH($I$7,$B348))),COUNT($I$9:I347)+1,""))</f>
        <v/>
      </c>
    </row>
    <row r="349" spans="1:9" ht="16" x14ac:dyDescent="0.25">
      <c r="A349" s="70">
        <f>Listas!E344</f>
        <v>0</v>
      </c>
      <c r="B349" s="70" t="str">
        <f t="shared" si="5"/>
        <v/>
      </c>
      <c r="C349" s="70" t="str">
        <f>IF($A349="","",IF(AND($B349&lt;&gt;"",IF($F$2="Otros",$B349="Otros",ISNUMBER(SEARCH($B349,$F$2)))),COUNT($C$2:C348)+1,""))</f>
        <v/>
      </c>
      <c r="G349" s="134" t="str">
        <f>IFERROR(INDEX($A$2:$A$507,MATCH(ROWS($G$2:G349),$C$2:$C$507,0)),IF(ROWS($G$2:G349)=1,"(sin matches)",""))</f>
        <v/>
      </c>
      <c r="I349" s="70" t="str">
        <f>IF($A349="","",IF(AND($B349&lt;&gt;"",ISNUMBER(SEARCH($I$7,$B349))),COUNT($I$9:I348)+1,""))</f>
        <v/>
      </c>
    </row>
    <row r="350" spans="1:9" ht="16" x14ac:dyDescent="0.25">
      <c r="A350" s="70">
        <f>Listas!E345</f>
        <v>0</v>
      </c>
      <c r="B350" s="70" t="str">
        <f t="shared" si="5"/>
        <v/>
      </c>
      <c r="C350" s="70" t="str">
        <f>IF($A350="","",IF(AND($B350&lt;&gt;"",IF($F$2="Otros",$B350="Otros",ISNUMBER(SEARCH($B350,$F$2)))),COUNT($C$2:C349)+1,""))</f>
        <v/>
      </c>
      <c r="G350" s="134" t="str">
        <f>IFERROR(INDEX($A$2:$A$507,MATCH(ROWS($G$2:G350),$C$2:$C$507,0)),IF(ROWS($G$2:G350)=1,"(sin matches)",""))</f>
        <v/>
      </c>
      <c r="I350" s="70" t="str">
        <f>IF($A350="","",IF(AND($B350&lt;&gt;"",ISNUMBER(SEARCH($I$7,$B350))),COUNT($I$9:I349)+1,""))</f>
        <v/>
      </c>
    </row>
    <row r="351" spans="1:9" ht="16" x14ac:dyDescent="0.25">
      <c r="A351" s="70">
        <f>Listas!E346</f>
        <v>0</v>
      </c>
      <c r="B351" s="70" t="str">
        <f t="shared" si="5"/>
        <v/>
      </c>
      <c r="C351" s="70" t="str">
        <f>IF($A351="","",IF(AND($B351&lt;&gt;"",IF($F$2="Otros",$B351="Otros",ISNUMBER(SEARCH($B351,$F$2)))),COUNT($C$2:C350)+1,""))</f>
        <v/>
      </c>
      <c r="G351" s="134" t="str">
        <f>IFERROR(INDEX($A$2:$A$507,MATCH(ROWS($G$2:G351),$C$2:$C$507,0)),IF(ROWS($G$2:G351)=1,"(sin matches)",""))</f>
        <v/>
      </c>
      <c r="I351" s="70" t="str">
        <f>IF($A351="","",IF(AND($B351&lt;&gt;"",ISNUMBER(SEARCH($I$7,$B351))),COUNT($I$9:I350)+1,""))</f>
        <v/>
      </c>
    </row>
    <row r="352" spans="1:9" ht="16" x14ac:dyDescent="0.25">
      <c r="A352" s="70">
        <f>Listas!E347</f>
        <v>0</v>
      </c>
      <c r="B352" s="70" t="str">
        <f t="shared" si="5"/>
        <v/>
      </c>
      <c r="C352" s="70" t="str">
        <f>IF($A352="","",IF(AND($B352&lt;&gt;"",IF($F$2="Otros",$B352="Otros",ISNUMBER(SEARCH($B352,$F$2)))),COUNT($C$2:C351)+1,""))</f>
        <v/>
      </c>
      <c r="G352" s="134" t="str">
        <f>IFERROR(INDEX($A$2:$A$507,MATCH(ROWS($G$2:G352),$C$2:$C$507,0)),IF(ROWS($G$2:G352)=1,"(sin matches)",""))</f>
        <v/>
      </c>
      <c r="I352" s="70" t="str">
        <f>IF($A352="","",IF(AND($B352&lt;&gt;"",ISNUMBER(SEARCH($I$7,$B352))),COUNT($I$9:I351)+1,""))</f>
        <v/>
      </c>
    </row>
    <row r="353" spans="1:9" ht="16" x14ac:dyDescent="0.25">
      <c r="A353" s="70">
        <f>Listas!E348</f>
        <v>0</v>
      </c>
      <c r="B353" s="70" t="str">
        <f t="shared" si="5"/>
        <v/>
      </c>
      <c r="C353" s="70" t="str">
        <f>IF($A353="","",IF(AND($B353&lt;&gt;"",IF($F$2="Otros",$B353="Otros",ISNUMBER(SEARCH($B353,$F$2)))),COUNT($C$2:C352)+1,""))</f>
        <v/>
      </c>
      <c r="G353" s="134" t="str">
        <f>IFERROR(INDEX($A$2:$A$507,MATCH(ROWS($G$2:G353),$C$2:$C$507,0)),IF(ROWS($G$2:G353)=1,"(sin matches)",""))</f>
        <v/>
      </c>
      <c r="I353" s="70" t="str">
        <f>IF($A353="","",IF(AND($B353&lt;&gt;"",ISNUMBER(SEARCH($I$7,$B353))),COUNT($I$9:I352)+1,""))</f>
        <v/>
      </c>
    </row>
    <row r="354" spans="1:9" ht="16" x14ac:dyDescent="0.25">
      <c r="A354" s="70">
        <f>Listas!E349</f>
        <v>0</v>
      </c>
      <c r="B354" s="70" t="str">
        <f t="shared" si="5"/>
        <v/>
      </c>
      <c r="C354" s="70" t="str">
        <f>IF($A354="","",IF(AND($B354&lt;&gt;"",IF($F$2="Otros",$B354="Otros",ISNUMBER(SEARCH($B354,$F$2)))),COUNT($C$2:C353)+1,""))</f>
        <v/>
      </c>
      <c r="G354" s="134" t="str">
        <f>IFERROR(INDEX($A$2:$A$507,MATCH(ROWS($G$2:G354),$C$2:$C$507,0)),IF(ROWS($G$2:G354)=1,"(sin matches)",""))</f>
        <v/>
      </c>
      <c r="I354" s="70" t="str">
        <f>IF($A354="","",IF(AND($B354&lt;&gt;"",ISNUMBER(SEARCH($I$7,$B354))),COUNT($I$9:I353)+1,""))</f>
        <v/>
      </c>
    </row>
    <row r="355" spans="1:9" ht="16" x14ac:dyDescent="0.25">
      <c r="A355" s="70">
        <f>Listas!E350</f>
        <v>0</v>
      </c>
      <c r="B355" s="70" t="str">
        <f t="shared" si="5"/>
        <v/>
      </c>
      <c r="C355" s="70" t="str">
        <f>IF($A355="","",IF(AND($B355&lt;&gt;"",IF($F$2="Otros",$B355="Otros",ISNUMBER(SEARCH($B355,$F$2)))),COUNT($C$2:C354)+1,""))</f>
        <v/>
      </c>
      <c r="G355" s="134" t="str">
        <f>IFERROR(INDEX($A$2:$A$507,MATCH(ROWS($G$2:G355),$C$2:$C$507,0)),IF(ROWS($G$2:G355)=1,"(sin matches)",""))</f>
        <v/>
      </c>
      <c r="I355" s="70" t="str">
        <f>IF($A355="","",IF(AND($B355&lt;&gt;"",ISNUMBER(SEARCH($I$7,$B355))),COUNT($I$9:I354)+1,""))</f>
        <v/>
      </c>
    </row>
    <row r="356" spans="1:9" ht="16" x14ac:dyDescent="0.25">
      <c r="A356" s="70">
        <f>Listas!E351</f>
        <v>0</v>
      </c>
      <c r="B356" s="70" t="str">
        <f t="shared" si="5"/>
        <v/>
      </c>
      <c r="C356" s="70" t="str">
        <f>IF($A356="","",IF(AND($B356&lt;&gt;"",IF($F$2="Otros",$B356="Otros",ISNUMBER(SEARCH($B356,$F$2)))),COUNT($C$2:C355)+1,""))</f>
        <v/>
      </c>
      <c r="G356" s="134" t="str">
        <f>IFERROR(INDEX($A$2:$A$507,MATCH(ROWS($G$2:G356),$C$2:$C$507,0)),IF(ROWS($G$2:G356)=1,"(sin matches)",""))</f>
        <v/>
      </c>
      <c r="I356" s="70" t="str">
        <f>IF($A356="","",IF(AND($B356&lt;&gt;"",ISNUMBER(SEARCH($I$7,$B356))),COUNT($I$9:I355)+1,""))</f>
        <v/>
      </c>
    </row>
    <row r="357" spans="1:9" ht="16" x14ac:dyDescent="0.25">
      <c r="A357" s="70">
        <f>Listas!E352</f>
        <v>0</v>
      </c>
      <c r="B357" s="70" t="str">
        <f t="shared" si="5"/>
        <v/>
      </c>
      <c r="C357" s="70" t="str">
        <f>IF($A357="","",IF(AND($B357&lt;&gt;"",IF($F$2="Otros",$B357="Otros",ISNUMBER(SEARCH($B357,$F$2)))),COUNT($C$2:C356)+1,""))</f>
        <v/>
      </c>
      <c r="G357" s="134" t="str">
        <f>IFERROR(INDEX($A$2:$A$507,MATCH(ROWS($G$2:G357),$C$2:$C$507,0)),IF(ROWS($G$2:G357)=1,"(sin matches)",""))</f>
        <v/>
      </c>
      <c r="I357" s="70" t="str">
        <f>IF($A357="","",IF(AND($B357&lt;&gt;"",ISNUMBER(SEARCH($I$7,$B357))),COUNT($I$9:I356)+1,""))</f>
        <v/>
      </c>
    </row>
    <row r="358" spans="1:9" ht="16" x14ac:dyDescent="0.25">
      <c r="A358" s="70">
        <f>Listas!E353</f>
        <v>0</v>
      </c>
      <c r="B358" s="70" t="str">
        <f t="shared" si="5"/>
        <v/>
      </c>
      <c r="C358" s="70" t="str">
        <f>IF($A358="","",IF(AND($B358&lt;&gt;"",IF($F$2="Otros",$B358="Otros",ISNUMBER(SEARCH($B358,$F$2)))),COUNT($C$2:C357)+1,""))</f>
        <v/>
      </c>
      <c r="G358" s="134" t="str">
        <f>IFERROR(INDEX($A$2:$A$507,MATCH(ROWS($G$2:G358),$C$2:$C$507,0)),IF(ROWS($G$2:G358)=1,"(sin matches)",""))</f>
        <v/>
      </c>
      <c r="I358" s="70" t="str">
        <f>IF($A358="","",IF(AND($B358&lt;&gt;"",ISNUMBER(SEARCH($I$7,$B358))),COUNT($I$9:I357)+1,""))</f>
        <v/>
      </c>
    </row>
    <row r="359" spans="1:9" ht="16" x14ac:dyDescent="0.25">
      <c r="A359" s="70">
        <f>Listas!E354</f>
        <v>0</v>
      </c>
      <c r="B359" s="70" t="str">
        <f t="shared" si="5"/>
        <v/>
      </c>
      <c r="C359" s="70" t="str">
        <f>IF($A359="","",IF(AND($B359&lt;&gt;"",IF($F$2="Otros",$B359="Otros",ISNUMBER(SEARCH($B359,$F$2)))),COUNT($C$2:C358)+1,""))</f>
        <v/>
      </c>
      <c r="G359" s="134" t="str">
        <f>IFERROR(INDEX($A$2:$A$507,MATCH(ROWS($G$2:G359),$C$2:$C$507,0)),IF(ROWS($G$2:G359)=1,"(sin matches)",""))</f>
        <v/>
      </c>
      <c r="I359" s="70" t="str">
        <f>IF($A359="","",IF(AND($B359&lt;&gt;"",ISNUMBER(SEARCH($I$7,$B359))),COUNT($I$9:I358)+1,""))</f>
        <v/>
      </c>
    </row>
    <row r="360" spans="1:9" ht="16" x14ac:dyDescent="0.25">
      <c r="A360" s="70">
        <f>Listas!E355</f>
        <v>0</v>
      </c>
      <c r="B360" s="70" t="str">
        <f t="shared" si="5"/>
        <v/>
      </c>
      <c r="C360" s="70" t="str">
        <f>IF($A360="","",IF(AND($B360&lt;&gt;"",IF($F$2="Otros",$B360="Otros",ISNUMBER(SEARCH($B360,$F$2)))),COUNT($C$2:C359)+1,""))</f>
        <v/>
      </c>
      <c r="G360" s="134" t="str">
        <f>IFERROR(INDEX($A$2:$A$507,MATCH(ROWS($G$2:G360),$C$2:$C$507,0)),IF(ROWS($G$2:G360)=1,"(sin matches)",""))</f>
        <v/>
      </c>
      <c r="I360" s="70" t="str">
        <f>IF($A360="","",IF(AND($B360&lt;&gt;"",ISNUMBER(SEARCH($I$7,$B360))),COUNT($I$9:I359)+1,""))</f>
        <v/>
      </c>
    </row>
    <row r="361" spans="1:9" ht="16" x14ac:dyDescent="0.25">
      <c r="A361" s="70">
        <f>Listas!E356</f>
        <v>0</v>
      </c>
      <c r="B361" s="70" t="str">
        <f t="shared" si="5"/>
        <v/>
      </c>
      <c r="C361" s="70" t="str">
        <f>IF($A361="","",IF(AND($B361&lt;&gt;"",IF($F$2="Otros",$B361="Otros",ISNUMBER(SEARCH($B361,$F$2)))),COUNT($C$2:C360)+1,""))</f>
        <v/>
      </c>
      <c r="G361" s="134" t="str">
        <f>IFERROR(INDEX($A$2:$A$507,MATCH(ROWS($G$2:G361),$C$2:$C$507,0)),IF(ROWS($G$2:G361)=1,"(sin matches)",""))</f>
        <v/>
      </c>
      <c r="I361" s="70" t="str">
        <f>IF($A361="","",IF(AND($B361&lt;&gt;"",ISNUMBER(SEARCH($I$7,$B361))),COUNT($I$9:I360)+1,""))</f>
        <v/>
      </c>
    </row>
    <row r="362" spans="1:9" ht="16" x14ac:dyDescent="0.25">
      <c r="A362" s="70">
        <f>Listas!E357</f>
        <v>0</v>
      </c>
      <c r="B362" s="70" t="str">
        <f t="shared" si="5"/>
        <v/>
      </c>
      <c r="C362" s="70" t="str">
        <f>IF($A362="","",IF(AND($B362&lt;&gt;"",IF($F$2="Otros",$B362="Otros",ISNUMBER(SEARCH($B362,$F$2)))),COUNT($C$2:C361)+1,""))</f>
        <v/>
      </c>
      <c r="G362" s="134" t="str">
        <f>IFERROR(INDEX($A$2:$A$507,MATCH(ROWS($G$2:G362),$C$2:$C$507,0)),IF(ROWS($G$2:G362)=1,"(sin matches)",""))</f>
        <v/>
      </c>
      <c r="I362" s="70" t="str">
        <f>IF($A362="","",IF(AND($B362&lt;&gt;"",ISNUMBER(SEARCH($I$7,$B362))),COUNT($I$9:I361)+1,""))</f>
        <v/>
      </c>
    </row>
    <row r="363" spans="1:9" ht="16" x14ac:dyDescent="0.25">
      <c r="A363" s="70">
        <f>Listas!E358</f>
        <v>0</v>
      </c>
      <c r="B363" s="70" t="str">
        <f t="shared" si="5"/>
        <v/>
      </c>
      <c r="C363" s="70" t="str">
        <f>IF($A363="","",IF(AND($B363&lt;&gt;"",IF($F$2="Otros",$B363="Otros",ISNUMBER(SEARCH($B363,$F$2)))),COUNT($C$2:C362)+1,""))</f>
        <v/>
      </c>
      <c r="G363" s="134" t="str">
        <f>IFERROR(INDEX($A$2:$A$507,MATCH(ROWS($G$2:G363),$C$2:$C$507,0)),IF(ROWS($G$2:G363)=1,"(sin matches)",""))</f>
        <v/>
      </c>
      <c r="I363" s="70" t="str">
        <f>IF($A363="","",IF(AND($B363&lt;&gt;"",ISNUMBER(SEARCH($I$7,$B363))),COUNT($I$9:I362)+1,""))</f>
        <v/>
      </c>
    </row>
    <row r="364" spans="1:9" ht="16" x14ac:dyDescent="0.25">
      <c r="A364" s="70">
        <f>Listas!E359</f>
        <v>0</v>
      </c>
      <c r="B364" s="70" t="str">
        <f t="shared" si="5"/>
        <v/>
      </c>
      <c r="C364" s="70" t="str">
        <f>IF($A364="","",IF(AND($B364&lt;&gt;"",IF($F$2="Otros",$B364="Otros",ISNUMBER(SEARCH($B364,$F$2)))),COUNT($C$2:C363)+1,""))</f>
        <v/>
      </c>
      <c r="G364" s="134" t="str">
        <f>IFERROR(INDEX($A$2:$A$507,MATCH(ROWS($G$2:G364),$C$2:$C$507,0)),IF(ROWS($G$2:G364)=1,"(sin matches)",""))</f>
        <v/>
      </c>
      <c r="I364" s="70" t="str">
        <f>IF($A364="","",IF(AND($B364&lt;&gt;"",ISNUMBER(SEARCH($I$7,$B364))),COUNT($I$9:I363)+1,""))</f>
        <v/>
      </c>
    </row>
    <row r="365" spans="1:9" ht="16" x14ac:dyDescent="0.25">
      <c r="A365" s="70">
        <f>Listas!E360</f>
        <v>0</v>
      </c>
      <c r="B365" s="70" t="str">
        <f t="shared" si="5"/>
        <v/>
      </c>
      <c r="C365" s="70" t="str">
        <f>IF($A365="","",IF(AND($B365&lt;&gt;"",IF($F$2="Otros",$B365="Otros",ISNUMBER(SEARCH($B365,$F$2)))),COUNT($C$2:C364)+1,""))</f>
        <v/>
      </c>
      <c r="G365" s="134" t="str">
        <f>IFERROR(INDEX($A$2:$A$507,MATCH(ROWS($G$2:G365),$C$2:$C$507,0)),IF(ROWS($G$2:G365)=1,"(sin matches)",""))</f>
        <v/>
      </c>
      <c r="I365" s="70" t="str">
        <f>IF($A365="","",IF(AND($B365&lt;&gt;"",ISNUMBER(SEARCH($I$7,$B365))),COUNT($I$9:I364)+1,""))</f>
        <v/>
      </c>
    </row>
    <row r="366" spans="1:9" ht="16" x14ac:dyDescent="0.25">
      <c r="A366" s="70">
        <f>Listas!E361</f>
        <v>0</v>
      </c>
      <c r="B366" s="70" t="str">
        <f t="shared" si="5"/>
        <v/>
      </c>
      <c r="C366" s="70" t="str">
        <f>IF($A366="","",IF(AND($B366&lt;&gt;"",IF($F$2="Otros",$B366="Otros",ISNUMBER(SEARCH($B366,$F$2)))),COUNT($C$2:C365)+1,""))</f>
        <v/>
      </c>
      <c r="G366" s="134" t="str">
        <f>IFERROR(INDEX($A$2:$A$507,MATCH(ROWS($G$2:G366),$C$2:$C$507,0)),IF(ROWS($G$2:G366)=1,"(sin matches)",""))</f>
        <v/>
      </c>
      <c r="I366" s="70" t="str">
        <f>IF($A366="","",IF(AND($B366&lt;&gt;"",ISNUMBER(SEARCH($I$7,$B366))),COUNT($I$9:I365)+1,""))</f>
        <v/>
      </c>
    </row>
    <row r="367" spans="1:9" ht="16" x14ac:dyDescent="0.25">
      <c r="A367" s="70">
        <f>Listas!E362</f>
        <v>0</v>
      </c>
      <c r="B367" s="70" t="str">
        <f t="shared" si="5"/>
        <v/>
      </c>
      <c r="C367" s="70" t="str">
        <f>IF($A367="","",IF(AND($B367&lt;&gt;"",IF($F$2="Otros",$B367="Otros",ISNUMBER(SEARCH($B367,$F$2)))),COUNT($C$2:C366)+1,""))</f>
        <v/>
      </c>
      <c r="G367" s="134" t="str">
        <f>IFERROR(INDEX($A$2:$A$507,MATCH(ROWS($G$2:G367),$C$2:$C$507,0)),IF(ROWS($G$2:G367)=1,"(sin matches)",""))</f>
        <v/>
      </c>
      <c r="I367" s="70" t="str">
        <f>IF($A367="","",IF(AND($B367&lt;&gt;"",ISNUMBER(SEARCH($I$7,$B367))),COUNT($I$9:I366)+1,""))</f>
        <v/>
      </c>
    </row>
    <row r="368" spans="1:9" ht="16" x14ac:dyDescent="0.25">
      <c r="A368" s="70">
        <f>Listas!E363</f>
        <v>0</v>
      </c>
      <c r="B368" s="70" t="str">
        <f t="shared" si="5"/>
        <v/>
      </c>
      <c r="C368" s="70" t="str">
        <f>IF($A368="","",IF(AND($B368&lt;&gt;"",IF($F$2="Otros",$B368="Otros",ISNUMBER(SEARCH($B368,$F$2)))),COUNT($C$2:C367)+1,""))</f>
        <v/>
      </c>
      <c r="G368" s="134" t="str">
        <f>IFERROR(INDEX($A$2:$A$507,MATCH(ROWS($G$2:G368),$C$2:$C$507,0)),IF(ROWS($G$2:G368)=1,"(sin matches)",""))</f>
        <v/>
      </c>
      <c r="I368" s="70" t="str">
        <f>IF($A368="","",IF(AND($B368&lt;&gt;"",ISNUMBER(SEARCH($I$7,$B368))),COUNT($I$9:I367)+1,""))</f>
        <v/>
      </c>
    </row>
    <row r="369" spans="1:9" ht="16" x14ac:dyDescent="0.25">
      <c r="A369" s="70">
        <f>Listas!E364</f>
        <v>0</v>
      </c>
      <c r="B369" s="70" t="str">
        <f t="shared" si="5"/>
        <v/>
      </c>
      <c r="C369" s="70" t="str">
        <f>IF($A369="","",IF(AND($B369&lt;&gt;"",IF($F$2="Otros",$B369="Otros",ISNUMBER(SEARCH($B369,$F$2)))),COUNT($C$2:C368)+1,""))</f>
        <v/>
      </c>
      <c r="G369" s="134" t="str">
        <f>IFERROR(INDEX($A$2:$A$507,MATCH(ROWS($G$2:G369),$C$2:$C$507,0)),IF(ROWS($G$2:G369)=1,"(sin matches)",""))</f>
        <v/>
      </c>
      <c r="I369" s="70" t="str">
        <f>IF($A369="","",IF(AND($B369&lt;&gt;"",ISNUMBER(SEARCH($I$7,$B369))),COUNT($I$9:I368)+1,""))</f>
        <v/>
      </c>
    </row>
    <row r="370" spans="1:9" ht="16" x14ac:dyDescent="0.25">
      <c r="A370" s="70">
        <f>Listas!E365</f>
        <v>0</v>
      </c>
      <c r="B370" s="70" t="str">
        <f t="shared" si="5"/>
        <v/>
      </c>
      <c r="C370" s="70" t="str">
        <f>IF($A370="","",IF(AND($B370&lt;&gt;"",IF($F$2="Otros",$B370="Otros",ISNUMBER(SEARCH($B370,$F$2)))),COUNT($C$2:C369)+1,""))</f>
        <v/>
      </c>
      <c r="G370" s="134" t="str">
        <f>IFERROR(INDEX($A$2:$A$507,MATCH(ROWS($G$2:G370),$C$2:$C$507,0)),IF(ROWS($G$2:G370)=1,"(sin matches)",""))</f>
        <v/>
      </c>
      <c r="I370" s="70" t="str">
        <f>IF($A370="","",IF(AND($B370&lt;&gt;"",ISNUMBER(SEARCH($I$7,$B370))),COUNT($I$9:I369)+1,""))</f>
        <v/>
      </c>
    </row>
    <row r="371" spans="1:9" ht="16" x14ac:dyDescent="0.25">
      <c r="A371" s="70">
        <f>Listas!E366</f>
        <v>0</v>
      </c>
      <c r="B371" s="70" t="str">
        <f t="shared" si="5"/>
        <v/>
      </c>
      <c r="C371" s="70" t="str">
        <f>IF($A371="","",IF(AND($B371&lt;&gt;"",IF($F$2="Otros",$B371="Otros",ISNUMBER(SEARCH($B371,$F$2)))),COUNT($C$2:C370)+1,""))</f>
        <v/>
      </c>
      <c r="G371" s="134" t="str">
        <f>IFERROR(INDEX($A$2:$A$507,MATCH(ROWS($G$2:G371),$C$2:$C$507,0)),IF(ROWS($G$2:G371)=1,"(sin matches)",""))</f>
        <v/>
      </c>
      <c r="I371" s="70" t="str">
        <f>IF($A371="","",IF(AND($B371&lt;&gt;"",ISNUMBER(SEARCH($I$7,$B371))),COUNT($I$9:I370)+1,""))</f>
        <v/>
      </c>
    </row>
    <row r="372" spans="1:9" ht="16" x14ac:dyDescent="0.25">
      <c r="A372" s="70">
        <f>Listas!E367</f>
        <v>0</v>
      </c>
      <c r="B372" s="70" t="str">
        <f t="shared" si="5"/>
        <v/>
      </c>
      <c r="C372" s="70" t="str">
        <f>IF($A372="","",IF(AND($B372&lt;&gt;"",IF($F$2="Otros",$B372="Otros",ISNUMBER(SEARCH($B372,$F$2)))),COUNT($C$2:C371)+1,""))</f>
        <v/>
      </c>
      <c r="G372" s="134" t="str">
        <f>IFERROR(INDEX($A$2:$A$507,MATCH(ROWS($G$2:G372),$C$2:$C$507,0)),IF(ROWS($G$2:G372)=1,"(sin matches)",""))</f>
        <v/>
      </c>
      <c r="I372" s="70" t="str">
        <f>IF($A372="","",IF(AND($B372&lt;&gt;"",ISNUMBER(SEARCH($I$7,$B372))),COUNT($I$9:I371)+1,""))</f>
        <v/>
      </c>
    </row>
    <row r="373" spans="1:9" ht="16" x14ac:dyDescent="0.25">
      <c r="A373" s="70">
        <f>Listas!E368</f>
        <v>0</v>
      </c>
      <c r="B373" s="70" t="str">
        <f t="shared" si="5"/>
        <v/>
      </c>
      <c r="C373" s="70" t="str">
        <f>IF($A373="","",IF(AND($B373&lt;&gt;"",IF($F$2="Otros",$B373="Otros",ISNUMBER(SEARCH($B373,$F$2)))),COUNT($C$2:C372)+1,""))</f>
        <v/>
      </c>
      <c r="G373" s="134" t="str">
        <f>IFERROR(INDEX($A$2:$A$507,MATCH(ROWS($G$2:G373),$C$2:$C$507,0)),IF(ROWS($G$2:G373)=1,"(sin matches)",""))</f>
        <v/>
      </c>
      <c r="I373" s="70" t="str">
        <f>IF($A373="","",IF(AND($B373&lt;&gt;"",ISNUMBER(SEARCH($I$7,$B373))),COUNT($I$9:I372)+1,""))</f>
        <v/>
      </c>
    </row>
    <row r="374" spans="1:9" ht="16" x14ac:dyDescent="0.25">
      <c r="A374" s="70">
        <f>Listas!E369</f>
        <v>0</v>
      </c>
      <c r="B374" s="70" t="str">
        <f t="shared" si="5"/>
        <v/>
      </c>
      <c r="C374" s="70" t="str">
        <f>IF($A374="","",IF(AND($B374&lt;&gt;"",IF($F$2="Otros",$B374="Otros",ISNUMBER(SEARCH($B374,$F$2)))),COUNT($C$2:C373)+1,""))</f>
        <v/>
      </c>
      <c r="G374" s="134" t="str">
        <f>IFERROR(INDEX($A$2:$A$507,MATCH(ROWS($G$2:G374),$C$2:$C$507,0)),IF(ROWS($G$2:G374)=1,"(sin matches)",""))</f>
        <v/>
      </c>
      <c r="I374" s="70" t="str">
        <f>IF($A374="","",IF(AND($B374&lt;&gt;"",ISNUMBER(SEARCH($I$7,$B374))),COUNT($I$9:I373)+1,""))</f>
        <v/>
      </c>
    </row>
    <row r="375" spans="1:9" ht="16" x14ac:dyDescent="0.25">
      <c r="A375" s="70">
        <f>Listas!E370</f>
        <v>0</v>
      </c>
      <c r="B375" s="70" t="str">
        <f t="shared" si="5"/>
        <v/>
      </c>
      <c r="C375" s="70" t="str">
        <f>IF($A375="","",IF(AND($B375&lt;&gt;"",IF($F$2="Otros",$B375="Otros",ISNUMBER(SEARCH($B375,$F$2)))),COUNT($C$2:C374)+1,""))</f>
        <v/>
      </c>
      <c r="G375" s="134" t="str">
        <f>IFERROR(INDEX($A$2:$A$507,MATCH(ROWS($G$2:G375),$C$2:$C$507,0)),IF(ROWS($G$2:G375)=1,"(sin matches)",""))</f>
        <v/>
      </c>
      <c r="I375" s="70" t="str">
        <f>IF($A375="","",IF(AND($B375&lt;&gt;"",ISNUMBER(SEARCH($I$7,$B375))),COUNT($I$9:I374)+1,""))</f>
        <v/>
      </c>
    </row>
    <row r="376" spans="1:9" ht="16" x14ac:dyDescent="0.25">
      <c r="A376" s="70">
        <f>Listas!E371</f>
        <v>0</v>
      </c>
      <c r="B376" s="70" t="str">
        <f t="shared" si="5"/>
        <v/>
      </c>
      <c r="C376" s="70" t="str">
        <f>IF($A376="","",IF(AND($B376&lt;&gt;"",IF($F$2="Otros",$B376="Otros",ISNUMBER(SEARCH($B376,$F$2)))),COUNT($C$2:C375)+1,""))</f>
        <v/>
      </c>
      <c r="G376" s="134" t="str">
        <f>IFERROR(INDEX($A$2:$A$507,MATCH(ROWS($G$2:G376),$C$2:$C$507,0)),IF(ROWS($G$2:G376)=1,"(sin matches)",""))</f>
        <v/>
      </c>
      <c r="I376" s="70" t="str">
        <f>IF($A376="","",IF(AND($B376&lt;&gt;"",ISNUMBER(SEARCH($I$7,$B376))),COUNT($I$9:I375)+1,""))</f>
        <v/>
      </c>
    </row>
    <row r="377" spans="1:9" ht="16" x14ac:dyDescent="0.25">
      <c r="A377" s="70">
        <f>Listas!E372</f>
        <v>0</v>
      </c>
      <c r="B377" s="70" t="str">
        <f t="shared" si="5"/>
        <v/>
      </c>
      <c r="C377" s="70" t="str">
        <f>IF($A377="","",IF(AND($B377&lt;&gt;"",IF($F$2="Otros",$B377="Otros",ISNUMBER(SEARCH($B377,$F$2)))),COUNT($C$2:C376)+1,""))</f>
        <v/>
      </c>
      <c r="G377" s="134" t="str">
        <f>IFERROR(INDEX($A$2:$A$507,MATCH(ROWS($G$2:G377),$C$2:$C$507,0)),IF(ROWS($G$2:G377)=1,"(sin matches)",""))</f>
        <v/>
      </c>
      <c r="I377" s="70" t="str">
        <f>IF($A377="","",IF(AND($B377&lt;&gt;"",ISNUMBER(SEARCH($I$7,$B377))),COUNT($I$9:I376)+1,""))</f>
        <v/>
      </c>
    </row>
    <row r="378" spans="1:9" ht="16" x14ac:dyDescent="0.25">
      <c r="A378" s="70">
        <f>Listas!E373</f>
        <v>0</v>
      </c>
      <c r="B378" s="70" t="str">
        <f t="shared" si="5"/>
        <v/>
      </c>
      <c r="C378" s="70" t="str">
        <f>IF($A378="","",IF(AND($B378&lt;&gt;"",IF($F$2="Otros",$B378="Otros",ISNUMBER(SEARCH($B378,$F$2)))),COUNT($C$2:C377)+1,""))</f>
        <v/>
      </c>
      <c r="G378" s="134" t="str">
        <f>IFERROR(INDEX($A$2:$A$507,MATCH(ROWS($G$2:G378),$C$2:$C$507,0)),IF(ROWS($G$2:G378)=1,"(sin matches)",""))</f>
        <v/>
      </c>
      <c r="I378" s="70" t="str">
        <f>IF($A378="","",IF(AND($B378&lt;&gt;"",ISNUMBER(SEARCH($I$7,$B378))),COUNT($I$9:I377)+1,""))</f>
        <v/>
      </c>
    </row>
    <row r="379" spans="1:9" ht="16" x14ac:dyDescent="0.25">
      <c r="A379" s="70">
        <f>Listas!E374</f>
        <v>0</v>
      </c>
      <c r="B379" s="70" t="str">
        <f t="shared" si="5"/>
        <v/>
      </c>
      <c r="C379" s="70" t="str">
        <f>IF($A379="","",IF(AND($B379&lt;&gt;"",IF($F$2="Otros",$B379="Otros",ISNUMBER(SEARCH($B379,$F$2)))),COUNT($C$2:C378)+1,""))</f>
        <v/>
      </c>
      <c r="G379" s="134" t="str">
        <f>IFERROR(INDEX($A$2:$A$507,MATCH(ROWS($G$2:G379),$C$2:$C$507,0)),IF(ROWS($G$2:G379)=1,"(sin matches)",""))</f>
        <v/>
      </c>
      <c r="I379" s="70" t="str">
        <f>IF($A379="","",IF(AND($B379&lt;&gt;"",ISNUMBER(SEARCH($I$7,$B379))),COUNT($I$9:I378)+1,""))</f>
        <v/>
      </c>
    </row>
    <row r="380" spans="1:9" ht="16" x14ac:dyDescent="0.25">
      <c r="A380" s="70">
        <f>Listas!E375</f>
        <v>0</v>
      </c>
      <c r="B380" s="70" t="str">
        <f t="shared" si="5"/>
        <v/>
      </c>
      <c r="C380" s="70" t="str">
        <f>IF($A380="","",IF(AND($B380&lt;&gt;"",IF($F$2="Otros",$B380="Otros",ISNUMBER(SEARCH($B380,$F$2)))),COUNT($C$2:C379)+1,""))</f>
        <v/>
      </c>
      <c r="G380" s="134" t="str">
        <f>IFERROR(INDEX($A$2:$A$507,MATCH(ROWS($G$2:G380),$C$2:$C$507,0)),IF(ROWS($G$2:G380)=1,"(sin matches)",""))</f>
        <v/>
      </c>
      <c r="I380" s="70" t="str">
        <f>IF($A380="","",IF(AND($B380&lt;&gt;"",ISNUMBER(SEARCH($I$7,$B380))),COUNT($I$9:I379)+1,""))</f>
        <v/>
      </c>
    </row>
    <row r="381" spans="1:9" ht="16" x14ac:dyDescent="0.25">
      <c r="A381" s="70">
        <f>Listas!E376</f>
        <v>0</v>
      </c>
      <c r="B381" s="70" t="str">
        <f t="shared" si="5"/>
        <v/>
      </c>
      <c r="C381" s="70" t="str">
        <f>IF($A381="","",IF(AND($B381&lt;&gt;"",IF($F$2="Otros",$B381="Otros",ISNUMBER(SEARCH($B381,$F$2)))),COUNT($C$2:C380)+1,""))</f>
        <v/>
      </c>
      <c r="G381" s="134" t="str">
        <f>IFERROR(INDEX($A$2:$A$507,MATCH(ROWS($G$2:G381),$C$2:$C$507,0)),IF(ROWS($G$2:G381)=1,"(sin matches)",""))</f>
        <v/>
      </c>
      <c r="I381" s="70" t="str">
        <f>IF($A381="","",IF(AND($B381&lt;&gt;"",ISNUMBER(SEARCH($I$7,$B381))),COUNT($I$9:I380)+1,""))</f>
        <v/>
      </c>
    </row>
    <row r="382" spans="1:9" ht="16" x14ac:dyDescent="0.25">
      <c r="A382" s="70">
        <f>Listas!E377</f>
        <v>0</v>
      </c>
      <c r="B382" s="70" t="str">
        <f t="shared" si="5"/>
        <v/>
      </c>
      <c r="C382" s="70" t="str">
        <f>IF($A382="","",IF(AND($B382&lt;&gt;"",IF($F$2="Otros",$B382="Otros",ISNUMBER(SEARCH($B382,$F$2)))),COUNT($C$2:C381)+1,""))</f>
        <v/>
      </c>
      <c r="G382" s="134" t="str">
        <f>IFERROR(INDEX($A$2:$A$507,MATCH(ROWS($G$2:G382),$C$2:$C$507,0)),IF(ROWS($G$2:G382)=1,"(sin matches)",""))</f>
        <v/>
      </c>
      <c r="I382" s="70" t="str">
        <f>IF($A382="","",IF(AND($B382&lt;&gt;"",ISNUMBER(SEARCH($I$7,$B382))),COUNT($I$9:I381)+1,""))</f>
        <v/>
      </c>
    </row>
    <row r="383" spans="1:9" ht="16" x14ac:dyDescent="0.25">
      <c r="A383" s="70">
        <f>Listas!E378</f>
        <v>0</v>
      </c>
      <c r="B383" s="70" t="str">
        <f t="shared" si="5"/>
        <v/>
      </c>
      <c r="C383" s="70" t="str">
        <f>IF($A383="","",IF(AND($B383&lt;&gt;"",IF($F$2="Otros",$B383="Otros",ISNUMBER(SEARCH($B383,$F$2)))),COUNT($C$2:C382)+1,""))</f>
        <v/>
      </c>
      <c r="G383" s="134" t="str">
        <f>IFERROR(INDEX($A$2:$A$507,MATCH(ROWS($G$2:G383),$C$2:$C$507,0)),IF(ROWS($G$2:G383)=1,"(sin matches)",""))</f>
        <v/>
      </c>
      <c r="I383" s="70" t="str">
        <f>IF($A383="","",IF(AND($B383&lt;&gt;"",ISNUMBER(SEARCH($I$7,$B383))),COUNT($I$9:I382)+1,""))</f>
        <v/>
      </c>
    </row>
    <row r="384" spans="1:9" ht="16" x14ac:dyDescent="0.25">
      <c r="A384" s="70">
        <f>Listas!E379</f>
        <v>0</v>
      </c>
      <c r="B384" s="70" t="str">
        <f t="shared" si="5"/>
        <v/>
      </c>
      <c r="C384" s="70" t="str">
        <f>IF($A384="","",IF(AND($B384&lt;&gt;"",IF($F$2="Otros",$B384="Otros",ISNUMBER(SEARCH($B384,$F$2)))),COUNT($C$2:C383)+1,""))</f>
        <v/>
      </c>
      <c r="G384" s="134" t="str">
        <f>IFERROR(INDEX($A$2:$A$507,MATCH(ROWS($G$2:G384),$C$2:$C$507,0)),IF(ROWS($G$2:G384)=1,"(sin matches)",""))</f>
        <v/>
      </c>
      <c r="I384" s="70" t="str">
        <f>IF($A384="","",IF(AND($B384&lt;&gt;"",ISNUMBER(SEARCH($I$7,$B384))),COUNT($I$9:I383)+1,""))</f>
        <v/>
      </c>
    </row>
    <row r="385" spans="1:9" ht="16" x14ac:dyDescent="0.25">
      <c r="A385" s="70">
        <f>Listas!E380</f>
        <v>0</v>
      </c>
      <c r="B385" s="70" t="str">
        <f t="shared" si="5"/>
        <v/>
      </c>
      <c r="C385" s="70" t="str">
        <f>IF($A385="","",IF(AND($B385&lt;&gt;"",IF($F$2="Otros",$B385="Otros",ISNUMBER(SEARCH($B385,$F$2)))),COUNT($C$2:C384)+1,""))</f>
        <v/>
      </c>
      <c r="G385" s="134" t="str">
        <f>IFERROR(INDEX($A$2:$A$507,MATCH(ROWS($G$2:G385),$C$2:$C$507,0)),IF(ROWS($G$2:G385)=1,"(sin matches)",""))</f>
        <v/>
      </c>
      <c r="I385" s="70" t="str">
        <f>IF($A385="","",IF(AND($B385&lt;&gt;"",ISNUMBER(SEARCH($I$7,$B385))),COUNT($I$9:I384)+1,""))</f>
        <v/>
      </c>
    </row>
    <row r="386" spans="1:9" ht="16" x14ac:dyDescent="0.25">
      <c r="A386" s="70">
        <f>Listas!E381</f>
        <v>0</v>
      </c>
      <c r="B386" s="70" t="str">
        <f t="shared" si="5"/>
        <v/>
      </c>
      <c r="C386" s="70" t="str">
        <f>IF($A386="","",IF(AND($B386&lt;&gt;"",IF($F$2="Otros",$B386="Otros",ISNUMBER(SEARCH($B386,$F$2)))),COUNT($C$2:C385)+1,""))</f>
        <v/>
      </c>
      <c r="G386" s="134" t="str">
        <f>IFERROR(INDEX($A$2:$A$507,MATCH(ROWS($G$2:G386),$C$2:$C$507,0)),IF(ROWS($G$2:G386)=1,"(sin matches)",""))</f>
        <v/>
      </c>
      <c r="I386" s="70" t="str">
        <f>IF($A386="","",IF(AND($B386&lt;&gt;"",ISNUMBER(SEARCH($I$7,$B386))),COUNT($I$9:I385)+1,""))</f>
        <v/>
      </c>
    </row>
    <row r="387" spans="1:9" ht="16" x14ac:dyDescent="0.25">
      <c r="A387" s="70">
        <f>Listas!E382</f>
        <v>0</v>
      </c>
      <c r="B387" s="70" t="str">
        <f t="shared" si="5"/>
        <v/>
      </c>
      <c r="C387" s="70" t="str">
        <f>IF($A387="","",IF(AND($B387&lt;&gt;"",IF($F$2="Otros",$B387="Otros",ISNUMBER(SEARCH($B387,$F$2)))),COUNT($C$2:C386)+1,""))</f>
        <v/>
      </c>
      <c r="G387" s="134" t="str">
        <f>IFERROR(INDEX($A$2:$A$507,MATCH(ROWS($G$2:G387),$C$2:$C$507,0)),IF(ROWS($G$2:G387)=1,"(sin matches)",""))</f>
        <v/>
      </c>
      <c r="I387" s="70" t="str">
        <f>IF($A387="","",IF(AND($B387&lt;&gt;"",ISNUMBER(SEARCH($I$7,$B387))),COUNT($I$9:I386)+1,""))</f>
        <v/>
      </c>
    </row>
    <row r="388" spans="1:9" ht="16" x14ac:dyDescent="0.25">
      <c r="A388" s="70">
        <f>Listas!E383</f>
        <v>0</v>
      </c>
      <c r="B388" s="70" t="str">
        <f t="shared" si="5"/>
        <v/>
      </c>
      <c r="C388" s="70" t="str">
        <f>IF($A388="","",IF(AND($B388&lt;&gt;"",IF($F$2="Otros",$B388="Otros",ISNUMBER(SEARCH($B388,$F$2)))),COUNT($C$2:C387)+1,""))</f>
        <v/>
      </c>
      <c r="G388" s="134" t="str">
        <f>IFERROR(INDEX($A$2:$A$507,MATCH(ROWS($G$2:G388),$C$2:$C$507,0)),IF(ROWS($G$2:G388)=1,"(sin matches)",""))</f>
        <v/>
      </c>
      <c r="I388" s="70" t="str">
        <f>IF($A388="","",IF(AND($B388&lt;&gt;"",ISNUMBER(SEARCH($I$7,$B388))),COUNT($I$9:I387)+1,""))</f>
        <v/>
      </c>
    </row>
    <row r="389" spans="1:9" ht="16" x14ac:dyDescent="0.25">
      <c r="A389" s="70">
        <f>Listas!E384</f>
        <v>0</v>
      </c>
      <c r="B389" s="70" t="str">
        <f t="shared" si="5"/>
        <v/>
      </c>
      <c r="C389" s="70" t="str">
        <f>IF($A389="","",IF(AND($B389&lt;&gt;"",IF($F$2="Otros",$B389="Otros",ISNUMBER(SEARCH($B389,$F$2)))),COUNT($C$2:C388)+1,""))</f>
        <v/>
      </c>
      <c r="G389" s="134" t="str">
        <f>IFERROR(INDEX($A$2:$A$507,MATCH(ROWS($G$2:G389),$C$2:$C$507,0)),IF(ROWS($G$2:G389)=1,"(sin matches)",""))</f>
        <v/>
      </c>
      <c r="I389" s="70" t="str">
        <f>IF($A389="","",IF(AND($B389&lt;&gt;"",ISNUMBER(SEARCH($I$7,$B389))),COUNT($I$9:I388)+1,""))</f>
        <v/>
      </c>
    </row>
    <row r="390" spans="1:9" ht="16" x14ac:dyDescent="0.25">
      <c r="A390" s="70">
        <f>Listas!E385</f>
        <v>0</v>
      </c>
      <c r="B390" s="70" t="str">
        <f t="shared" si="5"/>
        <v/>
      </c>
      <c r="C390" s="70" t="str">
        <f>IF($A390="","",IF(AND($B390&lt;&gt;"",IF($F$2="Otros",$B390="Otros",ISNUMBER(SEARCH($B390,$F$2)))),COUNT($C$2:C389)+1,""))</f>
        <v/>
      </c>
      <c r="G390" s="134" t="str">
        <f>IFERROR(INDEX($A$2:$A$507,MATCH(ROWS($G$2:G390),$C$2:$C$507,0)),IF(ROWS($G$2:G390)=1,"(sin matches)",""))</f>
        <v/>
      </c>
      <c r="I390" s="70" t="str">
        <f>IF($A390="","",IF(AND($B390&lt;&gt;"",ISNUMBER(SEARCH($I$7,$B390))),COUNT($I$9:I389)+1,""))</f>
        <v/>
      </c>
    </row>
    <row r="391" spans="1:9" ht="16" x14ac:dyDescent="0.25">
      <c r="A391" s="70">
        <f>Listas!E386</f>
        <v>0</v>
      </c>
      <c r="B391" s="70" t="str">
        <f t="shared" si="5"/>
        <v/>
      </c>
      <c r="C391" s="70" t="str">
        <f>IF($A391="","",IF(AND($B391&lt;&gt;"",IF($F$2="Otros",$B391="Otros",ISNUMBER(SEARCH($B391,$F$2)))),COUNT($C$2:C390)+1,""))</f>
        <v/>
      </c>
      <c r="G391" s="134" t="str">
        <f>IFERROR(INDEX($A$2:$A$507,MATCH(ROWS($G$2:G391),$C$2:$C$507,0)),IF(ROWS($G$2:G391)=1,"(sin matches)",""))</f>
        <v/>
      </c>
      <c r="I391" s="70" t="str">
        <f>IF($A391="","",IF(AND($B391&lt;&gt;"",ISNUMBER(SEARCH($I$7,$B391))),COUNT($I$9:I390)+1,""))</f>
        <v/>
      </c>
    </row>
    <row r="392" spans="1:9" ht="16" x14ac:dyDescent="0.25">
      <c r="A392" s="70">
        <f>Listas!E387</f>
        <v>0</v>
      </c>
      <c r="B392" s="70" t="str">
        <f t="shared" si="5"/>
        <v/>
      </c>
      <c r="C392" s="70" t="str">
        <f>IF($A392="","",IF(AND($B392&lt;&gt;"",IF($F$2="Otros",$B392="Otros",ISNUMBER(SEARCH($B392,$F$2)))),COUNT($C$2:C391)+1,""))</f>
        <v/>
      </c>
      <c r="G392" s="134" t="str">
        <f>IFERROR(INDEX($A$2:$A$507,MATCH(ROWS($G$2:G392),$C$2:$C$507,0)),IF(ROWS($G$2:G392)=1,"(sin matches)",""))</f>
        <v/>
      </c>
      <c r="I392" s="70" t="str">
        <f>IF($A392="","",IF(AND($B392&lt;&gt;"",ISNUMBER(SEARCH($I$7,$B392))),COUNT($I$9:I391)+1,""))</f>
        <v/>
      </c>
    </row>
    <row r="393" spans="1:9" ht="16" x14ac:dyDescent="0.25">
      <c r="A393" s="70">
        <f>Listas!E388</f>
        <v>0</v>
      </c>
      <c r="B393" s="70" t="str">
        <f t="shared" si="5"/>
        <v/>
      </c>
      <c r="C393" s="70" t="str">
        <f>IF($A393="","",IF(AND($B393&lt;&gt;"",IF($F$2="Otros",$B393="Otros",ISNUMBER(SEARCH($B393,$F$2)))),COUNT($C$2:C392)+1,""))</f>
        <v/>
      </c>
      <c r="G393" s="134" t="str">
        <f>IFERROR(INDEX($A$2:$A$507,MATCH(ROWS($G$2:G393),$C$2:$C$507,0)),IF(ROWS($G$2:G393)=1,"(sin matches)",""))</f>
        <v/>
      </c>
      <c r="I393" s="70" t="str">
        <f>IF($A393="","",IF(AND($B393&lt;&gt;"",ISNUMBER(SEARCH($I$7,$B393))),COUNT($I$9:I392)+1,""))</f>
        <v/>
      </c>
    </row>
    <row r="394" spans="1:9" ht="16" x14ac:dyDescent="0.25">
      <c r="A394" s="70">
        <f>Listas!E389</f>
        <v>0</v>
      </c>
      <c r="B394" s="70"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
      </c>
      <c r="C394" s="70" t="str">
        <f>IF($A394="","",IF(AND($B394&lt;&gt;"",IF($F$2="Otros",$B394="Otros",ISNUMBER(SEARCH($B394,$F$2)))),COUNT($C$2:C393)+1,""))</f>
        <v/>
      </c>
      <c r="G394" s="134" t="str">
        <f>IFERROR(INDEX($A$2:$A$507,MATCH(ROWS($G$2:G394),$C$2:$C$507,0)),IF(ROWS($G$2:G394)=1,"(sin matches)",""))</f>
        <v/>
      </c>
      <c r="I394" s="70" t="str">
        <f>IF($A394="","",IF(AND($B394&lt;&gt;"",ISNUMBER(SEARCH($I$7,$B394))),COUNT($I$9:I393)+1,""))</f>
        <v/>
      </c>
    </row>
    <row r="395" spans="1:9" ht="16" x14ac:dyDescent="0.25">
      <c r="A395" s="70">
        <f>Listas!E390</f>
        <v>0</v>
      </c>
      <c r="B395" s="70" t="str">
        <f t="shared" si="6"/>
        <v/>
      </c>
      <c r="C395" s="70" t="str">
        <f>IF($A395="","",IF(AND($B395&lt;&gt;"",IF($F$2="Otros",$B395="Otros",ISNUMBER(SEARCH($B395,$F$2)))),COUNT($C$2:C394)+1,""))</f>
        <v/>
      </c>
      <c r="G395" s="134" t="str">
        <f>IFERROR(INDEX($A$2:$A$507,MATCH(ROWS($G$2:G395),$C$2:$C$507,0)),IF(ROWS($G$2:G395)=1,"(sin matches)",""))</f>
        <v/>
      </c>
      <c r="I395" s="70" t="str">
        <f>IF($A395="","",IF(AND($B395&lt;&gt;"",ISNUMBER(SEARCH($I$7,$B395))),COUNT($I$9:I394)+1,""))</f>
        <v/>
      </c>
    </row>
    <row r="396" spans="1:9" ht="16" x14ac:dyDescent="0.25">
      <c r="A396" s="70">
        <f>Listas!E391</f>
        <v>0</v>
      </c>
      <c r="B396" s="70" t="str">
        <f t="shared" si="6"/>
        <v/>
      </c>
      <c r="C396" s="70" t="str">
        <f>IF($A396="","",IF(AND($B396&lt;&gt;"",IF($F$2="Otros",$B396="Otros",ISNUMBER(SEARCH($B396,$F$2)))),COUNT($C$2:C395)+1,""))</f>
        <v/>
      </c>
      <c r="G396" s="134" t="str">
        <f>IFERROR(INDEX($A$2:$A$507,MATCH(ROWS($G$2:G396),$C$2:$C$507,0)),IF(ROWS($G$2:G396)=1,"(sin matches)",""))</f>
        <v/>
      </c>
      <c r="I396" s="70" t="str">
        <f>IF($A396="","",IF(AND($B396&lt;&gt;"",ISNUMBER(SEARCH($I$7,$B396))),COUNT($I$9:I395)+1,""))</f>
        <v/>
      </c>
    </row>
    <row r="397" spans="1:9" ht="16" x14ac:dyDescent="0.25">
      <c r="A397" s="70">
        <f>Listas!E392</f>
        <v>0</v>
      </c>
      <c r="B397" s="70" t="str">
        <f t="shared" si="6"/>
        <v/>
      </c>
      <c r="C397" s="70" t="str">
        <f>IF($A397="","",IF(AND($B397&lt;&gt;"",IF($F$2="Otros",$B397="Otros",ISNUMBER(SEARCH($B397,$F$2)))),COUNT($C$2:C396)+1,""))</f>
        <v/>
      </c>
      <c r="G397" s="134" t="str">
        <f>IFERROR(INDEX($A$2:$A$507,MATCH(ROWS($G$2:G397),$C$2:$C$507,0)),IF(ROWS($G$2:G397)=1,"(sin matches)",""))</f>
        <v/>
      </c>
      <c r="I397" s="70" t="str">
        <f>IF($A397="","",IF(AND($B397&lt;&gt;"",ISNUMBER(SEARCH($I$7,$B397))),COUNT($I$9:I396)+1,""))</f>
        <v/>
      </c>
    </row>
    <row r="398" spans="1:9" ht="16" x14ac:dyDescent="0.25">
      <c r="A398" s="70">
        <f>Listas!E393</f>
        <v>0</v>
      </c>
      <c r="B398" s="70" t="str">
        <f t="shared" si="6"/>
        <v/>
      </c>
      <c r="C398" s="70" t="str">
        <f>IF($A398="","",IF(AND($B398&lt;&gt;"",IF($F$2="Otros",$B398="Otros",ISNUMBER(SEARCH($B398,$F$2)))),COUNT($C$2:C397)+1,""))</f>
        <v/>
      </c>
      <c r="G398" s="134" t="str">
        <f>IFERROR(INDEX($A$2:$A$507,MATCH(ROWS($G$2:G398),$C$2:$C$507,0)),IF(ROWS($G$2:G398)=1,"(sin matches)",""))</f>
        <v/>
      </c>
      <c r="I398" s="70" t="str">
        <f>IF($A398="","",IF(AND($B398&lt;&gt;"",ISNUMBER(SEARCH($I$7,$B398))),COUNT($I$9:I397)+1,""))</f>
        <v/>
      </c>
    </row>
    <row r="399" spans="1:9" ht="16" x14ac:dyDescent="0.25">
      <c r="A399" s="70">
        <f>Listas!E394</f>
        <v>0</v>
      </c>
      <c r="B399" s="70" t="str">
        <f t="shared" si="6"/>
        <v/>
      </c>
      <c r="C399" s="70" t="str">
        <f>IF($A399="","",IF(AND($B399&lt;&gt;"",IF($F$2="Otros",$B399="Otros",ISNUMBER(SEARCH($B399,$F$2)))),COUNT($C$2:C398)+1,""))</f>
        <v/>
      </c>
      <c r="G399" s="134" t="str">
        <f>IFERROR(INDEX($A$2:$A$507,MATCH(ROWS($G$2:G399),$C$2:$C$507,0)),IF(ROWS($G$2:G399)=1,"(sin matches)",""))</f>
        <v/>
      </c>
      <c r="I399" s="70" t="str">
        <f>IF($A399="","",IF(AND($B399&lt;&gt;"",ISNUMBER(SEARCH($I$7,$B399))),COUNT($I$9:I398)+1,""))</f>
        <v/>
      </c>
    </row>
    <row r="400" spans="1:9" ht="16" x14ac:dyDescent="0.25">
      <c r="A400" s="70">
        <f>Listas!E395</f>
        <v>0</v>
      </c>
      <c r="B400" s="70" t="str">
        <f t="shared" si="6"/>
        <v/>
      </c>
      <c r="C400" s="70" t="str">
        <f>IF($A400="","",IF(AND($B400&lt;&gt;"",IF($F$2="Otros",$B400="Otros",ISNUMBER(SEARCH($B400,$F$2)))),COUNT($C$2:C399)+1,""))</f>
        <v/>
      </c>
      <c r="G400" s="134" t="str">
        <f>IFERROR(INDEX($A$2:$A$507,MATCH(ROWS($G$2:G400),$C$2:$C$507,0)),IF(ROWS($G$2:G400)=1,"(sin matches)",""))</f>
        <v/>
      </c>
      <c r="I400" s="70" t="str">
        <f>IF($A400="","",IF(AND($B400&lt;&gt;"",ISNUMBER(SEARCH($I$7,$B400))),COUNT($I$9:I399)+1,""))</f>
        <v/>
      </c>
    </row>
    <row r="401" spans="1:9" ht="16" x14ac:dyDescent="0.25">
      <c r="A401" s="70">
        <f>Listas!E396</f>
        <v>0</v>
      </c>
      <c r="B401" s="70" t="str">
        <f t="shared" si="6"/>
        <v/>
      </c>
      <c r="C401" s="70" t="str">
        <f>IF($A401="","",IF(AND($B401&lt;&gt;"",IF($F$2="Otros",$B401="Otros",ISNUMBER(SEARCH($B401,$F$2)))),COUNT($C$2:C400)+1,""))</f>
        <v/>
      </c>
      <c r="G401" s="134" t="str">
        <f>IFERROR(INDEX($A$2:$A$507,MATCH(ROWS($G$2:G401),$C$2:$C$507,0)),IF(ROWS($G$2:G401)=1,"(sin matches)",""))</f>
        <v/>
      </c>
      <c r="I401" s="70" t="str">
        <f>IF($A401="","",IF(AND($B401&lt;&gt;"",ISNUMBER(SEARCH($I$7,$B401))),COUNT($I$9:I400)+1,""))</f>
        <v/>
      </c>
    </row>
    <row r="402" spans="1:9" ht="16" x14ac:dyDescent="0.25">
      <c r="A402" s="70">
        <f>Listas!E397</f>
        <v>0</v>
      </c>
      <c r="B402" s="70" t="str">
        <f t="shared" si="6"/>
        <v/>
      </c>
      <c r="C402" s="70" t="str">
        <f>IF($A402="","",IF(AND($B402&lt;&gt;"",IF($F$2="Otros",$B402="Otros",ISNUMBER(SEARCH($B402,$F$2)))),COUNT($C$2:C401)+1,""))</f>
        <v/>
      </c>
      <c r="G402" s="134" t="str">
        <f>IFERROR(INDEX($A$2:$A$507,MATCH(ROWS($G$2:G402),$C$2:$C$507,0)),IF(ROWS($G$2:G402)=1,"(sin matches)",""))</f>
        <v/>
      </c>
      <c r="I402" s="70" t="str">
        <f>IF($A402="","",IF(AND($B402&lt;&gt;"",ISNUMBER(SEARCH($I$7,$B402))),COUNT($I$9:I401)+1,""))</f>
        <v/>
      </c>
    </row>
    <row r="403" spans="1:9" ht="16" x14ac:dyDescent="0.25">
      <c r="A403" s="70">
        <f>Listas!E398</f>
        <v>0</v>
      </c>
      <c r="B403" s="70" t="str">
        <f t="shared" si="6"/>
        <v/>
      </c>
      <c r="C403" s="70" t="str">
        <f>IF($A403="","",IF(AND($B403&lt;&gt;"",IF($F$2="Otros",$B403="Otros",ISNUMBER(SEARCH($B403,$F$2)))),COUNT($C$2:C402)+1,""))</f>
        <v/>
      </c>
      <c r="G403" s="134" t="str">
        <f>IFERROR(INDEX($A$2:$A$507,MATCH(ROWS($G$2:G403),$C$2:$C$507,0)),IF(ROWS($G$2:G403)=1,"(sin matches)",""))</f>
        <v/>
      </c>
      <c r="I403" s="70" t="str">
        <f>IF($A403="","",IF(AND($B403&lt;&gt;"",ISNUMBER(SEARCH($I$7,$B403))),COUNT($I$9:I402)+1,""))</f>
        <v/>
      </c>
    </row>
    <row r="404" spans="1:9" ht="16" x14ac:dyDescent="0.25">
      <c r="A404" s="70">
        <f>Listas!E399</f>
        <v>0</v>
      </c>
      <c r="B404" s="70" t="str">
        <f t="shared" si="6"/>
        <v/>
      </c>
      <c r="C404" s="70" t="str">
        <f>IF($A404="","",IF(AND($B404&lt;&gt;"",IF($F$2="Otros",$B404="Otros",ISNUMBER(SEARCH($B404,$F$2)))),COUNT($C$2:C403)+1,""))</f>
        <v/>
      </c>
      <c r="G404" s="134" t="str">
        <f>IFERROR(INDEX($A$2:$A$507,MATCH(ROWS($G$2:G404),$C$2:$C$507,0)),IF(ROWS($G$2:G404)=1,"(sin matches)",""))</f>
        <v/>
      </c>
      <c r="I404" s="70" t="str">
        <f>IF($A404="","",IF(AND($B404&lt;&gt;"",ISNUMBER(SEARCH($I$7,$B404))),COUNT($I$9:I403)+1,""))</f>
        <v/>
      </c>
    </row>
    <row r="405" spans="1:9" ht="16" x14ac:dyDescent="0.25">
      <c r="A405" s="70">
        <f>Listas!E400</f>
        <v>0</v>
      </c>
      <c r="B405" s="70" t="str">
        <f t="shared" si="6"/>
        <v/>
      </c>
      <c r="C405" s="70" t="str">
        <f>IF($A405="","",IF(AND($B405&lt;&gt;"",IF($F$2="Otros",$B405="Otros",ISNUMBER(SEARCH($B405,$F$2)))),COUNT($C$2:C404)+1,""))</f>
        <v/>
      </c>
      <c r="G405" s="134" t="str">
        <f>IFERROR(INDEX($A$2:$A$507,MATCH(ROWS($G$2:G405),$C$2:$C$507,0)),IF(ROWS($G$2:G405)=1,"(sin matches)",""))</f>
        <v/>
      </c>
      <c r="I405" s="70" t="str">
        <f>IF($A405="","",IF(AND($B405&lt;&gt;"",ISNUMBER(SEARCH($I$7,$B405))),COUNT($I$9:I404)+1,""))</f>
        <v/>
      </c>
    </row>
    <row r="406" spans="1:9" ht="16" x14ac:dyDescent="0.25">
      <c r="A406" s="70">
        <f>Listas!E401</f>
        <v>0</v>
      </c>
      <c r="B406" s="70" t="str">
        <f t="shared" si="6"/>
        <v/>
      </c>
      <c r="C406" s="70" t="str">
        <f>IF($A406="","",IF(AND($B406&lt;&gt;"",IF($F$2="Otros",$B406="Otros",ISNUMBER(SEARCH($B406,$F$2)))),COUNT($C$2:C405)+1,""))</f>
        <v/>
      </c>
      <c r="G406" s="134" t="str">
        <f>IFERROR(INDEX($A$2:$A$507,MATCH(ROWS($G$2:G406),$C$2:$C$507,0)),IF(ROWS($G$2:G406)=1,"(sin matches)",""))</f>
        <v/>
      </c>
      <c r="I406" s="70" t="str">
        <f>IF($A406="","",IF(AND($B406&lt;&gt;"",ISNUMBER(SEARCH($I$7,$B406))),COUNT($I$9:I405)+1,""))</f>
        <v/>
      </c>
    </row>
    <row r="407" spans="1:9" ht="16" x14ac:dyDescent="0.25">
      <c r="A407" s="70">
        <f>Listas!E402</f>
        <v>0</v>
      </c>
      <c r="B407" s="70" t="str">
        <f t="shared" si="6"/>
        <v/>
      </c>
      <c r="C407" s="70" t="str">
        <f>IF($A407="","",IF(AND($B407&lt;&gt;"",IF($F$2="Otros",$B407="Otros",ISNUMBER(SEARCH($B407,$F$2)))),COUNT($C$2:C406)+1,""))</f>
        <v/>
      </c>
      <c r="G407" s="134" t="str">
        <f>IFERROR(INDEX($A$2:$A$507,MATCH(ROWS($G$2:G407),$C$2:$C$507,0)),IF(ROWS($G$2:G407)=1,"(sin matches)",""))</f>
        <v/>
      </c>
      <c r="I407" s="70" t="str">
        <f>IF($A407="","",IF(AND($B407&lt;&gt;"",ISNUMBER(SEARCH($I$7,$B407))),COUNT($I$9:I406)+1,""))</f>
        <v/>
      </c>
    </row>
    <row r="408" spans="1:9" ht="16" x14ac:dyDescent="0.25">
      <c r="A408" s="70">
        <f>Listas!E403</f>
        <v>0</v>
      </c>
      <c r="B408" s="70" t="str">
        <f t="shared" si="6"/>
        <v/>
      </c>
      <c r="C408" s="70" t="str">
        <f>IF($A408="","",IF(AND($B408&lt;&gt;"",IF($F$2="Otros",$B408="Otros",ISNUMBER(SEARCH($B408,$F$2)))),COUNT($C$2:C407)+1,""))</f>
        <v/>
      </c>
      <c r="G408" s="134" t="str">
        <f>IFERROR(INDEX($A$2:$A$507,MATCH(ROWS($G$2:G408),$C$2:$C$507,0)),IF(ROWS($G$2:G408)=1,"(sin matches)",""))</f>
        <v/>
      </c>
      <c r="I408" s="70" t="str">
        <f>IF($A408="","",IF(AND($B408&lt;&gt;"",ISNUMBER(SEARCH($I$7,$B408))),COUNT($I$9:I407)+1,""))</f>
        <v/>
      </c>
    </row>
    <row r="409" spans="1:9" ht="16" x14ac:dyDescent="0.25">
      <c r="A409" s="70">
        <f>Listas!E404</f>
        <v>0</v>
      </c>
      <c r="B409" s="70" t="str">
        <f t="shared" si="6"/>
        <v/>
      </c>
      <c r="C409" s="70" t="str">
        <f>IF($A409="","",IF(AND($B409&lt;&gt;"",IF($F$2="Otros",$B409="Otros",ISNUMBER(SEARCH($B409,$F$2)))),COUNT($C$2:C408)+1,""))</f>
        <v/>
      </c>
      <c r="G409" s="134" t="str">
        <f>IFERROR(INDEX($A$2:$A$507,MATCH(ROWS($G$2:G409),$C$2:$C$507,0)),IF(ROWS($G$2:G409)=1,"(sin matches)",""))</f>
        <v/>
      </c>
      <c r="I409" s="70" t="str">
        <f>IF($A409="","",IF(AND($B409&lt;&gt;"",ISNUMBER(SEARCH($I$7,$B409))),COUNT($I$9:I408)+1,""))</f>
        <v/>
      </c>
    </row>
    <row r="410" spans="1:9" ht="16" x14ac:dyDescent="0.25">
      <c r="A410" s="70">
        <f>Listas!E405</f>
        <v>0</v>
      </c>
      <c r="B410" s="70" t="str">
        <f t="shared" si="6"/>
        <v/>
      </c>
      <c r="C410" s="70" t="str">
        <f>IF($A410="","",IF(AND($B410&lt;&gt;"",IF($F$2="Otros",$B410="Otros",ISNUMBER(SEARCH($B410,$F$2)))),COUNT($C$2:C409)+1,""))</f>
        <v/>
      </c>
      <c r="G410" s="134" t="str">
        <f>IFERROR(INDEX($A$2:$A$507,MATCH(ROWS($G$2:G410),$C$2:$C$507,0)),IF(ROWS($G$2:G410)=1,"(sin matches)",""))</f>
        <v/>
      </c>
      <c r="I410" s="70" t="str">
        <f>IF($A410="","",IF(AND($B410&lt;&gt;"",ISNUMBER(SEARCH($I$7,$B410))),COUNT($I$9:I409)+1,""))</f>
        <v/>
      </c>
    </row>
    <row r="411" spans="1:9" ht="16" x14ac:dyDescent="0.25">
      <c r="A411" s="70">
        <f>Listas!E406</f>
        <v>0</v>
      </c>
      <c r="B411" s="70" t="str">
        <f t="shared" si="6"/>
        <v/>
      </c>
      <c r="C411" s="70" t="str">
        <f>IF($A411="","",IF(AND($B411&lt;&gt;"",IF($F$2="Otros",$B411="Otros",ISNUMBER(SEARCH($B411,$F$2)))),COUNT($C$2:C410)+1,""))</f>
        <v/>
      </c>
      <c r="G411" s="134" t="str">
        <f>IFERROR(INDEX($A$2:$A$507,MATCH(ROWS($G$2:G411),$C$2:$C$507,0)),IF(ROWS($G$2:G411)=1,"(sin matches)",""))</f>
        <v/>
      </c>
      <c r="I411" s="70" t="str">
        <f>IF($A411="","",IF(AND($B411&lt;&gt;"",ISNUMBER(SEARCH($I$7,$B411))),COUNT($I$9:I410)+1,""))</f>
        <v/>
      </c>
    </row>
    <row r="412" spans="1:9" ht="16" x14ac:dyDescent="0.25">
      <c r="A412" s="70">
        <f>Listas!E407</f>
        <v>0</v>
      </c>
      <c r="B412" s="70" t="str">
        <f t="shared" si="6"/>
        <v/>
      </c>
      <c r="C412" s="70" t="str">
        <f>IF($A412="","",IF(AND($B412&lt;&gt;"",IF($F$2="Otros",$B412="Otros",ISNUMBER(SEARCH($B412,$F$2)))),COUNT($C$2:C411)+1,""))</f>
        <v/>
      </c>
      <c r="G412" s="134" t="str">
        <f>IFERROR(INDEX($A$2:$A$507,MATCH(ROWS($G$2:G412),$C$2:$C$507,0)),IF(ROWS($G$2:G412)=1,"(sin matches)",""))</f>
        <v/>
      </c>
      <c r="I412" s="70" t="str">
        <f>IF($A412="","",IF(AND($B412&lt;&gt;"",ISNUMBER(SEARCH($I$7,$B412))),COUNT($I$9:I411)+1,""))</f>
        <v/>
      </c>
    </row>
    <row r="413" spans="1:9" ht="16" x14ac:dyDescent="0.25">
      <c r="A413" s="70">
        <f>Listas!E408</f>
        <v>0</v>
      </c>
      <c r="B413" s="70" t="str">
        <f t="shared" si="6"/>
        <v/>
      </c>
      <c r="C413" s="70" t="str">
        <f>IF($A413="","",IF(AND($B413&lt;&gt;"",IF($F$2="Otros",$B413="Otros",ISNUMBER(SEARCH($B413,$F$2)))),COUNT($C$2:C412)+1,""))</f>
        <v/>
      </c>
      <c r="G413" s="134" t="str">
        <f>IFERROR(INDEX($A$2:$A$507,MATCH(ROWS($G$2:G413),$C$2:$C$507,0)),IF(ROWS($G$2:G413)=1,"(sin matches)",""))</f>
        <v/>
      </c>
      <c r="I413" s="70" t="str">
        <f>IF($A413="","",IF(AND($B413&lt;&gt;"",ISNUMBER(SEARCH($I$7,$B413))),COUNT($I$9:I412)+1,""))</f>
        <v/>
      </c>
    </row>
    <row r="414" spans="1:9" ht="16" x14ac:dyDescent="0.25">
      <c r="A414" s="70">
        <f>Listas!E409</f>
        <v>0</v>
      </c>
      <c r="B414" s="70" t="str">
        <f t="shared" si="6"/>
        <v/>
      </c>
      <c r="C414" s="70" t="str">
        <f>IF($A414="","",IF(AND($B414&lt;&gt;"",IF($F$2="Otros",$B414="Otros",ISNUMBER(SEARCH($B414,$F$2)))),COUNT($C$2:C413)+1,""))</f>
        <v/>
      </c>
      <c r="G414" s="134" t="str">
        <f>IFERROR(INDEX($A$2:$A$507,MATCH(ROWS($G$2:G414),$C$2:$C$507,0)),IF(ROWS($G$2:G414)=1,"(sin matches)",""))</f>
        <v/>
      </c>
      <c r="I414" s="70" t="str">
        <f>IF($A414="","",IF(AND($B414&lt;&gt;"",ISNUMBER(SEARCH($I$7,$B414))),COUNT($I$9:I413)+1,""))</f>
        <v/>
      </c>
    </row>
    <row r="415" spans="1:9" ht="16" x14ac:dyDescent="0.25">
      <c r="A415" s="70">
        <f>Listas!E410</f>
        <v>0</v>
      </c>
      <c r="B415" s="70" t="str">
        <f t="shared" si="6"/>
        <v/>
      </c>
      <c r="C415" s="70" t="str">
        <f>IF($A415="","",IF(AND($B415&lt;&gt;"",IF($F$2="Otros",$B415="Otros",ISNUMBER(SEARCH($B415,$F$2)))),COUNT($C$2:C414)+1,""))</f>
        <v/>
      </c>
      <c r="G415" s="134" t="str">
        <f>IFERROR(INDEX($A$2:$A$507,MATCH(ROWS($G$2:G415),$C$2:$C$507,0)),IF(ROWS($G$2:G415)=1,"(sin matches)",""))</f>
        <v/>
      </c>
      <c r="I415" s="70" t="str">
        <f>IF($A415="","",IF(AND($B415&lt;&gt;"",ISNUMBER(SEARCH($I$7,$B415))),COUNT($I$9:I414)+1,""))</f>
        <v/>
      </c>
    </row>
    <row r="416" spans="1:9" ht="16" x14ac:dyDescent="0.25">
      <c r="A416" s="70">
        <f>Listas!E411</f>
        <v>0</v>
      </c>
      <c r="B416" s="70" t="str">
        <f t="shared" si="6"/>
        <v/>
      </c>
      <c r="C416" s="70" t="str">
        <f>IF($A416="","",IF(AND($B416&lt;&gt;"",IF($F$2="Otros",$B416="Otros",ISNUMBER(SEARCH($B416,$F$2)))),COUNT($C$2:C415)+1,""))</f>
        <v/>
      </c>
      <c r="G416" s="134" t="str">
        <f>IFERROR(INDEX($A$2:$A$507,MATCH(ROWS($G$2:G416),$C$2:$C$507,0)),IF(ROWS($G$2:G416)=1,"(sin matches)",""))</f>
        <v/>
      </c>
      <c r="I416" s="70" t="str">
        <f>IF($A416="","",IF(AND($B416&lt;&gt;"",ISNUMBER(SEARCH($I$7,$B416))),COUNT($I$9:I415)+1,""))</f>
        <v/>
      </c>
    </row>
    <row r="417" spans="1:9" ht="16" x14ac:dyDescent="0.25">
      <c r="A417" s="70">
        <f>Listas!E412</f>
        <v>0</v>
      </c>
      <c r="B417" s="70" t="str">
        <f t="shared" si="6"/>
        <v/>
      </c>
      <c r="C417" s="70" t="str">
        <f>IF($A417="","",IF(AND($B417&lt;&gt;"",IF($F$2="Otros",$B417="Otros",ISNUMBER(SEARCH($B417,$F$2)))),COUNT($C$2:C416)+1,""))</f>
        <v/>
      </c>
      <c r="G417" s="134" t="str">
        <f>IFERROR(INDEX($A$2:$A$507,MATCH(ROWS($G$2:G417),$C$2:$C$507,0)),IF(ROWS($G$2:G417)=1,"(sin matches)",""))</f>
        <v/>
      </c>
      <c r="I417" s="70" t="str">
        <f>IF($A417="","",IF(AND($B417&lt;&gt;"",ISNUMBER(SEARCH($I$7,$B417))),COUNT($I$9:I416)+1,""))</f>
        <v/>
      </c>
    </row>
    <row r="418" spans="1:9" ht="16" x14ac:dyDescent="0.25">
      <c r="A418" s="70">
        <f>Listas!E413</f>
        <v>0</v>
      </c>
      <c r="B418" s="70" t="str">
        <f t="shared" si="6"/>
        <v/>
      </c>
      <c r="C418" s="70" t="str">
        <f>IF($A418="","",IF(AND($B418&lt;&gt;"",IF($F$2="Otros",$B418="Otros",ISNUMBER(SEARCH($B418,$F$2)))),COUNT($C$2:C417)+1,""))</f>
        <v/>
      </c>
      <c r="G418" s="134" t="str">
        <f>IFERROR(INDEX($A$2:$A$507,MATCH(ROWS($G$2:G418),$C$2:$C$507,0)),IF(ROWS($G$2:G418)=1,"(sin matches)",""))</f>
        <v/>
      </c>
      <c r="I418" s="70" t="str">
        <f>IF($A418="","",IF(AND($B418&lt;&gt;"",ISNUMBER(SEARCH($I$7,$B418))),COUNT($I$9:I417)+1,""))</f>
        <v/>
      </c>
    </row>
    <row r="419" spans="1:9" ht="16" x14ac:dyDescent="0.25">
      <c r="A419" s="70">
        <f>Listas!E414</f>
        <v>0</v>
      </c>
      <c r="B419" s="70" t="str">
        <f t="shared" si="6"/>
        <v/>
      </c>
      <c r="C419" s="70" t="str">
        <f>IF($A419="","",IF(AND($B419&lt;&gt;"",IF($F$2="Otros",$B419="Otros",ISNUMBER(SEARCH($B419,$F$2)))),COUNT($C$2:C418)+1,""))</f>
        <v/>
      </c>
      <c r="G419" s="134" t="str">
        <f>IFERROR(INDEX($A$2:$A$507,MATCH(ROWS($G$2:G419),$C$2:$C$507,0)),IF(ROWS($G$2:G419)=1,"(sin matches)",""))</f>
        <v/>
      </c>
      <c r="I419" s="70" t="str">
        <f>IF($A419="","",IF(AND($B419&lt;&gt;"",ISNUMBER(SEARCH($I$7,$B419))),COUNT($I$9:I418)+1,""))</f>
        <v/>
      </c>
    </row>
    <row r="420" spans="1:9" ht="16" x14ac:dyDescent="0.25">
      <c r="A420" s="70">
        <f>Listas!E415</f>
        <v>0</v>
      </c>
      <c r="B420" s="70" t="str">
        <f t="shared" si="6"/>
        <v/>
      </c>
      <c r="C420" s="70" t="str">
        <f>IF($A420="","",IF(AND($B420&lt;&gt;"",IF($F$2="Otros",$B420="Otros",ISNUMBER(SEARCH($B420,$F$2)))),COUNT($C$2:C419)+1,""))</f>
        <v/>
      </c>
      <c r="G420" s="134" t="str">
        <f>IFERROR(INDEX($A$2:$A$507,MATCH(ROWS($G$2:G420),$C$2:$C$507,0)),IF(ROWS($G$2:G420)=1,"(sin matches)",""))</f>
        <v/>
      </c>
      <c r="I420" s="70" t="str">
        <f>IF($A420="","",IF(AND($B420&lt;&gt;"",ISNUMBER(SEARCH($I$7,$B420))),COUNT($I$9:I419)+1,""))</f>
        <v/>
      </c>
    </row>
    <row r="421" spans="1:9" ht="16" x14ac:dyDescent="0.25">
      <c r="A421" s="70">
        <f>Listas!E416</f>
        <v>0</v>
      </c>
      <c r="B421" s="70" t="str">
        <f t="shared" si="6"/>
        <v/>
      </c>
      <c r="C421" s="70" t="str">
        <f>IF($A421="","",IF(AND($B421&lt;&gt;"",IF($F$2="Otros",$B421="Otros",ISNUMBER(SEARCH($B421,$F$2)))),COUNT($C$2:C420)+1,""))</f>
        <v/>
      </c>
      <c r="G421" s="134" t="str">
        <f>IFERROR(INDEX($A$2:$A$507,MATCH(ROWS($G$2:G421),$C$2:$C$507,0)),IF(ROWS($G$2:G421)=1,"(sin matches)",""))</f>
        <v/>
      </c>
      <c r="I421" s="70" t="str">
        <f>IF($A421="","",IF(AND($B421&lt;&gt;"",ISNUMBER(SEARCH($I$7,$B421))),COUNT($I$9:I420)+1,""))</f>
        <v/>
      </c>
    </row>
    <row r="422" spans="1:9" ht="16" x14ac:dyDescent="0.25">
      <c r="A422" s="70">
        <f>Listas!E417</f>
        <v>0</v>
      </c>
      <c r="B422" s="70" t="str">
        <f t="shared" si="6"/>
        <v/>
      </c>
      <c r="C422" s="70" t="str">
        <f>IF($A422="","",IF(AND($B422&lt;&gt;"",IF($F$2="Otros",$B422="Otros",ISNUMBER(SEARCH($B422,$F$2)))),COUNT($C$2:C421)+1,""))</f>
        <v/>
      </c>
      <c r="G422" s="134" t="str">
        <f>IFERROR(INDEX($A$2:$A$507,MATCH(ROWS($G$2:G422),$C$2:$C$507,0)),IF(ROWS($G$2:G422)=1,"(sin matches)",""))</f>
        <v/>
      </c>
      <c r="I422" s="70" t="str">
        <f>IF($A422="","",IF(AND($B422&lt;&gt;"",ISNUMBER(SEARCH($I$7,$B422))),COUNT($I$9:I421)+1,""))</f>
        <v/>
      </c>
    </row>
    <row r="423" spans="1:9" ht="16" x14ac:dyDescent="0.25">
      <c r="A423" s="70">
        <f>Listas!E418</f>
        <v>0</v>
      </c>
      <c r="B423" s="70" t="str">
        <f t="shared" si="6"/>
        <v/>
      </c>
      <c r="C423" s="70" t="str">
        <f>IF($A423="","",IF(AND($B423&lt;&gt;"",IF($F$2="Otros",$B423="Otros",ISNUMBER(SEARCH($B423,$F$2)))),COUNT($C$2:C422)+1,""))</f>
        <v/>
      </c>
      <c r="G423" s="134" t="str">
        <f>IFERROR(INDEX($A$2:$A$507,MATCH(ROWS($G$2:G423),$C$2:$C$507,0)),IF(ROWS($G$2:G423)=1,"(sin matches)",""))</f>
        <v/>
      </c>
      <c r="I423" s="70" t="str">
        <f>IF($A423="","",IF(AND($B423&lt;&gt;"",ISNUMBER(SEARCH($I$7,$B423))),COUNT($I$9:I422)+1,""))</f>
        <v/>
      </c>
    </row>
    <row r="424" spans="1:9" ht="16" x14ac:dyDescent="0.25">
      <c r="A424" s="70">
        <f>Listas!E419</f>
        <v>0</v>
      </c>
      <c r="B424" s="70" t="str">
        <f t="shared" si="6"/>
        <v/>
      </c>
      <c r="C424" s="70" t="str">
        <f>IF($A424="","",IF(AND($B424&lt;&gt;"",IF($F$2="Otros",$B424="Otros",ISNUMBER(SEARCH($B424,$F$2)))),COUNT($C$2:C423)+1,""))</f>
        <v/>
      </c>
      <c r="G424" s="134" t="str">
        <f>IFERROR(INDEX($A$2:$A$507,MATCH(ROWS($G$2:G424),$C$2:$C$507,0)),IF(ROWS($G$2:G424)=1,"(sin matches)",""))</f>
        <v/>
      </c>
      <c r="I424" s="70" t="str">
        <f>IF($A424="","",IF(AND($B424&lt;&gt;"",ISNUMBER(SEARCH($I$7,$B424))),COUNT($I$9:I423)+1,""))</f>
        <v/>
      </c>
    </row>
    <row r="425" spans="1:9" ht="16" x14ac:dyDescent="0.25">
      <c r="A425" s="70">
        <f>Listas!E420</f>
        <v>0</v>
      </c>
      <c r="B425" s="70" t="str">
        <f t="shared" si="6"/>
        <v/>
      </c>
      <c r="C425" s="70" t="str">
        <f>IF($A425="","",IF(AND($B425&lt;&gt;"",IF($F$2="Otros",$B425="Otros",ISNUMBER(SEARCH($B425,$F$2)))),COUNT($C$2:C424)+1,""))</f>
        <v/>
      </c>
      <c r="G425" s="134" t="str">
        <f>IFERROR(INDEX($A$2:$A$507,MATCH(ROWS($G$2:G425),$C$2:$C$507,0)),IF(ROWS($G$2:G425)=1,"(sin matches)",""))</f>
        <v/>
      </c>
      <c r="I425" s="70" t="str">
        <f>IF($A425="","",IF(AND($B425&lt;&gt;"",ISNUMBER(SEARCH($I$7,$B425))),COUNT($I$9:I424)+1,""))</f>
        <v/>
      </c>
    </row>
    <row r="426" spans="1:9" ht="16" x14ac:dyDescent="0.25">
      <c r="A426" s="70">
        <f>Listas!E421</f>
        <v>0</v>
      </c>
      <c r="B426" s="70" t="str">
        <f t="shared" si="6"/>
        <v/>
      </c>
      <c r="C426" s="70" t="str">
        <f>IF($A426="","",IF(AND($B426&lt;&gt;"",IF($F$2="Otros",$B426="Otros",ISNUMBER(SEARCH($B426,$F$2)))),COUNT($C$2:C425)+1,""))</f>
        <v/>
      </c>
      <c r="G426" s="134" t="str">
        <f>IFERROR(INDEX($A$2:$A$507,MATCH(ROWS($G$2:G426),$C$2:$C$507,0)),IF(ROWS($G$2:G426)=1,"(sin matches)",""))</f>
        <v/>
      </c>
      <c r="I426" s="70" t="str">
        <f>IF($A426="","",IF(AND($B426&lt;&gt;"",ISNUMBER(SEARCH($I$7,$B426))),COUNT($I$9:I425)+1,""))</f>
        <v/>
      </c>
    </row>
    <row r="427" spans="1:9" ht="16" x14ac:dyDescent="0.25">
      <c r="A427" s="70">
        <f>Listas!E422</f>
        <v>0</v>
      </c>
      <c r="B427" s="70" t="str">
        <f t="shared" si="6"/>
        <v/>
      </c>
      <c r="C427" s="70" t="str">
        <f>IF($A427="","",IF(AND($B427&lt;&gt;"",IF($F$2="Otros",$B427="Otros",ISNUMBER(SEARCH($B427,$F$2)))),COUNT($C$2:C426)+1,""))</f>
        <v/>
      </c>
      <c r="G427" s="134" t="str">
        <f>IFERROR(INDEX($A$2:$A$507,MATCH(ROWS($G$2:G427),$C$2:$C$507,0)),IF(ROWS($G$2:G427)=1,"(sin matches)",""))</f>
        <v/>
      </c>
      <c r="I427" s="70" t="str">
        <f>IF($A427="","",IF(AND($B427&lt;&gt;"",ISNUMBER(SEARCH($I$7,$B427))),COUNT($I$9:I426)+1,""))</f>
        <v/>
      </c>
    </row>
    <row r="428" spans="1:9" ht="16" x14ac:dyDescent="0.25">
      <c r="A428" s="70">
        <f>Listas!E423</f>
        <v>0</v>
      </c>
      <c r="B428" s="70" t="str">
        <f t="shared" si="6"/>
        <v/>
      </c>
      <c r="C428" s="70" t="str">
        <f>IF($A428="","",IF(AND($B428&lt;&gt;"",IF($F$2="Otros",$B428="Otros",ISNUMBER(SEARCH($B428,$F$2)))),COUNT($C$2:C427)+1,""))</f>
        <v/>
      </c>
      <c r="G428" s="134" t="str">
        <f>IFERROR(INDEX($A$2:$A$507,MATCH(ROWS($G$2:G428),$C$2:$C$507,0)),IF(ROWS($G$2:G428)=1,"(sin matches)",""))</f>
        <v/>
      </c>
      <c r="I428" s="70" t="str">
        <f>IF($A428="","",IF(AND($B428&lt;&gt;"",ISNUMBER(SEARCH($I$7,$B428))),COUNT($I$9:I427)+1,""))</f>
        <v/>
      </c>
    </row>
    <row r="429" spans="1:9" ht="16" x14ac:dyDescent="0.25">
      <c r="A429" s="70">
        <f>Listas!E424</f>
        <v>0</v>
      </c>
      <c r="B429" s="70" t="str">
        <f t="shared" si="6"/>
        <v/>
      </c>
      <c r="C429" s="70" t="str">
        <f>IF($A429="","",IF(AND($B429&lt;&gt;"",IF($F$2="Otros",$B429="Otros",ISNUMBER(SEARCH($B429,$F$2)))),COUNT($C$2:C428)+1,""))</f>
        <v/>
      </c>
      <c r="G429" s="134" t="str">
        <f>IFERROR(INDEX($A$2:$A$507,MATCH(ROWS($G$2:G429),$C$2:$C$507,0)),IF(ROWS($G$2:G429)=1,"(sin matches)",""))</f>
        <v/>
      </c>
      <c r="I429" s="70" t="str">
        <f>IF($A429="","",IF(AND($B429&lt;&gt;"",ISNUMBER(SEARCH($I$7,$B429))),COUNT($I$9:I428)+1,""))</f>
        <v/>
      </c>
    </row>
    <row r="430" spans="1:9" ht="16" x14ac:dyDescent="0.25">
      <c r="A430" s="70">
        <f>Listas!E425</f>
        <v>0</v>
      </c>
      <c r="B430" s="70" t="str">
        <f t="shared" si="6"/>
        <v/>
      </c>
      <c r="C430" s="70" t="str">
        <f>IF($A430="","",IF(AND($B430&lt;&gt;"",IF($F$2="Otros",$B430="Otros",ISNUMBER(SEARCH($B430,$F$2)))),COUNT($C$2:C429)+1,""))</f>
        <v/>
      </c>
      <c r="G430" s="134" t="str">
        <f>IFERROR(INDEX($A$2:$A$507,MATCH(ROWS($G$2:G430),$C$2:$C$507,0)),IF(ROWS($G$2:G430)=1,"(sin matches)",""))</f>
        <v/>
      </c>
      <c r="I430" s="70" t="str">
        <f>IF($A430="","",IF(AND($B430&lt;&gt;"",ISNUMBER(SEARCH($I$7,$B430))),COUNT($I$9:I429)+1,""))</f>
        <v/>
      </c>
    </row>
    <row r="431" spans="1:9" ht="16" x14ac:dyDescent="0.25">
      <c r="A431" s="70">
        <f>Listas!E426</f>
        <v>0</v>
      </c>
      <c r="B431" s="70" t="str">
        <f t="shared" si="6"/>
        <v/>
      </c>
      <c r="C431" s="70" t="str">
        <f>IF($A431="","",IF(AND($B431&lt;&gt;"",IF($F$2="Otros",$B431="Otros",ISNUMBER(SEARCH($B431,$F$2)))),COUNT($C$2:C430)+1,""))</f>
        <v/>
      </c>
      <c r="G431" s="134" t="str">
        <f>IFERROR(INDEX($A$2:$A$507,MATCH(ROWS($G$2:G431),$C$2:$C$507,0)),IF(ROWS($G$2:G431)=1,"(sin matches)",""))</f>
        <v/>
      </c>
      <c r="I431" s="70" t="str">
        <f>IF($A431="","",IF(AND($B431&lt;&gt;"",ISNUMBER(SEARCH($I$7,$B431))),COUNT($I$9:I430)+1,""))</f>
        <v/>
      </c>
    </row>
    <row r="432" spans="1:9" ht="16" x14ac:dyDescent="0.25">
      <c r="A432" s="70">
        <f>Listas!E427</f>
        <v>0</v>
      </c>
      <c r="B432" s="70" t="str">
        <f t="shared" si="6"/>
        <v/>
      </c>
      <c r="C432" s="70" t="str">
        <f>IF($A432="","",IF(AND($B432&lt;&gt;"",IF($F$2="Otros",$B432="Otros",ISNUMBER(SEARCH($B432,$F$2)))),COUNT($C$2:C431)+1,""))</f>
        <v/>
      </c>
      <c r="G432" s="134" t="str">
        <f>IFERROR(INDEX($A$2:$A$507,MATCH(ROWS($G$2:G432),$C$2:$C$507,0)),IF(ROWS($G$2:G432)=1,"(sin matches)",""))</f>
        <v/>
      </c>
      <c r="I432" s="70" t="str">
        <f>IF($A432="","",IF(AND($B432&lt;&gt;"",ISNUMBER(SEARCH($I$7,$B432))),COUNT($I$9:I431)+1,""))</f>
        <v/>
      </c>
    </row>
    <row r="433" spans="1:9" ht="16" x14ac:dyDescent="0.25">
      <c r="A433" s="70">
        <f>Listas!E428</f>
        <v>0</v>
      </c>
      <c r="B433" s="70" t="str">
        <f t="shared" si="6"/>
        <v/>
      </c>
      <c r="C433" s="70" t="str">
        <f>IF($A433="","",IF(AND($B433&lt;&gt;"",IF($F$2="Otros",$B433="Otros",ISNUMBER(SEARCH($B433,$F$2)))),COUNT($C$2:C432)+1,""))</f>
        <v/>
      </c>
      <c r="G433" s="134" t="str">
        <f>IFERROR(INDEX($A$2:$A$507,MATCH(ROWS($G$2:G433),$C$2:$C$507,0)),IF(ROWS($G$2:G433)=1,"(sin matches)",""))</f>
        <v/>
      </c>
      <c r="I433" s="70" t="str">
        <f>IF($A433="","",IF(AND($B433&lt;&gt;"",ISNUMBER(SEARCH($I$7,$B433))),COUNT($I$9:I432)+1,""))</f>
        <v/>
      </c>
    </row>
    <row r="434" spans="1:9" ht="16" x14ac:dyDescent="0.25">
      <c r="A434" s="70">
        <f>Listas!E429</f>
        <v>0</v>
      </c>
      <c r="B434" s="70" t="str">
        <f t="shared" si="6"/>
        <v/>
      </c>
      <c r="C434" s="70" t="str">
        <f>IF($A434="","",IF(AND($B434&lt;&gt;"",IF($F$2="Otros",$B434="Otros",ISNUMBER(SEARCH($B434,$F$2)))),COUNT($C$2:C433)+1,""))</f>
        <v/>
      </c>
      <c r="G434" s="134" t="str">
        <f>IFERROR(INDEX($A$2:$A$507,MATCH(ROWS($G$2:G434),$C$2:$C$507,0)),IF(ROWS($G$2:G434)=1,"(sin matches)",""))</f>
        <v/>
      </c>
      <c r="I434" s="70" t="str">
        <f>IF($A434="","",IF(AND($B434&lt;&gt;"",ISNUMBER(SEARCH($I$7,$B434))),COUNT($I$9:I433)+1,""))</f>
        <v/>
      </c>
    </row>
    <row r="435" spans="1:9" ht="16" x14ac:dyDescent="0.25">
      <c r="A435" s="70">
        <f>Listas!E430</f>
        <v>0</v>
      </c>
      <c r="B435" s="70" t="str">
        <f t="shared" si="6"/>
        <v/>
      </c>
      <c r="C435" s="70" t="str">
        <f>IF($A435="","",IF(AND($B435&lt;&gt;"",IF($F$2="Otros",$B435="Otros",ISNUMBER(SEARCH($B435,$F$2)))),COUNT($C$2:C434)+1,""))</f>
        <v/>
      </c>
      <c r="G435" s="134" t="str">
        <f>IFERROR(INDEX($A$2:$A$507,MATCH(ROWS($G$2:G435),$C$2:$C$507,0)),IF(ROWS($G$2:G435)=1,"(sin matches)",""))</f>
        <v/>
      </c>
      <c r="I435" s="70" t="str">
        <f>IF($A435="","",IF(AND($B435&lt;&gt;"",ISNUMBER(SEARCH($I$7,$B435))),COUNT($I$9:I434)+1,""))</f>
        <v/>
      </c>
    </row>
    <row r="436" spans="1:9" ht="16" x14ac:dyDescent="0.25">
      <c r="A436" s="70">
        <f>Listas!E431</f>
        <v>0</v>
      </c>
      <c r="B436" s="70" t="str">
        <f t="shared" si="6"/>
        <v/>
      </c>
      <c r="C436" s="70" t="str">
        <f>IF($A436="","",IF(AND($B436&lt;&gt;"",IF($F$2="Otros",$B436="Otros",ISNUMBER(SEARCH($B436,$F$2)))),COUNT($C$2:C435)+1,""))</f>
        <v/>
      </c>
      <c r="G436" s="134" t="str">
        <f>IFERROR(INDEX($A$2:$A$507,MATCH(ROWS($G$2:G436),$C$2:$C$507,0)),IF(ROWS($G$2:G436)=1,"(sin matches)",""))</f>
        <v/>
      </c>
      <c r="I436" s="70" t="str">
        <f>IF($A436="","",IF(AND($B436&lt;&gt;"",ISNUMBER(SEARCH($I$7,$B436))),COUNT($I$9:I435)+1,""))</f>
        <v/>
      </c>
    </row>
    <row r="437" spans="1:9" ht="16" x14ac:dyDescent="0.25">
      <c r="A437" s="70">
        <f>Listas!E432</f>
        <v>0</v>
      </c>
      <c r="B437" s="70" t="str">
        <f t="shared" si="6"/>
        <v/>
      </c>
      <c r="C437" s="70" t="str">
        <f>IF($A437="","",IF(AND($B437&lt;&gt;"",IF($F$2="Otros",$B437="Otros",ISNUMBER(SEARCH($B437,$F$2)))),COUNT($C$2:C436)+1,""))</f>
        <v/>
      </c>
      <c r="G437" s="134" t="str">
        <f>IFERROR(INDEX($A$2:$A$507,MATCH(ROWS($G$2:G437),$C$2:$C$507,0)),IF(ROWS($G$2:G437)=1,"(sin matches)",""))</f>
        <v/>
      </c>
      <c r="I437" s="70" t="str">
        <f>IF($A437="","",IF(AND($B437&lt;&gt;"",ISNUMBER(SEARCH($I$7,$B437))),COUNT($I$9:I436)+1,""))</f>
        <v/>
      </c>
    </row>
    <row r="438" spans="1:9" ht="16" x14ac:dyDescent="0.25">
      <c r="A438" s="70">
        <f>Listas!E433</f>
        <v>0</v>
      </c>
      <c r="B438" s="70" t="str">
        <f t="shared" si="6"/>
        <v/>
      </c>
      <c r="C438" s="70" t="str">
        <f>IF($A438="","",IF(AND($B438&lt;&gt;"",IF($F$2="Otros",$B438="Otros",ISNUMBER(SEARCH($B438,$F$2)))),COUNT($C$2:C437)+1,""))</f>
        <v/>
      </c>
      <c r="G438" s="134" t="str">
        <f>IFERROR(INDEX($A$2:$A$507,MATCH(ROWS($G$2:G438),$C$2:$C$507,0)),IF(ROWS($G$2:G438)=1,"(sin matches)",""))</f>
        <v/>
      </c>
      <c r="I438" s="70" t="str">
        <f>IF($A438="","",IF(AND($B438&lt;&gt;"",ISNUMBER(SEARCH($I$7,$B438))),COUNT($I$9:I437)+1,""))</f>
        <v/>
      </c>
    </row>
    <row r="439" spans="1:9" ht="16" x14ac:dyDescent="0.25">
      <c r="A439" s="70">
        <f>Listas!E434</f>
        <v>0</v>
      </c>
      <c r="B439" s="70" t="str">
        <f t="shared" si="6"/>
        <v/>
      </c>
      <c r="C439" s="70" t="str">
        <f>IF($A439="","",IF(AND($B439&lt;&gt;"",IF($F$2="Otros",$B439="Otros",ISNUMBER(SEARCH($B439,$F$2)))),COUNT($C$2:C438)+1,""))</f>
        <v/>
      </c>
      <c r="G439" s="134" t="str">
        <f>IFERROR(INDEX($A$2:$A$507,MATCH(ROWS($G$2:G439),$C$2:$C$507,0)),IF(ROWS($G$2:G439)=1,"(sin matches)",""))</f>
        <v/>
      </c>
      <c r="I439" s="70" t="str">
        <f>IF($A439="","",IF(AND($B439&lt;&gt;"",ISNUMBER(SEARCH($I$7,$B439))),COUNT($I$9:I438)+1,""))</f>
        <v/>
      </c>
    </row>
    <row r="440" spans="1:9" ht="16" x14ac:dyDescent="0.25">
      <c r="A440" s="70">
        <f>Listas!E435</f>
        <v>0</v>
      </c>
      <c r="B440" s="70" t="str">
        <f t="shared" si="6"/>
        <v/>
      </c>
      <c r="C440" s="70" t="str">
        <f>IF($A440="","",IF(AND($B440&lt;&gt;"",IF($F$2="Otros",$B440="Otros",ISNUMBER(SEARCH($B440,$F$2)))),COUNT($C$2:C439)+1,""))</f>
        <v/>
      </c>
      <c r="G440" s="134" t="str">
        <f>IFERROR(INDEX($A$2:$A$507,MATCH(ROWS($G$2:G440),$C$2:$C$507,0)),IF(ROWS($G$2:G440)=1,"(sin matches)",""))</f>
        <v/>
      </c>
      <c r="I440" s="70" t="str">
        <f>IF($A440="","",IF(AND($B440&lt;&gt;"",ISNUMBER(SEARCH($I$7,$B440))),COUNT($I$9:I439)+1,""))</f>
        <v/>
      </c>
    </row>
    <row r="441" spans="1:9" ht="16" x14ac:dyDescent="0.25">
      <c r="A441" s="70">
        <f>Listas!E436</f>
        <v>0</v>
      </c>
      <c r="B441" s="70" t="str">
        <f t="shared" si="6"/>
        <v/>
      </c>
      <c r="C441" s="70" t="str">
        <f>IF($A441="","",IF(AND($B441&lt;&gt;"",IF($F$2="Otros",$B441="Otros",ISNUMBER(SEARCH($B441,$F$2)))),COUNT($C$2:C440)+1,""))</f>
        <v/>
      </c>
      <c r="G441" s="134" t="str">
        <f>IFERROR(INDEX($A$2:$A$507,MATCH(ROWS($G$2:G441),$C$2:$C$507,0)),IF(ROWS($G$2:G441)=1,"(sin matches)",""))</f>
        <v/>
      </c>
      <c r="I441" s="70" t="str">
        <f>IF($A441="","",IF(AND($B441&lt;&gt;"",ISNUMBER(SEARCH($I$7,$B441))),COUNT($I$9:I440)+1,""))</f>
        <v/>
      </c>
    </row>
    <row r="442" spans="1:9" ht="16" x14ac:dyDescent="0.25">
      <c r="A442" s="70">
        <f>Listas!E437</f>
        <v>0</v>
      </c>
      <c r="B442" s="70" t="str">
        <f t="shared" si="6"/>
        <v/>
      </c>
      <c r="C442" s="70" t="str">
        <f>IF($A442="","",IF(AND($B442&lt;&gt;"",IF($F$2="Otros",$B442="Otros",ISNUMBER(SEARCH($B442,$F$2)))),COUNT($C$2:C441)+1,""))</f>
        <v/>
      </c>
      <c r="G442" s="134" t="str">
        <f>IFERROR(INDEX($A$2:$A$507,MATCH(ROWS($G$2:G442),$C$2:$C$507,0)),IF(ROWS($G$2:G442)=1,"(sin matches)",""))</f>
        <v/>
      </c>
      <c r="I442" s="70" t="str">
        <f>IF($A442="","",IF(AND($B442&lt;&gt;"",ISNUMBER(SEARCH($I$7,$B442))),COUNT($I$9:I441)+1,""))</f>
        <v/>
      </c>
    </row>
    <row r="443" spans="1:9" ht="16" x14ac:dyDescent="0.25">
      <c r="A443" s="70">
        <f>Listas!E438</f>
        <v>0</v>
      </c>
      <c r="B443" s="70" t="str">
        <f t="shared" si="6"/>
        <v/>
      </c>
      <c r="C443" s="70" t="str">
        <f>IF($A443="","",IF(AND($B443&lt;&gt;"",IF($F$2="Otros",$B443="Otros",ISNUMBER(SEARCH($B443,$F$2)))),COUNT($C$2:C442)+1,""))</f>
        <v/>
      </c>
      <c r="G443" s="134" t="str">
        <f>IFERROR(INDEX($A$2:$A$507,MATCH(ROWS($G$2:G443),$C$2:$C$507,0)),IF(ROWS($G$2:G443)=1,"(sin matches)",""))</f>
        <v/>
      </c>
      <c r="I443" s="70" t="str">
        <f>IF($A443="","",IF(AND($B443&lt;&gt;"",ISNUMBER(SEARCH($I$7,$B443))),COUNT($I$9:I442)+1,""))</f>
        <v/>
      </c>
    </row>
    <row r="444" spans="1:9" ht="16" x14ac:dyDescent="0.25">
      <c r="A444" s="70">
        <f>Listas!E439</f>
        <v>0</v>
      </c>
      <c r="B444" s="70" t="str">
        <f t="shared" si="6"/>
        <v/>
      </c>
      <c r="C444" s="70" t="str">
        <f>IF($A444="","",IF(AND($B444&lt;&gt;"",IF($F$2="Otros",$B444="Otros",ISNUMBER(SEARCH($B444,$F$2)))),COUNT($C$2:C443)+1,""))</f>
        <v/>
      </c>
      <c r="G444" s="134" t="str">
        <f>IFERROR(INDEX($A$2:$A$507,MATCH(ROWS($G$2:G444),$C$2:$C$507,0)),IF(ROWS($G$2:G444)=1,"(sin matches)",""))</f>
        <v/>
      </c>
      <c r="I444" s="70" t="str">
        <f>IF($A444="","",IF(AND($B444&lt;&gt;"",ISNUMBER(SEARCH($I$7,$B444))),COUNT($I$9:I443)+1,""))</f>
        <v/>
      </c>
    </row>
    <row r="445" spans="1:9" ht="16" x14ac:dyDescent="0.25">
      <c r="A445" s="70">
        <f>Listas!E440</f>
        <v>0</v>
      </c>
      <c r="B445" s="70" t="str">
        <f t="shared" si="6"/>
        <v/>
      </c>
      <c r="C445" s="70" t="str">
        <f>IF($A445="","",IF(AND($B445&lt;&gt;"",IF($F$2="Otros",$B445="Otros",ISNUMBER(SEARCH($B445,$F$2)))),COUNT($C$2:C444)+1,""))</f>
        <v/>
      </c>
      <c r="G445" s="134" t="str">
        <f>IFERROR(INDEX($A$2:$A$507,MATCH(ROWS($G$2:G445),$C$2:$C$507,0)),IF(ROWS($G$2:G445)=1,"(sin matches)",""))</f>
        <v/>
      </c>
      <c r="I445" s="70" t="str">
        <f>IF($A445="","",IF(AND($B445&lt;&gt;"",ISNUMBER(SEARCH($I$7,$B445))),COUNT($I$9:I444)+1,""))</f>
        <v/>
      </c>
    </row>
    <row r="446" spans="1:9" ht="16" x14ac:dyDescent="0.25">
      <c r="A446" s="70">
        <f>Listas!E441</f>
        <v>0</v>
      </c>
      <c r="B446" s="70" t="str">
        <f t="shared" si="6"/>
        <v/>
      </c>
      <c r="C446" s="70" t="str">
        <f>IF($A446="","",IF(AND($B446&lt;&gt;"",IF($F$2="Otros",$B446="Otros",ISNUMBER(SEARCH($B446,$F$2)))),COUNT($C$2:C445)+1,""))</f>
        <v/>
      </c>
      <c r="G446" s="134" t="str">
        <f>IFERROR(INDEX($A$2:$A$507,MATCH(ROWS($G$2:G446),$C$2:$C$507,0)),IF(ROWS($G$2:G446)=1,"(sin matches)",""))</f>
        <v/>
      </c>
      <c r="I446" s="70" t="str">
        <f>IF($A446="","",IF(AND($B446&lt;&gt;"",ISNUMBER(SEARCH($I$7,$B446))),COUNT($I$9:I445)+1,""))</f>
        <v/>
      </c>
    </row>
    <row r="447" spans="1:9" ht="16" x14ac:dyDescent="0.25">
      <c r="A447" s="70">
        <f>Listas!E442</f>
        <v>0</v>
      </c>
      <c r="B447" s="70" t="str">
        <f t="shared" si="6"/>
        <v/>
      </c>
      <c r="C447" s="70" t="str">
        <f>IF($A447="","",IF(AND($B447&lt;&gt;"",IF($F$2="Otros",$B447="Otros",ISNUMBER(SEARCH($B447,$F$2)))),COUNT($C$2:C446)+1,""))</f>
        <v/>
      </c>
      <c r="G447" s="134" t="str">
        <f>IFERROR(INDEX($A$2:$A$507,MATCH(ROWS($G$2:G447),$C$2:$C$507,0)),IF(ROWS($G$2:G447)=1,"(sin matches)",""))</f>
        <v/>
      </c>
      <c r="I447" s="70" t="str">
        <f>IF($A447="","",IF(AND($B447&lt;&gt;"",ISNUMBER(SEARCH($I$7,$B447))),COUNT($I$9:I446)+1,""))</f>
        <v/>
      </c>
    </row>
    <row r="448" spans="1:9" ht="16" x14ac:dyDescent="0.25">
      <c r="A448" s="70">
        <f>Listas!E443</f>
        <v>0</v>
      </c>
      <c r="B448" s="70" t="str">
        <f t="shared" si="6"/>
        <v/>
      </c>
      <c r="C448" s="70" t="str">
        <f>IF($A448="","",IF(AND($B448&lt;&gt;"",IF($F$2="Otros",$B448="Otros",ISNUMBER(SEARCH($B448,$F$2)))),COUNT($C$2:C447)+1,""))</f>
        <v/>
      </c>
      <c r="G448" s="134" t="str">
        <f>IFERROR(INDEX($A$2:$A$507,MATCH(ROWS($G$2:G448),$C$2:$C$507,0)),IF(ROWS($G$2:G448)=1,"(sin matches)",""))</f>
        <v/>
      </c>
      <c r="I448" s="70" t="str">
        <f>IF($A448="","",IF(AND($B448&lt;&gt;"",ISNUMBER(SEARCH($I$7,$B448))),COUNT($I$9:I447)+1,""))</f>
        <v/>
      </c>
    </row>
    <row r="449" spans="1:9" ht="16" x14ac:dyDescent="0.25">
      <c r="A449" s="70">
        <f>Listas!E444</f>
        <v>0</v>
      </c>
      <c r="B449" s="70" t="str">
        <f t="shared" si="6"/>
        <v/>
      </c>
      <c r="C449" s="70" t="str">
        <f>IF($A449="","",IF(AND($B449&lt;&gt;"",IF($F$2="Otros",$B449="Otros",ISNUMBER(SEARCH($B449,$F$2)))),COUNT($C$2:C448)+1,""))</f>
        <v/>
      </c>
      <c r="G449" s="134" t="str">
        <f>IFERROR(INDEX($A$2:$A$507,MATCH(ROWS($G$2:G449),$C$2:$C$507,0)),IF(ROWS($G$2:G449)=1,"(sin matches)",""))</f>
        <v/>
      </c>
      <c r="I449" s="70" t="str">
        <f>IF($A449="","",IF(AND($B449&lt;&gt;"",ISNUMBER(SEARCH($I$7,$B449))),COUNT($I$9:I448)+1,""))</f>
        <v/>
      </c>
    </row>
    <row r="450" spans="1:9" ht="16" x14ac:dyDescent="0.25">
      <c r="A450" s="70">
        <f>Listas!E445</f>
        <v>0</v>
      </c>
      <c r="B450" s="70" t="str">
        <f t="shared" si="6"/>
        <v/>
      </c>
      <c r="C450" s="70" t="str">
        <f>IF($A450="","",IF(AND($B450&lt;&gt;"",IF($F$2="Otros",$B450="Otros",ISNUMBER(SEARCH($B450,$F$2)))),COUNT($C$2:C449)+1,""))</f>
        <v/>
      </c>
      <c r="G450" s="134" t="str">
        <f>IFERROR(INDEX($A$2:$A$507,MATCH(ROWS($G$2:G450),$C$2:$C$507,0)),IF(ROWS($G$2:G450)=1,"(sin matches)",""))</f>
        <v/>
      </c>
      <c r="I450" s="70" t="str">
        <f>IF($A450="","",IF(AND($B450&lt;&gt;"",ISNUMBER(SEARCH($I$7,$B450))),COUNT($I$9:I449)+1,""))</f>
        <v/>
      </c>
    </row>
    <row r="451" spans="1:9" ht="16" x14ac:dyDescent="0.25">
      <c r="A451" s="70">
        <f>Listas!E446</f>
        <v>0</v>
      </c>
      <c r="B451" s="70" t="str">
        <f t="shared" si="6"/>
        <v/>
      </c>
      <c r="C451" s="70" t="str">
        <f>IF($A451="","",IF(AND($B451&lt;&gt;"",IF($F$2="Otros",$B451="Otros",ISNUMBER(SEARCH($B451,$F$2)))),COUNT($C$2:C450)+1,""))</f>
        <v/>
      </c>
      <c r="G451" s="134" t="str">
        <f>IFERROR(INDEX($A$2:$A$507,MATCH(ROWS($G$2:G451),$C$2:$C$507,0)),IF(ROWS($G$2:G451)=1,"(sin matches)",""))</f>
        <v/>
      </c>
      <c r="I451" s="70" t="str">
        <f>IF($A451="","",IF(AND($B451&lt;&gt;"",ISNUMBER(SEARCH($I$7,$B451))),COUNT($I$9:I450)+1,""))</f>
        <v/>
      </c>
    </row>
    <row r="452" spans="1:9" ht="16" x14ac:dyDescent="0.25">
      <c r="A452" s="70">
        <f>Listas!E447</f>
        <v>0</v>
      </c>
      <c r="B452" s="70" t="str">
        <f t="shared" si="6"/>
        <v/>
      </c>
      <c r="C452" s="70" t="str">
        <f>IF($A452="","",IF(AND($B452&lt;&gt;"",IF($F$2="Otros",$B452="Otros",ISNUMBER(SEARCH($B452,$F$2)))),COUNT($C$2:C451)+1,""))</f>
        <v/>
      </c>
      <c r="G452" s="134" t="str">
        <f>IFERROR(INDEX($A$2:$A$507,MATCH(ROWS($G$2:G452),$C$2:$C$507,0)),IF(ROWS($G$2:G452)=1,"(sin matches)",""))</f>
        <v/>
      </c>
      <c r="I452" s="70" t="str">
        <f>IF($A452="","",IF(AND($B452&lt;&gt;"",ISNUMBER(SEARCH($I$7,$B452))),COUNT($I$9:I451)+1,""))</f>
        <v/>
      </c>
    </row>
    <row r="453" spans="1:9" ht="16" x14ac:dyDescent="0.25">
      <c r="A453" s="70">
        <f>Listas!E448</f>
        <v>0</v>
      </c>
      <c r="B453" s="70" t="str">
        <f t="shared" si="6"/>
        <v/>
      </c>
      <c r="C453" s="70" t="str">
        <f>IF($A453="","",IF(AND($B453&lt;&gt;"",IF($F$2="Otros",$B453="Otros",ISNUMBER(SEARCH($B453,$F$2)))),COUNT($C$2:C452)+1,""))</f>
        <v/>
      </c>
      <c r="G453" s="134" t="str">
        <f>IFERROR(INDEX($A$2:$A$507,MATCH(ROWS($G$2:G453),$C$2:$C$507,0)),IF(ROWS($G$2:G453)=1,"(sin matches)",""))</f>
        <v/>
      </c>
      <c r="I453" s="70" t="str">
        <f>IF($A453="","",IF(AND($B453&lt;&gt;"",ISNUMBER(SEARCH($I$7,$B453))),COUNT($I$9:I452)+1,""))</f>
        <v/>
      </c>
    </row>
    <row r="454" spans="1:9" ht="16" x14ac:dyDescent="0.25">
      <c r="A454" s="70">
        <f>Listas!E449</f>
        <v>0</v>
      </c>
      <c r="B454" s="70" t="str">
        <f t="shared" si="6"/>
        <v/>
      </c>
      <c r="C454" s="70" t="str">
        <f>IF($A454="","",IF(AND($B454&lt;&gt;"",IF($F$2="Otros",$B454="Otros",ISNUMBER(SEARCH($B454,$F$2)))),COUNT($C$2:C453)+1,""))</f>
        <v/>
      </c>
      <c r="G454" s="134" t="str">
        <f>IFERROR(INDEX($A$2:$A$507,MATCH(ROWS($G$2:G454),$C$2:$C$507,0)),IF(ROWS($G$2:G454)=1,"(sin matches)",""))</f>
        <v/>
      </c>
      <c r="I454" s="70" t="str">
        <f>IF($A454="","",IF(AND($B454&lt;&gt;"",ISNUMBER(SEARCH($I$7,$B454))),COUNT($I$9:I453)+1,""))</f>
        <v/>
      </c>
    </row>
    <row r="455" spans="1:9" ht="16" x14ac:dyDescent="0.25">
      <c r="A455" s="70">
        <f>Listas!E450</f>
        <v>0</v>
      </c>
      <c r="B455" s="70" t="str">
        <f t="shared" si="6"/>
        <v/>
      </c>
      <c r="C455" s="70" t="str">
        <f>IF($A455="","",IF(AND($B455&lt;&gt;"",IF($F$2="Otros",$B455="Otros",ISNUMBER(SEARCH($B455,$F$2)))),COUNT($C$2:C454)+1,""))</f>
        <v/>
      </c>
      <c r="G455" s="134" t="str">
        <f>IFERROR(INDEX($A$2:$A$507,MATCH(ROWS($G$2:G455),$C$2:$C$507,0)),IF(ROWS($G$2:G455)=1,"(sin matches)",""))</f>
        <v/>
      </c>
      <c r="I455" s="70" t="str">
        <f>IF($A455="","",IF(AND($B455&lt;&gt;"",ISNUMBER(SEARCH($I$7,$B455))),COUNT($I$9:I454)+1,""))</f>
        <v/>
      </c>
    </row>
    <row r="456" spans="1:9" ht="16" x14ac:dyDescent="0.25">
      <c r="A456" s="70">
        <f>Listas!E451</f>
        <v>0</v>
      </c>
      <c r="B456" s="70" t="str">
        <f t="shared" si="6"/>
        <v/>
      </c>
      <c r="C456" s="70" t="str">
        <f>IF($A456="","",IF(AND($B456&lt;&gt;"",IF($F$2="Otros",$B456="Otros",ISNUMBER(SEARCH($B456,$F$2)))),COUNT($C$2:C455)+1,""))</f>
        <v/>
      </c>
      <c r="G456" s="134" t="str">
        <f>IFERROR(INDEX($A$2:$A$507,MATCH(ROWS($G$2:G456),$C$2:$C$507,0)),IF(ROWS($G$2:G456)=1,"(sin matches)",""))</f>
        <v/>
      </c>
      <c r="I456" s="70" t="str">
        <f>IF($A456="","",IF(AND($B456&lt;&gt;"",ISNUMBER(SEARCH($I$7,$B456))),COUNT($I$9:I455)+1,""))</f>
        <v/>
      </c>
    </row>
    <row r="457" spans="1:9" ht="16" x14ac:dyDescent="0.25">
      <c r="A457" s="70">
        <f>Listas!E452</f>
        <v>0</v>
      </c>
      <c r="B457" s="70" t="str">
        <f t="shared" si="6"/>
        <v/>
      </c>
      <c r="C457" s="70" t="str">
        <f>IF($A457="","",IF(AND($B457&lt;&gt;"",IF($F$2="Otros",$B457="Otros",ISNUMBER(SEARCH($B457,$F$2)))),COUNT($C$2:C456)+1,""))</f>
        <v/>
      </c>
      <c r="G457" s="134" t="str">
        <f>IFERROR(INDEX($A$2:$A$507,MATCH(ROWS($G$2:G457),$C$2:$C$507,0)),IF(ROWS($G$2:G457)=1,"(sin matches)",""))</f>
        <v/>
      </c>
      <c r="I457" s="70" t="str">
        <f>IF($A457="","",IF(AND($B457&lt;&gt;"",ISNUMBER(SEARCH($I$7,$B457))),COUNT($I$9:I456)+1,""))</f>
        <v/>
      </c>
    </row>
    <row r="458" spans="1:9" ht="16" x14ac:dyDescent="0.25">
      <c r="A458" s="70">
        <f>Listas!E453</f>
        <v>0</v>
      </c>
      <c r="B458" s="70" t="str">
        <f t="shared" ref="B458:B507"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
      </c>
      <c r="C458" s="70" t="str">
        <f>IF($A458="","",IF(AND($B458&lt;&gt;"",IF($F$2="Otros",$B458="Otros",ISNUMBER(SEARCH($B458,$F$2)))),COUNT($C$2:C457)+1,""))</f>
        <v/>
      </c>
      <c r="G458" s="134" t="str">
        <f>IFERROR(INDEX($A$2:$A$507,MATCH(ROWS($G$2:G458),$C$2:$C$507,0)),IF(ROWS($G$2:G458)=1,"(sin matches)",""))</f>
        <v/>
      </c>
      <c r="I458" s="70" t="str">
        <f>IF($A458="","",IF(AND($B458&lt;&gt;"",ISNUMBER(SEARCH($I$7,$B458))),COUNT($I$9:I457)+1,""))</f>
        <v/>
      </c>
    </row>
    <row r="459" spans="1:9" ht="16" x14ac:dyDescent="0.25">
      <c r="A459" s="70">
        <f>Listas!E454</f>
        <v>0</v>
      </c>
      <c r="B459" s="70" t="str">
        <f t="shared" si="7"/>
        <v/>
      </c>
      <c r="C459" s="70" t="str">
        <f>IF($A459="","",IF(AND($B459&lt;&gt;"",IF($F$2="Otros",$B459="Otros",ISNUMBER(SEARCH($B459,$F$2)))),COUNT($C$2:C458)+1,""))</f>
        <v/>
      </c>
      <c r="G459" s="134" t="str">
        <f>IFERROR(INDEX($A$2:$A$507,MATCH(ROWS($G$2:G459),$C$2:$C$507,0)),IF(ROWS($G$2:G459)=1,"(sin matches)",""))</f>
        <v/>
      </c>
      <c r="I459" s="70" t="str">
        <f>IF($A459="","",IF(AND($B459&lt;&gt;"",ISNUMBER(SEARCH($I$7,$B459))),COUNT($I$9:I458)+1,""))</f>
        <v/>
      </c>
    </row>
    <row r="460" spans="1:9" ht="16" x14ac:dyDescent="0.25">
      <c r="A460" s="70">
        <f>Listas!E455</f>
        <v>0</v>
      </c>
      <c r="B460" s="70" t="str">
        <f t="shared" si="7"/>
        <v/>
      </c>
      <c r="C460" s="70" t="str">
        <f>IF($A460="","",IF(AND($B460&lt;&gt;"",IF($F$2="Otros",$B460="Otros",ISNUMBER(SEARCH($B460,$F$2)))),COUNT($C$2:C459)+1,""))</f>
        <v/>
      </c>
      <c r="G460" s="134" t="str">
        <f>IFERROR(INDEX($A$2:$A$507,MATCH(ROWS($G$2:G460),$C$2:$C$507,0)),IF(ROWS($G$2:G460)=1,"(sin matches)",""))</f>
        <v/>
      </c>
      <c r="I460" s="70" t="str">
        <f>IF($A460="","",IF(AND($B460&lt;&gt;"",ISNUMBER(SEARCH($I$7,$B460))),COUNT($I$9:I459)+1,""))</f>
        <v/>
      </c>
    </row>
    <row r="461" spans="1:9" ht="16" x14ac:dyDescent="0.25">
      <c r="A461" s="70">
        <f>Listas!E456</f>
        <v>0</v>
      </c>
      <c r="B461" s="70" t="str">
        <f t="shared" si="7"/>
        <v/>
      </c>
      <c r="C461" s="70" t="str">
        <f>IF($A461="","",IF(AND($B461&lt;&gt;"",IF($F$2="Otros",$B461="Otros",ISNUMBER(SEARCH($B461,$F$2)))),COUNT($C$2:C460)+1,""))</f>
        <v/>
      </c>
      <c r="G461" s="134" t="str">
        <f>IFERROR(INDEX($A$2:$A$507,MATCH(ROWS($G$2:G461),$C$2:$C$507,0)),IF(ROWS($G$2:G461)=1,"(sin matches)",""))</f>
        <v/>
      </c>
      <c r="I461" s="70" t="str">
        <f>IF($A461="","",IF(AND($B461&lt;&gt;"",ISNUMBER(SEARCH($I$7,$B461))),COUNT($I$9:I460)+1,""))</f>
        <v/>
      </c>
    </row>
    <row r="462" spans="1:9" ht="16" x14ac:dyDescent="0.25">
      <c r="A462" s="70">
        <f>Listas!E457</f>
        <v>0</v>
      </c>
      <c r="B462" s="70" t="str">
        <f t="shared" si="7"/>
        <v/>
      </c>
      <c r="C462" s="70" t="str">
        <f>IF($A462="","",IF(AND($B462&lt;&gt;"",IF($F$2="Otros",$B462="Otros",ISNUMBER(SEARCH($B462,$F$2)))),COUNT($C$2:C461)+1,""))</f>
        <v/>
      </c>
      <c r="G462" s="134" t="str">
        <f>IFERROR(INDEX($A$2:$A$507,MATCH(ROWS($G$2:G462),$C$2:$C$507,0)),IF(ROWS($G$2:G462)=1,"(sin matches)",""))</f>
        <v/>
      </c>
      <c r="I462" s="70" t="str">
        <f>IF($A462="","",IF(AND($B462&lt;&gt;"",ISNUMBER(SEARCH($I$7,$B462))),COUNT($I$9:I461)+1,""))</f>
        <v/>
      </c>
    </row>
    <row r="463" spans="1:9" ht="16" x14ac:dyDescent="0.25">
      <c r="A463" s="70">
        <f>Listas!E458</f>
        <v>0</v>
      </c>
      <c r="B463" s="70" t="str">
        <f t="shared" si="7"/>
        <v/>
      </c>
      <c r="C463" s="70" t="str">
        <f>IF($A463="","",IF(AND($B463&lt;&gt;"",IF($F$2="Otros",$B463="Otros",ISNUMBER(SEARCH($B463,$F$2)))),COUNT($C$2:C462)+1,""))</f>
        <v/>
      </c>
      <c r="G463" s="134" t="str">
        <f>IFERROR(INDEX($A$2:$A$507,MATCH(ROWS($G$2:G463),$C$2:$C$507,0)),IF(ROWS($G$2:G463)=1,"(sin matches)",""))</f>
        <v/>
      </c>
      <c r="I463" s="70" t="str">
        <f>IF($A463="","",IF(AND($B463&lt;&gt;"",ISNUMBER(SEARCH($I$7,$B463))),COUNT($I$9:I462)+1,""))</f>
        <v/>
      </c>
    </row>
    <row r="464" spans="1:9" ht="16" x14ac:dyDescent="0.25">
      <c r="A464" s="70">
        <f>Listas!E459</f>
        <v>0</v>
      </c>
      <c r="B464" s="70" t="str">
        <f t="shared" si="7"/>
        <v/>
      </c>
      <c r="C464" s="70" t="str">
        <f>IF($A464="","",IF(AND($B464&lt;&gt;"",IF($F$2="Otros",$B464="Otros",ISNUMBER(SEARCH($B464,$F$2)))),COUNT($C$2:C463)+1,""))</f>
        <v/>
      </c>
      <c r="G464" s="134" t="str">
        <f>IFERROR(INDEX($A$2:$A$507,MATCH(ROWS($G$2:G464),$C$2:$C$507,0)),IF(ROWS($G$2:G464)=1,"(sin matches)",""))</f>
        <v/>
      </c>
      <c r="I464" s="70" t="str">
        <f>IF($A464="","",IF(AND($B464&lt;&gt;"",ISNUMBER(SEARCH($I$7,$B464))),COUNT($I$9:I463)+1,""))</f>
        <v/>
      </c>
    </row>
    <row r="465" spans="1:9" ht="16" x14ac:dyDescent="0.25">
      <c r="A465" s="70">
        <f>Listas!E460</f>
        <v>0</v>
      </c>
      <c r="B465" s="70" t="str">
        <f t="shared" si="7"/>
        <v/>
      </c>
      <c r="C465" s="70" t="str">
        <f>IF($A465="","",IF(AND($B465&lt;&gt;"",IF($F$2="Otros",$B465="Otros",ISNUMBER(SEARCH($B465,$F$2)))),COUNT($C$2:C464)+1,""))</f>
        <v/>
      </c>
      <c r="G465" s="134" t="str">
        <f>IFERROR(INDEX($A$2:$A$507,MATCH(ROWS($G$2:G465),$C$2:$C$507,0)),IF(ROWS($G$2:G465)=1,"(sin matches)",""))</f>
        <v/>
      </c>
      <c r="I465" s="70" t="str">
        <f>IF($A465="","",IF(AND($B465&lt;&gt;"",ISNUMBER(SEARCH($I$7,$B465))),COUNT($I$9:I464)+1,""))</f>
        <v/>
      </c>
    </row>
    <row r="466" spans="1:9" ht="16" x14ac:dyDescent="0.25">
      <c r="A466" s="70">
        <f>Listas!E461</f>
        <v>0</v>
      </c>
      <c r="B466" s="70" t="str">
        <f t="shared" si="7"/>
        <v/>
      </c>
      <c r="C466" s="70" t="str">
        <f>IF($A466="","",IF(AND($B466&lt;&gt;"",IF($F$2="Otros",$B466="Otros",ISNUMBER(SEARCH($B466,$F$2)))),COUNT($C$2:C465)+1,""))</f>
        <v/>
      </c>
      <c r="G466" s="134" t="str">
        <f>IFERROR(INDEX($A$2:$A$507,MATCH(ROWS($G$2:G466),$C$2:$C$507,0)),IF(ROWS($G$2:G466)=1,"(sin matches)",""))</f>
        <v/>
      </c>
      <c r="I466" s="70" t="str">
        <f>IF($A466="","",IF(AND($B466&lt;&gt;"",ISNUMBER(SEARCH($I$7,$B466))),COUNT($I$9:I465)+1,""))</f>
        <v/>
      </c>
    </row>
    <row r="467" spans="1:9" ht="16" x14ac:dyDescent="0.25">
      <c r="A467" s="70">
        <f>Listas!E462</f>
        <v>0</v>
      </c>
      <c r="B467" s="70" t="str">
        <f t="shared" si="7"/>
        <v/>
      </c>
      <c r="C467" s="70" t="str">
        <f>IF($A467="","",IF(AND($B467&lt;&gt;"",IF($F$2="Otros",$B467="Otros",ISNUMBER(SEARCH($B467,$F$2)))),COUNT($C$2:C466)+1,""))</f>
        <v/>
      </c>
      <c r="G467" s="134" t="str">
        <f>IFERROR(INDEX($A$2:$A$507,MATCH(ROWS($G$2:G467),$C$2:$C$507,0)),IF(ROWS($G$2:G467)=1,"(sin matches)",""))</f>
        <v/>
      </c>
      <c r="I467" s="70" t="str">
        <f>IF($A467="","",IF(AND($B467&lt;&gt;"",ISNUMBER(SEARCH($I$7,$B467))),COUNT($I$9:I466)+1,""))</f>
        <v/>
      </c>
    </row>
    <row r="468" spans="1:9" ht="16" x14ac:dyDescent="0.25">
      <c r="A468" s="70">
        <f>Listas!E463</f>
        <v>0</v>
      </c>
      <c r="B468" s="70" t="str">
        <f t="shared" si="7"/>
        <v/>
      </c>
      <c r="C468" s="70" t="str">
        <f>IF($A468="","",IF(AND($B468&lt;&gt;"",IF($F$2="Otros",$B468="Otros",ISNUMBER(SEARCH($B468,$F$2)))),COUNT($C$2:C467)+1,""))</f>
        <v/>
      </c>
      <c r="G468" s="134" t="str">
        <f>IFERROR(INDEX($A$2:$A$507,MATCH(ROWS($G$2:G468),$C$2:$C$507,0)),IF(ROWS($G$2:G468)=1,"(sin matches)",""))</f>
        <v/>
      </c>
      <c r="I468" s="70" t="str">
        <f>IF($A468="","",IF(AND($B468&lt;&gt;"",ISNUMBER(SEARCH($I$7,$B468))),COUNT($I$9:I467)+1,""))</f>
        <v/>
      </c>
    </row>
    <row r="469" spans="1:9" ht="16" x14ac:dyDescent="0.25">
      <c r="A469" s="70">
        <f>Listas!E464</f>
        <v>0</v>
      </c>
      <c r="B469" s="70" t="str">
        <f t="shared" si="7"/>
        <v/>
      </c>
      <c r="C469" s="70" t="str">
        <f>IF($A469="","",IF(AND($B469&lt;&gt;"",IF($F$2="Otros",$B469="Otros",ISNUMBER(SEARCH($B469,$F$2)))),COUNT($C$2:C468)+1,""))</f>
        <v/>
      </c>
      <c r="G469" s="134" t="str">
        <f>IFERROR(INDEX($A$2:$A$507,MATCH(ROWS($G$2:G469),$C$2:$C$507,0)),IF(ROWS($G$2:G469)=1,"(sin matches)",""))</f>
        <v/>
      </c>
      <c r="I469" s="70" t="str">
        <f>IF($A469="","",IF(AND($B469&lt;&gt;"",ISNUMBER(SEARCH($I$7,$B469))),COUNT($I$9:I468)+1,""))</f>
        <v/>
      </c>
    </row>
    <row r="470" spans="1:9" ht="16" x14ac:dyDescent="0.25">
      <c r="A470" s="70">
        <f>Listas!E465</f>
        <v>0</v>
      </c>
      <c r="B470" s="70" t="str">
        <f t="shared" si="7"/>
        <v/>
      </c>
      <c r="C470" s="70" t="str">
        <f>IF($A470="","",IF(AND($B470&lt;&gt;"",IF($F$2="Otros",$B470="Otros",ISNUMBER(SEARCH($B470,$F$2)))),COUNT($C$2:C469)+1,""))</f>
        <v/>
      </c>
      <c r="G470" s="134" t="str">
        <f>IFERROR(INDEX($A$2:$A$507,MATCH(ROWS($G$2:G470),$C$2:$C$507,0)),IF(ROWS($G$2:G470)=1,"(sin matches)",""))</f>
        <v/>
      </c>
      <c r="I470" s="70" t="str">
        <f>IF($A470="","",IF(AND($B470&lt;&gt;"",ISNUMBER(SEARCH($I$7,$B470))),COUNT($I$9:I469)+1,""))</f>
        <v/>
      </c>
    </row>
    <row r="471" spans="1:9" ht="16" x14ac:dyDescent="0.25">
      <c r="A471" s="70">
        <f>Listas!E466</f>
        <v>0</v>
      </c>
      <c r="B471" s="70" t="str">
        <f t="shared" si="7"/>
        <v/>
      </c>
      <c r="C471" s="70" t="str">
        <f>IF($A471="","",IF(AND($B471&lt;&gt;"",IF($F$2="Otros",$B471="Otros",ISNUMBER(SEARCH($B471,$F$2)))),COUNT($C$2:C470)+1,""))</f>
        <v/>
      </c>
      <c r="G471" s="134" t="str">
        <f>IFERROR(INDEX($A$2:$A$507,MATCH(ROWS($G$2:G471),$C$2:$C$507,0)),IF(ROWS($G$2:G471)=1,"(sin matches)",""))</f>
        <v/>
      </c>
      <c r="I471" s="70" t="str">
        <f>IF($A471="","",IF(AND($B471&lt;&gt;"",ISNUMBER(SEARCH($I$7,$B471))),COUNT($I$9:I470)+1,""))</f>
        <v/>
      </c>
    </row>
    <row r="472" spans="1:9" ht="16" x14ac:dyDescent="0.25">
      <c r="A472" s="70">
        <f>Listas!E467</f>
        <v>0</v>
      </c>
      <c r="B472" s="70" t="str">
        <f t="shared" si="7"/>
        <v/>
      </c>
      <c r="C472" s="70" t="str">
        <f>IF($A472="","",IF(AND($B472&lt;&gt;"",IF($F$2="Otros",$B472="Otros",ISNUMBER(SEARCH($B472,$F$2)))),COUNT($C$2:C471)+1,""))</f>
        <v/>
      </c>
      <c r="G472" s="134" t="str">
        <f>IFERROR(INDEX($A$2:$A$507,MATCH(ROWS($G$2:G472),$C$2:$C$507,0)),IF(ROWS($G$2:G472)=1,"(sin matches)",""))</f>
        <v/>
      </c>
      <c r="I472" s="70" t="str">
        <f>IF($A472="","",IF(AND($B472&lt;&gt;"",ISNUMBER(SEARCH($I$7,$B472))),COUNT($I$9:I471)+1,""))</f>
        <v/>
      </c>
    </row>
    <row r="473" spans="1:9" ht="16" x14ac:dyDescent="0.25">
      <c r="A473" s="70">
        <f>Listas!E468</f>
        <v>0</v>
      </c>
      <c r="B473" s="70" t="str">
        <f t="shared" si="7"/>
        <v/>
      </c>
      <c r="C473" s="70" t="str">
        <f>IF($A473="","",IF(AND($B473&lt;&gt;"",IF($F$2="Otros",$B473="Otros",ISNUMBER(SEARCH($B473,$F$2)))),COUNT($C$2:C472)+1,""))</f>
        <v/>
      </c>
      <c r="G473" s="134" t="str">
        <f>IFERROR(INDEX($A$2:$A$507,MATCH(ROWS($G$2:G473),$C$2:$C$507,0)),IF(ROWS($G$2:G473)=1,"(sin matches)",""))</f>
        <v/>
      </c>
      <c r="I473" s="70" t="str">
        <f>IF($A473="","",IF(AND($B473&lt;&gt;"",ISNUMBER(SEARCH($I$7,$B473))),COUNT($I$9:I472)+1,""))</f>
        <v/>
      </c>
    </row>
    <row r="474" spans="1:9" ht="16" x14ac:dyDescent="0.25">
      <c r="A474" s="70">
        <f>Listas!E469</f>
        <v>0</v>
      </c>
      <c r="B474" s="70" t="str">
        <f t="shared" si="7"/>
        <v/>
      </c>
      <c r="C474" s="70" t="str">
        <f>IF($A474="","",IF(AND($B474&lt;&gt;"",IF($F$2="Otros",$B474="Otros",ISNUMBER(SEARCH($B474,$F$2)))),COUNT($C$2:C473)+1,""))</f>
        <v/>
      </c>
      <c r="G474" s="134" t="str">
        <f>IFERROR(INDEX($A$2:$A$507,MATCH(ROWS($G$2:G474),$C$2:$C$507,0)),IF(ROWS($G$2:G474)=1,"(sin matches)",""))</f>
        <v/>
      </c>
      <c r="I474" s="70" t="str">
        <f>IF($A474="","",IF(AND($B474&lt;&gt;"",ISNUMBER(SEARCH($I$7,$B474))),COUNT($I$9:I473)+1,""))</f>
        <v/>
      </c>
    </row>
    <row r="475" spans="1:9" ht="16" x14ac:dyDescent="0.25">
      <c r="A475" s="70">
        <f>Listas!E470</f>
        <v>0</v>
      </c>
      <c r="B475" s="70" t="str">
        <f t="shared" si="7"/>
        <v/>
      </c>
      <c r="C475" s="70" t="str">
        <f>IF($A475="","",IF(AND($B475&lt;&gt;"",IF($F$2="Otros",$B475="Otros",ISNUMBER(SEARCH($B475,$F$2)))),COUNT($C$2:C474)+1,""))</f>
        <v/>
      </c>
      <c r="G475" s="134" t="str">
        <f>IFERROR(INDEX($A$2:$A$507,MATCH(ROWS($G$2:G475),$C$2:$C$507,0)),IF(ROWS($G$2:G475)=1,"(sin matches)",""))</f>
        <v/>
      </c>
      <c r="I475" s="70" t="str">
        <f>IF($A475="","",IF(AND($B475&lt;&gt;"",ISNUMBER(SEARCH($I$7,$B475))),COUNT($I$9:I474)+1,""))</f>
        <v/>
      </c>
    </row>
    <row r="476" spans="1:9" ht="16" x14ac:dyDescent="0.25">
      <c r="A476" s="70">
        <f>Listas!E471</f>
        <v>0</v>
      </c>
      <c r="B476" s="70" t="str">
        <f t="shared" si="7"/>
        <v/>
      </c>
      <c r="C476" s="70" t="str">
        <f>IF($A476="","",IF(AND($B476&lt;&gt;"",IF($F$2="Otros",$B476="Otros",ISNUMBER(SEARCH($B476,$F$2)))),COUNT($C$2:C475)+1,""))</f>
        <v/>
      </c>
      <c r="G476" s="134" t="str">
        <f>IFERROR(INDEX($A$2:$A$507,MATCH(ROWS($G$2:G476),$C$2:$C$507,0)),IF(ROWS($G$2:G476)=1,"(sin matches)",""))</f>
        <v/>
      </c>
      <c r="I476" s="70" t="str">
        <f>IF($A476="","",IF(AND($B476&lt;&gt;"",ISNUMBER(SEARCH($I$7,$B476))),COUNT($I$9:I475)+1,""))</f>
        <v/>
      </c>
    </row>
    <row r="477" spans="1:9" ht="16" x14ac:dyDescent="0.25">
      <c r="A477" s="70">
        <f>Listas!E472</f>
        <v>0</v>
      </c>
      <c r="B477" s="70" t="str">
        <f t="shared" si="7"/>
        <v/>
      </c>
      <c r="C477" s="70" t="str">
        <f>IF($A477="","",IF(AND($B477&lt;&gt;"",IF($F$2="Otros",$B477="Otros",ISNUMBER(SEARCH($B477,$F$2)))),COUNT($C$2:C476)+1,""))</f>
        <v/>
      </c>
      <c r="G477" s="134" t="str">
        <f>IFERROR(INDEX($A$2:$A$507,MATCH(ROWS($G$2:G477),$C$2:$C$507,0)),IF(ROWS($G$2:G477)=1,"(sin matches)",""))</f>
        <v/>
      </c>
      <c r="I477" s="70" t="str">
        <f>IF($A477="","",IF(AND($B477&lt;&gt;"",ISNUMBER(SEARCH($I$7,$B477))),COUNT($I$9:I476)+1,""))</f>
        <v/>
      </c>
    </row>
    <row r="478" spans="1:9" ht="16" x14ac:dyDescent="0.25">
      <c r="A478" s="70">
        <f>Listas!E473</f>
        <v>0</v>
      </c>
      <c r="B478" s="70" t="str">
        <f t="shared" si="7"/>
        <v/>
      </c>
      <c r="C478" s="70" t="str">
        <f>IF($A478="","",IF(AND($B478&lt;&gt;"",IF($F$2="Otros",$B478="Otros",ISNUMBER(SEARCH($B478,$F$2)))),COUNT($C$2:C477)+1,""))</f>
        <v/>
      </c>
      <c r="G478" s="134" t="str">
        <f>IFERROR(INDEX($A$2:$A$507,MATCH(ROWS($G$2:G478),$C$2:$C$507,0)),IF(ROWS($G$2:G478)=1,"(sin matches)",""))</f>
        <v/>
      </c>
      <c r="I478" s="70" t="str">
        <f>IF($A478="","",IF(AND($B478&lt;&gt;"",ISNUMBER(SEARCH($I$7,$B478))),COUNT($I$9:I477)+1,""))</f>
        <v/>
      </c>
    </row>
    <row r="479" spans="1:9" ht="16" x14ac:dyDescent="0.25">
      <c r="A479" s="70">
        <f>Listas!E474</f>
        <v>0</v>
      </c>
      <c r="B479" s="70" t="str">
        <f t="shared" si="7"/>
        <v/>
      </c>
      <c r="C479" s="70" t="str">
        <f>IF($A479="","",IF(AND($B479&lt;&gt;"",IF($F$2="Otros",$B479="Otros",ISNUMBER(SEARCH($B479,$F$2)))),COUNT($C$2:C478)+1,""))</f>
        <v/>
      </c>
      <c r="G479" s="134" t="str">
        <f>IFERROR(INDEX($A$2:$A$507,MATCH(ROWS($G$2:G479),$C$2:$C$507,0)),IF(ROWS($G$2:G479)=1,"(sin matches)",""))</f>
        <v/>
      </c>
      <c r="I479" s="70" t="str">
        <f>IF($A479="","",IF(AND($B479&lt;&gt;"",ISNUMBER(SEARCH($I$7,$B479))),COUNT($I$9:I478)+1,""))</f>
        <v/>
      </c>
    </row>
    <row r="480" spans="1:9" ht="16" x14ac:dyDescent="0.25">
      <c r="A480" s="70">
        <f>Listas!E475</f>
        <v>0</v>
      </c>
      <c r="B480" s="70" t="str">
        <f t="shared" si="7"/>
        <v/>
      </c>
      <c r="C480" s="70" t="str">
        <f>IF($A480="","",IF(AND($B480&lt;&gt;"",IF($F$2="Otros",$B480="Otros",ISNUMBER(SEARCH($B480,$F$2)))),COUNT($C$2:C479)+1,""))</f>
        <v/>
      </c>
      <c r="G480" s="134" t="str">
        <f>IFERROR(INDEX($A$2:$A$507,MATCH(ROWS($G$2:G480),$C$2:$C$507,0)),IF(ROWS($G$2:G480)=1,"(sin matches)",""))</f>
        <v/>
      </c>
      <c r="I480" s="70" t="str">
        <f>IF($A480="","",IF(AND($B480&lt;&gt;"",ISNUMBER(SEARCH($I$7,$B480))),COUNT($I$9:I479)+1,""))</f>
        <v/>
      </c>
    </row>
    <row r="481" spans="1:9" ht="16" x14ac:dyDescent="0.25">
      <c r="A481" s="70">
        <f>Listas!E476</f>
        <v>0</v>
      </c>
      <c r="B481" s="70" t="str">
        <f t="shared" si="7"/>
        <v/>
      </c>
      <c r="C481" s="70" t="str">
        <f>IF($A481="","",IF(AND($B481&lt;&gt;"",IF($F$2="Otros",$B481="Otros",ISNUMBER(SEARCH($B481,$F$2)))),COUNT($C$2:C480)+1,""))</f>
        <v/>
      </c>
      <c r="G481" s="134" t="str">
        <f>IFERROR(INDEX($A$2:$A$507,MATCH(ROWS($G$2:G481),$C$2:$C$507,0)),IF(ROWS($G$2:G481)=1,"(sin matches)",""))</f>
        <v/>
      </c>
      <c r="I481" s="70" t="str">
        <f>IF($A481="","",IF(AND($B481&lt;&gt;"",ISNUMBER(SEARCH($I$7,$B481))),COUNT($I$9:I480)+1,""))</f>
        <v/>
      </c>
    </row>
    <row r="482" spans="1:9" ht="16" x14ac:dyDescent="0.25">
      <c r="A482" s="70">
        <f>Listas!E477</f>
        <v>0</v>
      </c>
      <c r="B482" s="70" t="str">
        <f t="shared" si="7"/>
        <v/>
      </c>
      <c r="C482" s="70" t="str">
        <f>IF($A482="","",IF(AND($B482&lt;&gt;"",IF($F$2="Otros",$B482="Otros",ISNUMBER(SEARCH($B482,$F$2)))),COUNT($C$2:C481)+1,""))</f>
        <v/>
      </c>
      <c r="G482" s="134" t="str">
        <f>IFERROR(INDEX($A$2:$A$507,MATCH(ROWS($G$2:G482),$C$2:$C$507,0)),IF(ROWS($G$2:G482)=1,"(sin matches)",""))</f>
        <v/>
      </c>
      <c r="I482" s="70" t="str">
        <f>IF($A482="","",IF(AND($B482&lt;&gt;"",ISNUMBER(SEARCH($I$7,$B482))),COUNT($I$9:I481)+1,""))</f>
        <v/>
      </c>
    </row>
    <row r="483" spans="1:9" ht="16" x14ac:dyDescent="0.25">
      <c r="A483" s="70">
        <f>Listas!E478</f>
        <v>0</v>
      </c>
      <c r="B483" s="70" t="str">
        <f t="shared" si="7"/>
        <v/>
      </c>
      <c r="C483" s="70" t="str">
        <f>IF($A483="","",IF(AND($B483&lt;&gt;"",IF($F$2="Otros",$B483="Otros",ISNUMBER(SEARCH($B483,$F$2)))),COUNT($C$2:C482)+1,""))</f>
        <v/>
      </c>
      <c r="G483" s="134" t="str">
        <f>IFERROR(INDEX($A$2:$A$507,MATCH(ROWS($G$2:G483),$C$2:$C$507,0)),IF(ROWS($G$2:G483)=1,"(sin matches)",""))</f>
        <v/>
      </c>
      <c r="I483" s="70" t="str">
        <f>IF($A483="","",IF(AND($B483&lt;&gt;"",ISNUMBER(SEARCH($I$7,$B483))),COUNT($I$9:I482)+1,""))</f>
        <v/>
      </c>
    </row>
    <row r="484" spans="1:9" ht="16" x14ac:dyDescent="0.25">
      <c r="A484" s="70">
        <f>Listas!E479</f>
        <v>0</v>
      </c>
      <c r="B484" s="70" t="str">
        <f t="shared" si="7"/>
        <v/>
      </c>
      <c r="C484" s="70" t="str">
        <f>IF($A484="","",IF(AND($B484&lt;&gt;"",IF($F$2="Otros",$B484="Otros",ISNUMBER(SEARCH($B484,$F$2)))),COUNT($C$2:C483)+1,""))</f>
        <v/>
      </c>
      <c r="G484" s="134" t="str">
        <f>IFERROR(INDEX($A$2:$A$507,MATCH(ROWS($G$2:G484),$C$2:$C$507,0)),IF(ROWS($G$2:G484)=1,"(sin matches)",""))</f>
        <v/>
      </c>
      <c r="I484" s="70" t="str">
        <f>IF($A484="","",IF(AND($B484&lt;&gt;"",ISNUMBER(SEARCH($I$7,$B484))),COUNT($I$9:I483)+1,""))</f>
        <v/>
      </c>
    </row>
    <row r="485" spans="1:9" ht="16" x14ac:dyDescent="0.25">
      <c r="A485" s="70">
        <f>Listas!E480</f>
        <v>0</v>
      </c>
      <c r="B485" s="70" t="str">
        <f t="shared" si="7"/>
        <v/>
      </c>
      <c r="C485" s="70" t="str">
        <f>IF($A485="","",IF(AND($B485&lt;&gt;"",IF($F$2="Otros",$B485="Otros",ISNUMBER(SEARCH($B485,$F$2)))),COUNT($C$2:C484)+1,""))</f>
        <v/>
      </c>
      <c r="G485" s="134" t="str">
        <f>IFERROR(INDEX($A$2:$A$507,MATCH(ROWS($G$2:G485),$C$2:$C$507,0)),IF(ROWS($G$2:G485)=1,"(sin matches)",""))</f>
        <v/>
      </c>
      <c r="I485" s="70" t="str">
        <f>IF($A485="","",IF(AND($B485&lt;&gt;"",ISNUMBER(SEARCH($I$7,$B485))),COUNT($I$9:I484)+1,""))</f>
        <v/>
      </c>
    </row>
    <row r="486" spans="1:9" ht="16" x14ac:dyDescent="0.25">
      <c r="A486" s="70">
        <f>Listas!E481</f>
        <v>0</v>
      </c>
      <c r="B486" s="70" t="str">
        <f t="shared" si="7"/>
        <v/>
      </c>
      <c r="C486" s="70" t="str">
        <f>IF($A486="","",IF(AND($B486&lt;&gt;"",IF($F$2="Otros",$B486="Otros",ISNUMBER(SEARCH($B486,$F$2)))),COUNT($C$2:C485)+1,""))</f>
        <v/>
      </c>
      <c r="G486" s="134" t="str">
        <f>IFERROR(INDEX($A$2:$A$507,MATCH(ROWS($G$2:G486),$C$2:$C$507,0)),IF(ROWS($G$2:G486)=1,"(sin matches)",""))</f>
        <v/>
      </c>
      <c r="I486" s="70" t="str">
        <f>IF($A486="","",IF(AND($B486&lt;&gt;"",ISNUMBER(SEARCH($I$7,$B486))),COUNT($I$9:I485)+1,""))</f>
        <v/>
      </c>
    </row>
    <row r="487" spans="1:9" ht="16" x14ac:dyDescent="0.25">
      <c r="A487" s="70">
        <f>Listas!E482</f>
        <v>0</v>
      </c>
      <c r="B487" s="70" t="str">
        <f t="shared" si="7"/>
        <v/>
      </c>
      <c r="C487" s="70" t="str">
        <f>IF($A487="","",IF(AND($B487&lt;&gt;"",IF($F$2="Otros",$B487="Otros",ISNUMBER(SEARCH($B487,$F$2)))),COUNT($C$2:C486)+1,""))</f>
        <v/>
      </c>
      <c r="G487" s="134" t="str">
        <f>IFERROR(INDEX($A$2:$A$507,MATCH(ROWS($G$2:G487),$C$2:$C$507,0)),IF(ROWS($G$2:G487)=1,"(sin matches)",""))</f>
        <v/>
      </c>
      <c r="I487" s="70" t="str">
        <f>IF($A487="","",IF(AND($B487&lt;&gt;"",ISNUMBER(SEARCH($I$7,$B487))),COUNT($I$9:I486)+1,""))</f>
        <v/>
      </c>
    </row>
    <row r="488" spans="1:9" ht="16" x14ac:dyDescent="0.25">
      <c r="A488" s="70">
        <f>Listas!E483</f>
        <v>0</v>
      </c>
      <c r="B488" s="70" t="str">
        <f t="shared" si="7"/>
        <v/>
      </c>
      <c r="C488" s="70" t="str">
        <f>IF($A488="","",IF(AND($B488&lt;&gt;"",IF($F$2="Otros",$B488="Otros",ISNUMBER(SEARCH($B488,$F$2)))),COUNT($C$2:C487)+1,""))</f>
        <v/>
      </c>
      <c r="G488" s="134" t="str">
        <f>IFERROR(INDEX($A$2:$A$507,MATCH(ROWS($G$2:G488),$C$2:$C$507,0)),IF(ROWS($G$2:G488)=1,"(sin matches)",""))</f>
        <v/>
      </c>
      <c r="I488" s="70" t="str">
        <f>IF($A488="","",IF(AND($B488&lt;&gt;"",ISNUMBER(SEARCH($I$7,$B488))),COUNT($I$9:I487)+1,""))</f>
        <v/>
      </c>
    </row>
    <row r="489" spans="1:9" ht="16" x14ac:dyDescent="0.25">
      <c r="A489" s="70">
        <f>Listas!E484</f>
        <v>0</v>
      </c>
      <c r="B489" s="70" t="str">
        <f t="shared" si="7"/>
        <v/>
      </c>
      <c r="C489" s="70" t="str">
        <f>IF($A489="","",IF(AND($B489&lt;&gt;"",IF($F$2="Otros",$B489="Otros",ISNUMBER(SEARCH($B489,$F$2)))),COUNT($C$2:C488)+1,""))</f>
        <v/>
      </c>
      <c r="G489" s="134" t="str">
        <f>IFERROR(INDEX($A$2:$A$507,MATCH(ROWS($G$2:G489),$C$2:$C$507,0)),IF(ROWS($G$2:G489)=1,"(sin matches)",""))</f>
        <v/>
      </c>
      <c r="I489" s="70" t="str">
        <f>IF($A489="","",IF(AND($B489&lt;&gt;"",ISNUMBER(SEARCH($I$7,$B489))),COUNT($I$9:I488)+1,""))</f>
        <v/>
      </c>
    </row>
    <row r="490" spans="1:9" ht="16" x14ac:dyDescent="0.25">
      <c r="A490" s="70">
        <f>Listas!E485</f>
        <v>0</v>
      </c>
      <c r="B490" s="70" t="str">
        <f t="shared" si="7"/>
        <v/>
      </c>
      <c r="C490" s="70" t="str">
        <f>IF($A490="","",IF(AND($B490&lt;&gt;"",IF($F$2="Otros",$B490="Otros",ISNUMBER(SEARCH($B490,$F$2)))),COUNT($C$2:C489)+1,""))</f>
        <v/>
      </c>
      <c r="G490" s="134" t="str">
        <f>IFERROR(INDEX($A$2:$A$507,MATCH(ROWS($G$2:G490),$C$2:$C$507,0)),IF(ROWS($G$2:G490)=1,"(sin matches)",""))</f>
        <v/>
      </c>
      <c r="I490" s="70" t="str">
        <f>IF($A490="","",IF(AND($B490&lt;&gt;"",ISNUMBER(SEARCH($I$7,$B490))),COUNT($I$9:I489)+1,""))</f>
        <v/>
      </c>
    </row>
    <row r="491" spans="1:9" ht="16" x14ac:dyDescent="0.25">
      <c r="A491" s="70">
        <f>Listas!E486</f>
        <v>0</v>
      </c>
      <c r="B491" s="70" t="str">
        <f t="shared" si="7"/>
        <v/>
      </c>
      <c r="C491" s="70" t="str">
        <f>IF($A491="","",IF(AND($B491&lt;&gt;"",IF($F$2="Otros",$B491="Otros",ISNUMBER(SEARCH($B491,$F$2)))),COUNT($C$2:C490)+1,""))</f>
        <v/>
      </c>
      <c r="G491" s="134" t="str">
        <f>IFERROR(INDEX($A$2:$A$507,MATCH(ROWS($G$2:G491),$C$2:$C$507,0)),IF(ROWS($G$2:G491)=1,"(sin matches)",""))</f>
        <v/>
      </c>
      <c r="I491" s="70" t="str">
        <f>IF($A491="","",IF(AND($B491&lt;&gt;"",ISNUMBER(SEARCH($I$7,$B491))),COUNT($I$9:I490)+1,""))</f>
        <v/>
      </c>
    </row>
    <row r="492" spans="1:9" ht="16" x14ac:dyDescent="0.25">
      <c r="A492" s="70">
        <f>Listas!E487</f>
        <v>0</v>
      </c>
      <c r="B492" s="70" t="str">
        <f t="shared" si="7"/>
        <v/>
      </c>
      <c r="C492" s="70" t="str">
        <f>IF($A492="","",IF(AND($B492&lt;&gt;"",IF($F$2="Otros",$B492="Otros",ISNUMBER(SEARCH($B492,$F$2)))),COUNT($C$2:C491)+1,""))</f>
        <v/>
      </c>
      <c r="G492" s="134" t="str">
        <f>IFERROR(INDEX($A$2:$A$507,MATCH(ROWS($G$2:G492),$C$2:$C$507,0)),IF(ROWS($G$2:G492)=1,"(sin matches)",""))</f>
        <v/>
      </c>
      <c r="I492" s="70" t="str">
        <f>IF($A492="","",IF(AND($B492&lt;&gt;"",ISNUMBER(SEARCH($I$7,$B492))),COUNT($I$9:I491)+1,""))</f>
        <v/>
      </c>
    </row>
    <row r="493" spans="1:9" ht="16" x14ac:dyDescent="0.25">
      <c r="A493" s="70">
        <f>Listas!E488</f>
        <v>0</v>
      </c>
      <c r="B493" s="70" t="str">
        <f t="shared" si="7"/>
        <v/>
      </c>
      <c r="C493" s="70" t="str">
        <f>IF($A493="","",IF(AND($B493&lt;&gt;"",IF($F$2="Otros",$B493="Otros",ISNUMBER(SEARCH($B493,$F$2)))),COUNT($C$2:C492)+1,""))</f>
        <v/>
      </c>
      <c r="G493" s="134" t="str">
        <f>IFERROR(INDEX($A$2:$A$507,MATCH(ROWS($G$2:G493),$C$2:$C$507,0)),IF(ROWS($G$2:G493)=1,"(sin matches)",""))</f>
        <v/>
      </c>
      <c r="I493" s="70" t="str">
        <f>IF($A493="","",IF(AND($B493&lt;&gt;"",ISNUMBER(SEARCH($I$7,$B493))),COUNT($I$9:I492)+1,""))</f>
        <v/>
      </c>
    </row>
    <row r="494" spans="1:9" ht="16" x14ac:dyDescent="0.25">
      <c r="A494" s="70">
        <f>Listas!E489</f>
        <v>0</v>
      </c>
      <c r="B494" s="70" t="str">
        <f t="shared" si="7"/>
        <v/>
      </c>
      <c r="C494" s="70" t="str">
        <f>IF($A494="","",IF(AND($B494&lt;&gt;"",IF($F$2="Otros",$B494="Otros",ISNUMBER(SEARCH($B494,$F$2)))),COUNT($C$2:C493)+1,""))</f>
        <v/>
      </c>
      <c r="G494" s="134" t="str">
        <f>IFERROR(INDEX($A$2:$A$507,MATCH(ROWS($G$2:G494),$C$2:$C$507,0)),IF(ROWS($G$2:G494)=1,"(sin matches)",""))</f>
        <v/>
      </c>
      <c r="I494" s="70" t="str">
        <f>IF($A494="","",IF(AND($B494&lt;&gt;"",ISNUMBER(SEARCH($I$7,$B494))),COUNT($I$9:I493)+1,""))</f>
        <v/>
      </c>
    </row>
    <row r="495" spans="1:9" ht="16" x14ac:dyDescent="0.25">
      <c r="A495" s="70">
        <f>Listas!E490</f>
        <v>0</v>
      </c>
      <c r="B495" s="70" t="str">
        <f t="shared" si="7"/>
        <v/>
      </c>
      <c r="C495" s="70" t="str">
        <f>IF($A495="","",IF(AND($B495&lt;&gt;"",IF($F$2="Otros",$B495="Otros",ISNUMBER(SEARCH($B495,$F$2)))),COUNT($C$2:C494)+1,""))</f>
        <v/>
      </c>
      <c r="G495" s="134" t="str">
        <f>IFERROR(INDEX($A$2:$A$507,MATCH(ROWS($G$2:G495),$C$2:$C$507,0)),IF(ROWS($G$2:G495)=1,"(sin matches)",""))</f>
        <v/>
      </c>
      <c r="I495" s="70" t="str">
        <f>IF($A495="","",IF(AND($B495&lt;&gt;"",ISNUMBER(SEARCH($I$7,$B495))),COUNT($I$9:I494)+1,""))</f>
        <v/>
      </c>
    </row>
    <row r="496" spans="1:9" ht="16" x14ac:dyDescent="0.25">
      <c r="A496" s="70">
        <f>Listas!E491</f>
        <v>0</v>
      </c>
      <c r="B496" s="70" t="str">
        <f t="shared" si="7"/>
        <v/>
      </c>
      <c r="C496" s="70" t="str">
        <f>IF($A496="","",IF(AND($B496&lt;&gt;"",IF($F$2="Otros",$B496="Otros",ISNUMBER(SEARCH($B496,$F$2)))),COUNT($C$2:C495)+1,""))</f>
        <v/>
      </c>
      <c r="G496" s="134" t="str">
        <f>IFERROR(INDEX($A$2:$A$507,MATCH(ROWS($G$2:G496),$C$2:$C$507,0)),IF(ROWS($G$2:G496)=1,"(sin matches)",""))</f>
        <v/>
      </c>
      <c r="I496" s="70" t="str">
        <f>IF($A496="","",IF(AND($B496&lt;&gt;"",ISNUMBER(SEARCH($I$7,$B496))),COUNT($I$9:I495)+1,""))</f>
        <v/>
      </c>
    </row>
    <row r="497" spans="1:9" ht="16" x14ac:dyDescent="0.25">
      <c r="A497" s="70">
        <f>Listas!E492</f>
        <v>0</v>
      </c>
      <c r="B497" s="70" t="str">
        <f t="shared" si="7"/>
        <v/>
      </c>
      <c r="C497" s="70" t="str">
        <f>IF($A497="","",IF(AND($B497&lt;&gt;"",IF($F$2="Otros",$B497="Otros",ISNUMBER(SEARCH($B497,$F$2)))),COUNT($C$2:C496)+1,""))</f>
        <v/>
      </c>
      <c r="G497" s="134" t="str">
        <f>IFERROR(INDEX($A$2:$A$507,MATCH(ROWS($G$2:G497),$C$2:$C$507,0)),IF(ROWS($G$2:G497)=1,"(sin matches)",""))</f>
        <v/>
      </c>
      <c r="I497" s="70" t="str">
        <f>IF($A497="","",IF(AND($B497&lt;&gt;"",ISNUMBER(SEARCH($I$7,$B497))),COUNT($I$9:I496)+1,""))</f>
        <v/>
      </c>
    </row>
    <row r="498" spans="1:9" ht="16" x14ac:dyDescent="0.25">
      <c r="A498" s="70">
        <f>Listas!E493</f>
        <v>0</v>
      </c>
      <c r="B498" s="70" t="str">
        <f t="shared" si="7"/>
        <v/>
      </c>
      <c r="C498" s="70" t="str">
        <f>IF($A498="","",IF(AND($B498&lt;&gt;"",IF($F$2="Otros",$B498="Otros",ISNUMBER(SEARCH($B498,$F$2)))),COUNT($C$2:C497)+1,""))</f>
        <v/>
      </c>
      <c r="G498" s="134" t="str">
        <f>IFERROR(INDEX($A$2:$A$507,MATCH(ROWS($G$2:G498),$C$2:$C$507,0)),IF(ROWS($G$2:G498)=1,"(sin matches)",""))</f>
        <v/>
      </c>
      <c r="I498" s="70" t="str">
        <f>IF($A498="","",IF(AND($B498&lt;&gt;"",ISNUMBER(SEARCH($I$7,$B498))),COUNT($I$9:I497)+1,""))</f>
        <v/>
      </c>
    </row>
    <row r="499" spans="1:9" ht="16" x14ac:dyDescent="0.25">
      <c r="A499" s="70">
        <f>Listas!E494</f>
        <v>0</v>
      </c>
      <c r="B499" s="70" t="str">
        <f t="shared" si="7"/>
        <v/>
      </c>
      <c r="C499" s="70" t="str">
        <f>IF($A499="","",IF(AND($B499&lt;&gt;"",IF($F$2="Otros",$B499="Otros",ISNUMBER(SEARCH($B499,$F$2)))),COUNT($C$2:C498)+1,""))</f>
        <v/>
      </c>
      <c r="G499" s="134" t="str">
        <f>IFERROR(INDEX($A$2:$A$507,MATCH(ROWS($G$2:G499),$C$2:$C$507,0)),IF(ROWS($G$2:G499)=1,"(sin matches)",""))</f>
        <v/>
      </c>
      <c r="I499" s="70" t="str">
        <f>IF($A499="","",IF(AND($B499&lt;&gt;"",ISNUMBER(SEARCH($I$7,$B499))),COUNT($I$9:I498)+1,""))</f>
        <v/>
      </c>
    </row>
    <row r="500" spans="1:9" x14ac:dyDescent="0.2">
      <c r="A500" s="70">
        <f>Listas!E495</f>
        <v>0</v>
      </c>
      <c r="B500" s="70" t="str">
        <f t="shared" si="7"/>
        <v/>
      </c>
      <c r="C500" s="70" t="str">
        <f>IF($A500="","",IF(AND($B500&lt;&gt;"",IF($F$2="Otros",$B500="Otros",ISNUMBER(SEARCH($B500,$F$2)))),COUNT($C$2:C499)+1,""))</f>
        <v/>
      </c>
      <c r="I500" s="70" t="str">
        <f>IF($A500="","",IF(AND($B500&lt;&gt;"",ISNUMBER(SEARCH($I$7,$B500))),COUNT($I$9:I499)+1,""))</f>
        <v/>
      </c>
    </row>
    <row r="501" spans="1:9" x14ac:dyDescent="0.2">
      <c r="A501" s="70">
        <f>Listas!E496</f>
        <v>0</v>
      </c>
      <c r="B501" s="70" t="str">
        <f t="shared" si="7"/>
        <v/>
      </c>
      <c r="C501" s="70" t="str">
        <f>IF($A501="","",IF(AND($B501&lt;&gt;"",IF($F$2="Otros",$B501="Otros",ISNUMBER(SEARCH($B501,$F$2)))),COUNT($C$2:C500)+1,""))</f>
        <v/>
      </c>
      <c r="I501" s="70" t="str">
        <f>IF($A501="","",IF(AND($B501&lt;&gt;"",ISNUMBER(SEARCH($I$7,$B501))),COUNT($I$9:I500)+1,""))</f>
        <v/>
      </c>
    </row>
    <row r="502" spans="1:9" x14ac:dyDescent="0.2">
      <c r="A502" s="70">
        <f>Listas!E497</f>
        <v>0</v>
      </c>
      <c r="B502" s="70" t="str">
        <f t="shared" si="7"/>
        <v/>
      </c>
      <c r="C502" s="70" t="str">
        <f>IF($A502="","",IF(AND($B502&lt;&gt;"",IF($F$2="Otros",$B502="Otros",ISNUMBER(SEARCH($B502,$F$2)))),COUNT($C$2:C501)+1,""))</f>
        <v/>
      </c>
      <c r="I502" s="70" t="str">
        <f>IF($A502="","",IF(AND($B502&lt;&gt;"",ISNUMBER(SEARCH($I$7,$B502))),COUNT($I$9:I501)+1,""))</f>
        <v/>
      </c>
    </row>
    <row r="503" spans="1:9" x14ac:dyDescent="0.2">
      <c r="A503" s="70">
        <f>Listas!E498</f>
        <v>0</v>
      </c>
      <c r="B503" s="70" t="str">
        <f t="shared" si="7"/>
        <v/>
      </c>
      <c r="C503" s="70" t="str">
        <f>IF($A503="","",IF(AND($B503&lt;&gt;"",IF($F$2="Otros",$B503="Otros",ISNUMBER(SEARCH($B503,$F$2)))),COUNT($C$2:C502)+1,""))</f>
        <v/>
      </c>
      <c r="I503" s="70" t="str">
        <f>IF($A503="","",IF(AND($B503&lt;&gt;"",ISNUMBER(SEARCH($I$7,$B503))),COUNT($I$9:I502)+1,""))</f>
        <v/>
      </c>
    </row>
    <row r="504" spans="1:9" x14ac:dyDescent="0.2">
      <c r="A504" s="70">
        <f>Listas!E499</f>
        <v>0</v>
      </c>
      <c r="B504" s="70" t="str">
        <f t="shared" si="7"/>
        <v/>
      </c>
      <c r="C504" s="70" t="str">
        <f>IF($A504="","",IF(AND($B504&lt;&gt;"",IF($F$2="Otros",$B504="Otros",ISNUMBER(SEARCH($B504,$F$2)))),COUNT($C$2:C503)+1,""))</f>
        <v/>
      </c>
      <c r="I504" s="70" t="str">
        <f>IF($A504="","",IF(AND($B504&lt;&gt;"",ISNUMBER(SEARCH($I$7,$B504))),COUNT($I$9:I503)+1,""))</f>
        <v/>
      </c>
    </row>
    <row r="505" spans="1:9" x14ac:dyDescent="0.2">
      <c r="A505" s="70">
        <f>Listas!E500</f>
        <v>0</v>
      </c>
      <c r="B505" s="70" t="str">
        <f t="shared" si="7"/>
        <v/>
      </c>
      <c r="C505" s="70" t="str">
        <f>IF($A505="","",IF(AND($B505&lt;&gt;"",IF($F$2="Otros",$B505="Otros",ISNUMBER(SEARCH($B505,$F$2)))),COUNT($C$2:C504)+1,""))</f>
        <v/>
      </c>
      <c r="I505" s="70" t="str">
        <f>IF($A505="","",IF(AND($B505&lt;&gt;"",ISNUMBER(SEARCH($I$7,$B505))),COUNT($I$9:I504)+1,""))</f>
        <v/>
      </c>
    </row>
    <row r="506" spans="1:9" x14ac:dyDescent="0.2">
      <c r="A506" s="70">
        <f>Listas!E501</f>
        <v>0</v>
      </c>
      <c r="B506" s="70" t="str">
        <f t="shared" si="7"/>
        <v/>
      </c>
      <c r="C506" s="70" t="str">
        <f>IF($A506="","",IF(AND($B506&lt;&gt;"",IF($F$2="Otros",$B506="Otros",ISNUMBER(SEARCH($B506,$F$2)))),COUNT($C$2:C505)+1,""))</f>
        <v/>
      </c>
      <c r="I506" s="70" t="str">
        <f>IF($A506="","",IF(AND($B506&lt;&gt;"",ISNUMBER(SEARCH($I$7,$B506))),COUNT($I$9:I505)+1,""))</f>
        <v/>
      </c>
    </row>
    <row r="507" spans="1:9" x14ac:dyDescent="0.2">
      <c r="A507" s="70">
        <f>Listas!E502</f>
        <v>0</v>
      </c>
      <c r="B507" s="70" t="str">
        <f t="shared" si="7"/>
        <v/>
      </c>
      <c r="C507" s="70" t="str">
        <f>IF($A507="","",IF(AND($B507&lt;&gt;"",IF($F$2="Otros",$B507="Otros",ISNUMBER(SEARCH($B507,$F$2)))),COUNT($C$2:C506)+1,""))</f>
        <v/>
      </c>
      <c r="I507" s="70" t="str">
        <f>IF($A507="","",IF(AND($B507&lt;&gt;"",ISNUMBER(SEARCH($I$7,$B507))),COUNT($I$9:I506)+1,""))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2072</v>
      </c>
      <c r="B4" s="70" t="s">
        <v>193</v>
      </c>
      <c r="C4" s="70">
        <v>0</v>
      </c>
      <c r="D4" s="70">
        <v>1</v>
      </c>
      <c r="E4" s="70" t="s">
        <v>766</v>
      </c>
    </row>
    <row r="5" spans="1:13" x14ac:dyDescent="0.2">
      <c r="A5" s="98" t="s">
        <v>2073</v>
      </c>
      <c r="B5" s="70" t="s">
        <v>159</v>
      </c>
      <c r="C5" s="70">
        <v>0</v>
      </c>
      <c r="D5" s="70">
        <v>1</v>
      </c>
      <c r="E5" s="70" t="s">
        <v>2012</v>
      </c>
    </row>
    <row r="6" spans="1:13" x14ac:dyDescent="0.2">
      <c r="A6" s="98" t="s">
        <v>2076</v>
      </c>
      <c r="B6" s="70" t="s">
        <v>133</v>
      </c>
      <c r="C6" s="70">
        <v>0</v>
      </c>
      <c r="D6" s="70">
        <v>1</v>
      </c>
      <c r="E6" s="70" t="s">
        <v>766</v>
      </c>
    </row>
    <row r="7" spans="1:13" x14ac:dyDescent="0.2">
      <c r="A7" s="98" t="s">
        <v>2074</v>
      </c>
      <c r="B7" s="70" t="s">
        <v>141</v>
      </c>
      <c r="C7" s="70">
        <v>0</v>
      </c>
      <c r="D7" s="70">
        <v>1</v>
      </c>
      <c r="E7" s="70" t="s">
        <v>766</v>
      </c>
    </row>
    <row r="8" spans="1:13" x14ac:dyDescent="0.2">
      <c r="A8" s="98" t="s">
        <v>2064</v>
      </c>
      <c r="B8" s="70" t="s">
        <v>141</v>
      </c>
      <c r="C8" s="70">
        <v>0</v>
      </c>
      <c r="D8" s="70">
        <v>1</v>
      </c>
      <c r="E8" s="70" t="s">
        <v>766</v>
      </c>
      <c r="F8" s="70" t="s">
        <v>101</v>
      </c>
      <c r="G8" s="70">
        <v>0</v>
      </c>
      <c r="H8" s="70">
        <v>1</v>
      </c>
      <c r="I8" s="70" t="s">
        <v>2009</v>
      </c>
    </row>
    <row r="9" spans="1:13" x14ac:dyDescent="0.2">
      <c r="A9" s="98" t="s">
        <v>2065</v>
      </c>
      <c r="B9" s="70" t="s">
        <v>141</v>
      </c>
      <c r="C9" s="70">
        <v>0</v>
      </c>
      <c r="D9" s="70">
        <v>1</v>
      </c>
      <c r="E9" s="70" t="s">
        <v>766</v>
      </c>
      <c r="F9" s="70" t="s">
        <v>187</v>
      </c>
      <c r="G9" s="70">
        <v>0</v>
      </c>
      <c r="H9" s="70">
        <v>1</v>
      </c>
      <c r="I9" s="70" t="s">
        <v>2009</v>
      </c>
    </row>
    <row r="10" spans="1:13" x14ac:dyDescent="0.2">
      <c r="A10" s="98" t="s">
        <v>2075</v>
      </c>
      <c r="B10" s="70" t="s">
        <v>133</v>
      </c>
      <c r="C10" s="70">
        <v>0</v>
      </c>
      <c r="D10" s="70">
        <v>1</v>
      </c>
      <c r="E10" s="70" t="s">
        <v>766</v>
      </c>
    </row>
    <row r="11" spans="1:13" x14ac:dyDescent="0.2">
      <c r="A11" s="98" t="s">
        <v>2066</v>
      </c>
      <c r="B11" s="70" t="s">
        <v>133</v>
      </c>
      <c r="C11" s="70">
        <v>0</v>
      </c>
      <c r="D11" s="70">
        <v>1</v>
      </c>
      <c r="E11" s="70" t="s">
        <v>766</v>
      </c>
      <c r="F11" s="70" t="s">
        <v>193</v>
      </c>
      <c r="G11" s="70">
        <v>0</v>
      </c>
      <c r="H11" s="70">
        <v>1</v>
      </c>
      <c r="I11" s="70" t="s">
        <v>766</v>
      </c>
    </row>
    <row r="12" spans="1:13" x14ac:dyDescent="0.2">
      <c r="A12" s="98" t="s">
        <v>2067</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2068</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2069</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2077</v>
      </c>
      <c r="B17" s="70" t="s">
        <v>110</v>
      </c>
      <c r="C17" s="70">
        <v>0</v>
      </c>
      <c r="D17" s="70">
        <v>1</v>
      </c>
      <c r="E17" s="70" t="s">
        <v>2012</v>
      </c>
    </row>
    <row r="18" spans="1:13" x14ac:dyDescent="0.2">
      <c r="A18" s="98" t="s">
        <v>2080</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2078</v>
      </c>
      <c r="B20" s="70" t="s">
        <v>110</v>
      </c>
      <c r="C20" s="70">
        <v>0</v>
      </c>
      <c r="D20" s="70">
        <v>1</v>
      </c>
      <c r="E20" s="70" t="s">
        <v>2012</v>
      </c>
    </row>
    <row r="21" spans="1:13" x14ac:dyDescent="0.2">
      <c r="A21" s="98" t="s">
        <v>2081</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2070</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2071</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2079</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2026-06-13T02:37:28Z</dcterms:modified>
  <dc:language>en-US</dc:language>
</cp:coreProperties>
</file>